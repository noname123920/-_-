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workbookProtection lockStructure="1" workbookAlgorithmName="SHA-512" workbookHashValue="3Hd4FfTcE+ZZfdS4plB6V0G9zKoHWa+KK5YbpHAqLFjlQDVKrlgixb1zn4zRE4fX2nxaiOpC7Ap4Pcay8W4WWg==" workbookSaltValue="13w1FPv5h0PyXF5yE/ewQg==" workbookSpinCount="100000"/>
  <bookViews>
    <workbookView visibility="visible" minimized="0" showHorizontalScroll="1" showVerticalScroll="1" showSheetTabs="1" xWindow="-108" yWindow="-108" windowWidth="23256" windowHeight="12456" tabRatio="600" firstSheet="2" activeTab="7" autoFilterDateGrouping="1"/>
  </bookViews>
  <sheets>
    <sheet xmlns:r="http://schemas.openxmlformats.org/officeDocument/2006/relationships" name="Списки" sheetId="1" state="veryHidden" r:id="rId1"/>
    <sheet xmlns:r="http://schemas.openxmlformats.org/officeDocument/2006/relationships" name="Нормы" sheetId="2" state="veryHidden" r:id="rId2"/>
    <sheet xmlns:r="http://schemas.openxmlformats.org/officeDocument/2006/relationships" name="Инфо" sheetId="3" state="visible" r:id="rId3"/>
    <sheet xmlns:r="http://schemas.openxmlformats.org/officeDocument/2006/relationships" name="титул" sheetId="4" state="visible" r:id="rId4"/>
    <sheet xmlns:r="http://schemas.openxmlformats.org/officeDocument/2006/relationships" name="осень" sheetId="5" state="visible" r:id="rId5"/>
    <sheet xmlns:r="http://schemas.openxmlformats.org/officeDocument/2006/relationships" name="весна" sheetId="6" state="visible" r:id="rId6"/>
    <sheet xmlns:r="http://schemas.openxmlformats.org/officeDocument/2006/relationships" name="карточка" sheetId="7" state="visible" r:id="rId7"/>
    <sheet xmlns:r="http://schemas.openxmlformats.org/officeDocument/2006/relationships" name="09" sheetId="8" state="visible" r:id="rId8"/>
    <sheet xmlns:r="http://schemas.openxmlformats.org/officeDocument/2006/relationships" name="10" sheetId="9" state="visible" r:id="rId9"/>
    <sheet xmlns:r="http://schemas.openxmlformats.org/officeDocument/2006/relationships" name="11" sheetId="10" state="visible" r:id="rId10"/>
    <sheet xmlns:r="http://schemas.openxmlformats.org/officeDocument/2006/relationships" name="12" sheetId="11" state="visible" r:id="rId11"/>
    <sheet xmlns:r="http://schemas.openxmlformats.org/officeDocument/2006/relationships" name="01" sheetId="12" state="visible" r:id="rId12"/>
    <sheet xmlns:r="http://schemas.openxmlformats.org/officeDocument/2006/relationships" name="02" sheetId="13" state="visible" r:id="rId13"/>
    <sheet xmlns:r="http://schemas.openxmlformats.org/officeDocument/2006/relationships" name="03" sheetId="14" state="visible" r:id="rId14"/>
    <sheet xmlns:r="http://schemas.openxmlformats.org/officeDocument/2006/relationships" name="04" sheetId="15" state="visible" r:id="rId15"/>
    <sheet xmlns:r="http://schemas.openxmlformats.org/officeDocument/2006/relationships" name="05" sheetId="16" state="visible" r:id="rId16"/>
    <sheet xmlns:r="http://schemas.openxmlformats.org/officeDocument/2006/relationships" name="06" sheetId="17" state="visible" r:id="rId17"/>
    <sheet xmlns:r="http://schemas.openxmlformats.org/officeDocument/2006/relationships" name="07" sheetId="18" state="visible" r:id="rId18"/>
    <sheet xmlns:r="http://schemas.openxmlformats.org/officeDocument/2006/relationships" name="08" sheetId="19" state="visible" r:id="rId19"/>
  </sheets>
  <definedNames>
    <definedName name="Form_PPS_build">Нормы!$F$19</definedName>
    <definedName name="Form_PPS_v_major">Нормы!$F$15</definedName>
    <definedName name="Form_PPS_v_minor">Нормы!$F$16</definedName>
    <definedName name="ВидыНагр">Нормы!$C$72:$C$74</definedName>
    <definedName name="ВидыНагрузки">Нормы!$A$72:$A$74</definedName>
    <definedName name="ГруппыВесна">Списки!$P$2:$P$175</definedName>
    <definedName name="ГруппыВеснаКол">Списки!$O$177</definedName>
    <definedName name="ГруппыОсень">Списки!$H$2:$H$175</definedName>
    <definedName name="ГруппыОсеньКол">Списки!$G$177</definedName>
    <definedName name="ДисциплиныВесна">Списки!$L$2:$L$175</definedName>
    <definedName name="ДисциплиныВеснаКол">Списки!$K$177</definedName>
    <definedName name="ДисциплиныОсень">Списки!$D$2:$D$175</definedName>
    <definedName name="ДисциплиныОсеньКол">Списки!$C$177</definedName>
    <definedName name="ДолжностиППС">Нормы!$A$15:$A$22</definedName>
    <definedName name="ДолжностиППС_С">Нормы!$A$15:$A$22</definedName>
    <definedName name="ДопОбязанности">Нормы!$A$122:$A$124</definedName>
    <definedName name="ЗаданияВесна">весна!$D$5:$F$180</definedName>
    <definedName name="ЗаданияОсень">осень!$D$5:$F$180</definedName>
    <definedName name="ЗванияППС">Нормы!$C$26:$C$28</definedName>
    <definedName name="Институты">Нормы!$A$77:$A$82</definedName>
    <definedName name="Кафедры">Нормы!$A$86:$A$119</definedName>
    <definedName name="КлючВесна">весна!$C$5:$C$178</definedName>
    <definedName name="КлючОсень">осень!$C$5:$C$178</definedName>
    <definedName name="ОтраслиНаук">Нормы!$A$31:$A$53</definedName>
    <definedName name="Ставка">Нормы!$F$11</definedName>
    <definedName name="Ставка_С">Нормы!$F$12</definedName>
    <definedName name="СтепениППС">Нормы!$B$23:$B$25</definedName>
    <definedName name="Т_Должность">титул!$B$16</definedName>
    <definedName name="Т_Должность_С">титул!$F$16</definedName>
    <definedName name="Т_Звание">титул!$B$19</definedName>
    <definedName name="Т_Институт">титул!$B$8</definedName>
    <definedName name="Т_Кафедра">титул!$B$9</definedName>
    <definedName name="Т_Преподаватель">титул!$B$15</definedName>
    <definedName name="Т_Степень">титул!$B$18</definedName>
    <definedName name="Т_УчГод">титул!$B$11</definedName>
    <definedName name="Т_Форма">титул!$B$12</definedName>
    <definedName name="УровниООП">Нормы!$A$56:$A$62</definedName>
    <definedName name="Утв_Весна">титул!$A$40</definedName>
    <definedName name="Утв_Осень">титул!$A$39</definedName>
    <definedName name="Утв_План">титул!$A$38</definedName>
    <definedName name="ФормыООП">Нормы!$A$65:$A$69</definedName>
    <definedName name="_xlnm.Print_Area" localSheetId="3">'титул'!$A$1:$F$44</definedName>
    <definedName name="_xlnm.Print_Titles" localSheetId="4">'осень'!$2:$2</definedName>
    <definedName name="_xlnm.Print_Area" localSheetId="4">'осень'!$D$2:$Z$178</definedName>
    <definedName name="_xlnm.Print_Titles" localSheetId="5">'весна'!$2:$2</definedName>
    <definedName name="_xlnm.Print_Area" localSheetId="5">'весна'!$D$2:$Z$178</definedName>
    <definedName name="_xlnm.Print_Area" localSheetId="6">'карточка'!$A$3:$S$78</definedName>
    <definedName name="_xlnm.Print_Titles" localSheetId="7">'09'!$1:$1</definedName>
    <definedName name="_xlnm.Print_Area" localSheetId="7">'09'!$E$1:$Z$159</definedName>
    <definedName name="_xlnm.Print_Titles" localSheetId="8">'10'!$1:$1</definedName>
    <definedName name="_xlnm.Print_Area" localSheetId="8">'10'!$E$1:$Z$159</definedName>
    <definedName name="_xlnm.Print_Titles" localSheetId="9">'11'!$1:$1</definedName>
    <definedName name="_xlnm.Print_Area" localSheetId="9">'11'!$E$1:$Z$159</definedName>
    <definedName name="_xlnm.Print_Titles" localSheetId="10">'12'!$1:$1</definedName>
    <definedName name="_xlnm.Print_Area" localSheetId="10">'12'!$E$1:$Z$159</definedName>
    <definedName name="_xlnm.Print_Titles" localSheetId="11">'01'!$1:$1</definedName>
    <definedName name="_xlnm.Print_Area" localSheetId="11">'01'!$E$1:$Z$159</definedName>
    <definedName name="_xlnm.Print_Titles" localSheetId="12">'02'!$1:$1</definedName>
    <definedName name="_xlnm.Print_Area" localSheetId="12">'02'!$E$1:$Z$159</definedName>
    <definedName name="_xlnm.Print_Titles" localSheetId="13">'03'!$1:$1</definedName>
    <definedName name="_xlnm.Print_Area" localSheetId="13">'03'!$E$1:$Z$159</definedName>
    <definedName name="_xlnm.Print_Titles" localSheetId="14">'04'!$1:$1</definedName>
    <definedName name="_xlnm.Print_Area" localSheetId="14">'04'!$E$1:$Z$159</definedName>
    <definedName name="_xlnm.Print_Titles" localSheetId="15">'05'!$1:$1</definedName>
    <definedName name="_xlnm.Print_Area" localSheetId="15">'05'!$E$1:$Z$159</definedName>
    <definedName name="_xlnm.Print_Titles" localSheetId="16">'06'!$1:$1</definedName>
    <definedName name="_xlnm.Print_Area" localSheetId="16">'06'!$E$1:$Z$159</definedName>
    <definedName name="_xlnm.Print_Titles" localSheetId="17">'07'!$1:$1</definedName>
    <definedName name="_xlnm.Print_Area" localSheetId="17">'07'!$E$1:$Z$159</definedName>
    <definedName name="_xlnm.Print_Titles" localSheetId="18">'08'!$1:$1</definedName>
    <definedName name="_xlnm.Print_Area" localSheetId="18">'08'!$E$1:$Z$159</definedName>
  </definedNames>
  <calcPr calcId="191029" fullCalcOnLoad="1" refMode="R1C1"/>
</workbook>
</file>

<file path=xl/styles.xml><?xml version="1.0" encoding="utf-8"?>
<styleSheet xmlns="http://schemas.openxmlformats.org/spreadsheetml/2006/main">
  <numFmts count="16">
    <numFmt numFmtId="164" formatCode="#,##0.0#;[Red]\-#,##0.0#;"/>
    <numFmt numFmtId="165" formatCode="#,##0.0##;[Red]\-#,##0.0##;&quot;&quot;"/>
    <numFmt numFmtId="166" formatCode="&quot;расчет на &quot;@"/>
    <numFmt numFmtId="167" formatCode="0.0##&quot; часов на 1,0 ст.&quot;;[Red]\-0.0##&quot; часов на 1,0 ст.&quot;;"/>
    <numFmt numFmtId="168" formatCode="0.0#&quot; часов на 1,0 ст.&quot;;[Red]\-0.0#&quot; часов на 1,0 ст.&quot;;"/>
    <numFmt numFmtId="169" formatCode="&quot;Изменения/восстановления&quot;;&quot;&quot;;&quot;&quot;"/>
    <numFmt numFmtId="170" formatCode="&quot;* план утвержден&quot;;&quot;&quot;;&quot;&quot;"/>
    <numFmt numFmtId="171" formatCode="&quot;* факт утвержден&quot;;&quot;&quot;;&quot;&quot;"/>
    <numFmt numFmtId="172" formatCode="#,##0.0;[Red]\-#,##0.0"/>
    <numFmt numFmtId="173" formatCode="#,##0.0##;[Red]\-#,##0.0##;&quot;нет&quot;"/>
    <numFmt numFmtId="174" formatCode="#,##0.0;[Red]\-#,##0.0;&quot;нет&quot;"/>
    <numFmt numFmtId="175" formatCode="&quot;Совмещение&quot;;&quot;&quot;;&quot;&quot;"/>
    <numFmt numFmtId="176" formatCode="&quot;* план работы на учебный год утвержден &quot;dd/mm/yyyy"/>
    <numFmt numFmtId="177" formatCode="&quot;* отчет (факт) за осенний семестр утвержден &quot;dd/mm/yyyy"/>
    <numFmt numFmtId="178" formatCode="&quot;* отчет (факт) за весенний семестр утвержден &quot;dd/mm/yyyy"/>
    <numFmt numFmtId="179" formatCode="[Blue]\+#,##0.0##;[Red]\–#,##0.0##;&quot;&quot;"/>
  </numFmts>
  <fonts count="40">
    <font>
      <name val="Open Sans"/>
      <charset val="204"/>
      <sz val="9"/>
    </font>
    <font>
      <name val="Arial Cyr"/>
      <charset val="204"/>
      <sz val="10"/>
    </font>
    <font>
      <name val="Arial Cyr"/>
      <charset val="204"/>
      <color indexed="12"/>
      <sz val="10"/>
      <u val="single"/>
    </font>
    <font>
      <name val="Calibri"/>
      <charset val="204"/>
      <family val="2"/>
      <color indexed="8"/>
      <sz val="11"/>
    </font>
    <font>
      <name val="Calibri"/>
      <charset val="204"/>
      <family val="2"/>
      <color indexed="9"/>
      <sz val="11"/>
    </font>
    <font>
      <name val="Calibri"/>
      <charset val="204"/>
      <family val="2"/>
      <color indexed="62"/>
      <sz val="11"/>
    </font>
    <font>
      <name val="Calibri"/>
      <charset val="204"/>
      <family val="2"/>
      <b val="1"/>
      <color indexed="63"/>
      <sz val="11"/>
    </font>
    <font>
      <name val="Calibri"/>
      <charset val="204"/>
      <family val="2"/>
      <b val="1"/>
      <color indexed="52"/>
      <sz val="11"/>
    </font>
    <font>
      <name val="Calibri"/>
      <charset val="204"/>
      <family val="2"/>
      <b val="1"/>
      <color indexed="56"/>
      <sz val="15"/>
    </font>
    <font>
      <name val="Calibri"/>
      <charset val="204"/>
      <family val="2"/>
      <b val="1"/>
      <color indexed="56"/>
      <sz val="13"/>
    </font>
    <font>
      <name val="Calibri"/>
      <charset val="204"/>
      <family val="2"/>
      <b val="1"/>
      <color indexed="56"/>
      <sz val="11"/>
    </font>
    <font>
      <name val="Calibri"/>
      <charset val="204"/>
      <family val="2"/>
      <b val="1"/>
      <color indexed="8"/>
      <sz val="11"/>
    </font>
    <font>
      <name val="Calibri"/>
      <charset val="204"/>
      <family val="2"/>
      <b val="1"/>
      <color indexed="9"/>
      <sz val="11"/>
    </font>
    <font>
      <name val="Cambria"/>
      <charset val="204"/>
      <family val="2"/>
      <b val="1"/>
      <color indexed="56"/>
      <sz val="18"/>
    </font>
    <font>
      <name val="Calibri"/>
      <charset val="204"/>
      <family val="2"/>
      <color indexed="60"/>
      <sz val="11"/>
    </font>
    <font>
      <name val="Calibri"/>
      <charset val="204"/>
      <family val="2"/>
      <color indexed="20"/>
      <sz val="11"/>
    </font>
    <font>
      <name val="Calibri"/>
      <charset val="204"/>
      <family val="2"/>
      <i val="1"/>
      <color indexed="23"/>
      <sz val="11"/>
    </font>
    <font>
      <name val="Calibri"/>
      <charset val="204"/>
      <family val="2"/>
      <color indexed="52"/>
      <sz val="11"/>
    </font>
    <font>
      <name val="Calibri"/>
      <charset val="204"/>
      <family val="2"/>
      <color indexed="10"/>
      <sz val="11"/>
    </font>
    <font>
      <name val="Calibri"/>
      <charset val="204"/>
      <family val="2"/>
      <color indexed="17"/>
      <sz val="11"/>
    </font>
    <font>
      <name val="Tahoma"/>
      <charset val="204"/>
      <family val="2"/>
      <b val="1"/>
      <color indexed="81"/>
      <sz val="8"/>
    </font>
    <font>
      <name val="Tahoma"/>
      <charset val="204"/>
      <family val="2"/>
      <b val="1"/>
      <color indexed="81"/>
      <sz val="9"/>
    </font>
    <font>
      <name val="Arial Cyr"/>
      <charset val="204"/>
      <sz val="8"/>
    </font>
    <font>
      <name val="Open Sans"/>
      <charset val="204"/>
      <b val="1"/>
      <sz val="9"/>
    </font>
    <font>
      <name val="Open Sans"/>
      <charset val="204"/>
      <b val="1"/>
      <color indexed="10"/>
      <sz val="9"/>
    </font>
    <font>
      <name val="Open Sans"/>
      <charset val="204"/>
      <color indexed="10"/>
      <sz val="9"/>
    </font>
    <font>
      <name val="Open Sans"/>
      <charset val="204"/>
      <b val="1"/>
      <color indexed="13"/>
      <sz val="9"/>
    </font>
    <font>
      <name val="Open Sans"/>
      <charset val="204"/>
      <b val="1"/>
      <color indexed="12"/>
      <sz val="9"/>
    </font>
    <font>
      <name val="Open Sans"/>
      <charset val="204"/>
      <color indexed="12"/>
      <sz val="9"/>
    </font>
    <font>
      <name val="Open Sans"/>
      <charset val="204"/>
      <b val="1"/>
      <sz val="12"/>
    </font>
    <font>
      <name val="Open Sans"/>
      <charset val="204"/>
      <sz val="12"/>
    </font>
    <font>
      <name val="Open Sans"/>
      <charset val="204"/>
      <b val="1"/>
      <color rgb="FFFF0000"/>
      <sz val="9"/>
    </font>
    <font>
      <name val="Open Sans"/>
      <charset val="204"/>
      <i val="1"/>
      <sz val="9"/>
    </font>
    <font>
      <name val="Open Sans"/>
      <charset val="204"/>
      <color rgb="FF0000FF"/>
      <sz val="9"/>
      <u val="single"/>
    </font>
    <font>
      <name val="Open Sans"/>
      <charset val="204"/>
      <b val="1"/>
      <color rgb="FFFF0000"/>
      <sz val="9"/>
      <u val="single"/>
    </font>
    <font>
      <name val="Open Sans"/>
      <charset val="204"/>
      <i val="1"/>
      <color rgb="FF0000FF"/>
      <sz val="9"/>
    </font>
    <font>
      <name val="Open Sans"/>
      <charset val="204"/>
      <i val="1"/>
      <sz val="8"/>
    </font>
    <font>
      <name val="Open Sans"/>
      <charset val="204"/>
      <sz val="11"/>
    </font>
    <font>
      <name val="Open Sans"/>
      <charset val="204"/>
      <b val="1"/>
      <sz val="11"/>
    </font>
    <font>
      <name val="Open Sans"/>
      <charset val="204"/>
      <b val="1"/>
      <sz val="8"/>
    </font>
  </fonts>
  <fills count="33">
    <fill>
      <patternFill/>
    </fill>
    <fill>
      <patternFill patternType="gray125"/>
    </fill>
    <fill>
      <patternFill patternType="solid">
        <fgColor indexed="31"/>
      </patternFill>
    </fill>
    <fill>
      <patternFill patternType="solid">
        <fgColor indexed="27"/>
      </patternFill>
    </fill>
    <fill>
      <patternFill patternType="solid">
        <fgColor indexed="45"/>
      </patternFill>
    </fill>
    <fill>
      <patternFill patternType="solid">
        <fgColor indexed="47"/>
      </patternFill>
    </fill>
    <fill>
      <patternFill patternType="solid">
        <fgColor indexed="42"/>
      </patternFill>
    </fill>
    <fill>
      <patternFill patternType="solid">
        <fgColor indexed="46"/>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22"/>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7"/>
      </patternFill>
    </fill>
    <fill>
      <patternFill patternType="solid">
        <fgColor indexed="62"/>
      </patternFill>
    </fill>
    <fill>
      <patternFill patternType="solid">
        <fgColor indexed="10"/>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45"/>
        <bgColor indexed="64"/>
      </patternFill>
    </fill>
    <fill>
      <patternFill patternType="solid">
        <fgColor indexed="42"/>
        <bgColor indexed="64"/>
      </patternFill>
    </fill>
    <fill>
      <patternFill patternType="solid">
        <fgColor indexed="43"/>
        <bgColor indexed="64"/>
      </patternFill>
    </fill>
    <fill>
      <patternFill patternType="solid">
        <fgColor indexed="10"/>
        <bgColor indexed="64"/>
      </patternFill>
    </fill>
    <fill>
      <patternFill patternType="solid">
        <fgColor indexed="11"/>
        <bgColor indexed="64"/>
      </patternFill>
    </fill>
    <fill>
      <patternFill patternType="solid">
        <fgColor rgb="FFFFFF99"/>
        <bgColor indexed="64"/>
      </patternFill>
    </fill>
    <fill>
      <patternFill patternType="solid">
        <fgColor rgb="FFCCFFCC"/>
        <bgColor indexed="64"/>
      </patternFill>
    </fill>
  </fills>
  <borders count="136">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hair">
        <color indexed="64"/>
      </right>
      <top style="thin">
        <color indexed="64"/>
      </top>
      <bottom style="hair">
        <color indexed="64"/>
      </bottom>
      <diagonal/>
    </border>
    <border>
      <left style="hair">
        <color indexed="64"/>
      </left>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thin">
        <color indexed="64"/>
      </right>
      <top style="hair">
        <color indexed="64"/>
      </top>
      <bottom style="thin">
        <color indexed="64"/>
      </bottom>
      <diagonal/>
    </border>
    <border>
      <left/>
      <right style="thin">
        <color indexed="64"/>
      </right>
      <top style="hair">
        <color indexed="64"/>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right style="thin">
        <color indexed="64"/>
      </right>
      <top style="double">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double">
        <color indexed="64"/>
      </top>
      <bottom/>
      <diagonal/>
    </border>
    <border>
      <left style="hair">
        <color indexed="64"/>
      </left>
      <right/>
      <top style="thin">
        <color indexed="64"/>
      </top>
      <bottom style="double">
        <color indexed="64"/>
      </bottom>
      <diagonal/>
    </border>
    <border>
      <left/>
      <right style="hair">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hair">
        <color indexed="64"/>
      </right>
      <top style="double">
        <color indexed="64"/>
      </top>
      <bottom/>
      <diagonal/>
    </border>
    <border>
      <left style="thin">
        <color indexed="64"/>
      </left>
      <right/>
      <top/>
      <bottom style="double">
        <color indexed="64"/>
      </bottom>
      <diagonal/>
    </border>
    <border>
      <left/>
      <right style="hair">
        <color indexed="64"/>
      </right>
      <top/>
      <bottom style="double">
        <color indexed="64"/>
      </bottom>
      <diagonal/>
    </border>
    <border>
      <left style="thin">
        <color indexed="64"/>
      </left>
      <right style="hair">
        <color indexed="64"/>
      </right>
      <top style="double">
        <color indexed="64"/>
      </top>
      <bottom/>
      <diagonal/>
    </border>
    <border>
      <left style="thin">
        <color indexed="64"/>
      </left>
      <right style="hair">
        <color indexed="64"/>
      </right>
      <top/>
      <bottom style="double">
        <color indexed="64"/>
      </bottom>
      <diagonal/>
    </border>
    <border>
      <left style="thin">
        <color indexed="64"/>
      </left>
      <right style="hair">
        <color indexed="64"/>
      </right>
      <top style="double">
        <color indexed="64"/>
      </top>
      <bottom style="thin">
        <color indexed="64"/>
      </bottom>
      <diagonal/>
    </border>
    <border>
      <left style="thin">
        <color indexed="64"/>
      </left>
      <right style="thin">
        <color indexed="64"/>
      </right>
      <top/>
      <bottom style="double">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hair">
        <color indexed="64"/>
      </left>
      <right/>
      <top/>
      <bottom/>
      <diagonal/>
    </border>
    <border>
      <left style="hair">
        <color indexed="64"/>
      </left>
      <right style="hair">
        <color indexed="64"/>
      </right>
      <top/>
      <bottom/>
      <diagonal/>
    </border>
    <border>
      <left style="hair">
        <color indexed="64"/>
      </left>
      <right style="thin">
        <color indexed="64"/>
      </right>
      <top/>
      <bottom/>
      <diagonal/>
    </border>
    <border>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hair">
        <color indexed="64"/>
      </top>
      <bottom/>
      <diagonal/>
    </border>
    <border>
      <left/>
      <right style="thin">
        <color indexed="64"/>
      </right>
      <top style="hair">
        <color indexed="64"/>
      </top>
      <bottom/>
      <diagonal/>
    </border>
  </borders>
  <cellStyleXfs count="44">
    <xf numFmtId="0" fontId="0" fillId="0" borderId="0"/>
    <xf numFmtId="0" fontId="3" fillId="2" borderId="0"/>
    <xf numFmtId="0" fontId="3" fillId="4" borderId="0"/>
    <xf numFmtId="0" fontId="3" fillId="6" borderId="0"/>
    <xf numFmtId="0" fontId="3" fillId="7" borderId="0"/>
    <xf numFmtId="0" fontId="3" fillId="3" borderId="0"/>
    <xf numFmtId="0" fontId="3" fillId="5" borderId="0"/>
    <xf numFmtId="0" fontId="3" fillId="9" borderId="0"/>
    <xf numFmtId="0" fontId="3" fillId="10" borderId="0"/>
    <xf numFmtId="0" fontId="3" fillId="11" borderId="0"/>
    <xf numFmtId="0" fontId="3" fillId="7" borderId="0"/>
    <xf numFmtId="0" fontId="3" fillId="9" borderId="0"/>
    <xf numFmtId="0" fontId="3" fillId="14" borderId="0"/>
    <xf numFmtId="0" fontId="4" fillId="15" borderId="0"/>
    <xf numFmtId="0" fontId="4" fillId="10" borderId="0"/>
    <xf numFmtId="0" fontId="4" fillId="11" borderId="0"/>
    <xf numFmtId="0" fontId="4" fillId="16" borderId="0"/>
    <xf numFmtId="0" fontId="4" fillId="17" borderId="0"/>
    <xf numFmtId="0" fontId="4" fillId="18" borderId="0"/>
    <xf numFmtId="0" fontId="4" fillId="20" borderId="0"/>
    <xf numFmtId="0" fontId="4" fillId="21" borderId="0"/>
    <xf numFmtId="0" fontId="4" fillId="19" borderId="0"/>
    <xf numFmtId="0" fontId="4" fillId="16" borderId="0"/>
    <xf numFmtId="0" fontId="4" fillId="17" borderId="0"/>
    <xf numFmtId="0" fontId="4" fillId="22" borderId="0"/>
    <xf numFmtId="0" fontId="5" fillId="5" borderId="1"/>
    <xf numFmtId="0" fontId="6" fillId="12" borderId="2"/>
    <xf numFmtId="0" fontId="7" fillId="12" borderId="1"/>
    <xf numFmtId="0" fontId="2" fillId="0" borderId="0" applyAlignment="1" applyProtection="1">
      <alignment vertical="top"/>
      <protection locked="0" hidden="0"/>
    </xf>
    <xf numFmtId="0" fontId="8" fillId="0" borderId="3"/>
    <xf numFmtId="0" fontId="9" fillId="0" borderId="4"/>
    <xf numFmtId="0" fontId="10" fillId="0" borderId="5"/>
    <xf numFmtId="0" fontId="10" fillId="0" borderId="0"/>
    <xf numFmtId="0" fontId="11" fillId="0" borderId="6"/>
    <xf numFmtId="0" fontId="12" fillId="23" borderId="7"/>
    <xf numFmtId="0" fontId="13" fillId="0" borderId="0"/>
    <xf numFmtId="0" fontId="14" fillId="13" borderId="0"/>
    <xf numFmtId="0" fontId="1" fillId="0" borderId="0"/>
    <xf numFmtId="0" fontId="15" fillId="4" borderId="0"/>
    <xf numFmtId="0" fontId="16" fillId="0" borderId="0"/>
    <xf numFmtId="0" fontId="3" fillId="8" borderId="8"/>
    <xf numFmtId="0" fontId="17" fillId="0" borderId="9"/>
    <xf numFmtId="0" fontId="18" fillId="0" borderId="0"/>
    <xf numFmtId="0" fontId="19" fillId="6" borderId="0"/>
  </cellStyleXfs>
  <cellXfs count="549">
    <xf numFmtId="0" fontId="0" fillId="0" borderId="0" pivotButton="0" quotePrefix="0" xfId="0"/>
    <xf numFmtId="0" fontId="0" fillId="0" borderId="0" applyAlignment="1" applyProtection="1" pivotButton="0" quotePrefix="0" xfId="0">
      <alignment horizontal="left"/>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0" fillId="25" borderId="93" applyAlignment="1" applyProtection="1" pivotButton="0" quotePrefix="0" xfId="0">
      <alignment horizontal="center" vertical="center" textRotation="90" wrapText="1"/>
      <protection locked="1" hidden="1"/>
    </xf>
    <xf numFmtId="0" fontId="0" fillId="25" borderId="94" applyAlignment="1" applyProtection="1" pivotButton="0" quotePrefix="0" xfId="0">
      <alignment horizontal="center" vertical="center" textRotation="90" wrapText="1"/>
      <protection locked="1" hidden="1"/>
    </xf>
    <xf numFmtId="0" fontId="0" fillId="25" borderId="95" applyAlignment="1" applyProtection="1" pivotButton="0" quotePrefix="0" xfId="0">
      <alignment horizontal="center" vertical="center" textRotation="90" wrapText="1"/>
      <protection locked="1" hidden="1"/>
    </xf>
    <xf numFmtId="0" fontId="0" fillId="25" borderId="96" applyAlignment="1" applyProtection="1" pivotButton="0" quotePrefix="0" xfId="0">
      <alignment horizontal="center" vertical="center" textRotation="90" wrapText="1"/>
      <protection locked="1" hidden="1"/>
    </xf>
    <xf numFmtId="0" fontId="0" fillId="25" borderId="97" applyAlignment="1" applyProtection="1" pivotButton="0" quotePrefix="0" xfId="0">
      <alignment horizontal="center" vertical="center" textRotation="90" wrapText="1"/>
      <protection locked="1" hidden="1"/>
    </xf>
    <xf numFmtId="0" fontId="0" fillId="0" borderId="0" applyAlignment="1" applyProtection="1" pivotButton="0" quotePrefix="0" xfId="0">
      <alignment horizontal="center" vertical="center" wrapText="1"/>
      <protection locked="1" hidden="1"/>
    </xf>
    <xf numFmtId="0" fontId="0" fillId="25" borderId="98" applyAlignment="1" applyProtection="1" pivotButton="0" quotePrefix="0" xfId="0">
      <alignment horizontal="center" vertical="center"/>
      <protection locked="1" hidden="1"/>
    </xf>
    <xf numFmtId="0" fontId="0" fillId="25" borderId="99" applyAlignment="1" applyProtection="1" pivotButton="0" quotePrefix="0" xfId="0">
      <alignment horizontal="center" vertical="center"/>
      <protection locked="1" hidden="1"/>
    </xf>
    <xf numFmtId="0" fontId="0" fillId="25" borderId="100" applyAlignment="1" applyProtection="1" pivotButton="0" quotePrefix="0" xfId="0">
      <alignment horizontal="center" vertical="center"/>
      <protection locked="1" hidden="1"/>
    </xf>
    <xf numFmtId="0" fontId="0" fillId="25" borderId="70" applyAlignment="1" applyProtection="1" pivotButton="0" quotePrefix="0" xfId="0">
      <alignment horizontal="center" vertical="center"/>
      <protection locked="1" hidden="1"/>
    </xf>
    <xf numFmtId="164" fontId="0" fillId="25" borderId="103" applyAlignment="1" applyProtection="1" pivotButton="0" quotePrefix="0" xfId="0">
      <alignment horizontal="center" vertical="center" shrinkToFit="1"/>
      <protection locked="1" hidden="1"/>
    </xf>
    <xf numFmtId="164" fontId="0" fillId="25" borderId="39" applyAlignment="1" applyProtection="1" pivotButton="0" quotePrefix="0" xfId="0">
      <alignment horizontal="center" vertical="center" shrinkToFit="1"/>
      <protection locked="1" hidden="1"/>
    </xf>
    <xf numFmtId="164" fontId="0" fillId="25" borderId="21" applyAlignment="1" applyProtection="1" pivotButton="0" quotePrefix="0" xfId="0">
      <alignment horizontal="center" vertical="center" shrinkToFit="1"/>
      <protection locked="1" hidden="1"/>
    </xf>
    <xf numFmtId="0" fontId="0" fillId="25" borderId="104" applyAlignment="1" applyProtection="1" pivotButton="0" quotePrefix="0" xfId="0">
      <alignment horizontal="center" vertical="center" textRotation="90" wrapText="1"/>
      <protection locked="1" hidden="1"/>
    </xf>
    <xf numFmtId="0" fontId="0" fillId="0" borderId="0" applyAlignment="1" pivotButton="0" quotePrefix="0" xfId="0">
      <alignment vertical="top" wrapText="1"/>
    </xf>
    <xf numFmtId="165" fontId="0" fillId="0" borderId="82" applyAlignment="1" applyProtection="1" pivotButton="0" quotePrefix="0" xfId="0">
      <alignment horizontal="center" vertical="center" shrinkToFit="1"/>
      <protection locked="1" hidden="1"/>
    </xf>
    <xf numFmtId="165" fontId="0" fillId="0" borderId="83" applyAlignment="1" applyProtection="1" pivotButton="0" quotePrefix="0" xfId="0">
      <alignment horizontal="center" vertical="center" shrinkToFit="1"/>
      <protection locked="1" hidden="1"/>
    </xf>
    <xf numFmtId="165" fontId="0" fillId="0" borderId="84" applyAlignment="1" applyProtection="1" pivotButton="0" quotePrefix="0" xfId="0">
      <alignment horizontal="center" vertical="center" shrinkToFit="1"/>
      <protection locked="1" hidden="1"/>
    </xf>
    <xf numFmtId="165" fontId="0" fillId="0" borderId="85" applyAlignment="1" applyProtection="1" pivotButton="0" quotePrefix="0" xfId="0">
      <alignment horizontal="center" vertical="center" shrinkToFit="1"/>
      <protection locked="1" hidden="1"/>
    </xf>
    <xf numFmtId="165" fontId="0" fillId="0" borderId="86" applyAlignment="1" applyProtection="1" pivotButton="0" quotePrefix="0" xfId="0">
      <alignment horizontal="center" vertical="center" shrinkToFit="1"/>
      <protection locked="1" hidden="1"/>
    </xf>
    <xf numFmtId="165" fontId="0" fillId="0" borderId="87" applyAlignment="1" applyProtection="1" pivotButton="0" quotePrefix="0" xfId="0">
      <alignment horizontal="center" vertical="center" shrinkToFit="1"/>
      <protection locked="1" hidden="1"/>
    </xf>
    <xf numFmtId="165" fontId="0" fillId="27" borderId="87" applyAlignment="1" applyProtection="1" pivotButton="0" quotePrefix="0" xfId="0">
      <alignment horizontal="center" vertical="center" shrinkToFit="1"/>
      <protection locked="1" hidden="1"/>
    </xf>
    <xf numFmtId="165" fontId="0" fillId="0" borderId="29" applyAlignment="1" applyProtection="1" pivotButton="0" quotePrefix="0" xfId="0">
      <alignment horizontal="center" vertical="center" shrinkToFit="1"/>
      <protection locked="1" hidden="1"/>
    </xf>
    <xf numFmtId="165" fontId="0" fillId="0" borderId="31" applyAlignment="1" applyProtection="1" pivotButton="0" quotePrefix="0" xfId="0">
      <alignment horizontal="center" vertical="center" shrinkToFit="1"/>
      <protection locked="1" hidden="1"/>
    </xf>
    <xf numFmtId="165" fontId="0" fillId="0" borderId="25" applyAlignment="1" applyProtection="1" pivotButton="0" quotePrefix="0" xfId="0">
      <alignment horizontal="center" vertical="center" shrinkToFit="1"/>
      <protection locked="1" hidden="1"/>
    </xf>
    <xf numFmtId="165" fontId="0" fillId="0" borderId="33" applyAlignment="1" applyProtection="1" pivotButton="0" quotePrefix="0" xfId="0">
      <alignment horizontal="center" vertical="center" shrinkToFit="1"/>
      <protection locked="1" hidden="1"/>
    </xf>
    <xf numFmtId="165" fontId="0" fillId="0" borderId="32" applyAlignment="1" applyProtection="1" pivotButton="0" quotePrefix="0" xfId="0">
      <alignment horizontal="center" vertical="center" shrinkToFit="1"/>
      <protection locked="1" hidden="1"/>
    </xf>
    <xf numFmtId="165" fontId="0" fillId="0" borderId="24" applyAlignment="1" applyProtection="1" pivotButton="0" quotePrefix="0" xfId="0">
      <alignment horizontal="center" vertical="center" shrinkToFit="1"/>
      <protection locked="1" hidden="1"/>
    </xf>
    <xf numFmtId="165" fontId="0" fillId="27" borderId="24" applyAlignment="1" applyProtection="1" pivotButton="0" quotePrefix="0" xfId="0">
      <alignment horizontal="center" vertical="center" shrinkToFit="1"/>
      <protection locked="1" hidden="1"/>
    </xf>
    <xf numFmtId="165" fontId="0" fillId="0" borderId="27" applyAlignment="1" applyProtection="1" pivotButton="0" quotePrefix="0" xfId="0">
      <alignment horizontal="center" vertical="center" shrinkToFit="1"/>
      <protection locked="1" hidden="1"/>
    </xf>
    <xf numFmtId="165" fontId="0" fillId="0" borderId="101" applyAlignment="1" applyProtection="1" pivotButton="0" quotePrefix="0" xfId="0">
      <alignment horizontal="center" vertical="center" shrinkToFit="1"/>
      <protection locked="1" hidden="1"/>
    </xf>
    <xf numFmtId="165" fontId="0" fillId="0" borderId="28" applyAlignment="1" applyProtection="1" pivotButton="0" quotePrefix="0" xfId="0">
      <alignment horizontal="center" vertical="center" shrinkToFit="1"/>
      <protection locked="1" hidden="1"/>
    </xf>
    <xf numFmtId="165" fontId="0" fillId="0" borderId="51" applyAlignment="1" applyProtection="1" pivotButton="0" quotePrefix="0" xfId="0">
      <alignment horizontal="center" vertical="center" shrinkToFit="1"/>
      <protection locked="1" hidden="1"/>
    </xf>
    <xf numFmtId="165" fontId="0" fillId="0" borderId="102" applyAlignment="1" applyProtection="1" pivotButton="0" quotePrefix="0" xfId="0">
      <alignment horizontal="center" vertical="center" shrinkToFit="1"/>
      <protection locked="1" hidden="1"/>
    </xf>
    <xf numFmtId="165" fontId="0" fillId="0" borderId="16" applyAlignment="1" applyProtection="1" pivotButton="0" quotePrefix="0" xfId="0">
      <alignment horizontal="center" vertical="center" shrinkToFit="1"/>
      <protection locked="1" hidden="1"/>
    </xf>
    <xf numFmtId="165" fontId="0" fillId="27" borderId="16" applyAlignment="1" applyProtection="1" pivotButton="0" quotePrefix="0" xfId="0">
      <alignment horizontal="center" vertical="center" shrinkToFit="1"/>
      <protection locked="1" hidden="1"/>
    </xf>
    <xf numFmtId="165" fontId="0" fillId="27" borderId="82" applyAlignment="1" applyProtection="1" pivotButton="0" quotePrefix="0" xfId="0">
      <alignment horizontal="center" vertical="center" shrinkToFit="1"/>
      <protection locked="1" hidden="1"/>
    </xf>
    <xf numFmtId="165" fontId="0" fillId="27" borderId="83" applyAlignment="1" applyProtection="1" pivotButton="0" quotePrefix="0" xfId="0">
      <alignment horizontal="center" vertical="center" shrinkToFit="1"/>
      <protection locked="1" hidden="1"/>
    </xf>
    <xf numFmtId="165" fontId="0" fillId="27" borderId="84" applyAlignment="1" applyProtection="1" pivotButton="0" quotePrefix="0" xfId="0">
      <alignment horizontal="center" vertical="center" shrinkToFit="1"/>
      <protection locked="1" hidden="1"/>
    </xf>
    <xf numFmtId="165" fontId="0" fillId="27" borderId="85" applyAlignment="1" applyProtection="1" pivotButton="0" quotePrefix="0" xfId="0">
      <alignment horizontal="center" vertical="center" shrinkToFit="1"/>
      <protection locked="1" hidden="1"/>
    </xf>
    <xf numFmtId="165" fontId="0" fillId="27" borderId="86" applyAlignment="1" applyProtection="1" pivotButton="0" quotePrefix="0" xfId="0">
      <alignment horizontal="center" vertical="center" shrinkToFit="1"/>
      <protection locked="1" hidden="1"/>
    </xf>
    <xf numFmtId="165" fontId="0" fillId="27" borderId="29" applyAlignment="1" applyProtection="1" pivotButton="0" quotePrefix="0" xfId="0">
      <alignment horizontal="center" vertical="center" shrinkToFit="1"/>
      <protection locked="1" hidden="1"/>
    </xf>
    <xf numFmtId="165" fontId="0" fillId="27" borderId="31" applyAlignment="1" applyProtection="1" pivotButton="0" quotePrefix="0" xfId="0">
      <alignment horizontal="center" vertical="center" shrinkToFit="1"/>
      <protection locked="1" hidden="1"/>
    </xf>
    <xf numFmtId="165" fontId="0" fillId="27" borderId="25" applyAlignment="1" applyProtection="1" pivotButton="0" quotePrefix="0" xfId="0">
      <alignment horizontal="center" vertical="center" shrinkToFit="1"/>
      <protection locked="1" hidden="1"/>
    </xf>
    <xf numFmtId="165" fontId="0" fillId="27" borderId="33" applyAlignment="1" applyProtection="1" pivotButton="0" quotePrefix="0" xfId="0">
      <alignment horizontal="center" vertical="center" shrinkToFit="1"/>
      <protection locked="1" hidden="1"/>
    </xf>
    <xf numFmtId="165" fontId="0" fillId="27" borderId="32" applyAlignment="1" applyProtection="1" pivotButton="0" quotePrefix="0" xfId="0">
      <alignment horizontal="center" vertical="center" shrinkToFit="1"/>
      <protection locked="1" hidden="1"/>
    </xf>
    <xf numFmtId="165" fontId="0" fillId="27" borderId="71" applyAlignment="1" applyProtection="1" pivotButton="0" quotePrefix="0" xfId="0">
      <alignment horizontal="center" vertical="center" shrinkToFit="1"/>
      <protection locked="1" hidden="1"/>
    </xf>
    <xf numFmtId="165" fontId="0" fillId="27" borderId="88" applyAlignment="1" applyProtection="1" pivotButton="0" quotePrefix="0" xfId="0">
      <alignment horizontal="center" vertical="center" shrinkToFit="1"/>
      <protection locked="1" hidden="1"/>
    </xf>
    <xf numFmtId="165" fontId="0" fillId="27" borderId="89" applyAlignment="1" applyProtection="1" pivotButton="0" quotePrefix="0" xfId="0">
      <alignment horizontal="center" vertical="center" shrinkToFit="1"/>
      <protection locked="1" hidden="1"/>
    </xf>
    <xf numFmtId="165" fontId="0" fillId="27" borderId="90" applyAlignment="1" applyProtection="1" pivotButton="0" quotePrefix="0" xfId="0">
      <alignment horizontal="center" vertical="center" shrinkToFit="1"/>
      <protection locked="1" hidden="1"/>
    </xf>
    <xf numFmtId="165" fontId="0" fillId="27" borderId="91" applyAlignment="1" applyProtection="1" pivotButton="0" quotePrefix="0" xfId="0">
      <alignment horizontal="center" vertical="center" shrinkToFit="1"/>
      <protection locked="1" hidden="1"/>
    </xf>
    <xf numFmtId="165" fontId="0" fillId="27" borderId="92" applyAlignment="1" applyProtection="1" pivotButton="0" quotePrefix="0" xfId="0">
      <alignment horizontal="center" vertical="center" shrinkToFit="1"/>
      <protection locked="1" hidden="1"/>
    </xf>
    <xf numFmtId="165" fontId="0" fillId="27" borderId="67" applyAlignment="1" applyProtection="1" pivotButton="0" quotePrefix="0" xfId="0">
      <alignment horizontal="center" vertical="center" shrinkToFit="1"/>
      <protection locked="1" hidden="1"/>
    </xf>
    <xf numFmtId="0" fontId="0" fillId="0" borderId="0" applyAlignment="1" pivotButton="0" quotePrefix="0" xfId="0">
      <alignment horizontal="left" vertical="top" wrapText="1"/>
    </xf>
    <xf numFmtId="0" fontId="0" fillId="0" borderId="34" applyProtection="1" pivotButton="0" quotePrefix="0" xfId="0">
      <protection locked="1" hidden="1"/>
    </xf>
    <xf numFmtId="0" fontId="0" fillId="0" borderId="38" applyProtection="1" pivotButton="0" quotePrefix="0" xfId="0">
      <protection locked="1" hidden="1"/>
    </xf>
    <xf numFmtId="0" fontId="0" fillId="28" borderId="0" applyProtection="1" pivotButton="0" quotePrefix="0" xfId="0">
      <protection locked="1" hidden="1"/>
    </xf>
    <xf numFmtId="0" fontId="0" fillId="27" borderId="0" applyProtection="1" pivotButton="0" quotePrefix="0" xfId="0">
      <protection locked="1" hidden="1"/>
    </xf>
    <xf numFmtId="0" fontId="0" fillId="24" borderId="0" applyProtection="1" pivotButton="0" quotePrefix="0" xfId="0">
      <protection locked="1" hidden="1"/>
    </xf>
    <xf numFmtId="0" fontId="0" fillId="24" borderId="50" applyProtection="1" pivotButton="0" quotePrefix="0" xfId="0">
      <protection locked="1" hidden="1"/>
    </xf>
    <xf numFmtId="0" fontId="0" fillId="30" borderId="50" applyProtection="1" pivotButton="0" quotePrefix="0" xfId="0">
      <protection locked="1" hidden="1"/>
    </xf>
    <xf numFmtId="0" fontId="0" fillId="0" borderId="0" applyAlignment="1" applyProtection="1" pivotButton="0" quotePrefix="0" xfId="0">
      <alignment vertical="top"/>
      <protection locked="1" hidden="1"/>
    </xf>
    <xf numFmtId="0" fontId="0" fillId="24" borderId="0" applyAlignment="1" applyProtection="1" pivotButton="0" quotePrefix="0" xfId="0">
      <alignment vertical="top"/>
      <protection locked="1" hidden="1"/>
    </xf>
    <xf numFmtId="0" fontId="0" fillId="0" borderId="17" applyAlignment="1" applyProtection="1" pivotButton="0" quotePrefix="0" xfId="0">
      <alignment vertical="top"/>
      <protection locked="1" hidden="1"/>
    </xf>
    <xf numFmtId="0" fontId="0" fillId="0" borderId="14" applyAlignment="1" applyProtection="1" pivotButton="0" quotePrefix="0" xfId="0">
      <alignment vertical="top"/>
      <protection locked="1" hidden="1"/>
    </xf>
    <xf numFmtId="0" fontId="0" fillId="0" borderId="20" applyAlignment="1" applyProtection="1" pivotButton="0" quotePrefix="0" xfId="0">
      <alignment vertical="top"/>
      <protection locked="1" hidden="1"/>
    </xf>
    <xf numFmtId="0" fontId="0" fillId="25" borderId="17" applyAlignment="1" applyProtection="1" pivotButton="0" quotePrefix="0" xfId="0">
      <alignment vertical="top"/>
      <protection locked="1" hidden="1"/>
    </xf>
    <xf numFmtId="0" fontId="0" fillId="25" borderId="37" applyAlignment="1" applyProtection="1" pivotButton="0" quotePrefix="0" xfId="0">
      <alignment vertical="top"/>
      <protection locked="1" hidden="1"/>
    </xf>
    <xf numFmtId="0" fontId="0" fillId="0" borderId="34" applyAlignment="1" applyProtection="1" pivotButton="0" quotePrefix="0" xfId="0">
      <alignment vertical="top"/>
      <protection locked="1" hidden="1"/>
    </xf>
    <xf numFmtId="0" fontId="0" fillId="0" borderId="35" applyAlignment="1" applyProtection="1" pivotButton="0" quotePrefix="0" xfId="0">
      <alignment vertical="top"/>
      <protection locked="1" hidden="1"/>
    </xf>
    <xf numFmtId="0" fontId="0" fillId="0" borderId="21" applyAlignment="1" applyProtection="1" pivotButton="0" quotePrefix="0" xfId="0">
      <alignment vertical="top"/>
      <protection locked="1" hidden="1"/>
    </xf>
    <xf numFmtId="0" fontId="0" fillId="25" borderId="34" applyAlignment="1" applyProtection="1" pivotButton="0" quotePrefix="0" xfId="0">
      <alignment vertical="top"/>
      <protection locked="1" hidden="1"/>
    </xf>
    <xf numFmtId="0" fontId="0" fillId="25" borderId="36" applyAlignment="1" applyProtection="1" pivotButton="0" quotePrefix="0" xfId="0">
      <alignment vertical="top"/>
      <protection locked="1" hidden="1"/>
    </xf>
    <xf numFmtId="0" fontId="0" fillId="0" borderId="36" applyAlignment="1" applyProtection="1" pivotButton="0" quotePrefix="0" xfId="0">
      <alignment vertical="top" wrapText="1"/>
      <protection locked="1" hidden="1"/>
    </xf>
    <xf numFmtId="0" fontId="0" fillId="0" borderId="38" applyAlignment="1" applyProtection="1" pivotButton="0" quotePrefix="0" xfId="0">
      <alignment vertical="top"/>
      <protection locked="1" hidden="1"/>
    </xf>
    <xf numFmtId="0" fontId="0" fillId="0" borderId="39" applyAlignment="1" applyProtection="1" pivotButton="0" quotePrefix="0" xfId="0">
      <alignment vertical="top"/>
      <protection locked="1" hidden="1"/>
    </xf>
    <xf numFmtId="0" fontId="0" fillId="25" borderId="38" applyAlignment="1" applyProtection="1" pivotButton="0" quotePrefix="0" xfId="0">
      <alignment vertical="top"/>
      <protection locked="1" hidden="1"/>
    </xf>
    <xf numFmtId="0" fontId="0" fillId="25" borderId="40" applyAlignment="1" applyProtection="1" pivotButton="0" quotePrefix="0" xfId="0">
      <alignment vertical="top"/>
      <protection locked="1" hidden="1"/>
    </xf>
    <xf numFmtId="0" fontId="0" fillId="0" borderId="40" applyAlignment="1" applyProtection="1" pivotButton="0" quotePrefix="0" xfId="0">
      <alignment vertical="top" wrapText="1"/>
      <protection locked="1" hidden="1"/>
    </xf>
    <xf numFmtId="0" fontId="0" fillId="0" borderId="41" applyAlignment="1" applyProtection="1" pivotButton="0" quotePrefix="0" xfId="0">
      <alignment vertical="top"/>
      <protection locked="1" hidden="1"/>
    </xf>
    <xf numFmtId="0" fontId="0" fillId="0" borderId="10" applyAlignment="1" applyProtection="1" pivotButton="0" quotePrefix="0" xfId="0">
      <alignment vertical="top"/>
      <protection locked="1" hidden="1"/>
    </xf>
    <xf numFmtId="0" fontId="0" fillId="0" borderId="22" applyAlignment="1" applyProtection="1" pivotButton="0" quotePrefix="0" xfId="0">
      <alignment vertical="top"/>
      <protection locked="1" hidden="1"/>
    </xf>
    <xf numFmtId="0" fontId="0" fillId="25" borderId="41" applyAlignment="1" applyProtection="1" pivotButton="0" quotePrefix="0" xfId="0">
      <alignment vertical="top"/>
      <protection locked="1" hidden="1"/>
    </xf>
    <xf numFmtId="0" fontId="0" fillId="25" borderId="42" applyAlignment="1" applyProtection="1" pivotButton="0" quotePrefix="0" xfId="0">
      <alignment vertical="top"/>
      <protection locked="1" hidden="1"/>
    </xf>
    <xf numFmtId="0" fontId="0" fillId="0" borderId="42" applyAlignment="1" applyProtection="1" pivotButton="0" quotePrefix="0" xfId="0">
      <alignment vertical="top" wrapText="1"/>
      <protection locked="1" hidden="1"/>
    </xf>
    <xf numFmtId="0" fontId="0" fillId="28" borderId="50" applyAlignment="1" applyProtection="1" pivotButton="0" quotePrefix="0" xfId="0">
      <alignment vertical="top"/>
      <protection locked="1" hidden="1"/>
    </xf>
    <xf numFmtId="0" fontId="0" fillId="28" borderId="43" applyAlignment="1" applyProtection="1" pivotButton="0" quotePrefix="0" xfId="0">
      <alignment vertical="top"/>
      <protection locked="1" hidden="1"/>
    </xf>
    <xf numFmtId="0" fontId="0" fillId="28" borderId="44" applyAlignment="1" applyProtection="1" pivotButton="0" quotePrefix="0" xfId="0">
      <alignment vertical="top"/>
      <protection locked="1" hidden="1"/>
    </xf>
    <xf numFmtId="0" fontId="0" fillId="28" borderId="45" applyAlignment="1" applyProtection="1" pivotButton="0" quotePrefix="0" xfId="0">
      <alignment vertical="top"/>
      <protection locked="1" hidden="1"/>
    </xf>
    <xf numFmtId="0" fontId="0" fillId="28" borderId="46" applyAlignment="1" applyProtection="1" pivotButton="0" quotePrefix="0" xfId="0">
      <alignment vertical="top"/>
      <protection locked="1" hidden="1"/>
    </xf>
    <xf numFmtId="0" fontId="0" fillId="28" borderId="49" applyAlignment="1" applyProtection="1" pivotButton="0" quotePrefix="0" xfId="0">
      <alignment vertical="top"/>
      <protection locked="1" hidden="1"/>
    </xf>
    <xf numFmtId="0" fontId="0" fillId="25" borderId="21" applyAlignment="1" applyProtection="1" pivotButton="0" quotePrefix="0" xfId="0">
      <alignment vertical="top"/>
      <protection locked="1" hidden="1"/>
    </xf>
    <xf numFmtId="0" fontId="0" fillId="25" borderId="35" applyAlignment="1" applyProtection="1" pivotButton="0" quotePrefix="0" xfId="0">
      <alignment vertical="top"/>
      <protection locked="1" hidden="1"/>
    </xf>
    <xf numFmtId="0" fontId="0" fillId="25" borderId="39" applyAlignment="1" applyProtection="1" pivotButton="0" quotePrefix="0" xfId="0">
      <alignment vertical="top"/>
      <protection locked="1" hidden="1"/>
    </xf>
    <xf numFmtId="0" fontId="0" fillId="25" borderId="0" applyAlignment="1" applyProtection="1" pivotButton="0" quotePrefix="0" xfId="0">
      <alignment vertical="top"/>
      <protection locked="1" hidden="1"/>
    </xf>
    <xf numFmtId="0" fontId="0" fillId="25" borderId="10" applyAlignment="1" applyProtection="1" pivotButton="0" quotePrefix="0" xfId="0">
      <alignment vertical="top"/>
      <protection locked="1" hidden="1"/>
    </xf>
    <xf numFmtId="0" fontId="0" fillId="25" borderId="22" applyAlignment="1" applyProtection="1" pivotButton="0" quotePrefix="0" xfId="0">
      <alignment vertical="top"/>
      <protection locked="1" hidden="1"/>
    </xf>
    <xf numFmtId="0" fontId="0" fillId="25" borderId="20" applyAlignment="1" applyProtection="1" pivotButton="0" quotePrefix="0" xfId="0">
      <alignment vertical="top"/>
      <protection locked="1" hidden="1"/>
    </xf>
    <xf numFmtId="0" fontId="0" fillId="0" borderId="40" applyAlignment="1" applyProtection="1" pivotButton="0" quotePrefix="0" xfId="0">
      <alignment vertical="top"/>
      <protection locked="1" hidden="1"/>
    </xf>
    <xf numFmtId="0" fontId="0" fillId="0" borderId="42" applyAlignment="1" applyProtection="1" pivotButton="0" quotePrefix="0" xfId="0">
      <alignment vertical="top"/>
      <protection locked="1" hidden="1"/>
    </xf>
    <xf numFmtId="0" fontId="0" fillId="0" borderId="36" applyAlignment="1" applyProtection="1" pivotButton="0" quotePrefix="0" xfId="0">
      <alignment vertical="top"/>
      <protection locked="1" hidden="1"/>
    </xf>
    <xf numFmtId="0" fontId="0" fillId="25" borderId="20" applyAlignment="1" applyProtection="1" pivotButton="0" quotePrefix="0" xfId="0">
      <alignment horizontal="right" vertical="top"/>
      <protection locked="1" hidden="1"/>
    </xf>
    <xf numFmtId="0" fontId="23" fillId="25" borderId="34" applyAlignment="1" applyProtection="1" pivotButton="0" quotePrefix="0" xfId="0">
      <alignment vertical="top"/>
      <protection locked="1" hidden="1"/>
    </xf>
    <xf numFmtId="0" fontId="23" fillId="25" borderId="35" applyAlignment="1" applyProtection="1" pivotButton="0" quotePrefix="0" xfId="0">
      <alignment vertical="top"/>
      <protection locked="1" hidden="1"/>
    </xf>
    <xf numFmtId="0" fontId="23" fillId="25" borderId="21" applyAlignment="1" applyProtection="1" pivotButton="0" quotePrefix="0" xfId="0">
      <alignment vertical="top"/>
      <protection locked="1" hidden="1"/>
    </xf>
    <xf numFmtId="0" fontId="23" fillId="25" borderId="36" applyAlignment="1" applyProtection="1" pivotButton="0" quotePrefix="0" xfId="0">
      <alignment vertical="top"/>
      <protection locked="1" hidden="1"/>
    </xf>
    <xf numFmtId="0" fontId="24" fillId="24" borderId="0" applyAlignment="1" applyProtection="1" pivotButton="0" quotePrefix="0" xfId="0">
      <alignment vertical="top"/>
      <protection locked="1" hidden="1"/>
    </xf>
    <xf numFmtId="0" fontId="25" fillId="24" borderId="37" applyAlignment="1" applyProtection="1" pivotButton="0" quotePrefix="0" xfId="0">
      <alignment vertical="top" wrapText="1"/>
      <protection locked="1" hidden="1"/>
    </xf>
    <xf numFmtId="0" fontId="23" fillId="24" borderId="0" applyAlignment="1" applyProtection="1" pivotButton="0" quotePrefix="0" xfId="0">
      <alignment horizontal="left" vertical="top" indent="1"/>
      <protection locked="1" hidden="1"/>
    </xf>
    <xf numFmtId="0" fontId="26" fillId="29" borderId="47" applyAlignment="1" applyProtection="1" pivotButton="0" quotePrefix="0" xfId="0">
      <alignment horizontal="center" vertical="top"/>
      <protection locked="1" hidden="1"/>
    </xf>
    <xf numFmtId="0" fontId="27" fillId="24" borderId="48" applyAlignment="1" applyProtection="1" pivotButton="0" quotePrefix="0" xfId="0">
      <alignment horizontal="center" vertical="top"/>
      <protection locked="1" hidden="1"/>
    </xf>
    <xf numFmtId="0" fontId="27" fillId="24" borderId="49" applyAlignment="1" applyProtection="1" pivotButton="0" quotePrefix="0" xfId="0">
      <alignment horizontal="center" vertical="top"/>
      <protection locked="1" hidden="1"/>
    </xf>
    <xf numFmtId="0" fontId="28" fillId="0" borderId="0" applyAlignment="1" applyProtection="1" pivotButton="0" quotePrefix="1" xfId="0">
      <alignment vertical="top"/>
      <protection locked="1" hidden="1"/>
    </xf>
    <xf numFmtId="0" fontId="0" fillId="0" borderId="0" applyAlignment="1" pivotButton="0" quotePrefix="0" xfId="0">
      <alignment horizontal="center" vertical="top"/>
    </xf>
    <xf numFmtId="0" fontId="0" fillId="0" borderId="0" applyAlignment="1" pivotButton="0" quotePrefix="0" xfId="0">
      <alignment horizontal="left" vertical="top"/>
    </xf>
    <xf numFmtId="0" fontId="0" fillId="31" borderId="0" applyAlignment="1" pivotButton="0" quotePrefix="0" xfId="0">
      <alignment horizontal="left" vertical="top"/>
    </xf>
    <xf numFmtId="0" fontId="0" fillId="0" borderId="0" applyAlignment="1" pivotButton="0" quotePrefix="0" xfId="0">
      <alignment vertical="top"/>
    </xf>
    <xf numFmtId="0" fontId="23" fillId="31" borderId="0" applyAlignment="1" pivotButton="0" quotePrefix="0" xfId="0">
      <alignment vertical="top" wrapText="1"/>
    </xf>
    <xf numFmtId="0" fontId="36" fillId="0" borderId="0" applyAlignment="1" applyProtection="1" pivotButton="0" quotePrefix="0" xfId="0">
      <alignment horizontal="right"/>
      <protection locked="1" hidden="1"/>
    </xf>
    <xf numFmtId="0" fontId="0" fillId="0" borderId="0" applyAlignment="1" pivotButton="0" quotePrefix="0" xfId="0">
      <alignment vertical="center"/>
    </xf>
    <xf numFmtId="0" fontId="36" fillId="0" borderId="0" applyAlignment="1" applyProtection="1" pivotButton="0" quotePrefix="0" xfId="0">
      <alignment horizontal="right" vertical="top"/>
      <protection locked="1" hidden="1"/>
    </xf>
    <xf numFmtId="0" fontId="0" fillId="0" borderId="10" pivotButton="0" quotePrefix="0" xfId="0"/>
    <xf numFmtId="0" fontId="0" fillId="0" borderId="0" applyProtection="1" pivotButton="0" quotePrefix="0" xfId="0">
      <protection locked="0" hidden="0"/>
    </xf>
    <xf numFmtId="0" fontId="0" fillId="0" borderId="40" applyAlignment="1" pivotButton="0" quotePrefix="0" xfId="0">
      <alignment horizontal="center"/>
    </xf>
    <xf numFmtId="0" fontId="0" fillId="0" borderId="0" applyAlignment="1" pivotButton="0" quotePrefix="0" xfId="0">
      <alignment horizontal="center"/>
    </xf>
    <xf numFmtId="166" fontId="0" fillId="0" borderId="0" applyAlignment="1" applyProtection="1" pivotButton="0" quotePrefix="0" xfId="0">
      <alignment horizontal="right"/>
      <protection locked="0" hidden="0"/>
    </xf>
    <xf numFmtId="0" fontId="0" fillId="0" borderId="0" applyAlignment="1" pivotButton="0" quotePrefix="0" xfId="0">
      <alignment horizontal="right" indent="1"/>
    </xf>
    <xf numFmtId="165" fontId="0" fillId="0" borderId="36" applyAlignment="1" applyProtection="1" pivotButton="0" quotePrefix="0" xfId="0">
      <alignment horizontal="center" shrinkToFit="1"/>
      <protection locked="1" hidden="1"/>
    </xf>
    <xf numFmtId="165" fontId="0" fillId="0" borderId="34" applyAlignment="1" applyProtection="1" pivotButton="0" quotePrefix="0" xfId="0">
      <alignment horizontal="center" shrinkToFit="1"/>
      <protection locked="0" hidden="0"/>
    </xf>
    <xf numFmtId="167" fontId="0" fillId="0" borderId="0" applyAlignment="1" applyProtection="1" pivotButton="0" quotePrefix="0" xfId="0">
      <alignment horizontal="right"/>
      <protection locked="1" hidden="1"/>
    </xf>
    <xf numFmtId="165" fontId="0" fillId="0" borderId="40" applyAlignment="1" applyProtection="1" pivotButton="0" quotePrefix="0" xfId="0">
      <alignment horizontal="center" shrinkToFit="1"/>
      <protection locked="1" hidden="1"/>
    </xf>
    <xf numFmtId="165" fontId="0" fillId="0" borderId="38" applyAlignment="1" applyProtection="1" pivotButton="0" quotePrefix="0" xfId="0">
      <alignment horizontal="center" shrinkToFit="1"/>
      <protection locked="0" hidden="0"/>
    </xf>
    <xf numFmtId="168" fontId="0" fillId="0" borderId="0" applyAlignment="1" applyProtection="1" pivotButton="0" quotePrefix="0" xfId="0">
      <alignment horizontal="right"/>
      <protection locked="1" hidden="1"/>
    </xf>
    <xf numFmtId="165" fontId="0" fillId="0" borderId="42" applyAlignment="1" applyProtection="1" pivotButton="0" quotePrefix="0" xfId="0">
      <alignment horizontal="center" shrinkToFit="1"/>
      <protection locked="1" hidden="1"/>
    </xf>
    <xf numFmtId="165" fontId="0" fillId="0" borderId="41" applyAlignment="1" applyProtection="1" pivotButton="0" quotePrefix="0" xfId="0">
      <alignment horizontal="center" shrinkToFit="1"/>
      <protection locked="0" hidden="0"/>
    </xf>
    <xf numFmtId="165" fontId="0" fillId="0" borderId="0" applyAlignment="1" applyProtection="1" pivotButton="0" quotePrefix="0" xfId="0">
      <alignment horizontal="center" shrinkToFit="1"/>
      <protection locked="1" hidden="1"/>
    </xf>
    <xf numFmtId="165" fontId="0" fillId="0" borderId="34" applyAlignment="1" applyProtection="1" pivotButton="0" quotePrefix="0" xfId="0">
      <alignment horizontal="center" shrinkToFit="1"/>
      <protection locked="1" hidden="1"/>
    </xf>
    <xf numFmtId="49" fontId="0" fillId="0" borderId="0" applyAlignment="1" applyProtection="1" pivotButton="0" quotePrefix="0" xfId="0">
      <alignment horizontal="right" indent="1"/>
      <protection locked="0" hidden="0"/>
    </xf>
    <xf numFmtId="164" fontId="0" fillId="0" borderId="0" applyAlignment="1" applyProtection="1" pivotButton="0" quotePrefix="0" xfId="0">
      <alignment horizontal="center" shrinkToFit="1"/>
      <protection locked="1" hidden="1"/>
    </xf>
    <xf numFmtId="0" fontId="0" fillId="0" borderId="0" applyAlignment="1" pivotButton="0" quotePrefix="0" xfId="0">
      <alignment horizontal="left" indent="1"/>
    </xf>
    <xf numFmtId="169" fontId="36" fillId="0" borderId="0" applyAlignment="1" applyProtection="1" pivotButton="0" quotePrefix="0" xfId="0">
      <alignment horizontal="right"/>
      <protection locked="1" hidden="1"/>
    </xf>
    <xf numFmtId="14" fontId="36" fillId="0" borderId="0" applyAlignment="1" applyProtection="1" pivotButton="0" quotePrefix="0" xfId="0">
      <alignment horizontal="right"/>
      <protection locked="1" hidden="1"/>
    </xf>
    <xf numFmtId="0" fontId="0" fillId="0" borderId="0" applyAlignment="1" applyProtection="1" pivotButton="0" quotePrefix="0" xfId="0">
      <alignment horizontal="center" vertical="center"/>
      <protection locked="1" hidden="1"/>
    </xf>
    <xf numFmtId="0" fontId="0" fillId="26" borderId="0" applyAlignment="1" applyProtection="1" pivotButton="0" quotePrefix="0" xfId="0">
      <alignment horizontal="center" vertical="center" textRotation="90" wrapText="1"/>
      <protection locked="1" hidden="1"/>
    </xf>
    <xf numFmtId="0" fontId="0" fillId="26" borderId="40" applyAlignment="1" applyProtection="1" pivotButton="0" quotePrefix="0" xfId="0">
      <alignment horizontal="center" vertical="center" wrapText="1"/>
      <protection locked="1" hidden="1"/>
    </xf>
    <xf numFmtId="0" fontId="0" fillId="25" borderId="54" applyAlignment="1" applyProtection="1" pivotButton="0" quotePrefix="0" xfId="0">
      <alignment horizontal="center" vertical="center" textRotation="90" wrapText="1"/>
      <protection locked="1" hidden="1"/>
    </xf>
    <xf numFmtId="0" fontId="0" fillId="25" borderId="52" applyAlignment="1" applyProtection="1" pivotButton="0" quotePrefix="1" xfId="0">
      <alignment horizontal="center" vertical="center" wrapText="1"/>
      <protection locked="1" hidden="1"/>
    </xf>
    <xf numFmtId="170" fontId="0" fillId="25" borderId="21" applyAlignment="1" applyProtection="1" pivotButton="0" quotePrefix="0" xfId="0">
      <alignment horizontal="center" vertical="center" wrapText="1"/>
      <protection locked="1" hidden="1"/>
    </xf>
    <xf numFmtId="0" fontId="0" fillId="25" borderId="57" applyAlignment="1" applyProtection="1" pivotButton="0" quotePrefix="1" xfId="0">
      <alignment horizontal="center" vertical="center" wrapText="1"/>
      <protection locked="1" hidden="1"/>
    </xf>
    <xf numFmtId="171" fontId="0" fillId="25" borderId="22" applyAlignment="1" applyProtection="1" pivotButton="0" quotePrefix="0" xfId="0">
      <alignment horizontal="center" vertical="center" wrapText="1"/>
      <protection locked="1" hidden="1"/>
    </xf>
    <xf numFmtId="0" fontId="0" fillId="26" borderId="0" applyAlignment="1" applyProtection="1" pivotButton="0" quotePrefix="0" xfId="0">
      <alignment horizontal="center" vertical="center" shrinkToFit="1"/>
      <protection locked="1" hidden="1"/>
    </xf>
    <xf numFmtId="0" fontId="0" fillId="26" borderId="0" applyAlignment="1" applyProtection="1" pivotButton="0" quotePrefix="0" xfId="0">
      <alignment horizontal="left" vertical="center"/>
      <protection locked="1" hidden="1"/>
    </xf>
    <xf numFmtId="0" fontId="0" fillId="25" borderId="16" applyAlignment="1" applyProtection="1" pivotButton="0" quotePrefix="0" xfId="0">
      <alignment horizontal="center" vertical="center" wrapText="1"/>
      <protection locked="1" hidden="1"/>
    </xf>
    <xf numFmtId="0" fontId="0" fillId="27" borderId="27" applyAlignment="1" applyProtection="1" pivotButton="0" quotePrefix="0" xfId="0">
      <alignment horizontal="center" vertical="center" shrinkToFit="1"/>
      <protection locked="0" hidden="0"/>
    </xf>
    <xf numFmtId="0" fontId="0" fillId="27" borderId="102" applyAlignment="1" applyProtection="1" pivotButton="0" quotePrefix="0" xfId="0">
      <alignment horizontal="center" vertical="center" shrinkToFit="1"/>
      <protection locked="0" hidden="0"/>
    </xf>
    <xf numFmtId="165" fontId="0" fillId="0" borderId="27" applyAlignment="1" applyProtection="1" pivotButton="0" quotePrefix="0" xfId="0">
      <alignment horizontal="center" vertical="center" shrinkToFit="1"/>
      <protection locked="0" hidden="0"/>
    </xf>
    <xf numFmtId="165" fontId="0" fillId="0" borderId="101" applyAlignment="1" applyProtection="1" pivotButton="0" quotePrefix="0" xfId="0">
      <alignment horizontal="center" vertical="center" shrinkToFit="1"/>
      <protection locked="0" hidden="0"/>
    </xf>
    <xf numFmtId="165" fontId="0" fillId="0" borderId="28" applyAlignment="1" applyProtection="1" pivotButton="0" quotePrefix="0" xfId="0">
      <alignment horizontal="center" vertical="center" shrinkToFit="1"/>
      <protection locked="0" hidden="0"/>
    </xf>
    <xf numFmtId="165" fontId="0" fillId="0" borderId="102" applyAlignment="1" applyProtection="1" pivotButton="0" quotePrefix="0" xfId="0">
      <alignment horizontal="center" vertical="center" shrinkToFit="1"/>
      <protection locked="0" hidden="0"/>
    </xf>
    <xf numFmtId="0" fontId="0" fillId="26" borderId="0" applyAlignment="1" applyProtection="1" pivotButton="0" quotePrefix="0" xfId="0">
      <alignment horizontal="center" vertical="center" wrapText="1"/>
      <protection locked="1" hidden="1"/>
    </xf>
    <xf numFmtId="0" fontId="0" fillId="25" borderId="11" applyAlignment="1" applyProtection="1" pivotButton="0" quotePrefix="0" xfId="0">
      <alignment horizontal="center" vertical="center" wrapText="1"/>
      <protection locked="1" hidden="1"/>
    </xf>
    <xf numFmtId="0" fontId="0" fillId="27" borderId="30" applyAlignment="1" applyProtection="1" pivotButton="0" quotePrefix="0" xfId="0">
      <alignment horizontal="center" vertical="center" shrinkToFit="1"/>
      <protection locked="0" hidden="0"/>
    </xf>
    <xf numFmtId="0" fontId="0" fillId="25" borderId="17" applyAlignment="1" applyProtection="1" pivotButton="0" quotePrefix="0" xfId="0">
      <alignment horizontal="center" vertical="center" textRotation="90"/>
      <protection locked="1" hidden="1"/>
    </xf>
    <xf numFmtId="0" fontId="0" fillId="25" borderId="12" applyAlignment="1" applyProtection="1" pivotButton="0" quotePrefix="0" xfId="0">
      <alignment horizontal="center" vertical="center" wrapText="1"/>
      <protection locked="1" hidden="1"/>
    </xf>
    <xf numFmtId="0" fontId="0" fillId="25" borderId="13" applyAlignment="1" applyProtection="1" pivotButton="0" quotePrefix="0" xfId="0">
      <alignment horizontal="center" vertical="center" wrapText="1"/>
      <protection locked="1" hidden="1"/>
    </xf>
    <xf numFmtId="0" fontId="0" fillId="25" borderId="15" applyAlignment="1" applyProtection="1" pivotButton="0" quotePrefix="0" xfId="0">
      <alignment horizontal="center" vertical="center" textRotation="90" wrapText="1"/>
      <protection locked="1" hidden="1"/>
    </xf>
    <xf numFmtId="0" fontId="0" fillId="25" borderId="14" applyAlignment="1" applyProtection="1" pivotButton="0" quotePrefix="0" xfId="0">
      <alignment horizontal="center" vertical="center" textRotation="90" wrapText="1"/>
      <protection locked="1" hidden="1"/>
    </xf>
    <xf numFmtId="49" fontId="0" fillId="25" borderId="18" applyAlignment="1" applyProtection="1" pivotButton="0" quotePrefix="0" xfId="0">
      <alignment horizontal="center" vertical="center" textRotation="90" wrapText="1"/>
      <protection locked="1" hidden="1"/>
    </xf>
    <xf numFmtId="49" fontId="0" fillId="25" borderId="23" applyAlignment="1" applyProtection="1" pivotButton="0" quotePrefix="0" xfId="0">
      <alignment horizontal="right" vertical="center" wrapText="1" indent="1"/>
      <protection locked="1" hidden="1"/>
    </xf>
    <xf numFmtId="0" fontId="0" fillId="25" borderId="13" applyAlignment="1" applyProtection="1" pivotButton="0" quotePrefix="0" xfId="0">
      <alignment horizontal="center" vertical="center" textRotation="90" wrapText="1"/>
      <protection locked="1" hidden="1"/>
    </xf>
    <xf numFmtId="0" fontId="0" fillId="25" borderId="18" applyAlignment="1" applyProtection="1" pivotButton="0" quotePrefix="0" xfId="0">
      <alignment horizontal="center" vertical="center" textRotation="90" wrapText="1"/>
      <protection locked="1" hidden="1"/>
    </xf>
    <xf numFmtId="0" fontId="0" fillId="25" borderId="12" applyAlignment="1" applyProtection="1" pivotButton="0" quotePrefix="0" xfId="0">
      <alignment horizontal="center" vertical="center" textRotation="90" wrapText="1"/>
      <protection locked="1" hidden="1"/>
    </xf>
    <xf numFmtId="0" fontId="0" fillId="25" borderId="19" applyAlignment="1" applyProtection="1" pivotButton="0" quotePrefix="0" xfId="0">
      <alignment horizontal="center" vertical="center" textRotation="90" wrapText="1"/>
      <protection locked="1" hidden="1"/>
    </xf>
    <xf numFmtId="0" fontId="0" fillId="25" borderId="20" applyAlignment="1" applyProtection="1" pivotButton="0" quotePrefix="0" xfId="0">
      <alignment horizontal="center" vertical="center"/>
      <protection locked="1" hidden="1"/>
    </xf>
    <xf numFmtId="0" fontId="0" fillId="26" borderId="0" applyAlignment="1" applyProtection="1" pivotButton="0" quotePrefix="0" xfId="0">
      <alignment horizontal="center"/>
      <protection locked="1" hidden="1"/>
    </xf>
    <xf numFmtId="0" fontId="0" fillId="26" borderId="40" applyAlignment="1" applyProtection="1" pivotButton="0" quotePrefix="0" xfId="0">
      <alignment horizontal="left" vertical="center"/>
      <protection locked="1" hidden="1"/>
    </xf>
    <xf numFmtId="0" fontId="0" fillId="25" borderId="21" applyProtection="1" pivotButton="0" quotePrefix="0" xfId="0">
      <protection locked="1" hidden="1"/>
    </xf>
    <xf numFmtId="0" fontId="0" fillId="25" borderId="24" applyAlignment="1" applyProtection="1" pivotButton="0" quotePrefix="0" xfId="0">
      <alignment horizontal="left" vertical="center"/>
      <protection locked="1" hidden="1"/>
    </xf>
    <xf numFmtId="0" fontId="0" fillId="25" borderId="39" applyProtection="1" pivotButton="0" quotePrefix="0" xfId="0">
      <protection locked="1" hidden="1"/>
    </xf>
    <xf numFmtId="165" fontId="0" fillId="27" borderId="62" applyAlignment="1" applyProtection="1" pivotButton="0" quotePrefix="0" xfId="0">
      <alignment horizontal="center" vertical="center" shrinkToFit="1"/>
      <protection locked="1" hidden="1"/>
    </xf>
    <xf numFmtId="165" fontId="0" fillId="27" borderId="63" applyAlignment="1" applyProtection="1" pivotButton="0" quotePrefix="0" xfId="0">
      <alignment horizontal="center" vertical="center" shrinkToFit="1"/>
      <protection locked="1" hidden="1"/>
    </xf>
    <xf numFmtId="165" fontId="0" fillId="27" borderId="64" applyAlignment="1" applyProtection="1" pivotButton="0" quotePrefix="0" xfId="0">
      <alignment horizontal="center" vertical="center" shrinkToFit="1"/>
      <protection locked="1" hidden="1"/>
    </xf>
    <xf numFmtId="165" fontId="0" fillId="27" borderId="65" applyAlignment="1" applyProtection="1" pivotButton="0" quotePrefix="0" xfId="0">
      <alignment horizontal="center" vertical="center" shrinkToFit="1"/>
      <protection locked="1" hidden="1"/>
    </xf>
    <xf numFmtId="165" fontId="0" fillId="27" borderId="66" applyAlignment="1" applyProtection="1" pivotButton="0" quotePrefix="0" xfId="0">
      <alignment horizontal="center" vertical="center" shrinkToFit="1"/>
      <protection locked="1" hidden="1"/>
    </xf>
    <xf numFmtId="171" fontId="0" fillId="25" borderId="24" applyAlignment="1" applyProtection="1" pivotButton="0" quotePrefix="0" xfId="0">
      <alignment horizontal="left" vertical="center"/>
      <protection locked="1" hidden="1"/>
    </xf>
    <xf numFmtId="0" fontId="0" fillId="25" borderId="22" applyProtection="1" pivotButton="0" quotePrefix="0" xfId="0">
      <protection locked="1" hidden="1"/>
    </xf>
    <xf numFmtId="165" fontId="0" fillId="25" borderId="58" applyAlignment="1" applyProtection="1" pivotButton="0" quotePrefix="0" xfId="0">
      <alignment horizontal="center" vertical="center" shrinkToFit="1"/>
      <protection locked="1" hidden="1"/>
    </xf>
    <xf numFmtId="165" fontId="0" fillId="25" borderId="68" applyAlignment="1" applyProtection="1" pivotButton="0" quotePrefix="0" xfId="0">
      <alignment horizontal="center" vertical="center" shrinkToFit="1"/>
      <protection locked="1" hidden="1"/>
    </xf>
    <xf numFmtId="165" fontId="0" fillId="25" borderId="59" applyAlignment="1" applyProtection="1" pivotButton="0" quotePrefix="0" xfId="0">
      <alignment horizontal="center" vertical="center" shrinkToFit="1"/>
      <protection locked="1" hidden="1"/>
    </xf>
    <xf numFmtId="165" fontId="0" fillId="25" borderId="57" applyAlignment="1" applyProtection="1" pivotButton="0" quotePrefix="0" xfId="0">
      <alignment horizontal="center" vertical="center" shrinkToFit="1"/>
      <protection locked="1" hidden="1"/>
    </xf>
    <xf numFmtId="165" fontId="0" fillId="25" borderId="69" applyAlignment="1" applyProtection="1" pivotButton="0" quotePrefix="0" xfId="0">
      <alignment horizontal="center" vertical="center" shrinkToFit="1"/>
      <protection locked="1" hidden="1"/>
    </xf>
    <xf numFmtId="0" fontId="0" fillId="25" borderId="11" applyAlignment="1" applyProtection="1" pivotButton="0" quotePrefix="0" xfId="0">
      <alignment horizontal="left" vertical="center"/>
      <protection locked="1" hidden="1"/>
    </xf>
    <xf numFmtId="0" fontId="0" fillId="26" borderId="0" applyAlignment="1" applyProtection="1" pivotButton="0" quotePrefix="0" xfId="0">
      <alignment horizontal="center" vertical="center"/>
      <protection locked="1" hidden="1"/>
    </xf>
    <xf numFmtId="0" fontId="0" fillId="0" borderId="20" applyAlignment="1" applyProtection="1" pivotButton="0" quotePrefix="0" xfId="0">
      <alignment horizontal="center" vertical="center"/>
      <protection locked="0" hidden="0"/>
    </xf>
    <xf numFmtId="49" fontId="0" fillId="0" borderId="12" applyAlignment="1" applyProtection="1" pivotButton="0" quotePrefix="0" xfId="0">
      <alignment horizontal="left" vertical="center" wrapText="1"/>
      <protection locked="0" hidden="0"/>
    </xf>
    <xf numFmtId="49" fontId="0" fillId="0" borderId="18" applyAlignment="1" applyProtection="1" pivotButton="0" quotePrefix="0" xfId="0">
      <alignment horizontal="center" vertical="center"/>
      <protection locked="0" hidden="0"/>
    </xf>
    <xf numFmtId="49" fontId="0" fillId="0" borderId="15" applyAlignment="1" applyProtection="1" pivotButton="0" quotePrefix="0" xfId="0">
      <alignment horizontal="center" vertical="center" shrinkToFit="1"/>
      <protection locked="0" hidden="0"/>
    </xf>
    <xf numFmtId="0" fontId="0" fillId="0" borderId="13" applyAlignment="1" applyProtection="1" pivotButton="0" quotePrefix="0" xfId="0">
      <alignment horizontal="center" vertical="center"/>
      <protection locked="0" hidden="0"/>
    </xf>
    <xf numFmtId="49" fontId="0" fillId="0" borderId="20" applyAlignment="1" applyProtection="1" pivotButton="0" quotePrefix="0" xfId="0">
      <alignment horizontal="left" vertical="center" wrapText="1"/>
      <protection locked="0" hidden="0"/>
    </xf>
    <xf numFmtId="165" fontId="0" fillId="0" borderId="12" applyAlignment="1" applyProtection="1" pivotButton="0" quotePrefix="0" xfId="0">
      <alignment horizontal="center" vertical="center" shrinkToFit="1"/>
      <protection locked="0" hidden="0"/>
    </xf>
    <xf numFmtId="165" fontId="0" fillId="0" borderId="18" applyAlignment="1" applyProtection="1" pivotButton="0" quotePrefix="0" xfId="0">
      <alignment horizontal="center" vertical="center" shrinkToFit="1"/>
      <protection locked="0" hidden="0"/>
    </xf>
    <xf numFmtId="165" fontId="0" fillId="0" borderId="15" applyAlignment="1" applyProtection="1" pivotButton="0" quotePrefix="0" xfId="0">
      <alignment horizontal="center" vertical="center" shrinkToFit="1"/>
      <protection locked="0" hidden="0"/>
    </xf>
    <xf numFmtId="165" fontId="0" fillId="0" borderId="19" applyAlignment="1" applyProtection="1" pivotButton="0" quotePrefix="0" xfId="0">
      <alignment horizontal="center" vertical="center" shrinkToFit="1"/>
      <protection locked="0" hidden="0"/>
    </xf>
    <xf numFmtId="165" fontId="0" fillId="0" borderId="13" applyAlignment="1" applyProtection="1" pivotButton="0" quotePrefix="0" xfId="0">
      <alignment horizontal="center" vertical="center" shrinkToFit="1"/>
      <protection locked="0" hidden="0"/>
    </xf>
    <xf numFmtId="165" fontId="0" fillId="0" borderId="20" applyAlignment="1" applyProtection="1" pivotButton="0" quotePrefix="0" xfId="0">
      <alignment horizontal="center" vertical="center" shrinkToFit="1"/>
      <protection locked="0" hidden="0"/>
    </xf>
    <xf numFmtId="0" fontId="0" fillId="0" borderId="2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1" hidden="1"/>
    </xf>
    <xf numFmtId="49" fontId="0" fillId="0" borderId="0" applyAlignment="1" applyProtection="1" pivotButton="0" quotePrefix="0" xfId="0">
      <alignment horizontal="left" vertical="center"/>
      <protection locked="1" hidden="1"/>
    </xf>
    <xf numFmtId="49" fontId="0" fillId="0" borderId="0" applyAlignment="1" applyProtection="1" pivotButton="0" quotePrefix="0" xfId="0">
      <alignment horizontal="center" vertical="center"/>
      <protection locked="1" hidden="1"/>
    </xf>
    <xf numFmtId="0" fontId="0" fillId="24" borderId="0" applyAlignment="1" applyProtection="1" pivotButton="0" quotePrefix="0" xfId="0">
      <alignment horizontal="center"/>
      <protection locked="1" hidden="1"/>
    </xf>
    <xf numFmtId="0" fontId="23" fillId="0" borderId="0" applyProtection="1" pivotButton="0" quotePrefix="0" xfId="0">
      <protection locked="1" hidden="1"/>
    </xf>
    <xf numFmtId="0" fontId="0" fillId="25" borderId="20" applyAlignment="1" applyProtection="1" pivotButton="0" quotePrefix="0" xfId="0">
      <alignment horizontal="center" vertical="center" wrapText="1"/>
      <protection locked="1" hidden="1"/>
    </xf>
    <xf numFmtId="0" fontId="23" fillId="24" borderId="0" applyAlignment="1" applyProtection="1" pivotButton="0" quotePrefix="0" xfId="0">
      <alignment horizontal="left"/>
      <protection locked="1" hidden="1"/>
    </xf>
    <xf numFmtId="0" fontId="23" fillId="0" borderId="0" applyAlignment="1" applyProtection="1" pivotButton="0" quotePrefix="0" xfId="0">
      <alignment horizontal="center"/>
      <protection locked="1" hidden="1"/>
    </xf>
    <xf numFmtId="0" fontId="23" fillId="25" borderId="80" applyAlignment="1" applyProtection="1" pivotButton="0" quotePrefix="0" xfId="0">
      <alignment horizontal="center" vertical="center"/>
      <protection locked="1" hidden="1"/>
    </xf>
    <xf numFmtId="165" fontId="23" fillId="27" borderId="30" applyAlignment="1" applyProtection="1" pivotButton="0" quotePrefix="0" xfId="0">
      <alignment horizontal="center" vertical="center" shrinkToFit="1"/>
      <protection locked="1" hidden="1"/>
    </xf>
    <xf numFmtId="165" fontId="23" fillId="27" borderId="72" applyAlignment="1" applyProtection="1" pivotButton="0" quotePrefix="0" xfId="0">
      <alignment horizontal="center" vertical="center" shrinkToFit="1"/>
      <protection locked="1" hidden="1"/>
    </xf>
    <xf numFmtId="165" fontId="23" fillId="27" borderId="26" applyAlignment="1" applyProtection="1" pivotButton="0" quotePrefix="0" xfId="0">
      <alignment horizontal="center" vertical="center" shrinkToFit="1"/>
      <protection locked="1" hidden="1"/>
    </xf>
    <xf numFmtId="165" fontId="23" fillId="27" borderId="56" applyAlignment="1" applyProtection="1" pivotButton="0" quotePrefix="0" xfId="0">
      <alignment horizontal="center" vertical="center" shrinkToFit="1"/>
      <protection locked="1" hidden="1"/>
    </xf>
    <xf numFmtId="165" fontId="23" fillId="27" borderId="73" applyAlignment="1" applyProtection="1" pivotButton="0" quotePrefix="0" xfId="0">
      <alignment horizontal="center" vertical="center" shrinkToFit="1"/>
      <protection locked="1" hidden="1"/>
    </xf>
    <xf numFmtId="165" fontId="23" fillId="27" borderId="11" applyAlignment="1" applyProtection="1" pivotButton="0" quotePrefix="0" xfId="0">
      <alignment horizontal="center" vertical="center" shrinkToFit="1"/>
      <protection locked="1" hidden="1"/>
    </xf>
    <xf numFmtId="0" fontId="23" fillId="25" borderId="81" applyAlignment="1" applyProtection="1" pivotButton="0" quotePrefix="0" xfId="0">
      <alignment horizontal="center" vertical="center"/>
      <protection locked="1" hidden="1"/>
    </xf>
    <xf numFmtId="165" fontId="23" fillId="27" borderId="74" applyAlignment="1" applyProtection="1" pivotButton="0" quotePrefix="0" xfId="0">
      <alignment horizontal="center" vertical="center" shrinkToFit="1"/>
      <protection locked="1" hidden="1"/>
    </xf>
    <xf numFmtId="165" fontId="23" fillId="27" borderId="75" applyAlignment="1" applyProtection="1" pivotButton="0" quotePrefix="0" xfId="0">
      <alignment horizontal="center" vertical="center" shrinkToFit="1"/>
      <protection locked="1" hidden="1"/>
    </xf>
    <xf numFmtId="165" fontId="23" fillId="27" borderId="76" applyAlignment="1" applyProtection="1" pivotButton="0" quotePrefix="0" xfId="0">
      <alignment horizontal="center" vertical="center" shrinkToFit="1"/>
      <protection locked="1" hidden="1"/>
    </xf>
    <xf numFmtId="165" fontId="23" fillId="27" borderId="77" applyAlignment="1" applyProtection="1" pivotButton="0" quotePrefix="0" xfId="0">
      <alignment horizontal="center" vertical="center" shrinkToFit="1"/>
      <protection locked="1" hidden="1"/>
    </xf>
    <xf numFmtId="165" fontId="23" fillId="27" borderId="78" applyAlignment="1" applyProtection="1" pivotButton="0" quotePrefix="0" xfId="0">
      <alignment horizontal="center" vertical="center" shrinkToFit="1"/>
      <protection locked="1" hidden="1"/>
    </xf>
    <xf numFmtId="165" fontId="23" fillId="27" borderId="79" applyAlignment="1" applyProtection="1" pivotButton="0" quotePrefix="0" xfId="0">
      <alignment horizontal="center" vertical="center" shrinkToFit="1"/>
      <protection locked="1" hidden="1"/>
    </xf>
    <xf numFmtId="164" fontId="23" fillId="25" borderId="41" applyAlignment="1" applyProtection="1" pivotButton="0" quotePrefix="0" xfId="0">
      <alignment horizontal="center" vertical="center" shrinkToFit="1"/>
      <protection locked="1" hidden="1"/>
    </xf>
    <xf numFmtId="165" fontId="23" fillId="27" borderId="50" applyAlignment="1" applyProtection="1" pivotButton="0" quotePrefix="0" xfId="0">
      <alignment horizontal="center" vertical="center" shrinkToFit="1"/>
      <protection locked="1" hidden="1"/>
    </xf>
    <xf numFmtId="164" fontId="23" fillId="25" borderId="110" applyAlignment="1" applyProtection="1" pivotButton="0" quotePrefix="0" xfId="0">
      <alignment horizontal="center" vertical="center" shrinkToFit="1"/>
      <protection locked="1" hidden="1"/>
    </xf>
    <xf numFmtId="0" fontId="23" fillId="25" borderId="16" applyAlignment="1" applyProtection="1" pivotButton="0" quotePrefix="0" xfId="0">
      <alignment horizontal="center" vertical="center" wrapText="1"/>
      <protection locked="1" hidden="1"/>
    </xf>
    <xf numFmtId="0" fontId="23" fillId="25" borderId="53" applyAlignment="1" applyProtection="1" pivotButton="0" quotePrefix="0" xfId="0">
      <alignment horizontal="center" vertical="center" wrapText="1"/>
      <protection locked="1" hidden="1"/>
    </xf>
    <xf numFmtId="165" fontId="23" fillId="25" borderId="27" applyAlignment="1" applyProtection="1" pivotButton="0" quotePrefix="0" xfId="0">
      <alignment horizontal="center" vertical="center" shrinkToFit="1"/>
      <protection locked="1" hidden="1"/>
    </xf>
    <xf numFmtId="165" fontId="23" fillId="25" borderId="101" applyAlignment="1" applyProtection="1" pivotButton="0" quotePrefix="0" xfId="0">
      <alignment horizontal="center" vertical="center" shrinkToFit="1"/>
      <protection locked="1" hidden="1"/>
    </xf>
    <xf numFmtId="165" fontId="23" fillId="25" borderId="28" applyAlignment="1" applyProtection="1" pivotButton="0" quotePrefix="0" xfId="0">
      <alignment horizontal="center" vertical="center" shrinkToFit="1"/>
      <protection locked="1" hidden="1"/>
    </xf>
    <xf numFmtId="165" fontId="23" fillId="25" borderId="102" applyAlignment="1" applyProtection="1" pivotButton="0" quotePrefix="0" xfId="0">
      <alignment horizontal="center" vertical="center" shrinkToFit="1"/>
      <protection locked="1" hidden="1"/>
    </xf>
    <xf numFmtId="165" fontId="23" fillId="25" borderId="100" applyAlignment="1" applyProtection="1" pivotButton="0" quotePrefix="0" xfId="0">
      <alignment horizontal="center" vertical="center" shrinkToFit="1"/>
      <protection locked="1" hidden="1"/>
    </xf>
    <xf numFmtId="0" fontId="23" fillId="25" borderId="11" applyAlignment="1" applyProtection="1" pivotButton="0" quotePrefix="0" xfId="0">
      <alignment horizontal="center" vertical="center" wrapText="1"/>
      <protection locked="1" hidden="1"/>
    </xf>
    <xf numFmtId="0" fontId="23" fillId="25" borderId="58" applyAlignment="1" applyProtection="1" pivotButton="0" quotePrefix="0" xfId="0">
      <alignment horizontal="center" vertical="center" wrapText="1"/>
      <protection locked="1" hidden="1"/>
    </xf>
    <xf numFmtId="165" fontId="27" fillId="25" borderId="30" applyAlignment="1" applyProtection="1" pivotButton="0" quotePrefix="0" xfId="0">
      <alignment horizontal="center" vertical="center" shrinkToFit="1"/>
      <protection locked="1" hidden="1"/>
    </xf>
    <xf numFmtId="165" fontId="27" fillId="25" borderId="72" applyAlignment="1" applyProtection="1" pivotButton="0" quotePrefix="0" xfId="0">
      <alignment horizontal="center" vertical="center" shrinkToFit="1"/>
      <protection locked="1" hidden="1"/>
    </xf>
    <xf numFmtId="165" fontId="27" fillId="25" borderId="26" applyAlignment="1" applyProtection="1" pivotButton="0" quotePrefix="0" xfId="0">
      <alignment horizontal="center" vertical="center" shrinkToFit="1"/>
      <protection locked="1" hidden="1"/>
    </xf>
    <xf numFmtId="165" fontId="27" fillId="25" borderId="73" applyAlignment="1" applyProtection="1" pivotButton="0" quotePrefix="0" xfId="0">
      <alignment horizontal="center" vertical="center" shrinkToFit="1"/>
      <protection locked="1" hidden="1"/>
    </xf>
    <xf numFmtId="165" fontId="27" fillId="25" borderId="80" applyAlignment="1" applyProtection="1" pivotButton="0" quotePrefix="0" xfId="0">
      <alignment horizontal="center" vertical="center" shrinkToFit="1"/>
      <protection locked="1" hidden="1"/>
    </xf>
    <xf numFmtId="165" fontId="23" fillId="27" borderId="100" applyAlignment="1" applyProtection="1" pivotButton="0" quotePrefix="0" xfId="0">
      <alignment horizontal="center" vertical="center" shrinkToFit="1"/>
      <protection locked="1" hidden="1"/>
    </xf>
    <xf numFmtId="0" fontId="28" fillId="27" borderId="73" applyAlignment="1" applyProtection="1" pivotButton="0" quotePrefix="0" xfId="0">
      <alignment horizontal="center" vertical="center" shrinkToFit="1"/>
      <protection locked="0" hidden="0"/>
    </xf>
    <xf numFmtId="165" fontId="28" fillId="0" borderId="30" applyAlignment="1" applyProtection="1" pivotButton="0" quotePrefix="0" xfId="0">
      <alignment horizontal="center" vertical="center" shrinkToFit="1"/>
      <protection locked="1" hidden="1"/>
    </xf>
    <xf numFmtId="165" fontId="28" fillId="0" borderId="72" applyAlignment="1" applyProtection="1" pivotButton="0" quotePrefix="0" xfId="0">
      <alignment horizontal="center" vertical="center" shrinkToFit="1"/>
      <protection locked="1" hidden="1"/>
    </xf>
    <xf numFmtId="165" fontId="28" fillId="0" borderId="26" applyAlignment="1" applyProtection="1" pivotButton="0" quotePrefix="0" xfId="0">
      <alignment horizontal="center" vertical="center" shrinkToFit="1"/>
      <protection locked="1" hidden="1"/>
    </xf>
    <xf numFmtId="165" fontId="28" fillId="0" borderId="73" applyAlignment="1" applyProtection="1" pivotButton="0" quotePrefix="0" xfId="0">
      <alignment horizontal="center" vertical="center" shrinkToFit="1"/>
      <protection locked="1" hidden="1"/>
    </xf>
    <xf numFmtId="165" fontId="27" fillId="27" borderId="80" applyAlignment="1" applyProtection="1" pivotButton="0" quotePrefix="0" xfId="0">
      <alignment horizontal="center" vertical="center" shrinkToFit="1"/>
      <protection locked="1" hidden="1"/>
    </xf>
    <xf numFmtId="172" fontId="0" fillId="25" borderId="27" applyAlignment="1" applyProtection="1" pivotButton="0" quotePrefix="0" xfId="0">
      <alignment horizontal="center" vertical="center"/>
      <protection locked="1" hidden="1"/>
    </xf>
    <xf numFmtId="0" fontId="0" fillId="25" borderId="16" applyAlignment="1" applyProtection="1" pivotButton="0" quotePrefix="0" xfId="0">
      <alignment horizontal="center" vertical="center"/>
      <protection locked="1" hidden="1"/>
    </xf>
    <xf numFmtId="172" fontId="0" fillId="25" borderId="71" applyAlignment="1" applyProtection="1" pivotButton="0" quotePrefix="0" xfId="0">
      <alignment horizontal="center" vertical="center"/>
      <protection locked="1" hidden="1"/>
    </xf>
    <xf numFmtId="0" fontId="0" fillId="25" borderId="24" applyAlignment="1" applyProtection="1" pivotButton="0" quotePrefix="0" xfId="0">
      <alignment horizontal="center" vertical="center"/>
      <protection locked="1" hidden="1"/>
    </xf>
    <xf numFmtId="172" fontId="0" fillId="25" borderId="58" applyAlignment="1" applyProtection="1" pivotButton="0" quotePrefix="0" xfId="0">
      <alignment horizontal="center" vertical="center"/>
      <protection locked="1" hidden="1"/>
    </xf>
    <xf numFmtId="0" fontId="0" fillId="25" borderId="11" applyAlignment="1" applyProtection="1" pivotButton="0" quotePrefix="0" xfId="0">
      <alignment horizontal="center" vertical="center"/>
      <protection locked="1" hidden="1"/>
    </xf>
    <xf numFmtId="172" fontId="23" fillId="25" borderId="37" applyAlignment="1" applyProtection="1" pivotButton="0" quotePrefix="0" xfId="0">
      <alignment horizontal="center" vertical="center"/>
      <protection locked="1" hidden="1"/>
    </xf>
    <xf numFmtId="49" fontId="23" fillId="25" borderId="12" applyAlignment="1" applyProtection="1" pivotButton="0" quotePrefix="0" xfId="0">
      <alignment horizontal="center" vertical="center"/>
      <protection locked="1" hidden="1"/>
    </xf>
    <xf numFmtId="49" fontId="23" fillId="25" borderId="13" applyAlignment="1" applyProtection="1" pivotButton="0" quotePrefix="0" xfId="0">
      <alignment horizontal="center" vertical="center"/>
      <protection locked="1" hidden="1"/>
    </xf>
    <xf numFmtId="165" fontId="23" fillId="27" borderId="12" applyAlignment="1" applyProtection="1" pivotButton="0" quotePrefix="0" xfId="0">
      <alignment horizontal="center" vertical="center" shrinkToFit="1"/>
      <protection locked="1" hidden="1"/>
    </xf>
    <xf numFmtId="165" fontId="23" fillId="27" borderId="18" applyAlignment="1" applyProtection="1" pivotButton="0" quotePrefix="0" xfId="0">
      <alignment horizontal="center" vertical="center" shrinkToFit="1"/>
      <protection locked="1" hidden="1"/>
    </xf>
    <xf numFmtId="165" fontId="23" fillId="27" borderId="15" applyAlignment="1" applyProtection="1" pivotButton="0" quotePrefix="0" xfId="0">
      <alignment horizontal="center" vertical="center" shrinkToFit="1"/>
      <protection locked="1" hidden="1"/>
    </xf>
    <xf numFmtId="165" fontId="23" fillId="27" borderId="19" applyAlignment="1" applyProtection="1" pivotButton="0" quotePrefix="0" xfId="0">
      <alignment horizontal="center" vertical="center" shrinkToFit="1"/>
      <protection locked="1" hidden="1"/>
    </xf>
    <xf numFmtId="165" fontId="23" fillId="27" borderId="13" applyAlignment="1" applyProtection="1" pivotButton="0" quotePrefix="0" xfId="0">
      <alignment horizontal="center" vertical="center" shrinkToFit="1"/>
      <protection locked="1" hidden="1"/>
    </xf>
    <xf numFmtId="165" fontId="23" fillId="27" borderId="20" applyAlignment="1" applyProtection="1" pivotButton="0" quotePrefix="0" xfId="0">
      <alignment horizontal="center" vertical="center" shrinkToFit="1"/>
      <protection locked="1" hidden="1"/>
    </xf>
    <xf numFmtId="0" fontId="0" fillId="25" borderId="41" applyAlignment="1" applyProtection="1" pivotButton="0" quotePrefix="0" xfId="0">
      <alignment horizontal="right" vertical="center" indent="1"/>
      <protection locked="1" hidden="1"/>
    </xf>
    <xf numFmtId="173" fontId="0" fillId="25" borderId="69" applyAlignment="1" applyProtection="1" pivotButton="0" quotePrefix="0" xfId="0">
      <alignment horizontal="left" vertical="center"/>
      <protection locked="1" hidden="1"/>
    </xf>
    <xf numFmtId="174" fontId="0" fillId="25" borderId="59" applyAlignment="1" applyProtection="1" pivotButton="0" quotePrefix="0" xfId="0">
      <alignment horizontal="left" vertical="center"/>
      <protection locked="1" hidden="1"/>
    </xf>
    <xf numFmtId="0" fontId="0" fillId="25" borderId="12" applyAlignment="1" applyProtection="1" pivotButton="0" quotePrefix="0" xfId="0">
      <alignment horizontal="center" vertical="center"/>
      <protection locked="1" hidden="1"/>
    </xf>
    <xf numFmtId="0" fontId="0" fillId="25" borderId="13" applyAlignment="1" applyProtection="1" pivotButton="0" quotePrefix="0" xfId="0">
      <alignment horizontal="center" vertical="center"/>
      <protection locked="1" hidden="1"/>
    </xf>
    <xf numFmtId="172" fontId="0" fillId="25" borderId="70" applyAlignment="1" applyProtection="1" pivotButton="0" quotePrefix="0" xfId="0">
      <alignment horizontal="center" vertical="center"/>
      <protection locked="1" hidden="1"/>
    </xf>
    <xf numFmtId="172" fontId="0" fillId="25" borderId="40" applyAlignment="1" applyProtection="1" pivotButton="0" quotePrefix="0" xfId="0">
      <alignment horizontal="center" vertical="center"/>
      <protection locked="1" hidden="1"/>
    </xf>
    <xf numFmtId="0" fontId="23" fillId="25" borderId="0" applyProtection="1" pivotButton="0" quotePrefix="0" xfId="0">
      <protection locked="1" hidden="1"/>
    </xf>
    <xf numFmtId="0" fontId="24" fillId="24" borderId="0" applyProtection="1" pivotButton="0" quotePrefix="0" xfId="0">
      <protection locked="1" hidden="1"/>
    </xf>
    <xf numFmtId="0" fontId="0" fillId="25" borderId="20" applyAlignment="1" applyProtection="1" pivotButton="0" quotePrefix="0" xfId="0">
      <alignment horizontal="center" vertical="center" textRotation="90" wrapText="1"/>
      <protection locked="1" hidden="1"/>
    </xf>
    <xf numFmtId="0" fontId="0" fillId="25" borderId="37" applyAlignment="1" applyProtection="1" pivotButton="0" quotePrefix="0" xfId="0">
      <alignment horizontal="center" vertical="center" textRotation="90" wrapText="1"/>
      <protection locked="1" hidden="1"/>
    </xf>
    <xf numFmtId="0" fontId="23" fillId="25" borderId="37" applyAlignment="1" applyProtection="1" pivotButton="0" quotePrefix="0" xfId="0">
      <alignment horizontal="center" vertical="center" textRotation="90" wrapText="1"/>
      <protection locked="1" hidden="1"/>
    </xf>
    <xf numFmtId="0" fontId="0" fillId="0" borderId="0" applyAlignment="1" applyProtection="1" pivotButton="0" quotePrefix="0" xfId="0">
      <alignment vertical="center"/>
      <protection locked="0" hidden="1"/>
    </xf>
    <xf numFmtId="0" fontId="23" fillId="0" borderId="120" applyAlignment="1" applyProtection="1" pivotButton="0" quotePrefix="0" xfId="0">
      <alignment horizontal="center" vertical="top"/>
      <protection locked="1" hidden="1"/>
    </xf>
    <xf numFmtId="0" fontId="23" fillId="0" borderId="121" applyAlignment="1" applyProtection="1" pivotButton="0" quotePrefix="0" xfId="0">
      <alignment horizontal="center" vertical="top"/>
      <protection locked="1" hidden="1"/>
    </xf>
    <xf numFmtId="0" fontId="0" fillId="31" borderId="119" applyAlignment="1" applyProtection="1" pivotButton="0" quotePrefix="0" xfId="0">
      <alignment horizontal="center" vertical="top"/>
      <protection locked="1" hidden="1"/>
    </xf>
    <xf numFmtId="0" fontId="0" fillId="31" borderId="122" applyAlignment="1" applyProtection="1" pivotButton="0" quotePrefix="0" xfId="0">
      <alignment horizontal="center" vertical="top"/>
      <protection locked="1" hidden="1"/>
    </xf>
    <xf numFmtId="0" fontId="0" fillId="31" borderId="123" applyAlignment="1" applyProtection="1" pivotButton="0" quotePrefix="0" xfId="0">
      <alignment horizontal="center" vertical="top"/>
      <protection locked="1" hidden="1"/>
    </xf>
    <xf numFmtId="0" fontId="0" fillId="31" borderId="124" applyAlignment="1" applyProtection="1" pivotButton="0" quotePrefix="0" xfId="0">
      <alignment horizontal="center" vertical="top"/>
      <protection locked="1" hidden="1"/>
    </xf>
    <xf numFmtId="0" fontId="29" fillId="32" borderId="0" applyAlignment="1" pivotButton="0" quotePrefix="0" xfId="0">
      <alignment horizontal="center" vertical="top" wrapText="1"/>
    </xf>
    <xf numFmtId="0" fontId="30" fillId="32" borderId="0" applyAlignment="1" pivotButton="0" quotePrefix="0" xfId="0">
      <alignment horizontal="center" vertical="top" wrapText="1"/>
    </xf>
    <xf numFmtId="0" fontId="0" fillId="0" borderId="0" applyAlignment="1" pivotButton="0" quotePrefix="0" xfId="0">
      <alignment horizontal="left" vertical="top" wrapText="1"/>
    </xf>
    <xf numFmtId="0" fontId="0" fillId="31" borderId="0" applyAlignment="1" pivotButton="0" quotePrefix="0" xfId="28">
      <alignment horizontal="left" vertical="top" wrapText="1"/>
    </xf>
    <xf numFmtId="0" fontId="0" fillId="0" borderId="0" applyProtection="1" pivotButton="0" quotePrefix="0" xfId="0">
      <protection locked="0" hidden="0"/>
    </xf>
    <xf numFmtId="175" fontId="0" fillId="0" borderId="0" applyAlignment="1" applyProtection="1" pivotButton="0" quotePrefix="0" xfId="0">
      <alignment horizontal="right" indent="1"/>
      <protection locked="1" hidden="1"/>
    </xf>
    <xf numFmtId="0" fontId="0" fillId="0" borderId="0" pivotButton="0" quotePrefix="0" xfId="0"/>
    <xf numFmtId="0" fontId="38" fillId="0" borderId="0" applyAlignment="1" pivotButton="0" quotePrefix="0" xfId="0">
      <alignment horizontal="center"/>
    </xf>
    <xf numFmtId="0" fontId="39" fillId="0" borderId="0" applyAlignment="1" pivotButton="0" quotePrefix="0" xfId="0">
      <alignment horizontal="center" wrapText="1"/>
    </xf>
    <xf numFmtId="0" fontId="39" fillId="0" borderId="0" applyAlignment="1" pivotButton="0" quotePrefix="0" xfId="0">
      <alignment horizontal="center"/>
    </xf>
    <xf numFmtId="0" fontId="29" fillId="0" borderId="0" applyAlignment="1" pivotButton="0" quotePrefix="0" xfId="0">
      <alignment horizontal="center" vertical="center" wrapText="1"/>
    </xf>
    <xf numFmtId="0" fontId="37" fillId="0" borderId="0" applyAlignment="1" pivotButton="0" quotePrefix="0" xfId="0">
      <alignment horizontal="center" vertical="center" wrapText="1"/>
    </xf>
    <xf numFmtId="176" fontId="0" fillId="0" borderId="0" applyAlignment="1" applyProtection="1" pivotButton="0" quotePrefix="0" xfId="0">
      <alignment horizontal="left" indent="3"/>
      <protection locked="1" hidden="1"/>
    </xf>
    <xf numFmtId="177" fontId="0" fillId="0" borderId="0" applyAlignment="1" applyProtection="1" pivotButton="0" quotePrefix="0" xfId="0">
      <alignment horizontal="left" indent="3"/>
      <protection locked="1" hidden="1"/>
    </xf>
    <xf numFmtId="178" fontId="0" fillId="0" borderId="0" applyAlignment="1" applyProtection="1" pivotButton="0" quotePrefix="0" xfId="0">
      <alignment horizontal="left" indent="3"/>
      <protection locked="1" hidden="1"/>
    </xf>
    <xf numFmtId="0" fontId="38" fillId="0" borderId="0" applyAlignment="1" applyProtection="1" pivotButton="0" quotePrefix="0" xfId="0">
      <alignment horizontal="center"/>
      <protection locked="1" hidden="1"/>
    </xf>
    <xf numFmtId="0" fontId="0" fillId="0" borderId="61" applyAlignment="1" applyProtection="1" pivotButton="0" quotePrefix="0" xfId="0">
      <alignment horizontal="center" vertical="center" wrapText="1"/>
      <protection locked="0" hidden="0"/>
    </xf>
    <xf numFmtId="0" fontId="0" fillId="0" borderId="68" applyAlignment="1" applyProtection="1" pivotButton="0" quotePrefix="0" xfId="0">
      <alignment horizontal="center" vertical="center" wrapText="1"/>
      <protection locked="0" hidden="0"/>
    </xf>
    <xf numFmtId="0" fontId="0" fillId="0" borderId="54" applyAlignment="1" applyProtection="1" pivotButton="0" quotePrefix="0" xfId="0">
      <alignment horizontal="center" vertical="center" shrinkToFit="1"/>
      <protection locked="0" hidden="0"/>
    </xf>
    <xf numFmtId="0" fontId="0" fillId="0" borderId="59" applyAlignment="1" applyProtection="1" pivotButton="0" quotePrefix="0" xfId="0">
      <alignment horizontal="center" vertical="center" shrinkToFit="1"/>
      <protection locked="0" hidden="0"/>
    </xf>
    <xf numFmtId="179" fontId="25" fillId="27" borderId="21" applyAlignment="1" applyProtection="1" pivotButton="0" quotePrefix="0" xfId="0">
      <alignment horizontal="center" vertical="center" shrinkToFit="1"/>
      <protection locked="1" hidden="1"/>
    </xf>
    <xf numFmtId="179" fontId="25" fillId="27" borderId="22" applyAlignment="1" applyProtection="1" pivotButton="0" quotePrefix="0" xfId="0">
      <alignment horizontal="center" vertical="center" shrinkToFit="1"/>
      <protection locked="1" hidden="1"/>
    </xf>
    <xf numFmtId="0" fontId="0" fillId="0" borderId="21" applyAlignment="1" applyProtection="1" pivotButton="0" quotePrefix="0" xfId="0">
      <alignment horizontal="left" vertical="center" wrapText="1"/>
      <protection locked="0" hidden="0"/>
    </xf>
    <xf numFmtId="0" fontId="0" fillId="0" borderId="22" applyAlignment="1" applyProtection="1" pivotButton="0" quotePrefix="0" xfId="0">
      <alignment horizontal="left" vertical="center" wrapText="1"/>
      <protection locked="0" hidden="0"/>
    </xf>
    <xf numFmtId="0" fontId="0" fillId="0" borderId="53" applyAlignment="1" applyProtection="1" pivotButton="0" quotePrefix="0" xfId="0">
      <alignment horizontal="left" vertical="center" wrapText="1"/>
      <protection locked="0" hidden="0"/>
    </xf>
    <xf numFmtId="0" fontId="0" fillId="0" borderId="58" applyAlignment="1" applyProtection="1" pivotButton="0" quotePrefix="0" xfId="0">
      <alignment horizontal="left" vertical="center" wrapText="1"/>
      <protection locked="0" hidden="0"/>
    </xf>
    <xf numFmtId="0" fontId="23" fillId="28" borderId="17" applyAlignment="1" applyProtection="1" pivotButton="0" quotePrefix="0" xfId="0">
      <alignment horizontal="center" vertical="center" wrapText="1"/>
      <protection locked="1" hidden="1"/>
    </xf>
    <xf numFmtId="0" fontId="0" fillId="28" borderId="14" applyAlignment="1" applyProtection="1" pivotButton="0" quotePrefix="0" xfId="0">
      <alignment horizontal="center" vertical="center" wrapText="1"/>
      <protection locked="1" hidden="1"/>
    </xf>
    <xf numFmtId="0" fontId="0" fillId="28" borderId="37" applyAlignment="1" applyProtection="1" pivotButton="0" quotePrefix="0" xfId="0">
      <alignment horizontal="center" vertical="center" wrapText="1"/>
      <protection locked="1" hidden="1"/>
    </xf>
    <xf numFmtId="0" fontId="23" fillId="27" borderId="17" applyAlignment="1" applyProtection="1" pivotButton="0" quotePrefix="0" xfId="0">
      <alignment horizontal="center" vertical="center" wrapText="1"/>
      <protection locked="1" hidden="1"/>
    </xf>
    <xf numFmtId="0" fontId="23" fillId="27" borderId="14" applyAlignment="1" applyProtection="1" pivotButton="0" quotePrefix="0" xfId="0">
      <alignment horizontal="center" vertical="center" wrapText="1"/>
      <protection locked="1" hidden="1"/>
    </xf>
    <xf numFmtId="179" fontId="25" fillId="25" borderId="20" applyAlignment="1" applyProtection="1" pivotButton="0" quotePrefix="0" xfId="0">
      <alignment horizontal="center" vertical="center" shrinkToFit="1"/>
      <protection locked="1" hidden="1"/>
    </xf>
    <xf numFmtId="0" fontId="23" fillId="25" borderId="34" applyAlignment="1" applyProtection="1" pivotButton="0" quotePrefix="0" xfId="0">
      <alignment horizontal="center" vertical="center" wrapText="1"/>
      <protection locked="1" hidden="1"/>
    </xf>
    <xf numFmtId="0" fontId="23" fillId="25" borderId="35" applyAlignment="1" applyProtection="1" pivotButton="0" quotePrefix="0" xfId="0">
      <alignment horizontal="center" vertical="center" wrapText="1"/>
      <protection locked="1" hidden="1"/>
    </xf>
    <xf numFmtId="0" fontId="23" fillId="25" borderId="36" applyAlignment="1" applyProtection="1" pivotButton="0" quotePrefix="0" xfId="0">
      <alignment horizontal="center" vertical="center" wrapText="1"/>
      <protection locked="1" hidden="1"/>
    </xf>
    <xf numFmtId="0" fontId="23" fillId="25" borderId="41" applyAlignment="1" applyProtection="1" pivotButton="0" quotePrefix="0" xfId="0">
      <alignment horizontal="center" vertical="center" wrapText="1"/>
      <protection locked="1" hidden="1"/>
    </xf>
    <xf numFmtId="0" fontId="23" fillId="25" borderId="10" applyAlignment="1" applyProtection="1" pivotButton="0" quotePrefix="0" xfId="0">
      <alignment horizontal="center" vertical="center" wrapText="1"/>
      <protection locked="1" hidden="1"/>
    </xf>
    <xf numFmtId="0" fontId="23" fillId="25" borderId="42" applyAlignment="1" applyProtection="1" pivotButton="0" quotePrefix="0" xfId="0">
      <alignment horizontal="center" vertical="center" wrapText="1"/>
      <protection locked="1" hidden="1"/>
    </xf>
    <xf numFmtId="0" fontId="23" fillId="25" borderId="114" applyAlignment="1" applyProtection="1" pivotButton="0" quotePrefix="0" xfId="0">
      <alignment horizontal="center" vertical="center" textRotation="90"/>
      <protection locked="1" hidden="1"/>
    </xf>
    <xf numFmtId="0" fontId="23" fillId="25" borderId="12" applyAlignment="1" applyProtection="1" pivotButton="0" quotePrefix="0" xfId="0">
      <alignment horizontal="center" vertical="center" textRotation="90"/>
      <protection locked="1" hidden="1"/>
    </xf>
    <xf numFmtId="0" fontId="23" fillId="25" borderId="112" applyAlignment="1" applyProtection="1" pivotButton="0" quotePrefix="0" xfId="0">
      <alignment horizontal="center" vertical="center" wrapText="1"/>
      <protection locked="1" hidden="1"/>
    </xf>
    <xf numFmtId="0" fontId="23" fillId="25" borderId="55" applyAlignment="1" applyProtection="1" pivotButton="0" quotePrefix="0" xfId="0">
      <alignment horizontal="center" vertical="center" wrapText="1"/>
      <protection locked="1" hidden="1"/>
    </xf>
    <xf numFmtId="0" fontId="23" fillId="25" borderId="113" applyAlignment="1" applyProtection="1" pivotButton="0" quotePrefix="0" xfId="0">
      <alignment horizontal="center" vertical="center" wrapText="1"/>
      <protection locked="1" hidden="1"/>
    </xf>
    <xf numFmtId="0" fontId="23" fillId="25" borderId="97" applyAlignment="1" applyProtection="1" pivotButton="0" quotePrefix="0" xfId="0">
      <alignment horizontal="center" vertical="center" textRotation="90"/>
      <protection locked="1" hidden="1"/>
    </xf>
    <xf numFmtId="0" fontId="23" fillId="25" borderId="108" applyAlignment="1" applyProtection="1" pivotButton="0" quotePrefix="0" xfId="0">
      <alignment horizontal="center" vertical="center" wrapText="1"/>
      <protection locked="1" hidden="1"/>
    </xf>
    <xf numFmtId="0" fontId="23" fillId="25" borderId="38" applyAlignment="1" applyProtection="1" pivotButton="0" quotePrefix="0" xfId="0">
      <alignment horizontal="center" vertical="center" wrapText="1"/>
      <protection locked="1" hidden="1"/>
    </xf>
    <xf numFmtId="0" fontId="23" fillId="25" borderId="110" applyAlignment="1" applyProtection="1" pivotButton="0" quotePrefix="0" xfId="0">
      <alignment horizontal="center" vertical="center" wrapText="1"/>
      <protection locked="1" hidden="1"/>
    </xf>
    <xf numFmtId="0" fontId="0" fillId="25" borderId="108" applyAlignment="1" applyProtection="1" pivotButton="0" quotePrefix="0" xfId="0">
      <alignment horizontal="left" vertical="center" wrapText="1" indent="1"/>
      <protection locked="1" hidden="1"/>
    </xf>
    <xf numFmtId="0" fontId="0" fillId="25" borderId="109" applyAlignment="1" applyProtection="1" pivotButton="0" quotePrefix="0" xfId="0">
      <alignment horizontal="left" vertical="center" wrapText="1" indent="1"/>
      <protection locked="1" hidden="1"/>
    </xf>
    <xf numFmtId="0" fontId="0" fillId="25" borderId="38" applyAlignment="1" applyProtection="1" pivotButton="0" quotePrefix="0" xfId="0">
      <alignment horizontal="left" vertical="center" wrapText="1" indent="1"/>
      <protection locked="1" hidden="1"/>
    </xf>
    <xf numFmtId="0" fontId="0" fillId="25" borderId="105" applyAlignment="1" applyProtection="1" pivotButton="0" quotePrefix="0" xfId="0">
      <alignment horizontal="left" vertical="center" wrapText="1" indent="1"/>
      <protection locked="1" hidden="1"/>
    </xf>
    <xf numFmtId="0" fontId="0" fillId="25" borderId="41" applyAlignment="1" applyProtection="1" pivotButton="0" quotePrefix="0" xfId="0">
      <alignment horizontal="left" vertical="center" wrapText="1" indent="1"/>
      <protection locked="1" hidden="1"/>
    </xf>
    <xf numFmtId="0" fontId="0" fillId="25" borderId="69" applyAlignment="1" applyProtection="1" pivotButton="0" quotePrefix="0" xfId="0">
      <alignment horizontal="left" vertical="center" wrapText="1" indent="1"/>
      <protection locked="1" hidden="1"/>
    </xf>
    <xf numFmtId="0" fontId="0" fillId="25" borderId="34" applyAlignment="1" applyProtection="1" pivotButton="0" quotePrefix="0" xfId="0">
      <alignment horizontal="left" vertical="center" wrapText="1" indent="1"/>
      <protection locked="1" hidden="1"/>
    </xf>
    <xf numFmtId="0" fontId="0" fillId="25" borderId="60" applyAlignment="1" applyProtection="1" pivotButton="0" quotePrefix="0" xfId="0">
      <alignment horizontal="left" vertical="center" wrapText="1" indent="1"/>
      <protection locked="1" hidden="1"/>
    </xf>
    <xf numFmtId="0" fontId="0" fillId="25" borderId="110" applyAlignment="1" applyProtection="1" pivotButton="0" quotePrefix="0" xfId="0">
      <alignment horizontal="left" vertical="center" wrapText="1" indent="1"/>
      <protection locked="1" hidden="1"/>
    </xf>
    <xf numFmtId="0" fontId="0" fillId="25" borderId="111" applyAlignment="1" applyProtection="1" pivotButton="0" quotePrefix="0" xfId="0">
      <alignment horizontal="left" vertical="center" wrapText="1" indent="1"/>
      <protection locked="1" hidden="1"/>
    </xf>
    <xf numFmtId="170" fontId="23" fillId="25" borderId="103" applyAlignment="1" applyProtection="1" pivotButton="0" quotePrefix="0" xfId="0">
      <alignment horizontal="center" vertical="center" wrapText="1" shrinkToFit="1"/>
      <protection locked="1" hidden="1"/>
    </xf>
    <xf numFmtId="170" fontId="23" fillId="25" borderId="39" applyAlignment="1" applyProtection="1" pivotButton="0" quotePrefix="0" xfId="0">
      <alignment horizontal="center" vertical="center" wrapText="1" shrinkToFit="1"/>
      <protection locked="1" hidden="1"/>
    </xf>
    <xf numFmtId="170" fontId="23" fillId="25" borderId="22" applyAlignment="1" applyProtection="1" pivotButton="0" quotePrefix="0" xfId="0">
      <alignment horizontal="center" vertical="center" wrapText="1" shrinkToFit="1"/>
      <protection locked="1" hidden="1"/>
    </xf>
    <xf numFmtId="171" fontId="23" fillId="25" borderId="21" applyAlignment="1" applyProtection="1" pivotButton="0" quotePrefix="0" xfId="0">
      <alignment horizontal="center" vertical="center" wrapText="1" shrinkToFit="1"/>
      <protection locked="1" hidden="1"/>
    </xf>
    <xf numFmtId="171" fontId="23" fillId="25" borderId="39" applyAlignment="1" applyProtection="1" pivotButton="0" quotePrefix="0" xfId="0">
      <alignment horizontal="center" vertical="center" wrapText="1" shrinkToFit="1"/>
      <protection locked="1" hidden="1"/>
    </xf>
    <xf numFmtId="171" fontId="23" fillId="25" borderId="115" applyAlignment="1" applyProtection="1" pivotButton="0" quotePrefix="0" xfId="0">
      <alignment horizontal="center" vertical="center" wrapText="1" shrinkToFit="1"/>
      <protection locked="1" hidden="1"/>
    </xf>
    <xf numFmtId="0" fontId="0" fillId="0" borderId="10" applyAlignment="1" applyProtection="1" pivotButton="0" quotePrefix="0" xfId="0">
      <alignment shrinkToFit="1"/>
      <protection locked="1" hidden="1"/>
    </xf>
    <xf numFmtId="0" fontId="23" fillId="0" borderId="14" applyAlignment="1" applyProtection="1" pivotButton="0" quotePrefix="0" xfId="0">
      <alignment horizontal="left" shrinkToFit="1"/>
      <protection locked="1" hidden="1"/>
    </xf>
    <xf numFmtId="0" fontId="0" fillId="25" borderId="106" applyAlignment="1" applyProtection="1" pivotButton="0" quotePrefix="0" xfId="0">
      <alignment horizontal="center" vertical="center" wrapText="1"/>
      <protection locked="1" hidden="1"/>
    </xf>
    <xf numFmtId="0" fontId="0" fillId="25" borderId="107" applyAlignment="1" applyProtection="1" pivotButton="0" quotePrefix="0" xfId="0">
      <alignment horizontal="center" vertical="center" wrapText="1"/>
      <protection locked="1" hidden="1"/>
    </xf>
    <xf numFmtId="0" fontId="0" fillId="0" borderId="14" applyAlignment="1" applyProtection="1" pivotButton="0" quotePrefix="0" xfId="0">
      <alignment shrinkToFit="1"/>
      <protection locked="1" hidden="1"/>
    </xf>
    <xf numFmtId="0" fontId="23" fillId="27" borderId="34" applyAlignment="1" applyProtection="1" pivotButton="0" quotePrefix="0" xfId="0">
      <alignment horizontal="right" vertical="center" indent="1"/>
      <protection locked="1" hidden="1"/>
    </xf>
    <xf numFmtId="0" fontId="23" fillId="27" borderId="38" applyAlignment="1" applyProtection="1" pivotButton="0" quotePrefix="0" xfId="0">
      <alignment horizontal="right" vertical="center" indent="1"/>
      <protection locked="1" hidden="1"/>
    </xf>
    <xf numFmtId="0" fontId="23" fillId="27" borderId="41" applyAlignment="1" applyProtection="1" pivotButton="0" quotePrefix="0" xfId="0">
      <alignment horizontal="right" vertical="center" indent="1"/>
      <protection locked="1" hidden="1"/>
    </xf>
    <xf numFmtId="165" fontId="23" fillId="27" borderId="36" applyAlignment="1" applyProtection="1" pivotButton="0" quotePrefix="0" xfId="0">
      <alignment horizontal="left" vertical="center"/>
      <protection locked="1" hidden="1"/>
    </xf>
    <xf numFmtId="165" fontId="23" fillId="27" borderId="40" applyAlignment="1" applyProtection="1" pivotButton="0" quotePrefix="0" xfId="0">
      <alignment horizontal="left" vertical="center"/>
      <protection locked="1" hidden="1"/>
    </xf>
    <xf numFmtId="165" fontId="23" fillId="27" borderId="42" applyAlignment="1" applyProtection="1" pivotButton="0" quotePrefix="0" xfId="0">
      <alignment horizontal="left" vertical="center"/>
      <protection locked="1" hidden="1"/>
    </xf>
    <xf numFmtId="165" fontId="0" fillId="25" borderId="116" applyAlignment="1" applyProtection="1" pivotButton="0" quotePrefix="0" xfId="0">
      <alignment horizontal="center" vertical="center" shrinkToFit="1"/>
      <protection locked="1" hidden="1"/>
    </xf>
    <xf numFmtId="165" fontId="0" fillId="25" borderId="100" applyAlignment="1" applyProtection="1" pivotButton="0" quotePrefix="0" xfId="0">
      <alignment horizontal="center" vertical="center" shrinkToFit="1"/>
      <protection locked="1" hidden="1"/>
    </xf>
    <xf numFmtId="165" fontId="0" fillId="25" borderId="117" applyAlignment="1" applyProtection="1" pivotButton="0" quotePrefix="0" xfId="0">
      <alignment horizontal="center" vertical="center" shrinkToFit="1"/>
      <protection locked="1" hidden="1"/>
    </xf>
    <xf numFmtId="165" fontId="0" fillId="25" borderId="99" applyAlignment="1" applyProtection="1" pivotButton="0" quotePrefix="0" xfId="0">
      <alignment horizontal="center" vertical="center" shrinkToFit="1"/>
      <protection locked="1" hidden="1"/>
    </xf>
    <xf numFmtId="165" fontId="0" fillId="25" borderId="118" applyAlignment="1" applyProtection="1" pivotButton="0" quotePrefix="0" xfId="0">
      <alignment horizontal="center" vertical="center" shrinkToFit="1"/>
      <protection locked="1" hidden="1"/>
    </xf>
    <xf numFmtId="165" fontId="0" fillId="25" borderId="80" applyAlignment="1" applyProtection="1" pivotButton="0" quotePrefix="0" xfId="0">
      <alignment horizontal="center" vertical="center" shrinkToFit="1"/>
      <protection locked="1" hidden="1"/>
    </xf>
    <xf numFmtId="0" fontId="23" fillId="0" borderId="125" applyAlignment="1" applyProtection="1" pivotButton="0" quotePrefix="0" xfId="0">
      <alignment horizontal="center" vertical="top"/>
      <protection locked="1" hidden="1"/>
    </xf>
    <xf numFmtId="0" fontId="0" fillId="0" borderId="121" applyProtection="1" pivotButton="0" quotePrefix="0" xfId="0">
      <protection locked="1" hidden="1"/>
    </xf>
    <xf numFmtId="0" fontId="0" fillId="31" borderId="48" applyAlignment="1" applyProtection="1" pivotButton="0" quotePrefix="0" xfId="0">
      <alignment horizontal="center" vertical="top"/>
      <protection locked="1" hidden="1"/>
    </xf>
    <xf numFmtId="0" fontId="0" fillId="0" borderId="122" applyProtection="1" pivotButton="0" quotePrefix="0" xfId="0">
      <protection locked="1" hidden="1"/>
    </xf>
    <xf numFmtId="0" fontId="0" fillId="31" borderId="49" applyAlignment="1" applyProtection="1" pivotButton="0" quotePrefix="0" xfId="0">
      <alignment horizontal="center" vertical="top"/>
      <protection locked="1" hidden="1"/>
    </xf>
    <xf numFmtId="0" fontId="0" fillId="0" borderId="124" applyProtection="1" pivotButton="0" quotePrefix="0" xfId="0">
      <protection locked="1" hidden="1"/>
    </xf>
    <xf numFmtId="175" fontId="0" fillId="0" borderId="0" applyAlignment="1" applyProtection="1" pivotButton="0" quotePrefix="0" xfId="0">
      <alignment horizontal="right" indent="1"/>
      <protection locked="1" hidden="1"/>
    </xf>
    <xf numFmtId="166" fontId="0" fillId="0" borderId="0" applyAlignment="1" applyProtection="1" pivotButton="0" quotePrefix="0" xfId="0">
      <alignment horizontal="right"/>
      <protection locked="0" hidden="0"/>
    </xf>
    <xf numFmtId="165" fontId="0" fillId="0" borderId="36" applyAlignment="1" applyProtection="1" pivotButton="0" quotePrefix="0" xfId="0">
      <alignment horizontal="center" shrinkToFit="1"/>
      <protection locked="1" hidden="1"/>
    </xf>
    <xf numFmtId="165" fontId="0" fillId="0" borderId="34" applyAlignment="1" applyProtection="1" pivotButton="0" quotePrefix="0" xfId="0">
      <alignment horizontal="center" shrinkToFit="1"/>
      <protection locked="0" hidden="0"/>
    </xf>
    <xf numFmtId="167" fontId="0" fillId="0" borderId="0" applyAlignment="1" applyProtection="1" pivotButton="0" quotePrefix="0" xfId="0">
      <alignment horizontal="right"/>
      <protection locked="1" hidden="1"/>
    </xf>
    <xf numFmtId="165" fontId="0" fillId="0" borderId="40" applyAlignment="1" applyProtection="1" pivotButton="0" quotePrefix="0" xfId="0">
      <alignment horizontal="center" shrinkToFit="1"/>
      <protection locked="1" hidden="1"/>
    </xf>
    <xf numFmtId="165" fontId="0" fillId="0" borderId="38" applyAlignment="1" applyProtection="1" pivotButton="0" quotePrefix="0" xfId="0">
      <alignment horizontal="center" shrinkToFit="1"/>
      <protection locked="0" hidden="0"/>
    </xf>
    <xf numFmtId="165" fontId="0" fillId="0" borderId="42" applyAlignment="1" applyProtection="1" pivotButton="0" quotePrefix="0" xfId="0">
      <alignment horizontal="center" shrinkToFit="1"/>
      <protection locked="1" hidden="1"/>
    </xf>
    <xf numFmtId="165" fontId="0" fillId="0" borderId="41" applyAlignment="1" applyProtection="1" pivotButton="0" quotePrefix="0" xfId="0">
      <alignment horizontal="center" shrinkToFit="1"/>
      <protection locked="0" hidden="0"/>
    </xf>
    <xf numFmtId="165" fontId="0" fillId="0" borderId="0" applyAlignment="1" applyProtection="1" pivotButton="0" quotePrefix="0" xfId="0">
      <alignment horizontal="center" shrinkToFit="1"/>
      <protection locked="1" hidden="1"/>
    </xf>
    <xf numFmtId="165" fontId="0" fillId="0" borderId="34" applyAlignment="1" applyProtection="1" pivotButton="0" quotePrefix="0" xfId="0">
      <alignment horizontal="center" shrinkToFit="1"/>
      <protection locked="1" hidden="1"/>
    </xf>
    <xf numFmtId="164" fontId="0" fillId="0" borderId="0" applyAlignment="1" applyProtection="1" pivotButton="0" quotePrefix="0" xfId="0">
      <alignment horizontal="center" shrinkToFit="1"/>
      <protection locked="1" hidden="1"/>
    </xf>
    <xf numFmtId="169" fontId="36" fillId="0" borderId="0" applyAlignment="1" applyProtection="1" pivotButton="0" quotePrefix="0" xfId="0">
      <alignment horizontal="right"/>
      <protection locked="1" hidden="1"/>
    </xf>
    <xf numFmtId="176" fontId="0" fillId="0" borderId="0" applyAlignment="1" applyProtection="1" pivotButton="0" quotePrefix="0" xfId="0">
      <alignment horizontal="left" indent="3"/>
      <protection locked="1" hidden="1"/>
    </xf>
    <xf numFmtId="177" fontId="0" fillId="0" borderId="0" applyAlignment="1" applyProtection="1" pivotButton="0" quotePrefix="0" xfId="0">
      <alignment horizontal="left" indent="3"/>
      <protection locked="1" hidden="1"/>
    </xf>
    <xf numFmtId="178" fontId="0" fillId="0" borderId="0" applyAlignment="1" applyProtection="1" pivotButton="0" quotePrefix="0" xfId="0">
      <alignment horizontal="left" indent="3"/>
      <protection locked="1" hidden="1"/>
    </xf>
    <xf numFmtId="0" fontId="0" fillId="0" borderId="14" applyProtection="1" pivotButton="0" quotePrefix="0" xfId="0">
      <protection locked="1" hidden="1"/>
    </xf>
    <xf numFmtId="0" fontId="23" fillId="28" borderId="20" applyAlignment="1" applyProtection="1" pivotButton="0" quotePrefix="0" xfId="0">
      <alignment horizontal="center" vertical="center" wrapText="1"/>
      <protection locked="1" hidden="1"/>
    </xf>
    <xf numFmtId="0" fontId="0" fillId="0" borderId="37" applyProtection="1" pivotButton="0" quotePrefix="0" xfId="0">
      <protection locked="1" hidden="1"/>
    </xf>
    <xf numFmtId="0" fontId="23" fillId="25" borderId="20" applyAlignment="1" applyProtection="1" pivotButton="0" quotePrefix="0" xfId="0">
      <alignment horizontal="center" vertical="center" wrapText="1"/>
      <protection locked="1" hidden="1"/>
    </xf>
    <xf numFmtId="0" fontId="0" fillId="0" borderId="35" applyProtection="1" pivotButton="0" quotePrefix="0" xfId="0">
      <protection locked="1" hidden="1"/>
    </xf>
    <xf numFmtId="0" fontId="0" fillId="0" borderId="36" applyProtection="1" pivotButton="0" quotePrefix="0" xfId="0">
      <protection locked="1" hidden="1"/>
    </xf>
    <xf numFmtId="165" fontId="23" fillId="25" borderId="27" applyAlignment="1" applyProtection="1" pivotButton="0" quotePrefix="0" xfId="0">
      <alignment horizontal="center" vertical="center" shrinkToFit="1"/>
      <protection locked="1" hidden="1"/>
    </xf>
    <xf numFmtId="165" fontId="23" fillId="25" borderId="101" applyAlignment="1" applyProtection="1" pivotButton="0" quotePrefix="0" xfId="0">
      <alignment horizontal="center" vertical="center" shrinkToFit="1"/>
      <protection locked="1" hidden="1"/>
    </xf>
    <xf numFmtId="165" fontId="23" fillId="25" borderId="28" applyAlignment="1" applyProtection="1" pivotButton="0" quotePrefix="0" xfId="0">
      <alignment horizontal="center" vertical="center" shrinkToFit="1"/>
      <protection locked="1" hidden="1"/>
    </xf>
    <xf numFmtId="165" fontId="23" fillId="25" borderId="102" applyAlignment="1" applyProtection="1" pivotButton="0" quotePrefix="0" xfId="0">
      <alignment horizontal="center" vertical="center" shrinkToFit="1"/>
      <protection locked="1" hidden="1"/>
    </xf>
    <xf numFmtId="165" fontId="23" fillId="25" borderId="100" applyAlignment="1" applyProtection="1" pivotButton="0" quotePrefix="0" xfId="0">
      <alignment horizontal="center" vertical="center" shrinkToFit="1"/>
      <protection locked="1" hidden="1"/>
    </xf>
    <xf numFmtId="179" fontId="25" fillId="25" borderId="20" applyAlignment="1" applyProtection="1" pivotButton="0" quotePrefix="0" xfId="0">
      <alignment horizontal="center" vertical="center" shrinkToFit="1"/>
      <protection locked="1" hidden="1"/>
    </xf>
    <xf numFmtId="170" fontId="0" fillId="25" borderId="21" applyAlignment="1" applyProtection="1" pivotButton="0" quotePrefix="0" xfId="0">
      <alignment horizontal="center" vertical="center" wrapText="1"/>
      <protection locked="1" hidden="1"/>
    </xf>
    <xf numFmtId="0" fontId="0" fillId="0" borderId="41" applyProtection="1" pivotButton="0" quotePrefix="0" xfId="0">
      <protection locked="1" hidden="1"/>
    </xf>
    <xf numFmtId="0" fontId="0" fillId="0" borderId="10" applyProtection="1" pivotButton="0" quotePrefix="0" xfId="0">
      <protection locked="1" hidden="1"/>
    </xf>
    <xf numFmtId="0" fontId="0" fillId="0" borderId="42" applyProtection="1" pivotButton="0" quotePrefix="0" xfId="0">
      <protection locked="1" hidden="1"/>
    </xf>
    <xf numFmtId="165" fontId="27" fillId="25" borderId="30" applyAlignment="1" applyProtection="1" pivotButton="0" quotePrefix="0" xfId="0">
      <alignment horizontal="center" vertical="center" shrinkToFit="1"/>
      <protection locked="1" hidden="1"/>
    </xf>
    <xf numFmtId="165" fontId="27" fillId="25" borderId="72" applyAlignment="1" applyProtection="1" pivotButton="0" quotePrefix="0" xfId="0">
      <alignment horizontal="center" vertical="center" shrinkToFit="1"/>
      <protection locked="1" hidden="1"/>
    </xf>
    <xf numFmtId="165" fontId="27" fillId="25" borderId="26" applyAlignment="1" applyProtection="1" pivotButton="0" quotePrefix="0" xfId="0">
      <alignment horizontal="center" vertical="center" shrinkToFit="1"/>
      <protection locked="1" hidden="1"/>
    </xf>
    <xf numFmtId="165" fontId="27" fillId="25" borderId="73" applyAlignment="1" applyProtection="1" pivotButton="0" quotePrefix="0" xfId="0">
      <alignment horizontal="center" vertical="center" shrinkToFit="1"/>
      <protection locked="1" hidden="1"/>
    </xf>
    <xf numFmtId="165" fontId="27" fillId="25" borderId="80" applyAlignment="1" applyProtection="1" pivotButton="0" quotePrefix="0" xfId="0">
      <alignment horizontal="center" vertical="center" shrinkToFit="1"/>
      <protection locked="1" hidden="1"/>
    </xf>
    <xf numFmtId="0" fontId="0" fillId="0" borderId="22" applyProtection="1" pivotButton="0" quotePrefix="0" xfId="0">
      <protection locked="1" hidden="1"/>
    </xf>
    <xf numFmtId="171" fontId="0" fillId="25" borderId="22" applyAlignment="1" applyProtection="1" pivotButton="0" quotePrefix="0" xfId="0">
      <alignment horizontal="center" vertical="center" wrapText="1"/>
      <protection locked="1" hidden="1"/>
    </xf>
    <xf numFmtId="0" fontId="0" fillId="0" borderId="12" applyAlignment="1" applyProtection="1" pivotButton="0" quotePrefix="0" xfId="0">
      <alignment horizontal="left" vertical="center" wrapText="1"/>
      <protection locked="0" hidden="0"/>
    </xf>
    <xf numFmtId="0" fontId="0" fillId="0" borderId="18"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shrinkToFit="1"/>
      <protection locked="0" hidden="0"/>
    </xf>
    <xf numFmtId="165" fontId="0" fillId="0" borderId="27" applyAlignment="1" applyProtection="1" pivotButton="0" quotePrefix="0" xfId="0">
      <alignment horizontal="center" vertical="center" shrinkToFit="1"/>
      <protection locked="0" hidden="0"/>
    </xf>
    <xf numFmtId="165" fontId="0" fillId="0" borderId="101" applyAlignment="1" applyProtection="1" pivotButton="0" quotePrefix="0" xfId="0">
      <alignment horizontal="center" vertical="center" shrinkToFit="1"/>
      <protection locked="0" hidden="0"/>
    </xf>
    <xf numFmtId="165" fontId="0" fillId="0" borderId="28" applyAlignment="1" applyProtection="1" pivotButton="0" quotePrefix="0" xfId="0">
      <alignment horizontal="center" vertical="center" shrinkToFit="1"/>
      <protection locked="0" hidden="0"/>
    </xf>
    <xf numFmtId="165" fontId="0" fillId="0" borderId="102" applyAlignment="1" applyProtection="1" pivotButton="0" quotePrefix="0" xfId="0">
      <alignment horizontal="center" vertical="center" shrinkToFit="1"/>
      <protection locked="0" hidden="0"/>
    </xf>
    <xf numFmtId="165" fontId="23" fillId="27" borderId="100" applyAlignment="1" applyProtection="1" pivotButton="0" quotePrefix="0" xfId="0">
      <alignment horizontal="center" vertical="center" shrinkToFit="1"/>
      <protection locked="1" hidden="1"/>
    </xf>
    <xf numFmtId="179" fontId="25" fillId="27" borderId="20" applyAlignment="1" applyProtection="1" pivotButton="0" quotePrefix="0" xfId="0">
      <alignment horizontal="center" vertical="center" shrinkToFit="1"/>
      <protection locked="1" hidden="1"/>
    </xf>
    <xf numFmtId="0" fontId="0" fillId="0" borderId="58" applyProtection="1" pivotButton="0" quotePrefix="0" xfId="0">
      <protection locked="0" hidden="0"/>
    </xf>
    <xf numFmtId="0" fontId="0" fillId="0" borderId="68" applyProtection="1" pivotButton="0" quotePrefix="0" xfId="0">
      <protection locked="0" hidden="0"/>
    </xf>
    <xf numFmtId="0" fontId="0" fillId="0" borderId="59" applyProtection="1" pivotButton="0" quotePrefix="0" xfId="0">
      <protection locked="0" hidden="0"/>
    </xf>
    <xf numFmtId="165" fontId="28" fillId="0" borderId="30" applyAlignment="1" applyProtection="1" pivotButton="0" quotePrefix="0" xfId="0">
      <alignment horizontal="center" vertical="center" shrinkToFit="1"/>
      <protection locked="1" hidden="1"/>
    </xf>
    <xf numFmtId="165" fontId="28" fillId="0" borderId="72" applyAlignment="1" applyProtection="1" pivotButton="0" quotePrefix="0" xfId="0">
      <alignment horizontal="center" vertical="center" shrinkToFit="1"/>
      <protection locked="1" hidden="1"/>
    </xf>
    <xf numFmtId="165" fontId="28" fillId="0" borderId="26" applyAlignment="1" applyProtection="1" pivotButton="0" quotePrefix="0" xfId="0">
      <alignment horizontal="center" vertical="center" shrinkToFit="1"/>
      <protection locked="1" hidden="1"/>
    </xf>
    <xf numFmtId="165" fontId="28" fillId="0" borderId="73" applyAlignment="1" applyProtection="1" pivotButton="0" quotePrefix="0" xfId="0">
      <alignment horizontal="center" vertical="center" shrinkToFit="1"/>
      <protection locked="1" hidden="1"/>
    </xf>
    <xf numFmtId="165" fontId="27" fillId="27" borderId="80" applyAlignment="1" applyProtection="1" pivotButton="0" quotePrefix="0" xfId="0">
      <alignment horizontal="center" vertical="center" shrinkToFit="1"/>
      <protection locked="1" hidden="1"/>
    </xf>
    <xf numFmtId="0" fontId="0" fillId="0" borderId="22" applyProtection="1" pivotButton="0" quotePrefix="0" xfId="0">
      <protection locked="0" hidden="0"/>
    </xf>
    <xf numFmtId="0" fontId="0" fillId="25" borderId="93" applyAlignment="1" applyProtection="1" pivotButton="0" quotePrefix="0" xfId="0">
      <alignment horizontal="center" vertical="center" wrapText="1"/>
      <protection locked="1" hidden="1"/>
    </xf>
    <xf numFmtId="0" fontId="0" fillId="0" borderId="107" applyProtection="1" pivotButton="0" quotePrefix="0" xfId="0">
      <protection locked="1" hidden="1"/>
    </xf>
    <xf numFmtId="0" fontId="0" fillId="25" borderId="114" applyAlignment="1" applyProtection="1" pivotButton="0" quotePrefix="0" xfId="0">
      <alignment horizontal="left" vertical="center" wrapText="1" indent="1"/>
      <protection locked="1" hidden="1"/>
    </xf>
    <xf numFmtId="0" fontId="0" fillId="0" borderId="109" applyProtection="1" pivotButton="0" quotePrefix="0" xfId="0">
      <protection locked="1" hidden="1"/>
    </xf>
    <xf numFmtId="165" fontId="0" fillId="0" borderId="82" applyAlignment="1" applyProtection="1" pivotButton="0" quotePrefix="0" xfId="0">
      <alignment horizontal="center" vertical="center" shrinkToFit="1"/>
      <protection locked="1" hidden="1"/>
    </xf>
    <xf numFmtId="165" fontId="0" fillId="0" borderId="83" applyAlignment="1" applyProtection="1" pivotButton="0" quotePrefix="0" xfId="0">
      <alignment horizontal="center" vertical="center" shrinkToFit="1"/>
      <protection locked="1" hidden="1"/>
    </xf>
    <xf numFmtId="165" fontId="0" fillId="0" borderId="84" applyAlignment="1" applyProtection="1" pivotButton="0" quotePrefix="0" xfId="0">
      <alignment horizontal="center" vertical="center" shrinkToFit="1"/>
      <protection locked="1" hidden="1"/>
    </xf>
    <xf numFmtId="165" fontId="0" fillId="0" borderId="85" applyAlignment="1" applyProtection="1" pivotButton="0" quotePrefix="0" xfId="0">
      <alignment horizontal="center" vertical="center" shrinkToFit="1"/>
      <protection locked="1" hidden="1"/>
    </xf>
    <xf numFmtId="165" fontId="0" fillId="0" borderId="86" applyAlignment="1" applyProtection="1" pivotButton="0" quotePrefix="0" xfId="0">
      <alignment horizontal="center" vertical="center" shrinkToFit="1"/>
      <protection locked="1" hidden="1"/>
    </xf>
    <xf numFmtId="165" fontId="0" fillId="0" borderId="87" applyAlignment="1" applyProtection="1" pivotButton="0" quotePrefix="0" xfId="0">
      <alignment horizontal="center" vertical="center" shrinkToFit="1"/>
      <protection locked="1" hidden="1"/>
    </xf>
    <xf numFmtId="165" fontId="0" fillId="27" borderId="87" applyAlignment="1" applyProtection="1" pivotButton="0" quotePrefix="0" xfId="0">
      <alignment horizontal="center" vertical="center" shrinkToFit="1"/>
      <protection locked="1" hidden="1"/>
    </xf>
    <xf numFmtId="0" fontId="0" fillId="0" borderId="105" applyProtection="1" pivotButton="0" quotePrefix="0" xfId="0">
      <protection locked="1" hidden="1"/>
    </xf>
    <xf numFmtId="165" fontId="0" fillId="0" borderId="29" applyAlignment="1" applyProtection="1" pivotButton="0" quotePrefix="0" xfId="0">
      <alignment horizontal="center" vertical="center" shrinkToFit="1"/>
      <protection locked="1" hidden="1"/>
    </xf>
    <xf numFmtId="165" fontId="0" fillId="0" borderId="31" applyAlignment="1" applyProtection="1" pivotButton="0" quotePrefix="0" xfId="0">
      <alignment horizontal="center" vertical="center" shrinkToFit="1"/>
      <protection locked="1" hidden="1"/>
    </xf>
    <xf numFmtId="165" fontId="0" fillId="0" borderId="25" applyAlignment="1" applyProtection="1" pivotButton="0" quotePrefix="0" xfId="0">
      <alignment horizontal="center" vertical="center" shrinkToFit="1"/>
      <protection locked="1" hidden="1"/>
    </xf>
    <xf numFmtId="165" fontId="0" fillId="0" borderId="33" applyAlignment="1" applyProtection="1" pivotButton="0" quotePrefix="0" xfId="0">
      <alignment horizontal="center" vertical="center" shrinkToFit="1"/>
      <protection locked="1" hidden="1"/>
    </xf>
    <xf numFmtId="165" fontId="0" fillId="0" borderId="32" applyAlignment="1" applyProtection="1" pivotButton="0" quotePrefix="0" xfId="0">
      <alignment horizontal="center" vertical="center" shrinkToFit="1"/>
      <protection locked="1" hidden="1"/>
    </xf>
    <xf numFmtId="165" fontId="0" fillId="0" borderId="24" applyAlignment="1" applyProtection="1" pivotButton="0" quotePrefix="0" xfId="0">
      <alignment horizontal="center" vertical="center" shrinkToFit="1"/>
      <protection locked="1" hidden="1"/>
    </xf>
    <xf numFmtId="165" fontId="0" fillId="27" borderId="24" applyAlignment="1" applyProtection="1" pivotButton="0" quotePrefix="0" xfId="0">
      <alignment horizontal="center" vertical="center" shrinkToFit="1"/>
      <protection locked="1" hidden="1"/>
    </xf>
    <xf numFmtId="0" fontId="0" fillId="0" borderId="69" applyProtection="1" pivotButton="0" quotePrefix="0" xfId="0">
      <protection locked="1" hidden="1"/>
    </xf>
    <xf numFmtId="165" fontId="23" fillId="27" borderId="30" applyAlignment="1" applyProtection="1" pivotButton="0" quotePrefix="0" xfId="0">
      <alignment horizontal="center" vertical="center" shrinkToFit="1"/>
      <protection locked="1" hidden="1"/>
    </xf>
    <xf numFmtId="165" fontId="23" fillId="27" borderId="72" applyAlignment="1" applyProtection="1" pivotButton="0" quotePrefix="0" xfId="0">
      <alignment horizontal="center" vertical="center" shrinkToFit="1"/>
      <protection locked="1" hidden="1"/>
    </xf>
    <xf numFmtId="165" fontId="23" fillId="27" borderId="26" applyAlignment="1" applyProtection="1" pivotButton="0" quotePrefix="0" xfId="0">
      <alignment horizontal="center" vertical="center" shrinkToFit="1"/>
      <protection locked="1" hidden="1"/>
    </xf>
    <xf numFmtId="165" fontId="23" fillId="27" borderId="56" applyAlignment="1" applyProtection="1" pivotButton="0" quotePrefix="0" xfId="0">
      <alignment horizontal="center" vertical="center" shrinkToFit="1"/>
      <protection locked="1" hidden="1"/>
    </xf>
    <xf numFmtId="165" fontId="23" fillId="27" borderId="73" applyAlignment="1" applyProtection="1" pivotButton="0" quotePrefix="0" xfId="0">
      <alignment horizontal="center" vertical="center" shrinkToFit="1"/>
      <protection locked="1" hidden="1"/>
    </xf>
    <xf numFmtId="165" fontId="23" fillId="27" borderId="11" applyAlignment="1" applyProtection="1" pivotButton="0" quotePrefix="0" xfId="0">
      <alignment horizontal="center" vertical="center" shrinkToFit="1"/>
      <protection locked="1" hidden="1"/>
    </xf>
    <xf numFmtId="0" fontId="0" fillId="25" borderId="12" applyAlignment="1" applyProtection="1" pivotButton="0" quotePrefix="0" xfId="0">
      <alignment horizontal="left" vertical="center" wrapText="1" indent="1"/>
      <protection locked="1" hidden="1"/>
    </xf>
    <xf numFmtId="0" fontId="0" fillId="0" borderId="60" applyProtection="1" pivotButton="0" quotePrefix="0" xfId="0">
      <protection locked="1" hidden="1"/>
    </xf>
    <xf numFmtId="165" fontId="0" fillId="0" borderId="27" applyAlignment="1" applyProtection="1" pivotButton="0" quotePrefix="0" xfId="0">
      <alignment horizontal="center" vertical="center" shrinkToFit="1"/>
      <protection locked="1" hidden="1"/>
    </xf>
    <xf numFmtId="165" fontId="0" fillId="0" borderId="101" applyAlignment="1" applyProtection="1" pivotButton="0" quotePrefix="0" xfId="0">
      <alignment horizontal="center" vertical="center" shrinkToFit="1"/>
      <protection locked="1" hidden="1"/>
    </xf>
    <xf numFmtId="165" fontId="0" fillId="0" borderId="28" applyAlignment="1" applyProtection="1" pivotButton="0" quotePrefix="0" xfId="0">
      <alignment horizontal="center" vertical="center" shrinkToFit="1"/>
      <protection locked="1" hidden="1"/>
    </xf>
    <xf numFmtId="165" fontId="0" fillId="0" borderId="51" applyAlignment="1" applyProtection="1" pivotButton="0" quotePrefix="0" xfId="0">
      <alignment horizontal="center" vertical="center" shrinkToFit="1"/>
      <protection locked="1" hidden="1"/>
    </xf>
    <xf numFmtId="165" fontId="0" fillId="0" borderId="102" applyAlignment="1" applyProtection="1" pivotButton="0" quotePrefix="0" xfId="0">
      <alignment horizontal="center" vertical="center" shrinkToFit="1"/>
      <protection locked="1" hidden="1"/>
    </xf>
    <xf numFmtId="165" fontId="0" fillId="0" borderId="16" applyAlignment="1" applyProtection="1" pivotButton="0" quotePrefix="0" xfId="0">
      <alignment horizontal="center" vertical="center" shrinkToFit="1"/>
      <protection locked="1" hidden="1"/>
    </xf>
    <xf numFmtId="165" fontId="0" fillId="27" borderId="16" applyAlignment="1" applyProtection="1" pivotButton="0" quotePrefix="0" xfId="0">
      <alignment horizontal="center" vertical="center" shrinkToFit="1"/>
      <protection locked="1" hidden="1"/>
    </xf>
    <xf numFmtId="0" fontId="0" fillId="25" borderId="97" applyAlignment="1" applyProtection="1" pivotButton="0" quotePrefix="0" xfId="0">
      <alignment horizontal="left" vertical="center" wrapText="1" indent="1"/>
      <protection locked="1" hidden="1"/>
    </xf>
    <xf numFmtId="0" fontId="0" fillId="0" borderId="110" applyProtection="1" pivotButton="0" quotePrefix="0" xfId="0">
      <protection locked="1" hidden="1"/>
    </xf>
    <xf numFmtId="0" fontId="0" fillId="0" borderId="111" applyProtection="1" pivotButton="0" quotePrefix="0" xfId="0">
      <protection locked="1" hidden="1"/>
    </xf>
    <xf numFmtId="165" fontId="23" fillId="27" borderId="74" applyAlignment="1" applyProtection="1" pivotButton="0" quotePrefix="0" xfId="0">
      <alignment horizontal="center" vertical="center" shrinkToFit="1"/>
      <protection locked="1" hidden="1"/>
    </xf>
    <xf numFmtId="165" fontId="23" fillId="27" borderId="75" applyAlignment="1" applyProtection="1" pivotButton="0" quotePrefix="0" xfId="0">
      <alignment horizontal="center" vertical="center" shrinkToFit="1"/>
      <protection locked="1" hidden="1"/>
    </xf>
    <xf numFmtId="165" fontId="23" fillId="27" borderId="76" applyAlignment="1" applyProtection="1" pivotButton="0" quotePrefix="0" xfId="0">
      <alignment horizontal="center" vertical="center" shrinkToFit="1"/>
      <protection locked="1" hidden="1"/>
    </xf>
    <xf numFmtId="165" fontId="23" fillId="27" borderId="77" applyAlignment="1" applyProtection="1" pivotButton="0" quotePrefix="0" xfId="0">
      <alignment horizontal="center" vertical="center" shrinkToFit="1"/>
      <protection locked="1" hidden="1"/>
    </xf>
    <xf numFmtId="165" fontId="23" fillId="27" borderId="78" applyAlignment="1" applyProtection="1" pivotButton="0" quotePrefix="0" xfId="0">
      <alignment horizontal="center" vertical="center" shrinkToFit="1"/>
      <protection locked="1" hidden="1"/>
    </xf>
    <xf numFmtId="165" fontId="23" fillId="27" borderId="79" applyAlignment="1" applyProtection="1" pivotButton="0" quotePrefix="0" xfId="0">
      <alignment horizontal="center" vertical="center" shrinkToFit="1"/>
      <protection locked="1" hidden="1"/>
    </xf>
    <xf numFmtId="0" fontId="23" fillId="25" borderId="133" applyAlignment="1" applyProtection="1" pivotButton="0" quotePrefix="0" xfId="0">
      <alignment horizontal="center" vertical="center" wrapText="1"/>
      <protection locked="1" hidden="1"/>
    </xf>
    <xf numFmtId="165" fontId="0" fillId="27" borderId="82" applyAlignment="1" applyProtection="1" pivotButton="0" quotePrefix="0" xfId="0">
      <alignment horizontal="center" vertical="center" shrinkToFit="1"/>
      <protection locked="1" hidden="1"/>
    </xf>
    <xf numFmtId="165" fontId="0" fillId="27" borderId="83" applyAlignment="1" applyProtection="1" pivotButton="0" quotePrefix="0" xfId="0">
      <alignment horizontal="center" vertical="center" shrinkToFit="1"/>
      <protection locked="1" hidden="1"/>
    </xf>
    <xf numFmtId="165" fontId="0" fillId="27" borderId="84" applyAlignment="1" applyProtection="1" pivotButton="0" quotePrefix="0" xfId="0">
      <alignment horizontal="center" vertical="center" shrinkToFit="1"/>
      <protection locked="1" hidden="1"/>
    </xf>
    <xf numFmtId="165" fontId="0" fillId="27" borderId="85" applyAlignment="1" applyProtection="1" pivotButton="0" quotePrefix="0" xfId="0">
      <alignment horizontal="center" vertical="center" shrinkToFit="1"/>
      <protection locked="1" hidden="1"/>
    </xf>
    <xf numFmtId="165" fontId="0" fillId="27" borderId="86" applyAlignment="1" applyProtection="1" pivotButton="0" quotePrefix="0" xfId="0">
      <alignment horizontal="center" vertical="center" shrinkToFit="1"/>
      <protection locked="1" hidden="1"/>
    </xf>
    <xf numFmtId="170" fontId="23" fillId="25" borderId="131" applyAlignment="1" applyProtection="1" pivotButton="0" quotePrefix="0" xfId="0">
      <alignment horizontal="center" vertical="center" wrapText="1" shrinkToFit="1"/>
      <protection locked="1" hidden="1"/>
    </xf>
    <xf numFmtId="0" fontId="0" fillId="0" borderId="55" applyProtection="1" pivotButton="0" quotePrefix="0" xfId="0">
      <protection locked="1" hidden="1"/>
    </xf>
    <xf numFmtId="165" fontId="0" fillId="27" borderId="29" applyAlignment="1" applyProtection="1" pivotButton="0" quotePrefix="0" xfId="0">
      <alignment horizontal="center" vertical="center" shrinkToFit="1"/>
      <protection locked="1" hidden="1"/>
    </xf>
    <xf numFmtId="165" fontId="0" fillId="27" borderId="31" applyAlignment="1" applyProtection="1" pivotButton="0" quotePrefix="0" xfId="0">
      <alignment horizontal="center" vertical="center" shrinkToFit="1"/>
      <protection locked="1" hidden="1"/>
    </xf>
    <xf numFmtId="165" fontId="0" fillId="27" borderId="25" applyAlignment="1" applyProtection="1" pivotButton="0" quotePrefix="0" xfId="0">
      <alignment horizontal="center" vertical="center" shrinkToFit="1"/>
      <protection locked="1" hidden="1"/>
    </xf>
    <xf numFmtId="165" fontId="0" fillId="27" borderId="33" applyAlignment="1" applyProtection="1" pivotButton="0" quotePrefix="0" xfId="0">
      <alignment horizontal="center" vertical="center" shrinkToFit="1"/>
      <protection locked="1" hidden="1"/>
    </xf>
    <xf numFmtId="165" fontId="0" fillId="27" borderId="32" applyAlignment="1" applyProtection="1" pivotButton="0" quotePrefix="0" xfId="0">
      <alignment horizontal="center" vertical="center" shrinkToFit="1"/>
      <protection locked="1" hidden="1"/>
    </xf>
    <xf numFmtId="0" fontId="0" fillId="0" borderId="39" applyProtection="1" pivotButton="0" quotePrefix="0" xfId="0">
      <protection locked="1" hidden="1"/>
    </xf>
    <xf numFmtId="0" fontId="0" fillId="0" borderId="58" applyProtection="1" pivotButton="0" quotePrefix="0" xfId="0">
      <protection locked="1" hidden="1"/>
    </xf>
    <xf numFmtId="165" fontId="0" fillId="27" borderId="71" applyAlignment="1" applyProtection="1" pivotButton="0" quotePrefix="0" xfId="0">
      <alignment horizontal="center" vertical="center" shrinkToFit="1"/>
      <protection locked="1" hidden="1"/>
    </xf>
    <xf numFmtId="165" fontId="0" fillId="27" borderId="88" applyAlignment="1" applyProtection="1" pivotButton="0" quotePrefix="0" xfId="0">
      <alignment horizontal="center" vertical="center" shrinkToFit="1"/>
      <protection locked="1" hidden="1"/>
    </xf>
    <xf numFmtId="165" fontId="0" fillId="27" borderId="89" applyAlignment="1" applyProtection="1" pivotButton="0" quotePrefix="0" xfId="0">
      <alignment horizontal="center" vertical="center" shrinkToFit="1"/>
      <protection locked="1" hidden="1"/>
    </xf>
    <xf numFmtId="165" fontId="0" fillId="27" borderId="90" applyAlignment="1" applyProtection="1" pivotButton="0" quotePrefix="0" xfId="0">
      <alignment horizontal="center" vertical="center" shrinkToFit="1"/>
      <protection locked="1" hidden="1"/>
    </xf>
    <xf numFmtId="165" fontId="0" fillId="27" borderId="91" applyAlignment="1" applyProtection="1" pivotButton="0" quotePrefix="0" xfId="0">
      <alignment horizontal="center" vertical="center" shrinkToFit="1"/>
      <protection locked="1" hidden="1"/>
    </xf>
    <xf numFmtId="165" fontId="0" fillId="27" borderId="92" applyAlignment="1" applyProtection="1" pivotButton="0" quotePrefix="0" xfId="0">
      <alignment horizontal="center" vertical="center" shrinkToFit="1"/>
      <protection locked="1" hidden="1"/>
    </xf>
    <xf numFmtId="171" fontId="23" fillId="25" borderId="93" applyAlignment="1" applyProtection="1" pivotButton="0" quotePrefix="0" xfId="0">
      <alignment horizontal="center" vertical="center" wrapText="1" shrinkToFit="1"/>
      <protection locked="1" hidden="1"/>
    </xf>
    <xf numFmtId="0" fontId="0" fillId="0" borderId="115" applyProtection="1" pivotButton="0" quotePrefix="0" xfId="0">
      <protection locked="1" hidden="1"/>
    </xf>
    <xf numFmtId="0" fontId="23" fillId="25" borderId="132" applyAlignment="1" applyProtection="1" pivotButton="0" quotePrefix="0" xfId="0">
      <alignment horizontal="center" vertical="center" wrapText="1"/>
      <protection locked="1" hidden="1"/>
    </xf>
    <xf numFmtId="0" fontId="0" fillId="0" borderId="113" applyProtection="1" pivotButton="0" quotePrefix="0" xfId="0">
      <protection locked="1" hidden="1"/>
    </xf>
    <xf numFmtId="164" fontId="0" fillId="25" borderId="103" applyAlignment="1" applyProtection="1" pivotButton="0" quotePrefix="0" xfId="0">
      <alignment horizontal="center" vertical="center" shrinkToFit="1"/>
      <protection locked="1" hidden="1"/>
    </xf>
    <xf numFmtId="164" fontId="0" fillId="25" borderId="39" applyAlignment="1" applyProtection="1" pivotButton="0" quotePrefix="0" xfId="0">
      <alignment horizontal="center" vertical="center" shrinkToFit="1"/>
      <protection locked="1" hidden="1"/>
    </xf>
    <xf numFmtId="165" fontId="0" fillId="27" borderId="67" applyAlignment="1" applyProtection="1" pivotButton="0" quotePrefix="0" xfId="0">
      <alignment horizontal="center" vertical="center" shrinkToFit="1"/>
      <protection locked="1" hidden="1"/>
    </xf>
    <xf numFmtId="164" fontId="23" fillId="25" borderId="41" applyAlignment="1" applyProtection="1" pivotButton="0" quotePrefix="0" xfId="0">
      <alignment horizontal="center" vertical="center" shrinkToFit="1"/>
      <protection locked="1" hidden="1"/>
    </xf>
    <xf numFmtId="165" fontId="23" fillId="27" borderId="50" applyAlignment="1" applyProtection="1" pivotButton="0" quotePrefix="0" xfId="0">
      <alignment horizontal="center" vertical="center" shrinkToFit="1"/>
      <protection locked="1" hidden="1"/>
    </xf>
    <xf numFmtId="164" fontId="0" fillId="25" borderId="21" applyAlignment="1" applyProtection="1" pivotButton="0" quotePrefix="0" xfId="0">
      <alignment horizontal="center" vertical="center" shrinkToFit="1"/>
      <protection locked="1" hidden="1"/>
    </xf>
    <xf numFmtId="164" fontId="23" fillId="25" borderId="110" applyAlignment="1" applyProtection="1" pivotButton="0" quotePrefix="0" xfId="0">
      <alignment horizontal="center" vertical="center" shrinkToFit="1"/>
      <protection locked="1" hidden="1"/>
    </xf>
    <xf numFmtId="0" fontId="23" fillId="27" borderId="17" applyAlignment="1" applyProtection="1" pivotButton="0" quotePrefix="0" xfId="0">
      <alignment horizontal="right" vertical="center" indent="1"/>
      <protection locked="1" hidden="1"/>
    </xf>
    <xf numFmtId="165" fontId="23" fillId="27" borderId="37" applyAlignment="1" applyProtection="1" pivotButton="0" quotePrefix="0" xfId="0">
      <alignment horizontal="left" vertical="center"/>
      <protection locked="1" hidden="1"/>
    </xf>
    <xf numFmtId="172" fontId="0" fillId="25" borderId="27" applyAlignment="1" applyProtection="1" pivotButton="0" quotePrefix="0" xfId="0">
      <alignment horizontal="center" vertical="center"/>
      <protection locked="1" hidden="1"/>
    </xf>
    <xf numFmtId="165" fontId="0" fillId="25" borderId="100" applyAlignment="1" applyProtection="1" pivotButton="0" quotePrefix="0" xfId="0">
      <alignment horizontal="center" vertical="center" shrinkToFit="1"/>
      <protection locked="1" hidden="1"/>
    </xf>
    <xf numFmtId="0" fontId="0" fillId="0" borderId="100" applyProtection="1" pivotButton="0" quotePrefix="0" xfId="0">
      <protection locked="1" hidden="1"/>
    </xf>
    <xf numFmtId="0" fontId="0" fillId="0" borderId="40" applyProtection="1" pivotButton="0" quotePrefix="0" xfId="0">
      <protection locked="1" hidden="1"/>
    </xf>
    <xf numFmtId="172" fontId="0" fillId="25" borderId="71" applyAlignment="1" applyProtection="1" pivotButton="0" quotePrefix="0" xfId="0">
      <alignment horizontal="center" vertical="center"/>
      <protection locked="1" hidden="1"/>
    </xf>
    <xf numFmtId="165" fontId="0" fillId="25" borderId="99" applyAlignment="1" applyProtection="1" pivotButton="0" quotePrefix="0" xfId="0">
      <alignment horizontal="center" vertical="center" shrinkToFit="1"/>
      <protection locked="1" hidden="1"/>
    </xf>
    <xf numFmtId="0" fontId="0" fillId="0" borderId="99" applyProtection="1" pivotButton="0" quotePrefix="0" xfId="0">
      <protection locked="1" hidden="1"/>
    </xf>
    <xf numFmtId="172" fontId="0" fillId="25" borderId="58" applyAlignment="1" applyProtection="1" pivotButton="0" quotePrefix="0" xfId="0">
      <alignment horizontal="center" vertical="center"/>
      <protection locked="1" hidden="1"/>
    </xf>
    <xf numFmtId="165" fontId="0" fillId="25" borderId="80" applyAlignment="1" applyProtection="1" pivotButton="0" quotePrefix="0" xfId="0">
      <alignment horizontal="center" vertical="center" shrinkToFit="1"/>
      <protection locked="1" hidden="1"/>
    </xf>
    <xf numFmtId="0" fontId="0" fillId="0" borderId="80" applyProtection="1" pivotButton="0" quotePrefix="0" xfId="0">
      <protection locked="1" hidden="1"/>
    </xf>
    <xf numFmtId="165" fontId="0" fillId="27" borderId="62" applyAlignment="1" applyProtection="1" pivotButton="0" quotePrefix="0" xfId="0">
      <alignment horizontal="center" vertical="center" shrinkToFit="1"/>
      <protection locked="1" hidden="1"/>
    </xf>
    <xf numFmtId="165" fontId="0" fillId="27" borderId="63" applyAlignment="1" applyProtection="1" pivotButton="0" quotePrefix="0" xfId="0">
      <alignment horizontal="center" vertical="center" shrinkToFit="1"/>
      <protection locked="1" hidden="1"/>
    </xf>
    <xf numFmtId="165" fontId="0" fillId="27" borderId="64" applyAlignment="1" applyProtection="1" pivotButton="0" quotePrefix="0" xfId="0">
      <alignment horizontal="center" vertical="center" shrinkToFit="1"/>
      <protection locked="1" hidden="1"/>
    </xf>
    <xf numFmtId="165" fontId="0" fillId="27" borderId="65" applyAlignment="1" applyProtection="1" pivotButton="0" quotePrefix="0" xfId="0">
      <alignment horizontal="center" vertical="center" shrinkToFit="1"/>
      <protection locked="1" hidden="1"/>
    </xf>
    <xf numFmtId="165" fontId="0" fillId="27" borderId="66" applyAlignment="1" applyProtection="1" pivotButton="0" quotePrefix="0" xfId="0">
      <alignment horizontal="center" vertical="center" shrinkToFit="1"/>
      <protection locked="1" hidden="1"/>
    </xf>
    <xf numFmtId="172" fontId="23" fillId="25" borderId="37" applyAlignment="1" applyProtection="1" pivotButton="0" quotePrefix="0" xfId="0">
      <alignment horizontal="center" vertical="center"/>
      <protection locked="1" hidden="1"/>
    </xf>
    <xf numFmtId="165" fontId="23" fillId="27" borderId="12" applyAlignment="1" applyProtection="1" pivotButton="0" quotePrefix="0" xfId="0">
      <alignment horizontal="center" vertical="center" shrinkToFit="1"/>
      <protection locked="1" hidden="1"/>
    </xf>
    <xf numFmtId="165" fontId="23" fillId="27" borderId="18" applyAlignment="1" applyProtection="1" pivotButton="0" quotePrefix="0" xfId="0">
      <alignment horizontal="center" vertical="center" shrinkToFit="1"/>
      <protection locked="1" hidden="1"/>
    </xf>
    <xf numFmtId="165" fontId="23" fillId="27" borderId="15" applyAlignment="1" applyProtection="1" pivotButton="0" quotePrefix="0" xfId="0">
      <alignment horizontal="center" vertical="center" shrinkToFit="1"/>
      <protection locked="1" hidden="1"/>
    </xf>
    <xf numFmtId="165" fontId="23" fillId="27" borderId="19" applyAlignment="1" applyProtection="1" pivotButton="0" quotePrefix="0" xfId="0">
      <alignment horizontal="center" vertical="center" shrinkToFit="1"/>
      <protection locked="1" hidden="1"/>
    </xf>
    <xf numFmtId="165" fontId="23" fillId="27" borderId="13" applyAlignment="1" applyProtection="1" pivotButton="0" quotePrefix="0" xfId="0">
      <alignment horizontal="center" vertical="center" shrinkToFit="1"/>
      <protection locked="1" hidden="1"/>
    </xf>
    <xf numFmtId="165" fontId="23" fillId="27" borderId="20" applyAlignment="1" applyProtection="1" pivotButton="0" quotePrefix="0" xfId="0">
      <alignment horizontal="center" vertical="center" shrinkToFit="1"/>
      <protection locked="1" hidden="1"/>
    </xf>
    <xf numFmtId="171" fontId="0" fillId="25" borderId="24" applyAlignment="1" applyProtection="1" pivotButton="0" quotePrefix="0" xfId="0">
      <alignment horizontal="left" vertical="center"/>
      <protection locked="1" hidden="1"/>
    </xf>
    <xf numFmtId="173" fontId="0" fillId="25" borderId="69" applyAlignment="1" applyProtection="1" pivotButton="0" quotePrefix="0" xfId="0">
      <alignment horizontal="left" vertical="center"/>
      <protection locked="1" hidden="1"/>
    </xf>
    <xf numFmtId="174" fontId="0" fillId="25" borderId="59" applyAlignment="1" applyProtection="1" pivotButton="0" quotePrefix="0" xfId="0">
      <alignment horizontal="left" vertical="center"/>
      <protection locked="1" hidden="1"/>
    </xf>
    <xf numFmtId="165" fontId="0" fillId="25" borderId="58" applyAlignment="1" applyProtection="1" pivotButton="0" quotePrefix="0" xfId="0">
      <alignment horizontal="center" vertical="center" shrinkToFit="1"/>
      <protection locked="1" hidden="1"/>
    </xf>
    <xf numFmtId="165" fontId="0" fillId="25" borderId="68" applyAlignment="1" applyProtection="1" pivotButton="0" quotePrefix="0" xfId="0">
      <alignment horizontal="center" vertical="center" shrinkToFit="1"/>
      <protection locked="1" hidden="1"/>
    </xf>
    <xf numFmtId="165" fontId="0" fillId="25" borderId="59" applyAlignment="1" applyProtection="1" pivotButton="0" quotePrefix="0" xfId="0">
      <alignment horizontal="center" vertical="center" shrinkToFit="1"/>
      <protection locked="1" hidden="1"/>
    </xf>
    <xf numFmtId="165" fontId="0" fillId="25" borderId="57" applyAlignment="1" applyProtection="1" pivotButton="0" quotePrefix="0" xfId="0">
      <alignment horizontal="center" vertical="center" shrinkToFit="1"/>
      <protection locked="1" hidden="1"/>
    </xf>
    <xf numFmtId="165" fontId="0" fillId="25" borderId="69" applyAlignment="1" applyProtection="1" pivotButton="0" quotePrefix="0" xfId="0">
      <alignment horizontal="center" vertical="center" shrinkToFit="1"/>
      <protection locked="1" hidden="1"/>
    </xf>
    <xf numFmtId="165" fontId="0" fillId="0" borderId="12" applyAlignment="1" applyProtection="1" pivotButton="0" quotePrefix="0" xfId="0">
      <alignment horizontal="center" vertical="center" shrinkToFit="1"/>
      <protection locked="0" hidden="0"/>
    </xf>
    <xf numFmtId="165" fontId="0" fillId="0" borderId="18" applyAlignment="1" applyProtection="1" pivotButton="0" quotePrefix="0" xfId="0">
      <alignment horizontal="center" vertical="center" shrinkToFit="1"/>
      <protection locked="0" hidden="0"/>
    </xf>
    <xf numFmtId="165" fontId="0" fillId="0" borderId="15" applyAlignment="1" applyProtection="1" pivotButton="0" quotePrefix="0" xfId="0">
      <alignment horizontal="center" vertical="center" shrinkToFit="1"/>
      <protection locked="0" hidden="0"/>
    </xf>
    <xf numFmtId="165" fontId="0" fillId="0" borderId="19" applyAlignment="1" applyProtection="1" pivotButton="0" quotePrefix="0" xfId="0">
      <alignment horizontal="center" vertical="center" shrinkToFit="1"/>
      <protection locked="0" hidden="0"/>
    </xf>
    <xf numFmtId="165" fontId="0" fillId="0" borderId="13" applyAlignment="1" applyProtection="1" pivotButton="0" quotePrefix="0" xfId="0">
      <alignment horizontal="center" vertical="center" shrinkToFit="1"/>
      <protection locked="0" hidden="0"/>
    </xf>
    <xf numFmtId="165" fontId="0" fillId="0" borderId="20" applyAlignment="1" applyProtection="1" pivotButton="0" quotePrefix="0" xfId="0">
      <alignment horizontal="center" vertical="center" shrinkToFit="1"/>
      <protection locked="0" hidden="0"/>
    </xf>
    <xf numFmtId="172" fontId="0" fillId="25" borderId="70" applyAlignment="1" applyProtection="1" pivotButton="0" quotePrefix="0" xfId="0">
      <alignment horizontal="center" vertical="center"/>
      <protection locked="1" hidden="1"/>
    </xf>
    <xf numFmtId="172" fontId="0" fillId="25" borderId="40" applyAlignment="1" applyProtection="1" pivotButton="0" quotePrefix="0" xfId="0">
      <alignment horizontal="center" vertical="center"/>
      <protection locked="1" hidden="1"/>
    </xf>
  </cellXfs>
  <cellStyles count="44">
    <cellStyle name="Обычный" xfId="0" builtinId="0"/>
    <cellStyle name="20% - Акцент1" xfId="1"/>
    <cellStyle name="20% - Акцент2" xfId="2"/>
    <cellStyle name="20% - Акцент3" xfId="3"/>
    <cellStyle name="20% - Акцент4" xfId="4"/>
    <cellStyle name="20% - Акцент5" xfId="5"/>
    <cellStyle name="20% - Акцент6" xfId="6"/>
    <cellStyle name="40% - Акцент1" xfId="7"/>
    <cellStyle name="40% - Акцент2" xfId="8"/>
    <cellStyle name="40% - Акцент3" xfId="9"/>
    <cellStyle name="40% - Акцент4" xfId="10"/>
    <cellStyle name="40% - Акцент5" xfId="11"/>
    <cellStyle name="40% - Акцент6" xfId="12"/>
    <cellStyle name="60% - Акцент1" xfId="13"/>
    <cellStyle name="60% - Акцент2" xfId="14"/>
    <cellStyle name="60% - Акцент3" xfId="15"/>
    <cellStyle name="60% - Акцент4" xfId="16"/>
    <cellStyle name="60% - Акцент5" xfId="17"/>
    <cellStyle name="60% - Акцент6" xfId="18"/>
    <cellStyle name="Акцент1" xfId="19" builtinId="29"/>
    <cellStyle name="Акцент2" xfId="20" builtinId="33"/>
    <cellStyle name="Акцент3" xfId="21" builtinId="37"/>
    <cellStyle name="Акцент4" xfId="22" builtinId="41"/>
    <cellStyle name="Акцент5" xfId="23" builtinId="45"/>
    <cellStyle name="Акцент6" xfId="24" builtinId="49"/>
    <cellStyle name="Ввод " xfId="25" builtinId="20"/>
    <cellStyle name="Вывод" xfId="26" builtinId="21"/>
    <cellStyle name="Вычисление" xfId="27" builtinId="22"/>
    <cellStyle name="Гиперссылка" xfId="28" builtinId="8"/>
    <cellStyle name="Заголовок 1" xfId="29" builtinId="16"/>
    <cellStyle name="Заголовок 2" xfId="30" builtinId="17"/>
    <cellStyle name="Заголовок 3" xfId="31" builtinId="18"/>
    <cellStyle name="Заголовок 4" xfId="32" builtinId="19"/>
    <cellStyle name="Итог" xfId="33" builtinId="25"/>
    <cellStyle name="Контрольная ячейка" xfId="34" builtinId="23"/>
    <cellStyle name="Название" xfId="35" builtinId="15"/>
    <cellStyle name="Нейтральный" xfId="36" builtinId="28"/>
    <cellStyle name="Обычный 2" xfId="37"/>
    <cellStyle name="Плохой" xfId="38" builtinId="27"/>
    <cellStyle name="Пояснение" xfId="39" builtinId="53"/>
    <cellStyle name="Примечание" xfId="40" builtinId="10"/>
    <cellStyle name="Связанная ячейка" xfId="41" builtinId="24"/>
    <cellStyle name="Текст предупреждения" xfId="42" builtinId="11"/>
    <cellStyle name="Хороший" xfId="43" builtinId="26"/>
  </cellStyles>
  <dxfs count="96">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ill>
        <patternFill>
          <bgColor indexed="41"/>
        </patternFill>
      </fill>
    </dxf>
    <dxf>
      <fill>
        <patternFill>
          <bgColor indexed="41"/>
        </patternFill>
      </fill>
    </dxf>
    <dxf>
      <font>
        <condense val="0"/>
        <color indexed="10"/>
        <extend val="0"/>
      </font>
      <fill>
        <patternFill>
          <bgColor indexed="43"/>
        </patternFill>
      </fill>
    </dxf>
    <dxf>
      <font>
        <condense val="0"/>
        <color indexed="10"/>
        <extend val="0"/>
      </font>
      <fill>
        <patternFill>
          <bgColor indexed="43"/>
        </patternFill>
      </fill>
    </dxf>
    <dxf>
      <font>
        <condense val="0"/>
        <color indexed="10"/>
        <extend val="0"/>
      </font>
      <fill>
        <patternFill>
          <bgColor indexed="43"/>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ill>
        <patternFill>
          <bgColor indexed="41"/>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ont>
        <condense val="0"/>
        <color indexed="10"/>
        <extend val="0"/>
      </font>
      <fill>
        <patternFill>
          <bgColor indexed="43"/>
        </patternFill>
      </fill>
    </dxf>
    <dxf>
      <font>
        <b val="1"/>
        <condense val="0"/>
        <color indexed="13"/>
        <extend val="0"/>
      </font>
      <fill>
        <patternFill>
          <bgColor indexed="10"/>
        </patternFill>
      </fill>
    </dxf>
    <dxf>
      <fill>
        <patternFill>
          <bgColor indexed="41"/>
        </patternFill>
      </fill>
    </dxf>
    <dxf>
      <fill>
        <patternFill>
          <bgColor indexed="41"/>
        </patternFill>
      </fill>
    </dxf>
    <dxf>
      <font>
        <condense val="0"/>
        <color indexed="10"/>
        <extend val="0"/>
      </font>
      <fill>
        <patternFill>
          <bgColor indexed="43"/>
        </patternFill>
      </fill>
    </dxf>
    <dxf>
      <font>
        <color rgb="FFFFFF00"/>
      </font>
      <fill>
        <patternFill>
          <bgColor rgb="FFFF0000"/>
        </patternFill>
      </fill>
    </dxf>
    <dxf>
      <fill>
        <patternFill>
          <bgColor indexed="41"/>
        </patternFill>
      </fill>
    </dxf>
    <dxf>
      <fill>
        <patternFill>
          <bgColor indexed="41"/>
        </patternFill>
      </fill>
    </dxf>
    <dxf>
      <font>
        <color rgb="FFFFFF00"/>
      </font>
      <fill>
        <patternFill>
          <bgColor rgb="FFFF0000"/>
        </patternFill>
      </fill>
    </dxf>
    <dxf>
      <font>
        <condense val="0"/>
        <color indexed="10"/>
        <extend val="0"/>
      </font>
      <fill>
        <patternFill>
          <bgColor indexed="43"/>
        </patternFill>
      </fill>
    </dxf>
    <dxf>
      <fill>
        <patternFill>
          <bgColor indexed="41"/>
        </patternFill>
      </fill>
    </dxf>
    <dxf>
      <font>
        <color theme="0"/>
      </font>
    </dxf>
    <dxf>
      <fill>
        <patternFill>
          <bgColor rgb="FFFFFF99"/>
        </patternFill>
      </fill>
    </dxf>
    <dxf>
      <fill>
        <patternFill>
          <bgColor indexed="43"/>
        </patternFill>
      </fill>
    </dxf>
    <dxf>
      <fill>
        <patternFill>
          <bgColor indexed="43"/>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gpv.iff</author>
    <author>Paul V.</author>
    <author>Павел Гришмановский</author>
  </authors>
  <commentList>
    <comment ref="B8" authorId="0" shapeId="0">
      <text>
        <t>выбрать из списка</t>
      </text>
    </comment>
    <comment ref="B9" authorId="0" shapeId="0">
      <text>
        <t>выбрать из списка</t>
      </text>
    </comment>
    <comment ref="B11" authorId="1" shapeId="0">
      <text>
        <t>не изменяется</t>
      </text>
    </comment>
    <comment ref="B12" authorId="0" shapeId="0">
      <text>
        <t>выбрать из списка</t>
      </text>
    </comment>
    <comment ref="B15" authorId="0" shapeId="0">
      <text>
        <t>фамилия, имя, отчество преподавателя (полностью)</t>
      </text>
    </comment>
    <comment ref="B16" authorId="0" shapeId="0">
      <text>
        <t>выбрать из списка</t>
      </text>
    </comment>
    <comment ref="F16" authorId="2" shapeId="0">
      <text>
        <t>выбрать из списка в случае основной должности заведующего кафедрой</t>
      </text>
    </comment>
    <comment ref="B18" authorId="0" shapeId="0">
      <text>
        <t>выбрать из списка или оставить пустым, если нет</t>
      </text>
    </comment>
    <comment ref="D18" authorId="0" shapeId="0">
      <text>
        <t>выбрать отрасль наук из списка или вписать (при наличии ученой степени)</t>
      </text>
    </comment>
    <comment ref="B19" authorId="0" shapeId="0">
      <text>
        <t>выбрать из списка или оставить пустым, если нет</t>
      </text>
    </comment>
    <comment ref="C24" authorId="1" shapeId="0">
      <text>
        <t>значение рассчитывается автоматически</t>
      </text>
    </comment>
    <comment ref="D24" authorId="1" shapeId="0">
      <text>
        <t>заполняется в соответствии с приказом после утверждения нагрузки</t>
      </text>
    </comment>
    <comment ref="C25" authorId="1" shapeId="0">
      <text>
        <t>значение рассчитывается автоматически</t>
      </text>
    </comment>
    <comment ref="D25" authorId="1" shapeId="0">
      <text>
        <t>заполняется в соответствии с приказом после утверждения нагрузки</t>
      </text>
    </comment>
    <comment ref="C26" authorId="2" shapeId="0">
      <text>
        <t>значение рассчитывается автоматически</t>
      </text>
    </comment>
    <comment ref="D26" authorId="1" shapeId="0">
      <text>
        <t>заполняется в соответствии с приказом после утверждения нагрузки</t>
      </text>
    </comment>
    <comment ref="C27" authorId="1" shapeId="0">
      <text>
        <t>значение рассчитывается автоматически</t>
      </text>
    </comment>
    <comment ref="D27" authorId="1" shapeId="0">
      <text>
        <t>значение рассчитывается автоматически</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14289</colOff>
      <row>0</row>
      <rowOff>14290</rowOff>
    </from>
    <to>
      <col>6</col>
      <colOff>1906</colOff>
      <row>0</row>
      <rowOff>779061</rowOff>
    </to>
    <pic>
      <nvPicPr>
        <cNvPr id="2" name="Рисунок 1"/>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385"/>
        <a:stretch xmlns:a="http://schemas.openxmlformats.org/drawingml/2006/main">
          <a:fillRect/>
        </a:stretch>
      </blipFill>
      <spPr>
        <a:xfrm xmlns:a="http://schemas.openxmlformats.org/drawingml/2006/main">
          <a:off x="14289" y="14290"/>
          <a:ext cx="5853112" cy="76477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mailto:grishmanovskiy_pv@surgu.ru?subject=&#1058;&#1077;&#1090;&#1088;&#1072;&#1076;&#1100;%20&#1055;&#1055;&#1057;" TargetMode="External" Id="rId1"/></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Лист32">
    <tabColor indexed="8"/>
    <outlinePr summaryBelow="1" summaryRight="1"/>
    <pageSetUpPr/>
  </sheetPr>
  <dimension ref="A1:S177"/>
  <sheetViews>
    <sheetView topLeftCell="R1" workbookViewId="0">
      <selection activeCell="R2" sqref="R2"/>
    </sheetView>
  </sheetViews>
  <sheetFormatPr baseColWidth="8" defaultColWidth="9.109375" defaultRowHeight="13.2"/>
  <cols>
    <col hidden="1" width="15.6640625" customWidth="1" style="2" min="1" max="1"/>
    <col hidden="1" width="5.6640625" customWidth="1" style="2" min="2" max="3"/>
    <col hidden="1" width="15.6640625" customWidth="1" style="2" min="4" max="5"/>
    <col hidden="1" width="5.6640625" customWidth="1" style="2" min="6" max="7"/>
    <col hidden="1" width="15.6640625" customWidth="1" style="2" min="8" max="9"/>
    <col hidden="1" width="5.6640625" customWidth="1" style="2" min="10" max="11"/>
    <col hidden="1" width="15.6640625" customWidth="1" style="2" min="12" max="13"/>
    <col hidden="1" width="5.6640625" customWidth="1" style="2" min="14" max="15"/>
    <col hidden="1" width="15.6640625" customWidth="1" style="2" min="16" max="16"/>
    <col hidden="1" width="9.109375" customWidth="1" style="2" min="17" max="17"/>
    <col width="9.109375" customWidth="1" style="2" min="18" max="16384"/>
  </cols>
  <sheetData>
    <row r="1">
      <c r="A1" s="278" t="inlineStr">
        <is>
          <t>Осень.Дисциплины</t>
        </is>
      </c>
      <c r="B1" s="278" t="n"/>
      <c r="C1" s="278" t="n"/>
      <c r="D1" s="278" t="n"/>
      <c r="E1" s="278" t="inlineStr">
        <is>
          <t>Осень.Группы</t>
        </is>
      </c>
      <c r="F1" s="278" t="n"/>
      <c r="G1" s="278" t="n"/>
      <c r="H1" s="278" t="n"/>
      <c r="I1" s="278" t="inlineStr">
        <is>
          <t>Весна.Дисциплины</t>
        </is>
      </c>
      <c r="J1" s="278" t="n"/>
      <c r="K1" s="278" t="n"/>
      <c r="L1" s="278" t="n"/>
      <c r="M1" s="278" t="inlineStr">
        <is>
          <t>Весна.Группы</t>
        </is>
      </c>
      <c r="N1" s="278" t="n"/>
      <c r="O1" s="278" t="n"/>
      <c r="P1" s="278" t="n"/>
      <c r="R1" s="279" t="inlineStr">
        <is>
          <t>Служебный лист</t>
        </is>
      </c>
      <c r="S1" s="279" t="n"/>
    </row>
    <row r="2">
      <c r="A2" s="58">
        <f>TRIM(CLEAN(INDEX(ЗаданияОсень,ROW(A2)-1,1)))</f>
        <v/>
      </c>
      <c r="B2" s="59">
        <f>IF(OR(A2="",COUNTIF(A$2:A2,A2)&gt;1),B3+1,0)</f>
        <v/>
      </c>
      <c r="C2" s="60">
        <f>INDEX(B$2:B$177,B2+1,1)+B2+1</f>
        <v/>
      </c>
      <c r="D2" s="61">
        <f>INDEX(ЗаданияОсень,C2,1)</f>
        <v/>
      </c>
      <c r="E2" s="58">
        <f>TRIM(CLEAN(INDEX(ЗаданияОсень,ROW(E2)-1,2)))</f>
        <v/>
      </c>
      <c r="F2" s="59">
        <f>IF(OR(E2="",COUNTIF(E$2:E2,E2)&gt;1),F3+1,0)</f>
        <v/>
      </c>
      <c r="G2" s="60">
        <f>INDEX(F$2:F$177,F2+1,1)+F2+1</f>
        <v/>
      </c>
      <c r="H2" s="61">
        <f>INDEX(ЗаданияОсень,G2,2)</f>
        <v/>
      </c>
      <c r="I2" s="58">
        <f>TRIM(CLEAN(INDEX(ЗаданияВесна,ROW(I2)-1,1)))</f>
        <v/>
      </c>
      <c r="J2" s="59">
        <f>IF(OR(I2="",COUNTIF(I$2:I2,I2)&gt;1),J3+1,0)</f>
        <v/>
      </c>
      <c r="K2" s="60">
        <f>INDEX(J$2:J$177,J2+1,1)+J2+1</f>
        <v/>
      </c>
      <c r="L2" s="61">
        <f>INDEX(ЗаданияВесна,K2,1)</f>
        <v/>
      </c>
      <c r="M2" s="58">
        <f>TRIM(CLEAN(INDEX(ЗаданияВесна,ROW(M2)-1,2)))</f>
        <v/>
      </c>
      <c r="N2" s="59">
        <f>IF(OR(M2="",COUNTIF(M$2:M2,M2)&gt;1),N3+1,0)</f>
        <v/>
      </c>
      <c r="O2" s="60">
        <f>INDEX(N$2:N$177,N2+1,1)+N2+1</f>
        <v/>
      </c>
      <c r="P2" s="61">
        <f>INDEX(ЗаданияВесна,O2,2)</f>
        <v/>
      </c>
    </row>
    <row r="3">
      <c r="A3" s="58">
        <f>TRIM(CLEAN(INDEX(ЗаданияОсень,ROW(A3)-1,1)))</f>
        <v/>
      </c>
      <c r="B3" s="59">
        <f>IF(OR(A3="",COUNTIF(A$2:A3,A3)&gt;1),B4+1,0)</f>
        <v/>
      </c>
      <c r="C3" s="2">
        <f>INDEX(B$2:B$177,C2+1,1)+C2+1</f>
        <v/>
      </c>
      <c r="D3" s="61">
        <f>INDEX(ЗаданияОсень,C3,1)</f>
        <v/>
      </c>
      <c r="E3" s="58">
        <f>TRIM(CLEAN(INDEX(ЗаданияОсень,ROW(E3)-1,2)))</f>
        <v/>
      </c>
      <c r="F3" s="59">
        <f>IF(OR(E3="",COUNTIF(E$2:E3,E3)&gt;1),F4+1,0)</f>
        <v/>
      </c>
      <c r="G3" s="2">
        <f>INDEX(F$2:F$177,G2+1,1)+G2+1</f>
        <v/>
      </c>
      <c r="H3" s="61">
        <f>INDEX(ЗаданияОсень,G3,2)</f>
        <v/>
      </c>
      <c r="I3" s="58">
        <f>TRIM(CLEAN(INDEX(ЗаданияВесна,ROW(I3)-1,1)))</f>
        <v/>
      </c>
      <c r="J3" s="59">
        <f>IF(OR(I3="",COUNTIF(I$2:I3,I3)&gt;1),J4+1,0)</f>
        <v/>
      </c>
      <c r="K3" s="2">
        <f>INDEX(J$2:J$177,K2+1,1)+K2+1</f>
        <v/>
      </c>
      <c r="L3" s="61">
        <f>INDEX(ЗаданияВесна,K3,1)</f>
        <v/>
      </c>
      <c r="M3" s="58">
        <f>TRIM(CLEAN(INDEX(ЗаданияВесна,ROW(M3)-1,2)))</f>
        <v/>
      </c>
      <c r="N3" s="59">
        <f>IF(OR(M3="",COUNTIF(M$2:M3,M3)&gt;1),N4+1,0)</f>
        <v/>
      </c>
      <c r="O3" s="2">
        <f>INDEX(N$2:N$177,O2+1,1)+O2+1</f>
        <v/>
      </c>
      <c r="P3" s="61">
        <f>INDEX(ЗаданияВесна,O3,2)</f>
        <v/>
      </c>
    </row>
    <row r="4">
      <c r="A4" s="58">
        <f>TRIM(CLEAN(INDEX(ЗаданияОсень,ROW(A4)-1,1)))</f>
        <v/>
      </c>
      <c r="B4" s="59">
        <f>IF(OR(A4="",COUNTIF(A$2:A4,A4)&gt;1),B5+1,0)</f>
        <v/>
      </c>
      <c r="C4" s="2">
        <f>INDEX(B$2:B$177,C3+1,1)+C3+1</f>
        <v/>
      </c>
      <c r="D4" s="61">
        <f>INDEX(ЗаданияОсень,C4,1)</f>
        <v/>
      </c>
      <c r="E4" s="58">
        <f>TRIM(CLEAN(INDEX(ЗаданияОсень,ROW(E4)-1,2)))</f>
        <v/>
      </c>
      <c r="F4" s="59">
        <f>IF(OR(E4="",COUNTIF(E$2:E4,E4)&gt;1),F5+1,0)</f>
        <v/>
      </c>
      <c r="G4" s="2">
        <f>INDEX(F$2:F$177,G3+1,1)+G3+1</f>
        <v/>
      </c>
      <c r="H4" s="61">
        <f>INDEX(ЗаданияОсень,G4,2)</f>
        <v/>
      </c>
      <c r="I4" s="58">
        <f>TRIM(CLEAN(INDEX(ЗаданияВесна,ROW(I4)-1,1)))</f>
        <v/>
      </c>
      <c r="J4" s="59">
        <f>IF(OR(I4="",COUNTIF(I$2:I4,I4)&gt;1),J5+1,0)</f>
        <v/>
      </c>
      <c r="K4" s="2">
        <f>INDEX(J$2:J$177,K3+1,1)+K3+1</f>
        <v/>
      </c>
      <c r="L4" s="61">
        <f>INDEX(ЗаданияВесна,K4,1)</f>
        <v/>
      </c>
      <c r="M4" s="58">
        <f>TRIM(CLEAN(INDEX(ЗаданияВесна,ROW(M4)-1,2)))</f>
        <v/>
      </c>
      <c r="N4" s="59">
        <f>IF(OR(M4="",COUNTIF(M$2:M4,M4)&gt;1),N5+1,0)</f>
        <v/>
      </c>
      <c r="O4" s="2">
        <f>INDEX(N$2:N$177,O3+1,1)+O3+1</f>
        <v/>
      </c>
      <c r="P4" s="61">
        <f>INDEX(ЗаданияВесна,O4,2)</f>
        <v/>
      </c>
    </row>
    <row r="5">
      <c r="A5" s="58">
        <f>TRIM(CLEAN(INDEX(ЗаданияОсень,ROW(A5)-1,1)))</f>
        <v/>
      </c>
      <c r="B5" s="59">
        <f>IF(OR(A5="",COUNTIF(A$2:A5,A5)&gt;1),B6+1,0)</f>
        <v/>
      </c>
      <c r="C5" s="2">
        <f>INDEX(B$2:B$177,C4+1,1)+C4+1</f>
        <v/>
      </c>
      <c r="D5" s="61">
        <f>INDEX(ЗаданияОсень,C5,1)</f>
        <v/>
      </c>
      <c r="E5" s="58">
        <f>TRIM(CLEAN(INDEX(ЗаданияОсень,ROW(E5)-1,2)))</f>
        <v/>
      </c>
      <c r="F5" s="59">
        <f>IF(OR(E5="",COUNTIF(E$2:E5,E5)&gt;1),F6+1,0)</f>
        <v/>
      </c>
      <c r="G5" s="2">
        <f>INDEX(F$2:F$177,G4+1,1)+G4+1</f>
        <v/>
      </c>
      <c r="H5" s="61">
        <f>INDEX(ЗаданияОсень,G5,2)</f>
        <v/>
      </c>
      <c r="I5" s="58">
        <f>TRIM(CLEAN(INDEX(ЗаданияВесна,ROW(I5)-1,1)))</f>
        <v/>
      </c>
      <c r="J5" s="59">
        <f>IF(OR(I5="",COUNTIF(I$2:I5,I5)&gt;1),J6+1,0)</f>
        <v/>
      </c>
      <c r="K5" s="2">
        <f>INDEX(J$2:J$177,K4+1,1)+K4+1</f>
        <v/>
      </c>
      <c r="L5" s="61">
        <f>INDEX(ЗаданияВесна,K5,1)</f>
        <v/>
      </c>
      <c r="M5" s="58">
        <f>TRIM(CLEAN(INDEX(ЗаданияВесна,ROW(M5)-1,2)))</f>
        <v/>
      </c>
      <c r="N5" s="59">
        <f>IF(OR(M5="",COUNTIF(M$2:M5,M5)&gt;1),N6+1,0)</f>
        <v/>
      </c>
      <c r="O5" s="2">
        <f>INDEX(N$2:N$177,O4+1,1)+O4+1</f>
        <v/>
      </c>
      <c r="P5" s="61">
        <f>INDEX(ЗаданияВесна,O5,2)</f>
        <v/>
      </c>
    </row>
    <row r="6">
      <c r="A6" s="58">
        <f>TRIM(CLEAN(INDEX(ЗаданияОсень,ROW(A6)-1,1)))</f>
        <v/>
      </c>
      <c r="B6" s="59">
        <f>IF(OR(A6="",COUNTIF(A$2:A6,A6)&gt;1),B7+1,0)</f>
        <v/>
      </c>
      <c r="C6" s="2">
        <f>INDEX(B$2:B$177,C5+1,1)+C5+1</f>
        <v/>
      </c>
      <c r="D6" s="61">
        <f>INDEX(ЗаданияОсень,C6,1)</f>
        <v/>
      </c>
      <c r="E6" s="58">
        <f>TRIM(CLEAN(INDEX(ЗаданияОсень,ROW(E6)-1,2)))</f>
        <v/>
      </c>
      <c r="F6" s="59">
        <f>IF(OR(E6="",COUNTIF(E$2:E6,E6)&gt;1),F7+1,0)</f>
        <v/>
      </c>
      <c r="G6" s="2">
        <f>INDEX(F$2:F$177,G5+1,1)+G5+1</f>
        <v/>
      </c>
      <c r="H6" s="61">
        <f>INDEX(ЗаданияОсень,G6,2)</f>
        <v/>
      </c>
      <c r="I6" s="58">
        <f>TRIM(CLEAN(INDEX(ЗаданияВесна,ROW(I6)-1,1)))</f>
        <v/>
      </c>
      <c r="J6" s="59">
        <f>IF(OR(I6="",COUNTIF(I$2:I6,I6)&gt;1),J7+1,0)</f>
        <v/>
      </c>
      <c r="K6" s="2">
        <f>INDEX(J$2:J$177,K5+1,1)+K5+1</f>
        <v/>
      </c>
      <c r="L6" s="61">
        <f>INDEX(ЗаданияВесна,K6,1)</f>
        <v/>
      </c>
      <c r="M6" s="58">
        <f>TRIM(CLEAN(INDEX(ЗаданияВесна,ROW(M6)-1,2)))</f>
        <v/>
      </c>
      <c r="N6" s="59">
        <f>IF(OR(M6="",COUNTIF(M$2:M6,M6)&gt;1),N7+1,0)</f>
        <v/>
      </c>
      <c r="O6" s="2">
        <f>INDEX(N$2:N$177,O5+1,1)+O5+1</f>
        <v/>
      </c>
      <c r="P6" s="61">
        <f>INDEX(ЗаданияВесна,O6,2)</f>
        <v/>
      </c>
    </row>
    <row r="7">
      <c r="A7" s="58">
        <f>TRIM(CLEAN(INDEX(ЗаданияОсень,ROW(A7)-1,1)))</f>
        <v/>
      </c>
      <c r="B7" s="59">
        <f>IF(OR(A7="",COUNTIF(A$2:A7,A7)&gt;1),B8+1,0)</f>
        <v/>
      </c>
      <c r="C7" s="2">
        <f>INDEX(B$2:B$177,C6+1,1)+C6+1</f>
        <v/>
      </c>
      <c r="D7" s="61">
        <f>INDEX(ЗаданияОсень,C7,1)</f>
        <v/>
      </c>
      <c r="E7" s="58">
        <f>TRIM(CLEAN(INDEX(ЗаданияОсень,ROW(E7)-1,2)))</f>
        <v/>
      </c>
      <c r="F7" s="59">
        <f>IF(OR(E7="",COUNTIF(E$2:E7,E7)&gt;1),F8+1,0)</f>
        <v/>
      </c>
      <c r="G7" s="2">
        <f>INDEX(F$2:F$177,G6+1,1)+G6+1</f>
        <v/>
      </c>
      <c r="H7" s="61">
        <f>INDEX(ЗаданияОсень,G7,2)</f>
        <v/>
      </c>
      <c r="I7" s="58">
        <f>TRIM(CLEAN(INDEX(ЗаданияВесна,ROW(I7)-1,1)))</f>
        <v/>
      </c>
      <c r="J7" s="59">
        <f>IF(OR(I7="",COUNTIF(I$2:I7,I7)&gt;1),J8+1,0)</f>
        <v/>
      </c>
      <c r="K7" s="2">
        <f>INDEX(J$2:J$177,K6+1,1)+K6+1</f>
        <v/>
      </c>
      <c r="L7" s="61">
        <f>INDEX(ЗаданияВесна,K7,1)</f>
        <v/>
      </c>
      <c r="M7" s="58">
        <f>TRIM(CLEAN(INDEX(ЗаданияВесна,ROW(M7)-1,2)))</f>
        <v/>
      </c>
      <c r="N7" s="59">
        <f>IF(OR(M7="",COUNTIF(M$2:M7,M7)&gt;1),N8+1,0)</f>
        <v/>
      </c>
      <c r="O7" s="2">
        <f>INDEX(N$2:N$177,O6+1,1)+O6+1</f>
        <v/>
      </c>
      <c r="P7" s="61">
        <f>INDEX(ЗаданияВесна,O7,2)</f>
        <v/>
      </c>
    </row>
    <row r="8">
      <c r="A8" s="58">
        <f>TRIM(CLEAN(INDEX(ЗаданияОсень,ROW(A8)-1,1)))</f>
        <v/>
      </c>
      <c r="B8" s="59">
        <f>IF(OR(A8="",COUNTIF(A$2:A8,A8)&gt;1),B9+1,0)</f>
        <v/>
      </c>
      <c r="C8" s="2">
        <f>INDEX(B$2:B$177,C7+1,1)+C7+1</f>
        <v/>
      </c>
      <c r="D8" s="61">
        <f>INDEX(ЗаданияОсень,C8,1)</f>
        <v/>
      </c>
      <c r="E8" s="58">
        <f>TRIM(CLEAN(INDEX(ЗаданияОсень,ROW(E8)-1,2)))</f>
        <v/>
      </c>
      <c r="F8" s="59">
        <f>IF(OR(E8="",COUNTIF(E$2:E8,E8)&gt;1),F9+1,0)</f>
        <v/>
      </c>
      <c r="G8" s="2">
        <f>INDEX(F$2:F$177,G7+1,1)+G7+1</f>
        <v/>
      </c>
      <c r="H8" s="61">
        <f>INDEX(ЗаданияОсень,G8,2)</f>
        <v/>
      </c>
      <c r="I8" s="58">
        <f>TRIM(CLEAN(INDEX(ЗаданияВесна,ROW(I8)-1,1)))</f>
        <v/>
      </c>
      <c r="J8" s="59">
        <f>IF(OR(I8="",COUNTIF(I$2:I8,I8)&gt;1),J9+1,0)</f>
        <v/>
      </c>
      <c r="K8" s="2">
        <f>INDEX(J$2:J$177,K7+1,1)+K7+1</f>
        <v/>
      </c>
      <c r="L8" s="61">
        <f>INDEX(ЗаданияВесна,K8,1)</f>
        <v/>
      </c>
      <c r="M8" s="58">
        <f>TRIM(CLEAN(INDEX(ЗаданияВесна,ROW(M8)-1,2)))</f>
        <v/>
      </c>
      <c r="N8" s="59">
        <f>IF(OR(M8="",COUNTIF(M$2:M8,M8)&gt;1),N9+1,0)</f>
        <v/>
      </c>
      <c r="O8" s="2">
        <f>INDEX(N$2:N$177,O7+1,1)+O7+1</f>
        <v/>
      </c>
      <c r="P8" s="61">
        <f>INDEX(ЗаданияВесна,O8,2)</f>
        <v/>
      </c>
    </row>
    <row r="9">
      <c r="A9" s="58">
        <f>TRIM(CLEAN(INDEX(ЗаданияОсень,ROW(A9)-1,1)))</f>
        <v/>
      </c>
      <c r="B9" s="59">
        <f>IF(OR(A9="",COUNTIF(A$2:A9,A9)&gt;1),B10+1,0)</f>
        <v/>
      </c>
      <c r="C9" s="2">
        <f>INDEX(B$2:B$177,C8+1,1)+C8+1</f>
        <v/>
      </c>
      <c r="D9" s="61">
        <f>INDEX(ЗаданияОсень,C9,1)</f>
        <v/>
      </c>
      <c r="E9" s="58">
        <f>TRIM(CLEAN(INDEX(ЗаданияОсень,ROW(E9)-1,2)))</f>
        <v/>
      </c>
      <c r="F9" s="59">
        <f>IF(OR(E9="",COUNTIF(E$2:E9,E9)&gt;1),F10+1,0)</f>
        <v/>
      </c>
      <c r="G9" s="2">
        <f>INDEX(F$2:F$177,G8+1,1)+G8+1</f>
        <v/>
      </c>
      <c r="H9" s="61">
        <f>INDEX(ЗаданияОсень,G9,2)</f>
        <v/>
      </c>
      <c r="I9" s="58">
        <f>TRIM(CLEAN(INDEX(ЗаданияВесна,ROW(I9)-1,1)))</f>
        <v/>
      </c>
      <c r="J9" s="59">
        <f>IF(OR(I9="",COUNTIF(I$2:I9,I9)&gt;1),J10+1,0)</f>
        <v/>
      </c>
      <c r="K9" s="2">
        <f>INDEX(J$2:J$177,K8+1,1)+K8+1</f>
        <v/>
      </c>
      <c r="L9" s="61">
        <f>INDEX(ЗаданияВесна,K9,1)</f>
        <v/>
      </c>
      <c r="M9" s="58">
        <f>TRIM(CLEAN(INDEX(ЗаданияВесна,ROW(M9)-1,2)))</f>
        <v/>
      </c>
      <c r="N9" s="59">
        <f>IF(OR(M9="",COUNTIF(M$2:M9,M9)&gt;1),N10+1,0)</f>
        <v/>
      </c>
      <c r="O9" s="2">
        <f>INDEX(N$2:N$177,O8+1,1)+O8+1</f>
        <v/>
      </c>
      <c r="P9" s="61">
        <f>INDEX(ЗаданияВесна,O9,2)</f>
        <v/>
      </c>
    </row>
    <row r="10">
      <c r="A10" s="58">
        <f>TRIM(CLEAN(INDEX(ЗаданияОсень,ROW(A10)-1,1)))</f>
        <v/>
      </c>
      <c r="B10" s="59">
        <f>IF(OR(A10="",COUNTIF(A$2:A10,A10)&gt;1),B11+1,0)</f>
        <v/>
      </c>
      <c r="C10" s="2">
        <f>INDEX(B$2:B$177,C9+1,1)+C9+1</f>
        <v/>
      </c>
      <c r="D10" s="61">
        <f>INDEX(ЗаданияОсень,C10,1)</f>
        <v/>
      </c>
      <c r="E10" s="58">
        <f>TRIM(CLEAN(INDEX(ЗаданияОсень,ROW(E10)-1,2)))</f>
        <v/>
      </c>
      <c r="F10" s="59">
        <f>IF(OR(E10="",COUNTIF(E$2:E10,E10)&gt;1),F11+1,0)</f>
        <v/>
      </c>
      <c r="G10" s="2">
        <f>INDEX(F$2:F$177,G9+1,1)+G9+1</f>
        <v/>
      </c>
      <c r="H10" s="61">
        <f>INDEX(ЗаданияОсень,G10,2)</f>
        <v/>
      </c>
      <c r="I10" s="58">
        <f>TRIM(CLEAN(INDEX(ЗаданияВесна,ROW(I10)-1,1)))</f>
        <v/>
      </c>
      <c r="J10" s="59">
        <f>IF(OR(I10="",COUNTIF(I$2:I10,I10)&gt;1),J11+1,0)</f>
        <v/>
      </c>
      <c r="K10" s="2">
        <f>INDEX(J$2:J$177,K9+1,1)+K9+1</f>
        <v/>
      </c>
      <c r="L10" s="61">
        <f>INDEX(ЗаданияВесна,K10,1)</f>
        <v/>
      </c>
      <c r="M10" s="58">
        <f>TRIM(CLEAN(INDEX(ЗаданияВесна,ROW(M10)-1,2)))</f>
        <v/>
      </c>
      <c r="N10" s="59">
        <f>IF(OR(M10="",COUNTIF(M$2:M10,M10)&gt;1),N11+1,0)</f>
        <v/>
      </c>
      <c r="O10" s="2">
        <f>INDEX(N$2:N$177,O9+1,1)+O9+1</f>
        <v/>
      </c>
      <c r="P10" s="61">
        <f>INDEX(ЗаданияВесна,O10,2)</f>
        <v/>
      </c>
    </row>
    <row r="11">
      <c r="A11" s="58">
        <f>TRIM(CLEAN(INDEX(ЗаданияОсень,ROW(A11)-1,1)))</f>
        <v/>
      </c>
      <c r="B11" s="59">
        <f>IF(OR(A11="",COUNTIF(A$2:A11,A11)&gt;1),B12+1,0)</f>
        <v/>
      </c>
      <c r="C11" s="2">
        <f>INDEX(B$2:B$177,C10+1,1)+C10+1</f>
        <v/>
      </c>
      <c r="D11" s="61">
        <f>INDEX(ЗаданияОсень,C11,1)</f>
        <v/>
      </c>
      <c r="E11" s="58">
        <f>TRIM(CLEAN(INDEX(ЗаданияОсень,ROW(E11)-1,2)))</f>
        <v/>
      </c>
      <c r="F11" s="59">
        <f>IF(OR(E11="",COUNTIF(E$2:E11,E11)&gt;1),F12+1,0)</f>
        <v/>
      </c>
      <c r="G11" s="2">
        <f>INDEX(F$2:F$177,G10+1,1)+G10+1</f>
        <v/>
      </c>
      <c r="H11" s="61">
        <f>INDEX(ЗаданияОсень,G11,2)</f>
        <v/>
      </c>
      <c r="I11" s="58">
        <f>TRIM(CLEAN(INDEX(ЗаданияВесна,ROW(I11)-1,1)))</f>
        <v/>
      </c>
      <c r="J11" s="59">
        <f>IF(OR(I11="",COUNTIF(I$2:I11,I11)&gt;1),J12+1,0)</f>
        <v/>
      </c>
      <c r="K11" s="2">
        <f>INDEX(J$2:J$177,K10+1,1)+K10+1</f>
        <v/>
      </c>
      <c r="L11" s="61">
        <f>INDEX(ЗаданияВесна,K11,1)</f>
        <v/>
      </c>
      <c r="M11" s="58">
        <f>TRIM(CLEAN(INDEX(ЗаданияВесна,ROW(M11)-1,2)))</f>
        <v/>
      </c>
      <c r="N11" s="59">
        <f>IF(OR(M11="",COUNTIF(M$2:M11,M11)&gt;1),N12+1,0)</f>
        <v/>
      </c>
      <c r="O11" s="2">
        <f>INDEX(N$2:N$177,O10+1,1)+O10+1</f>
        <v/>
      </c>
      <c r="P11" s="61">
        <f>INDEX(ЗаданияВесна,O11,2)</f>
        <v/>
      </c>
    </row>
    <row r="12">
      <c r="A12" s="58">
        <f>TRIM(CLEAN(INDEX(ЗаданияОсень,ROW(A12)-1,1)))</f>
        <v/>
      </c>
      <c r="B12" s="59">
        <f>IF(OR(A12="",COUNTIF(A$2:A12,A12)&gt;1),B13+1,0)</f>
        <v/>
      </c>
      <c r="C12" s="2">
        <f>INDEX(B$2:B$177,C11+1,1)+C11+1</f>
        <v/>
      </c>
      <c r="D12" s="61">
        <f>INDEX(ЗаданияОсень,C12,1)</f>
        <v/>
      </c>
      <c r="E12" s="58">
        <f>TRIM(CLEAN(INDEX(ЗаданияОсень,ROW(E12)-1,2)))</f>
        <v/>
      </c>
      <c r="F12" s="59">
        <f>IF(OR(E12="",COUNTIF(E$2:E12,E12)&gt;1),F13+1,0)</f>
        <v/>
      </c>
      <c r="G12" s="2">
        <f>INDEX(F$2:F$177,G11+1,1)+G11+1</f>
        <v/>
      </c>
      <c r="H12" s="61">
        <f>INDEX(ЗаданияОсень,G12,2)</f>
        <v/>
      </c>
      <c r="I12" s="58">
        <f>TRIM(CLEAN(INDEX(ЗаданияВесна,ROW(I12)-1,1)))</f>
        <v/>
      </c>
      <c r="J12" s="59">
        <f>IF(OR(I12="",COUNTIF(I$2:I12,I12)&gt;1),J13+1,0)</f>
        <v/>
      </c>
      <c r="K12" s="2">
        <f>INDEX(J$2:J$177,K11+1,1)+K11+1</f>
        <v/>
      </c>
      <c r="L12" s="61">
        <f>INDEX(ЗаданияВесна,K12,1)</f>
        <v/>
      </c>
      <c r="M12" s="58">
        <f>TRIM(CLEAN(INDEX(ЗаданияВесна,ROW(M12)-1,2)))</f>
        <v/>
      </c>
      <c r="N12" s="59">
        <f>IF(OR(M12="",COUNTIF(M$2:M12,M12)&gt;1),N13+1,0)</f>
        <v/>
      </c>
      <c r="O12" s="2">
        <f>INDEX(N$2:N$177,O11+1,1)+O11+1</f>
        <v/>
      </c>
      <c r="P12" s="61">
        <f>INDEX(ЗаданияВесна,O12,2)</f>
        <v/>
      </c>
    </row>
    <row r="13">
      <c r="A13" s="58">
        <f>TRIM(CLEAN(INDEX(ЗаданияОсень,ROW(A13)-1,1)))</f>
        <v/>
      </c>
      <c r="B13" s="59">
        <f>IF(OR(A13="",COUNTIF(A$2:A13,A13)&gt;1),B14+1,0)</f>
        <v/>
      </c>
      <c r="C13" s="2">
        <f>INDEX(B$2:B$177,C12+1,1)+C12+1</f>
        <v/>
      </c>
      <c r="D13" s="61">
        <f>INDEX(ЗаданияОсень,C13,1)</f>
        <v/>
      </c>
      <c r="E13" s="58">
        <f>TRIM(CLEAN(INDEX(ЗаданияОсень,ROW(E13)-1,2)))</f>
        <v/>
      </c>
      <c r="F13" s="59">
        <f>IF(OR(E13="",COUNTIF(E$2:E13,E13)&gt;1),F14+1,0)</f>
        <v/>
      </c>
      <c r="G13" s="2">
        <f>INDEX(F$2:F$177,G12+1,1)+G12+1</f>
        <v/>
      </c>
      <c r="H13" s="61">
        <f>INDEX(ЗаданияОсень,G13,2)</f>
        <v/>
      </c>
      <c r="I13" s="58">
        <f>TRIM(CLEAN(INDEX(ЗаданияВесна,ROW(I13)-1,1)))</f>
        <v/>
      </c>
      <c r="J13" s="59">
        <f>IF(OR(I13="",COUNTIF(I$2:I13,I13)&gt;1),J14+1,0)</f>
        <v/>
      </c>
      <c r="K13" s="2">
        <f>INDEX(J$2:J$177,K12+1,1)+K12+1</f>
        <v/>
      </c>
      <c r="L13" s="61">
        <f>INDEX(ЗаданияВесна,K13,1)</f>
        <v/>
      </c>
      <c r="M13" s="58">
        <f>TRIM(CLEAN(INDEX(ЗаданияВесна,ROW(M13)-1,2)))</f>
        <v/>
      </c>
      <c r="N13" s="59">
        <f>IF(OR(M13="",COUNTIF(M$2:M13,M13)&gt;1),N14+1,0)</f>
        <v/>
      </c>
      <c r="O13" s="2">
        <f>INDEX(N$2:N$177,O12+1,1)+O12+1</f>
        <v/>
      </c>
      <c r="P13" s="61">
        <f>INDEX(ЗаданияВесна,O13,2)</f>
        <v/>
      </c>
    </row>
    <row r="14">
      <c r="A14" s="58">
        <f>TRIM(CLEAN(INDEX(ЗаданияОсень,ROW(A14)-1,1)))</f>
        <v/>
      </c>
      <c r="B14" s="59">
        <f>IF(OR(A14="",COUNTIF(A$2:A14,A14)&gt;1),B15+1,0)</f>
        <v/>
      </c>
      <c r="C14" s="2">
        <f>INDEX(B$2:B$177,C13+1,1)+C13+1</f>
        <v/>
      </c>
      <c r="D14" s="61">
        <f>INDEX(ЗаданияОсень,C14,1)</f>
        <v/>
      </c>
      <c r="E14" s="58">
        <f>TRIM(CLEAN(INDEX(ЗаданияОсень,ROW(E14)-1,2)))</f>
        <v/>
      </c>
      <c r="F14" s="59">
        <f>IF(OR(E14="",COUNTIF(E$2:E14,E14)&gt;1),F15+1,0)</f>
        <v/>
      </c>
      <c r="G14" s="2">
        <f>INDEX(F$2:F$177,G13+1,1)+G13+1</f>
        <v/>
      </c>
      <c r="H14" s="61">
        <f>INDEX(ЗаданияОсень,G14,2)</f>
        <v/>
      </c>
      <c r="I14" s="58">
        <f>TRIM(CLEAN(INDEX(ЗаданияВесна,ROW(I14)-1,1)))</f>
        <v/>
      </c>
      <c r="J14" s="59">
        <f>IF(OR(I14="",COUNTIF(I$2:I14,I14)&gt;1),J15+1,0)</f>
        <v/>
      </c>
      <c r="K14" s="2">
        <f>INDEX(J$2:J$177,K13+1,1)+K13+1</f>
        <v/>
      </c>
      <c r="L14" s="61">
        <f>INDEX(ЗаданияВесна,K14,1)</f>
        <v/>
      </c>
      <c r="M14" s="58">
        <f>TRIM(CLEAN(INDEX(ЗаданияВесна,ROW(M14)-1,2)))</f>
        <v/>
      </c>
      <c r="N14" s="59">
        <f>IF(OR(M14="",COUNTIF(M$2:M14,M14)&gt;1),N15+1,0)</f>
        <v/>
      </c>
      <c r="O14" s="2">
        <f>INDEX(N$2:N$177,O13+1,1)+O13+1</f>
        <v/>
      </c>
      <c r="P14" s="61">
        <f>INDEX(ЗаданияВесна,O14,2)</f>
        <v/>
      </c>
    </row>
    <row r="15">
      <c r="A15" s="58">
        <f>TRIM(CLEAN(INDEX(ЗаданияОсень,ROW(A15)-1,1)))</f>
        <v/>
      </c>
      <c r="B15" s="59">
        <f>IF(OR(A15="",COUNTIF(A$2:A15,A15)&gt;1),B16+1,0)</f>
        <v/>
      </c>
      <c r="C15" s="2">
        <f>INDEX(B$2:B$177,C14+1,1)+C14+1</f>
        <v/>
      </c>
      <c r="D15" s="61">
        <f>INDEX(ЗаданияОсень,C15,1)</f>
        <v/>
      </c>
      <c r="E15" s="58">
        <f>TRIM(CLEAN(INDEX(ЗаданияОсень,ROW(E15)-1,2)))</f>
        <v/>
      </c>
      <c r="F15" s="59">
        <f>IF(OR(E15="",COUNTIF(E$2:E15,E15)&gt;1),F16+1,0)</f>
        <v/>
      </c>
      <c r="G15" s="2">
        <f>INDEX(F$2:F$177,G14+1,1)+G14+1</f>
        <v/>
      </c>
      <c r="H15" s="61">
        <f>INDEX(ЗаданияОсень,G15,2)</f>
        <v/>
      </c>
      <c r="I15" s="58">
        <f>TRIM(CLEAN(INDEX(ЗаданияВесна,ROW(I15)-1,1)))</f>
        <v/>
      </c>
      <c r="J15" s="59">
        <f>IF(OR(I15="",COUNTIF(I$2:I15,I15)&gt;1),J16+1,0)</f>
        <v/>
      </c>
      <c r="K15" s="2">
        <f>INDEX(J$2:J$177,K14+1,1)+K14+1</f>
        <v/>
      </c>
      <c r="L15" s="61">
        <f>INDEX(ЗаданияВесна,K15,1)</f>
        <v/>
      </c>
      <c r="M15" s="58">
        <f>TRIM(CLEAN(INDEX(ЗаданияВесна,ROW(M15)-1,2)))</f>
        <v/>
      </c>
      <c r="N15" s="59">
        <f>IF(OR(M15="",COUNTIF(M$2:M15,M15)&gt;1),N16+1,0)</f>
        <v/>
      </c>
      <c r="O15" s="2">
        <f>INDEX(N$2:N$177,O14+1,1)+O14+1</f>
        <v/>
      </c>
      <c r="P15" s="61">
        <f>INDEX(ЗаданияВесна,O15,2)</f>
        <v/>
      </c>
    </row>
    <row r="16">
      <c r="A16" s="58">
        <f>TRIM(CLEAN(INDEX(ЗаданияОсень,ROW(A16)-1,1)))</f>
        <v/>
      </c>
      <c r="B16" s="59">
        <f>IF(OR(A16="",COUNTIF(A$2:A16,A16)&gt;1),B17+1,0)</f>
        <v/>
      </c>
      <c r="C16" s="2">
        <f>INDEX(B$2:B$177,C15+1,1)+C15+1</f>
        <v/>
      </c>
      <c r="D16" s="61">
        <f>INDEX(ЗаданияОсень,C16,1)</f>
        <v/>
      </c>
      <c r="E16" s="58">
        <f>TRIM(CLEAN(INDEX(ЗаданияОсень,ROW(E16)-1,2)))</f>
        <v/>
      </c>
      <c r="F16" s="59">
        <f>IF(OR(E16="",COUNTIF(E$2:E16,E16)&gt;1),F17+1,0)</f>
        <v/>
      </c>
      <c r="G16" s="2">
        <f>INDEX(F$2:F$177,G15+1,1)+G15+1</f>
        <v/>
      </c>
      <c r="H16" s="61">
        <f>INDEX(ЗаданияОсень,G16,2)</f>
        <v/>
      </c>
      <c r="I16" s="58">
        <f>TRIM(CLEAN(INDEX(ЗаданияВесна,ROW(I16)-1,1)))</f>
        <v/>
      </c>
      <c r="J16" s="59">
        <f>IF(OR(I16="",COUNTIF(I$2:I16,I16)&gt;1),J17+1,0)</f>
        <v/>
      </c>
      <c r="K16" s="2">
        <f>INDEX(J$2:J$177,K15+1,1)+K15+1</f>
        <v/>
      </c>
      <c r="L16" s="61">
        <f>INDEX(ЗаданияВесна,K16,1)</f>
        <v/>
      </c>
      <c r="M16" s="58">
        <f>TRIM(CLEAN(INDEX(ЗаданияВесна,ROW(M16)-1,2)))</f>
        <v/>
      </c>
      <c r="N16" s="59">
        <f>IF(OR(M16="",COUNTIF(M$2:M16,M16)&gt;1),N17+1,0)</f>
        <v/>
      </c>
      <c r="O16" s="2">
        <f>INDEX(N$2:N$177,O15+1,1)+O15+1</f>
        <v/>
      </c>
      <c r="P16" s="61">
        <f>INDEX(ЗаданияВесна,O16,2)</f>
        <v/>
      </c>
    </row>
    <row r="17">
      <c r="A17" s="58">
        <f>TRIM(CLEAN(INDEX(ЗаданияОсень,ROW(A17)-1,1)))</f>
        <v/>
      </c>
      <c r="B17" s="59">
        <f>IF(OR(A17="",COUNTIF(A$2:A17,A17)&gt;1),B18+1,0)</f>
        <v/>
      </c>
      <c r="C17" s="2">
        <f>INDEX(B$2:B$177,C16+1,1)+C16+1</f>
        <v/>
      </c>
      <c r="D17" s="61">
        <f>INDEX(ЗаданияОсень,C17,1)</f>
        <v/>
      </c>
      <c r="E17" s="58">
        <f>TRIM(CLEAN(INDEX(ЗаданияОсень,ROW(E17)-1,2)))</f>
        <v/>
      </c>
      <c r="F17" s="59">
        <f>IF(OR(E17="",COUNTIF(E$2:E17,E17)&gt;1),F18+1,0)</f>
        <v/>
      </c>
      <c r="G17" s="2">
        <f>INDEX(F$2:F$177,G16+1,1)+G16+1</f>
        <v/>
      </c>
      <c r="H17" s="61">
        <f>INDEX(ЗаданияОсень,G17,2)</f>
        <v/>
      </c>
      <c r="I17" s="58">
        <f>TRIM(CLEAN(INDEX(ЗаданияВесна,ROW(I17)-1,1)))</f>
        <v/>
      </c>
      <c r="J17" s="59">
        <f>IF(OR(I17="",COUNTIF(I$2:I17,I17)&gt;1),J18+1,0)</f>
        <v/>
      </c>
      <c r="K17" s="2">
        <f>INDEX(J$2:J$177,K16+1,1)+K16+1</f>
        <v/>
      </c>
      <c r="L17" s="61">
        <f>INDEX(ЗаданияВесна,K17,1)</f>
        <v/>
      </c>
      <c r="M17" s="58">
        <f>TRIM(CLEAN(INDEX(ЗаданияВесна,ROW(M17)-1,2)))</f>
        <v/>
      </c>
      <c r="N17" s="59">
        <f>IF(OR(M17="",COUNTIF(M$2:M17,M17)&gt;1),N18+1,0)</f>
        <v/>
      </c>
      <c r="O17" s="2">
        <f>INDEX(N$2:N$177,O16+1,1)+O16+1</f>
        <v/>
      </c>
      <c r="P17" s="61">
        <f>INDEX(ЗаданияВесна,O17,2)</f>
        <v/>
      </c>
    </row>
    <row r="18">
      <c r="A18" s="58">
        <f>TRIM(CLEAN(INDEX(ЗаданияОсень,ROW(A18)-1,1)))</f>
        <v/>
      </c>
      <c r="B18" s="59">
        <f>IF(OR(A18="",COUNTIF(A$2:A18,A18)&gt;1),B19+1,0)</f>
        <v/>
      </c>
      <c r="C18" s="2">
        <f>INDEX(B$2:B$177,C17+1,1)+C17+1</f>
        <v/>
      </c>
      <c r="D18" s="61">
        <f>INDEX(ЗаданияОсень,C18,1)</f>
        <v/>
      </c>
      <c r="E18" s="58">
        <f>TRIM(CLEAN(INDEX(ЗаданияОсень,ROW(E18)-1,2)))</f>
        <v/>
      </c>
      <c r="F18" s="59">
        <f>IF(OR(E18="",COUNTIF(E$2:E18,E18)&gt;1),F19+1,0)</f>
        <v/>
      </c>
      <c r="G18" s="2">
        <f>INDEX(F$2:F$177,G17+1,1)+G17+1</f>
        <v/>
      </c>
      <c r="H18" s="61">
        <f>INDEX(ЗаданияОсень,G18,2)</f>
        <v/>
      </c>
      <c r="I18" s="58">
        <f>TRIM(CLEAN(INDEX(ЗаданияВесна,ROW(I18)-1,1)))</f>
        <v/>
      </c>
      <c r="J18" s="59">
        <f>IF(OR(I18="",COUNTIF(I$2:I18,I18)&gt;1),J19+1,0)</f>
        <v/>
      </c>
      <c r="K18" s="2">
        <f>INDEX(J$2:J$177,K17+1,1)+K17+1</f>
        <v/>
      </c>
      <c r="L18" s="61">
        <f>INDEX(ЗаданияВесна,K18,1)</f>
        <v/>
      </c>
      <c r="M18" s="58">
        <f>TRIM(CLEAN(INDEX(ЗаданияВесна,ROW(M18)-1,2)))</f>
        <v/>
      </c>
      <c r="N18" s="59">
        <f>IF(OR(M18="",COUNTIF(M$2:M18,M18)&gt;1),N19+1,0)</f>
        <v/>
      </c>
      <c r="O18" s="2">
        <f>INDEX(N$2:N$177,O17+1,1)+O17+1</f>
        <v/>
      </c>
      <c r="P18" s="61">
        <f>INDEX(ЗаданияВесна,O18,2)</f>
        <v/>
      </c>
    </row>
    <row r="19">
      <c r="A19" s="58">
        <f>TRIM(CLEAN(INDEX(ЗаданияОсень,ROW(A19)-1,1)))</f>
        <v/>
      </c>
      <c r="B19" s="59">
        <f>IF(OR(A19="",COUNTIF(A$2:A19,A19)&gt;1),B20+1,0)</f>
        <v/>
      </c>
      <c r="C19" s="2">
        <f>INDEX(B$2:B$177,C18+1,1)+C18+1</f>
        <v/>
      </c>
      <c r="D19" s="61">
        <f>INDEX(ЗаданияОсень,C19,1)</f>
        <v/>
      </c>
      <c r="E19" s="58">
        <f>TRIM(CLEAN(INDEX(ЗаданияОсень,ROW(E19)-1,2)))</f>
        <v/>
      </c>
      <c r="F19" s="59">
        <f>IF(OR(E19="",COUNTIF(E$2:E19,E19)&gt;1),F20+1,0)</f>
        <v/>
      </c>
      <c r="G19" s="2">
        <f>INDEX(F$2:F$177,G18+1,1)+G18+1</f>
        <v/>
      </c>
      <c r="H19" s="61">
        <f>INDEX(ЗаданияОсень,G19,2)</f>
        <v/>
      </c>
      <c r="I19" s="58">
        <f>TRIM(CLEAN(INDEX(ЗаданияВесна,ROW(I19)-1,1)))</f>
        <v/>
      </c>
      <c r="J19" s="59">
        <f>IF(OR(I19="",COUNTIF(I$2:I19,I19)&gt;1),J20+1,0)</f>
        <v/>
      </c>
      <c r="K19" s="2">
        <f>INDEX(J$2:J$177,K18+1,1)+K18+1</f>
        <v/>
      </c>
      <c r="L19" s="61">
        <f>INDEX(ЗаданияВесна,K19,1)</f>
        <v/>
      </c>
      <c r="M19" s="58">
        <f>TRIM(CLEAN(INDEX(ЗаданияВесна,ROW(M19)-1,2)))</f>
        <v/>
      </c>
      <c r="N19" s="59">
        <f>IF(OR(M19="",COUNTIF(M$2:M19,M19)&gt;1),N20+1,0)</f>
        <v/>
      </c>
      <c r="O19" s="2">
        <f>INDEX(N$2:N$177,O18+1,1)+O18+1</f>
        <v/>
      </c>
      <c r="P19" s="61">
        <f>INDEX(ЗаданияВесна,O19,2)</f>
        <v/>
      </c>
    </row>
    <row r="20">
      <c r="A20" s="58">
        <f>TRIM(CLEAN(INDEX(ЗаданияОсень,ROW(A20)-1,1)))</f>
        <v/>
      </c>
      <c r="B20" s="59">
        <f>IF(OR(A20="",COUNTIF(A$2:A20,A20)&gt;1),B21+1,0)</f>
        <v/>
      </c>
      <c r="C20" s="2">
        <f>INDEX(B$2:B$177,C19+1,1)+C19+1</f>
        <v/>
      </c>
      <c r="D20" s="61">
        <f>INDEX(ЗаданияОсень,C20,1)</f>
        <v/>
      </c>
      <c r="E20" s="58">
        <f>TRIM(CLEAN(INDEX(ЗаданияОсень,ROW(E20)-1,2)))</f>
        <v/>
      </c>
      <c r="F20" s="59">
        <f>IF(OR(E20="",COUNTIF(E$2:E20,E20)&gt;1),F21+1,0)</f>
        <v/>
      </c>
      <c r="G20" s="2">
        <f>INDEX(F$2:F$177,G19+1,1)+G19+1</f>
        <v/>
      </c>
      <c r="H20" s="61">
        <f>INDEX(ЗаданияОсень,G20,2)</f>
        <v/>
      </c>
      <c r="I20" s="58">
        <f>TRIM(CLEAN(INDEX(ЗаданияВесна,ROW(I20)-1,1)))</f>
        <v/>
      </c>
      <c r="J20" s="59">
        <f>IF(OR(I20="",COUNTIF(I$2:I20,I20)&gt;1),J21+1,0)</f>
        <v/>
      </c>
      <c r="K20" s="2">
        <f>INDEX(J$2:J$177,K19+1,1)+K19+1</f>
        <v/>
      </c>
      <c r="L20" s="61">
        <f>INDEX(ЗаданияВесна,K20,1)</f>
        <v/>
      </c>
      <c r="M20" s="58">
        <f>TRIM(CLEAN(INDEX(ЗаданияВесна,ROW(M20)-1,2)))</f>
        <v/>
      </c>
      <c r="N20" s="59">
        <f>IF(OR(M20="",COUNTIF(M$2:M20,M20)&gt;1),N21+1,0)</f>
        <v/>
      </c>
      <c r="O20" s="2">
        <f>INDEX(N$2:N$177,O19+1,1)+O19+1</f>
        <v/>
      </c>
      <c r="P20" s="61">
        <f>INDEX(ЗаданияВесна,O20,2)</f>
        <v/>
      </c>
    </row>
    <row r="21">
      <c r="A21" s="58">
        <f>TRIM(CLEAN(INDEX(ЗаданияОсень,ROW(A21)-1,1)))</f>
        <v/>
      </c>
      <c r="B21" s="59">
        <f>IF(OR(A21="",COUNTIF(A$2:A21,A21)&gt;1),B22+1,0)</f>
        <v/>
      </c>
      <c r="C21" s="2">
        <f>INDEX(B$2:B$177,C20+1,1)+C20+1</f>
        <v/>
      </c>
      <c r="D21" s="61">
        <f>INDEX(ЗаданияОсень,C21,1)</f>
        <v/>
      </c>
      <c r="E21" s="58">
        <f>TRIM(CLEAN(INDEX(ЗаданияОсень,ROW(E21)-1,2)))</f>
        <v/>
      </c>
      <c r="F21" s="59">
        <f>IF(OR(E21="",COUNTIF(E$2:E21,E21)&gt;1),F22+1,0)</f>
        <v/>
      </c>
      <c r="G21" s="2">
        <f>INDEX(F$2:F$177,G20+1,1)+G20+1</f>
        <v/>
      </c>
      <c r="H21" s="61">
        <f>INDEX(ЗаданияОсень,G21,2)</f>
        <v/>
      </c>
      <c r="I21" s="58">
        <f>TRIM(CLEAN(INDEX(ЗаданияВесна,ROW(I21)-1,1)))</f>
        <v/>
      </c>
      <c r="J21" s="59">
        <f>IF(OR(I21="",COUNTIF(I$2:I21,I21)&gt;1),J22+1,0)</f>
        <v/>
      </c>
      <c r="K21" s="2">
        <f>INDEX(J$2:J$177,K20+1,1)+K20+1</f>
        <v/>
      </c>
      <c r="L21" s="61">
        <f>INDEX(ЗаданияВесна,K21,1)</f>
        <v/>
      </c>
      <c r="M21" s="58">
        <f>TRIM(CLEAN(INDEX(ЗаданияВесна,ROW(M21)-1,2)))</f>
        <v/>
      </c>
      <c r="N21" s="59">
        <f>IF(OR(M21="",COUNTIF(M$2:M21,M21)&gt;1),N22+1,0)</f>
        <v/>
      </c>
      <c r="O21" s="2">
        <f>INDEX(N$2:N$177,O20+1,1)+O20+1</f>
        <v/>
      </c>
      <c r="P21" s="61">
        <f>INDEX(ЗаданияВесна,O21,2)</f>
        <v/>
      </c>
    </row>
    <row r="22">
      <c r="A22" s="58">
        <f>TRIM(CLEAN(INDEX(ЗаданияОсень,ROW(A22)-1,1)))</f>
        <v/>
      </c>
      <c r="B22" s="59">
        <f>IF(OR(A22="",COUNTIF(A$2:A22,A22)&gt;1),B23+1,0)</f>
        <v/>
      </c>
      <c r="C22" s="2">
        <f>INDEX(B$2:B$177,C21+1,1)+C21+1</f>
        <v/>
      </c>
      <c r="D22" s="61">
        <f>INDEX(ЗаданияОсень,C22,1)</f>
        <v/>
      </c>
      <c r="E22" s="58">
        <f>TRIM(CLEAN(INDEX(ЗаданияОсень,ROW(E22)-1,2)))</f>
        <v/>
      </c>
      <c r="F22" s="59">
        <f>IF(OR(E22="",COUNTIF(E$2:E22,E22)&gt;1),F23+1,0)</f>
        <v/>
      </c>
      <c r="G22" s="2">
        <f>INDEX(F$2:F$177,G21+1,1)+G21+1</f>
        <v/>
      </c>
      <c r="H22" s="61">
        <f>INDEX(ЗаданияОсень,G22,2)</f>
        <v/>
      </c>
      <c r="I22" s="58">
        <f>TRIM(CLEAN(INDEX(ЗаданияВесна,ROW(I22)-1,1)))</f>
        <v/>
      </c>
      <c r="J22" s="59">
        <f>IF(OR(I22="",COUNTIF(I$2:I22,I22)&gt;1),J23+1,0)</f>
        <v/>
      </c>
      <c r="K22" s="2">
        <f>INDEX(J$2:J$177,K21+1,1)+K21+1</f>
        <v/>
      </c>
      <c r="L22" s="61">
        <f>INDEX(ЗаданияВесна,K22,1)</f>
        <v/>
      </c>
      <c r="M22" s="58">
        <f>TRIM(CLEAN(INDEX(ЗаданияВесна,ROW(M22)-1,2)))</f>
        <v/>
      </c>
      <c r="N22" s="59">
        <f>IF(OR(M22="",COUNTIF(M$2:M22,M22)&gt;1),N23+1,0)</f>
        <v/>
      </c>
      <c r="O22" s="2">
        <f>INDEX(N$2:N$177,O21+1,1)+O21+1</f>
        <v/>
      </c>
      <c r="P22" s="61">
        <f>INDEX(ЗаданияВесна,O22,2)</f>
        <v/>
      </c>
    </row>
    <row r="23">
      <c r="A23" s="58">
        <f>TRIM(CLEAN(INDEX(ЗаданияОсень,ROW(A23)-1,1)))</f>
        <v/>
      </c>
      <c r="B23" s="59">
        <f>IF(OR(A23="",COUNTIF(A$2:A23,A23)&gt;1),B24+1,0)</f>
        <v/>
      </c>
      <c r="C23" s="2">
        <f>INDEX(B$2:B$177,C22+1,1)+C22+1</f>
        <v/>
      </c>
      <c r="D23" s="61">
        <f>INDEX(ЗаданияОсень,C23,1)</f>
        <v/>
      </c>
      <c r="E23" s="58">
        <f>TRIM(CLEAN(INDEX(ЗаданияОсень,ROW(E23)-1,2)))</f>
        <v/>
      </c>
      <c r="F23" s="59">
        <f>IF(OR(E23="",COUNTIF(E$2:E23,E23)&gt;1),F24+1,0)</f>
        <v/>
      </c>
      <c r="G23" s="2">
        <f>INDEX(F$2:F$177,G22+1,1)+G22+1</f>
        <v/>
      </c>
      <c r="H23" s="61">
        <f>INDEX(ЗаданияОсень,G23,2)</f>
        <v/>
      </c>
      <c r="I23" s="58">
        <f>TRIM(CLEAN(INDEX(ЗаданияВесна,ROW(I23)-1,1)))</f>
        <v/>
      </c>
      <c r="J23" s="59">
        <f>IF(OR(I23="",COUNTIF(I$2:I23,I23)&gt;1),J24+1,0)</f>
        <v/>
      </c>
      <c r="K23" s="2">
        <f>INDEX(J$2:J$177,K22+1,1)+K22+1</f>
        <v/>
      </c>
      <c r="L23" s="61">
        <f>INDEX(ЗаданияВесна,K23,1)</f>
        <v/>
      </c>
      <c r="M23" s="58">
        <f>TRIM(CLEAN(INDEX(ЗаданияВесна,ROW(M23)-1,2)))</f>
        <v/>
      </c>
      <c r="N23" s="59">
        <f>IF(OR(M23="",COUNTIF(M$2:M23,M23)&gt;1),N24+1,0)</f>
        <v/>
      </c>
      <c r="O23" s="2">
        <f>INDEX(N$2:N$177,O22+1,1)+O22+1</f>
        <v/>
      </c>
      <c r="P23" s="61">
        <f>INDEX(ЗаданияВесна,O23,2)</f>
        <v/>
      </c>
    </row>
    <row r="24">
      <c r="A24" s="58">
        <f>TRIM(CLEAN(INDEX(ЗаданияОсень,ROW(A24)-1,1)))</f>
        <v/>
      </c>
      <c r="B24" s="59">
        <f>IF(OR(A24="",COUNTIF(A$2:A24,A24)&gt;1),B25+1,0)</f>
        <v/>
      </c>
      <c r="C24" s="2">
        <f>INDEX(B$2:B$177,C23+1,1)+C23+1</f>
        <v/>
      </c>
      <c r="D24" s="61">
        <f>INDEX(ЗаданияОсень,C24,1)</f>
        <v/>
      </c>
      <c r="E24" s="58">
        <f>TRIM(CLEAN(INDEX(ЗаданияОсень,ROW(E24)-1,2)))</f>
        <v/>
      </c>
      <c r="F24" s="59">
        <f>IF(OR(E24="",COUNTIF(E$2:E24,E24)&gt;1),F25+1,0)</f>
        <v/>
      </c>
      <c r="G24" s="2">
        <f>INDEX(F$2:F$177,G23+1,1)+G23+1</f>
        <v/>
      </c>
      <c r="H24" s="61">
        <f>INDEX(ЗаданияОсень,G24,2)</f>
        <v/>
      </c>
      <c r="I24" s="58">
        <f>TRIM(CLEAN(INDEX(ЗаданияВесна,ROW(I24)-1,1)))</f>
        <v/>
      </c>
      <c r="J24" s="59">
        <f>IF(OR(I24="",COUNTIF(I$2:I24,I24)&gt;1),J25+1,0)</f>
        <v/>
      </c>
      <c r="K24" s="2">
        <f>INDEX(J$2:J$177,K23+1,1)+K23+1</f>
        <v/>
      </c>
      <c r="L24" s="61">
        <f>INDEX(ЗаданияВесна,K24,1)</f>
        <v/>
      </c>
      <c r="M24" s="58">
        <f>TRIM(CLEAN(INDEX(ЗаданияВесна,ROW(M24)-1,2)))</f>
        <v/>
      </c>
      <c r="N24" s="59">
        <f>IF(OR(M24="",COUNTIF(M$2:M24,M24)&gt;1),N25+1,0)</f>
        <v/>
      </c>
      <c r="O24" s="2">
        <f>INDEX(N$2:N$177,O23+1,1)+O23+1</f>
        <v/>
      </c>
      <c r="P24" s="61">
        <f>INDEX(ЗаданияВесна,O24,2)</f>
        <v/>
      </c>
    </row>
    <row r="25">
      <c r="A25" s="58">
        <f>TRIM(CLEAN(INDEX(ЗаданияОсень,ROW(A25)-1,1)))</f>
        <v/>
      </c>
      <c r="B25" s="59">
        <f>IF(OR(A25="",COUNTIF(A$2:A25,A25)&gt;1),B26+1,0)</f>
        <v/>
      </c>
      <c r="C25" s="2">
        <f>INDEX(B$2:B$177,C24+1,1)+C24+1</f>
        <v/>
      </c>
      <c r="D25" s="61">
        <f>INDEX(ЗаданияОсень,C25,1)</f>
        <v/>
      </c>
      <c r="E25" s="58">
        <f>TRIM(CLEAN(INDEX(ЗаданияОсень,ROW(E25)-1,2)))</f>
        <v/>
      </c>
      <c r="F25" s="59">
        <f>IF(OR(E25="",COUNTIF(E$2:E25,E25)&gt;1),F26+1,0)</f>
        <v/>
      </c>
      <c r="G25" s="2">
        <f>INDEX(F$2:F$177,G24+1,1)+G24+1</f>
        <v/>
      </c>
      <c r="H25" s="61">
        <f>INDEX(ЗаданияОсень,G25,2)</f>
        <v/>
      </c>
      <c r="I25" s="58">
        <f>TRIM(CLEAN(INDEX(ЗаданияВесна,ROW(I25)-1,1)))</f>
        <v/>
      </c>
      <c r="J25" s="59">
        <f>IF(OR(I25="",COUNTIF(I$2:I25,I25)&gt;1),J26+1,0)</f>
        <v/>
      </c>
      <c r="K25" s="2">
        <f>INDEX(J$2:J$177,K24+1,1)+K24+1</f>
        <v/>
      </c>
      <c r="L25" s="61">
        <f>INDEX(ЗаданияВесна,K25,1)</f>
        <v/>
      </c>
      <c r="M25" s="58">
        <f>TRIM(CLEAN(INDEX(ЗаданияВесна,ROW(M25)-1,2)))</f>
        <v/>
      </c>
      <c r="N25" s="59">
        <f>IF(OR(M25="",COUNTIF(M$2:M25,M25)&gt;1),N26+1,0)</f>
        <v/>
      </c>
      <c r="O25" s="2">
        <f>INDEX(N$2:N$177,O24+1,1)+O24+1</f>
        <v/>
      </c>
      <c r="P25" s="61">
        <f>INDEX(ЗаданияВесна,O25,2)</f>
        <v/>
      </c>
    </row>
    <row r="26">
      <c r="A26" s="58">
        <f>TRIM(CLEAN(INDEX(ЗаданияОсень,ROW(A26)-1,1)))</f>
        <v/>
      </c>
      <c r="B26" s="59">
        <f>IF(OR(A26="",COUNTIF(A$2:A26,A26)&gt;1),B27+1,0)</f>
        <v/>
      </c>
      <c r="C26" s="2">
        <f>INDEX(B$2:B$177,C25+1,1)+C25+1</f>
        <v/>
      </c>
      <c r="D26" s="61">
        <f>INDEX(ЗаданияОсень,C26,1)</f>
        <v/>
      </c>
      <c r="E26" s="58">
        <f>TRIM(CLEAN(INDEX(ЗаданияОсень,ROW(E26)-1,2)))</f>
        <v/>
      </c>
      <c r="F26" s="59">
        <f>IF(OR(E26="",COUNTIF(E$2:E26,E26)&gt;1),F27+1,0)</f>
        <v/>
      </c>
      <c r="G26" s="2">
        <f>INDEX(F$2:F$177,G25+1,1)+G25+1</f>
        <v/>
      </c>
      <c r="H26" s="61">
        <f>INDEX(ЗаданияОсень,G26,2)</f>
        <v/>
      </c>
      <c r="I26" s="58">
        <f>TRIM(CLEAN(INDEX(ЗаданияВесна,ROW(I26)-1,1)))</f>
        <v/>
      </c>
      <c r="J26" s="59">
        <f>IF(OR(I26="",COUNTIF(I$2:I26,I26)&gt;1),J27+1,0)</f>
        <v/>
      </c>
      <c r="K26" s="2">
        <f>INDEX(J$2:J$177,K25+1,1)+K25+1</f>
        <v/>
      </c>
      <c r="L26" s="61">
        <f>INDEX(ЗаданияВесна,K26,1)</f>
        <v/>
      </c>
      <c r="M26" s="58">
        <f>TRIM(CLEAN(INDEX(ЗаданияВесна,ROW(M26)-1,2)))</f>
        <v/>
      </c>
      <c r="N26" s="59">
        <f>IF(OR(M26="",COUNTIF(M$2:M26,M26)&gt;1),N27+1,0)</f>
        <v/>
      </c>
      <c r="O26" s="2">
        <f>INDEX(N$2:N$177,O25+1,1)+O25+1</f>
        <v/>
      </c>
      <c r="P26" s="61">
        <f>INDEX(ЗаданияВесна,O26,2)</f>
        <v/>
      </c>
    </row>
    <row r="27">
      <c r="A27" s="58">
        <f>TRIM(CLEAN(INDEX(ЗаданияОсень,ROW(A27)-1,1)))</f>
        <v/>
      </c>
      <c r="B27" s="59">
        <f>IF(OR(A27="",COUNTIF(A$2:A27,A27)&gt;1),B28+1,0)</f>
        <v/>
      </c>
      <c r="C27" s="2">
        <f>INDEX(B$2:B$177,C26+1,1)+C26+1</f>
        <v/>
      </c>
      <c r="D27" s="61">
        <f>INDEX(ЗаданияОсень,C27,1)</f>
        <v/>
      </c>
      <c r="E27" s="58">
        <f>TRIM(CLEAN(INDEX(ЗаданияОсень,ROW(E27)-1,2)))</f>
        <v/>
      </c>
      <c r="F27" s="59">
        <f>IF(OR(E27="",COUNTIF(E$2:E27,E27)&gt;1),F28+1,0)</f>
        <v/>
      </c>
      <c r="G27" s="2">
        <f>INDEX(F$2:F$177,G26+1,1)+G26+1</f>
        <v/>
      </c>
      <c r="H27" s="61">
        <f>INDEX(ЗаданияОсень,G27,2)</f>
        <v/>
      </c>
      <c r="I27" s="58">
        <f>TRIM(CLEAN(INDEX(ЗаданияВесна,ROW(I27)-1,1)))</f>
        <v/>
      </c>
      <c r="J27" s="59">
        <f>IF(OR(I27="",COUNTIF(I$2:I27,I27)&gt;1),J28+1,0)</f>
        <v/>
      </c>
      <c r="K27" s="2">
        <f>INDEX(J$2:J$177,K26+1,1)+K26+1</f>
        <v/>
      </c>
      <c r="L27" s="61">
        <f>INDEX(ЗаданияВесна,K27,1)</f>
        <v/>
      </c>
      <c r="M27" s="58">
        <f>TRIM(CLEAN(INDEX(ЗаданияВесна,ROW(M27)-1,2)))</f>
        <v/>
      </c>
      <c r="N27" s="59">
        <f>IF(OR(M27="",COUNTIF(M$2:M27,M27)&gt;1),N28+1,0)</f>
        <v/>
      </c>
      <c r="O27" s="2">
        <f>INDEX(N$2:N$177,O26+1,1)+O26+1</f>
        <v/>
      </c>
      <c r="P27" s="61">
        <f>INDEX(ЗаданияВесна,O27,2)</f>
        <v/>
      </c>
    </row>
    <row r="28">
      <c r="A28" s="58">
        <f>TRIM(CLEAN(INDEX(ЗаданияОсень,ROW(A28)-1,1)))</f>
        <v/>
      </c>
      <c r="B28" s="59">
        <f>IF(OR(A28="",COUNTIF(A$2:A28,A28)&gt;1),B29+1,0)</f>
        <v/>
      </c>
      <c r="C28" s="2">
        <f>INDEX(B$2:B$177,C27+1,1)+C27+1</f>
        <v/>
      </c>
      <c r="D28" s="61">
        <f>INDEX(ЗаданияОсень,C28,1)</f>
        <v/>
      </c>
      <c r="E28" s="58">
        <f>TRIM(CLEAN(INDEX(ЗаданияОсень,ROW(E28)-1,2)))</f>
        <v/>
      </c>
      <c r="F28" s="59">
        <f>IF(OR(E28="",COUNTIF(E$2:E28,E28)&gt;1),F29+1,0)</f>
        <v/>
      </c>
      <c r="G28" s="2">
        <f>INDEX(F$2:F$177,G27+1,1)+G27+1</f>
        <v/>
      </c>
      <c r="H28" s="61">
        <f>INDEX(ЗаданияОсень,G28,2)</f>
        <v/>
      </c>
      <c r="I28" s="58">
        <f>TRIM(CLEAN(INDEX(ЗаданияВесна,ROW(I28)-1,1)))</f>
        <v/>
      </c>
      <c r="J28" s="59">
        <f>IF(OR(I28="",COUNTIF(I$2:I28,I28)&gt;1),J29+1,0)</f>
        <v/>
      </c>
      <c r="K28" s="2">
        <f>INDEX(J$2:J$177,K27+1,1)+K27+1</f>
        <v/>
      </c>
      <c r="L28" s="61">
        <f>INDEX(ЗаданияВесна,K28,1)</f>
        <v/>
      </c>
      <c r="M28" s="58">
        <f>TRIM(CLEAN(INDEX(ЗаданияВесна,ROW(M28)-1,2)))</f>
        <v/>
      </c>
      <c r="N28" s="59">
        <f>IF(OR(M28="",COUNTIF(M$2:M28,M28)&gt;1),N29+1,0)</f>
        <v/>
      </c>
      <c r="O28" s="2">
        <f>INDEX(N$2:N$177,O27+1,1)+O27+1</f>
        <v/>
      </c>
      <c r="P28" s="61">
        <f>INDEX(ЗаданияВесна,O28,2)</f>
        <v/>
      </c>
    </row>
    <row r="29">
      <c r="A29" s="58">
        <f>TRIM(CLEAN(INDEX(ЗаданияОсень,ROW(A29)-1,1)))</f>
        <v/>
      </c>
      <c r="B29" s="59">
        <f>IF(OR(A29="",COUNTIF(A$2:A29,A29)&gt;1),B30+1,0)</f>
        <v/>
      </c>
      <c r="C29" s="2">
        <f>INDEX(B$2:B$177,C28+1,1)+C28+1</f>
        <v/>
      </c>
      <c r="D29" s="61">
        <f>INDEX(ЗаданияОсень,C29,1)</f>
        <v/>
      </c>
      <c r="E29" s="58">
        <f>TRIM(CLEAN(INDEX(ЗаданияОсень,ROW(E29)-1,2)))</f>
        <v/>
      </c>
      <c r="F29" s="59">
        <f>IF(OR(E29="",COUNTIF(E$2:E29,E29)&gt;1),F30+1,0)</f>
        <v/>
      </c>
      <c r="G29" s="2">
        <f>INDEX(F$2:F$177,G28+1,1)+G28+1</f>
        <v/>
      </c>
      <c r="H29" s="61">
        <f>INDEX(ЗаданияОсень,G29,2)</f>
        <v/>
      </c>
      <c r="I29" s="58">
        <f>TRIM(CLEAN(INDEX(ЗаданияВесна,ROW(I29)-1,1)))</f>
        <v/>
      </c>
      <c r="J29" s="59">
        <f>IF(OR(I29="",COUNTIF(I$2:I29,I29)&gt;1),J30+1,0)</f>
        <v/>
      </c>
      <c r="K29" s="2">
        <f>INDEX(J$2:J$177,K28+1,1)+K28+1</f>
        <v/>
      </c>
      <c r="L29" s="61">
        <f>INDEX(ЗаданияВесна,K29,1)</f>
        <v/>
      </c>
      <c r="M29" s="58">
        <f>TRIM(CLEAN(INDEX(ЗаданияВесна,ROW(M29)-1,2)))</f>
        <v/>
      </c>
      <c r="N29" s="59">
        <f>IF(OR(M29="",COUNTIF(M$2:M29,M29)&gt;1),N30+1,0)</f>
        <v/>
      </c>
      <c r="O29" s="2">
        <f>INDEX(N$2:N$177,O28+1,1)+O28+1</f>
        <v/>
      </c>
      <c r="P29" s="61">
        <f>INDEX(ЗаданияВесна,O29,2)</f>
        <v/>
      </c>
    </row>
    <row r="30">
      <c r="A30" s="58">
        <f>TRIM(CLEAN(INDEX(ЗаданияОсень,ROW(A30)-1,1)))</f>
        <v/>
      </c>
      <c r="B30" s="59">
        <f>IF(OR(A30="",COUNTIF(A$2:A30,A30)&gt;1),B31+1,0)</f>
        <v/>
      </c>
      <c r="C30" s="2">
        <f>INDEX(B$2:B$177,C29+1,1)+C29+1</f>
        <v/>
      </c>
      <c r="D30" s="61">
        <f>INDEX(ЗаданияОсень,C30,1)</f>
        <v/>
      </c>
      <c r="E30" s="58">
        <f>TRIM(CLEAN(INDEX(ЗаданияОсень,ROW(E30)-1,2)))</f>
        <v/>
      </c>
      <c r="F30" s="59">
        <f>IF(OR(E30="",COUNTIF(E$2:E30,E30)&gt;1),F31+1,0)</f>
        <v/>
      </c>
      <c r="G30" s="2">
        <f>INDEX(F$2:F$177,G29+1,1)+G29+1</f>
        <v/>
      </c>
      <c r="H30" s="61">
        <f>INDEX(ЗаданияОсень,G30,2)</f>
        <v/>
      </c>
      <c r="I30" s="58">
        <f>TRIM(CLEAN(INDEX(ЗаданияВесна,ROW(I30)-1,1)))</f>
        <v/>
      </c>
      <c r="J30" s="59">
        <f>IF(OR(I30="",COUNTIF(I$2:I30,I30)&gt;1),J31+1,0)</f>
        <v/>
      </c>
      <c r="K30" s="2">
        <f>INDEX(J$2:J$177,K29+1,1)+K29+1</f>
        <v/>
      </c>
      <c r="L30" s="61">
        <f>INDEX(ЗаданияВесна,K30,1)</f>
        <v/>
      </c>
      <c r="M30" s="58">
        <f>TRIM(CLEAN(INDEX(ЗаданияВесна,ROW(M30)-1,2)))</f>
        <v/>
      </c>
      <c r="N30" s="59">
        <f>IF(OR(M30="",COUNTIF(M$2:M30,M30)&gt;1),N31+1,0)</f>
        <v/>
      </c>
      <c r="O30" s="2">
        <f>INDEX(N$2:N$177,O29+1,1)+O29+1</f>
        <v/>
      </c>
      <c r="P30" s="61">
        <f>INDEX(ЗаданияВесна,O30,2)</f>
        <v/>
      </c>
    </row>
    <row r="31">
      <c r="A31" s="58">
        <f>TRIM(CLEAN(INDEX(ЗаданияОсень,ROW(A31)-1,1)))</f>
        <v/>
      </c>
      <c r="B31" s="59">
        <f>IF(OR(A31="",COUNTIF(A$2:A31,A31)&gt;1),B32+1,0)</f>
        <v/>
      </c>
      <c r="C31" s="2">
        <f>INDEX(B$2:B$177,C30+1,1)+C30+1</f>
        <v/>
      </c>
      <c r="D31" s="61">
        <f>INDEX(ЗаданияОсень,C31,1)</f>
        <v/>
      </c>
      <c r="E31" s="58">
        <f>TRIM(CLEAN(INDEX(ЗаданияОсень,ROW(E31)-1,2)))</f>
        <v/>
      </c>
      <c r="F31" s="59">
        <f>IF(OR(E31="",COUNTIF(E$2:E31,E31)&gt;1),F32+1,0)</f>
        <v/>
      </c>
      <c r="G31" s="2">
        <f>INDEX(F$2:F$177,G30+1,1)+G30+1</f>
        <v/>
      </c>
      <c r="H31" s="61">
        <f>INDEX(ЗаданияОсень,G31,2)</f>
        <v/>
      </c>
      <c r="I31" s="58">
        <f>TRIM(CLEAN(INDEX(ЗаданияВесна,ROW(I31)-1,1)))</f>
        <v/>
      </c>
      <c r="J31" s="59">
        <f>IF(OR(I31="",COUNTIF(I$2:I31,I31)&gt;1),J32+1,0)</f>
        <v/>
      </c>
      <c r="K31" s="2">
        <f>INDEX(J$2:J$177,K30+1,1)+K30+1</f>
        <v/>
      </c>
      <c r="L31" s="61">
        <f>INDEX(ЗаданияВесна,K31,1)</f>
        <v/>
      </c>
      <c r="M31" s="58">
        <f>TRIM(CLEAN(INDEX(ЗаданияВесна,ROW(M31)-1,2)))</f>
        <v/>
      </c>
      <c r="N31" s="59">
        <f>IF(OR(M31="",COUNTIF(M$2:M31,M31)&gt;1),N32+1,0)</f>
        <v/>
      </c>
      <c r="O31" s="2">
        <f>INDEX(N$2:N$177,O30+1,1)+O30+1</f>
        <v/>
      </c>
      <c r="P31" s="61">
        <f>INDEX(ЗаданияВесна,O31,2)</f>
        <v/>
      </c>
    </row>
    <row r="32">
      <c r="A32" s="58">
        <f>TRIM(CLEAN(INDEX(ЗаданияОсень,ROW(A32)-1,1)))</f>
        <v/>
      </c>
      <c r="B32" s="59">
        <f>IF(OR(A32="",COUNTIF(A$2:A32,A32)&gt;1),B33+1,0)</f>
        <v/>
      </c>
      <c r="C32" s="2">
        <f>INDEX(B$2:B$177,C31+1,1)+C31+1</f>
        <v/>
      </c>
      <c r="D32" s="61">
        <f>INDEX(ЗаданияОсень,C32,1)</f>
        <v/>
      </c>
      <c r="E32" s="58">
        <f>TRIM(CLEAN(INDEX(ЗаданияОсень,ROW(E32)-1,2)))</f>
        <v/>
      </c>
      <c r="F32" s="59">
        <f>IF(OR(E32="",COUNTIF(E$2:E32,E32)&gt;1),F33+1,0)</f>
        <v/>
      </c>
      <c r="G32" s="2">
        <f>INDEX(F$2:F$177,G31+1,1)+G31+1</f>
        <v/>
      </c>
      <c r="H32" s="61">
        <f>INDEX(ЗаданияОсень,G32,2)</f>
        <v/>
      </c>
      <c r="I32" s="58">
        <f>TRIM(CLEAN(INDEX(ЗаданияВесна,ROW(I32)-1,1)))</f>
        <v/>
      </c>
      <c r="J32" s="59">
        <f>IF(OR(I32="",COUNTIF(I$2:I32,I32)&gt;1),J33+1,0)</f>
        <v/>
      </c>
      <c r="K32" s="2">
        <f>INDEX(J$2:J$177,K31+1,1)+K31+1</f>
        <v/>
      </c>
      <c r="L32" s="61">
        <f>INDEX(ЗаданияВесна,K32,1)</f>
        <v/>
      </c>
      <c r="M32" s="58">
        <f>TRIM(CLEAN(INDEX(ЗаданияВесна,ROW(M32)-1,2)))</f>
        <v/>
      </c>
      <c r="N32" s="59">
        <f>IF(OR(M32="",COUNTIF(M$2:M32,M32)&gt;1),N33+1,0)</f>
        <v/>
      </c>
      <c r="O32" s="2">
        <f>INDEX(N$2:N$177,O31+1,1)+O31+1</f>
        <v/>
      </c>
      <c r="P32" s="61">
        <f>INDEX(ЗаданияВесна,O32,2)</f>
        <v/>
      </c>
    </row>
    <row r="33">
      <c r="A33" s="58">
        <f>TRIM(CLEAN(INDEX(ЗаданияОсень,ROW(A33)-1,1)))</f>
        <v/>
      </c>
      <c r="B33" s="59">
        <f>IF(OR(A33="",COUNTIF(A$2:A33,A33)&gt;1),B34+1,0)</f>
        <v/>
      </c>
      <c r="C33" s="2">
        <f>INDEX(B$2:B$177,C32+1,1)+C32+1</f>
        <v/>
      </c>
      <c r="D33" s="61">
        <f>INDEX(ЗаданияОсень,C33,1)</f>
        <v/>
      </c>
      <c r="E33" s="58">
        <f>TRIM(CLEAN(INDEX(ЗаданияОсень,ROW(E33)-1,2)))</f>
        <v/>
      </c>
      <c r="F33" s="59">
        <f>IF(OR(E33="",COUNTIF(E$2:E33,E33)&gt;1),F34+1,0)</f>
        <v/>
      </c>
      <c r="G33" s="2">
        <f>INDEX(F$2:F$177,G32+1,1)+G32+1</f>
        <v/>
      </c>
      <c r="H33" s="61">
        <f>INDEX(ЗаданияОсень,G33,2)</f>
        <v/>
      </c>
      <c r="I33" s="58">
        <f>TRIM(CLEAN(INDEX(ЗаданияВесна,ROW(I33)-1,1)))</f>
        <v/>
      </c>
      <c r="J33" s="59">
        <f>IF(OR(I33="",COUNTIF(I$2:I33,I33)&gt;1),J34+1,0)</f>
        <v/>
      </c>
      <c r="K33" s="2">
        <f>INDEX(J$2:J$177,K32+1,1)+K32+1</f>
        <v/>
      </c>
      <c r="L33" s="61">
        <f>INDEX(ЗаданияВесна,K33,1)</f>
        <v/>
      </c>
      <c r="M33" s="58">
        <f>TRIM(CLEAN(INDEX(ЗаданияВесна,ROW(M33)-1,2)))</f>
        <v/>
      </c>
      <c r="N33" s="59">
        <f>IF(OR(M33="",COUNTIF(M$2:M33,M33)&gt;1),N34+1,0)</f>
        <v/>
      </c>
      <c r="O33" s="2">
        <f>INDEX(N$2:N$177,O32+1,1)+O32+1</f>
        <v/>
      </c>
      <c r="P33" s="61">
        <f>INDEX(ЗаданияВесна,O33,2)</f>
        <v/>
      </c>
    </row>
    <row r="34">
      <c r="A34" s="58">
        <f>TRIM(CLEAN(INDEX(ЗаданияОсень,ROW(A34)-1,1)))</f>
        <v/>
      </c>
      <c r="B34" s="59">
        <f>IF(OR(A34="",COUNTIF(A$2:A34,A34)&gt;1),B35+1,0)</f>
        <v/>
      </c>
      <c r="C34" s="2">
        <f>INDEX(B$2:B$177,C33+1,1)+C33+1</f>
        <v/>
      </c>
      <c r="D34" s="61">
        <f>INDEX(ЗаданияОсень,C34,1)</f>
        <v/>
      </c>
      <c r="E34" s="58">
        <f>TRIM(CLEAN(INDEX(ЗаданияОсень,ROW(E34)-1,2)))</f>
        <v/>
      </c>
      <c r="F34" s="59">
        <f>IF(OR(E34="",COUNTIF(E$2:E34,E34)&gt;1),F35+1,0)</f>
        <v/>
      </c>
      <c r="G34" s="2">
        <f>INDEX(F$2:F$177,G33+1,1)+G33+1</f>
        <v/>
      </c>
      <c r="H34" s="61">
        <f>INDEX(ЗаданияОсень,G34,2)</f>
        <v/>
      </c>
      <c r="I34" s="58">
        <f>TRIM(CLEAN(INDEX(ЗаданияВесна,ROW(I34)-1,1)))</f>
        <v/>
      </c>
      <c r="J34" s="59">
        <f>IF(OR(I34="",COUNTIF(I$2:I34,I34)&gt;1),J35+1,0)</f>
        <v/>
      </c>
      <c r="K34" s="2">
        <f>INDEX(J$2:J$177,K33+1,1)+K33+1</f>
        <v/>
      </c>
      <c r="L34" s="61">
        <f>INDEX(ЗаданияВесна,K34,1)</f>
        <v/>
      </c>
      <c r="M34" s="58">
        <f>TRIM(CLEAN(INDEX(ЗаданияВесна,ROW(M34)-1,2)))</f>
        <v/>
      </c>
      <c r="N34" s="59">
        <f>IF(OR(M34="",COUNTIF(M$2:M34,M34)&gt;1),N35+1,0)</f>
        <v/>
      </c>
      <c r="O34" s="2">
        <f>INDEX(N$2:N$177,O33+1,1)+O33+1</f>
        <v/>
      </c>
      <c r="P34" s="61">
        <f>INDEX(ЗаданияВесна,O34,2)</f>
        <v/>
      </c>
    </row>
    <row r="35">
      <c r="A35" s="58">
        <f>TRIM(CLEAN(INDEX(ЗаданияОсень,ROW(A35)-1,1)))</f>
        <v/>
      </c>
      <c r="B35" s="59">
        <f>IF(OR(A35="",COUNTIF(A$2:A35,A35)&gt;1),B36+1,0)</f>
        <v/>
      </c>
      <c r="C35" s="2">
        <f>INDEX(B$2:B$177,C34+1,1)+C34+1</f>
        <v/>
      </c>
      <c r="D35" s="61">
        <f>INDEX(ЗаданияОсень,C35,1)</f>
        <v/>
      </c>
      <c r="E35" s="58">
        <f>TRIM(CLEAN(INDEX(ЗаданияОсень,ROW(E35)-1,2)))</f>
        <v/>
      </c>
      <c r="F35" s="59">
        <f>IF(OR(E35="",COUNTIF(E$2:E35,E35)&gt;1),F36+1,0)</f>
        <v/>
      </c>
      <c r="G35" s="2">
        <f>INDEX(F$2:F$177,G34+1,1)+G34+1</f>
        <v/>
      </c>
      <c r="H35" s="61">
        <f>INDEX(ЗаданияОсень,G35,2)</f>
        <v/>
      </c>
      <c r="I35" s="58">
        <f>TRIM(CLEAN(INDEX(ЗаданияВесна,ROW(I35)-1,1)))</f>
        <v/>
      </c>
      <c r="J35" s="59">
        <f>IF(OR(I35="",COUNTIF(I$2:I35,I35)&gt;1),J36+1,0)</f>
        <v/>
      </c>
      <c r="K35" s="2">
        <f>INDEX(J$2:J$177,K34+1,1)+K34+1</f>
        <v/>
      </c>
      <c r="L35" s="61">
        <f>INDEX(ЗаданияВесна,K35,1)</f>
        <v/>
      </c>
      <c r="M35" s="58">
        <f>TRIM(CLEAN(INDEX(ЗаданияВесна,ROW(M35)-1,2)))</f>
        <v/>
      </c>
      <c r="N35" s="59">
        <f>IF(OR(M35="",COUNTIF(M$2:M35,M35)&gt;1),N36+1,0)</f>
        <v/>
      </c>
      <c r="O35" s="2">
        <f>INDEX(N$2:N$177,O34+1,1)+O34+1</f>
        <v/>
      </c>
      <c r="P35" s="61">
        <f>INDEX(ЗаданияВесна,O35,2)</f>
        <v/>
      </c>
    </row>
    <row r="36">
      <c r="A36" s="58">
        <f>TRIM(CLEAN(INDEX(ЗаданияОсень,ROW(A36)-1,1)))</f>
        <v/>
      </c>
      <c r="B36" s="59">
        <f>IF(OR(A36="",COUNTIF(A$2:A36,A36)&gt;1),B37+1,0)</f>
        <v/>
      </c>
      <c r="C36" s="2">
        <f>INDEX(B$2:B$177,C35+1,1)+C35+1</f>
        <v/>
      </c>
      <c r="D36" s="61">
        <f>INDEX(ЗаданияОсень,C36,1)</f>
        <v/>
      </c>
      <c r="E36" s="58">
        <f>TRIM(CLEAN(INDEX(ЗаданияОсень,ROW(E36)-1,2)))</f>
        <v/>
      </c>
      <c r="F36" s="59">
        <f>IF(OR(E36="",COUNTIF(E$2:E36,E36)&gt;1),F37+1,0)</f>
        <v/>
      </c>
      <c r="G36" s="2">
        <f>INDEX(F$2:F$177,G35+1,1)+G35+1</f>
        <v/>
      </c>
      <c r="H36" s="61">
        <f>INDEX(ЗаданияОсень,G36,2)</f>
        <v/>
      </c>
      <c r="I36" s="58">
        <f>TRIM(CLEAN(INDEX(ЗаданияВесна,ROW(I36)-1,1)))</f>
        <v/>
      </c>
      <c r="J36" s="59">
        <f>IF(OR(I36="",COUNTIF(I$2:I36,I36)&gt;1),J37+1,0)</f>
        <v/>
      </c>
      <c r="K36" s="2">
        <f>INDEX(J$2:J$177,K35+1,1)+K35+1</f>
        <v/>
      </c>
      <c r="L36" s="61">
        <f>INDEX(ЗаданияВесна,K36,1)</f>
        <v/>
      </c>
      <c r="M36" s="58">
        <f>TRIM(CLEAN(INDEX(ЗаданияВесна,ROW(M36)-1,2)))</f>
        <v/>
      </c>
      <c r="N36" s="59">
        <f>IF(OR(M36="",COUNTIF(M$2:M36,M36)&gt;1),N37+1,0)</f>
        <v/>
      </c>
      <c r="O36" s="2">
        <f>INDEX(N$2:N$177,O35+1,1)+O35+1</f>
        <v/>
      </c>
      <c r="P36" s="61">
        <f>INDEX(ЗаданияВесна,O36,2)</f>
        <v/>
      </c>
    </row>
    <row r="37">
      <c r="A37" s="58">
        <f>TRIM(CLEAN(INDEX(ЗаданияОсень,ROW(A37)-1,1)))</f>
        <v/>
      </c>
      <c r="B37" s="59">
        <f>IF(OR(A37="",COUNTIF(A$2:A37,A37)&gt;1),B38+1,0)</f>
        <v/>
      </c>
      <c r="C37" s="2">
        <f>INDEX(B$2:B$177,C36+1,1)+C36+1</f>
        <v/>
      </c>
      <c r="D37" s="61">
        <f>INDEX(ЗаданияОсень,C37,1)</f>
        <v/>
      </c>
      <c r="E37" s="58">
        <f>TRIM(CLEAN(INDEX(ЗаданияОсень,ROW(E37)-1,2)))</f>
        <v/>
      </c>
      <c r="F37" s="59">
        <f>IF(OR(E37="",COUNTIF(E$2:E37,E37)&gt;1),F38+1,0)</f>
        <v/>
      </c>
      <c r="G37" s="2">
        <f>INDEX(F$2:F$177,G36+1,1)+G36+1</f>
        <v/>
      </c>
      <c r="H37" s="61">
        <f>INDEX(ЗаданияОсень,G37,2)</f>
        <v/>
      </c>
      <c r="I37" s="58">
        <f>TRIM(CLEAN(INDEX(ЗаданияВесна,ROW(I37)-1,1)))</f>
        <v/>
      </c>
      <c r="J37" s="59">
        <f>IF(OR(I37="",COUNTIF(I$2:I37,I37)&gt;1),J38+1,0)</f>
        <v/>
      </c>
      <c r="K37" s="2">
        <f>INDEX(J$2:J$177,K36+1,1)+K36+1</f>
        <v/>
      </c>
      <c r="L37" s="61">
        <f>INDEX(ЗаданияВесна,K37,1)</f>
        <v/>
      </c>
      <c r="M37" s="58">
        <f>TRIM(CLEAN(INDEX(ЗаданияВесна,ROW(M37)-1,2)))</f>
        <v/>
      </c>
      <c r="N37" s="59">
        <f>IF(OR(M37="",COUNTIF(M$2:M37,M37)&gt;1),N38+1,0)</f>
        <v/>
      </c>
      <c r="O37" s="2">
        <f>INDEX(N$2:N$177,O36+1,1)+O36+1</f>
        <v/>
      </c>
      <c r="P37" s="61">
        <f>INDEX(ЗаданияВесна,O37,2)</f>
        <v/>
      </c>
    </row>
    <row r="38">
      <c r="A38" s="58">
        <f>TRIM(CLEAN(INDEX(ЗаданияОсень,ROW(A38)-1,1)))</f>
        <v/>
      </c>
      <c r="B38" s="59">
        <f>IF(OR(A38="",COUNTIF(A$2:A38,A38)&gt;1),B39+1,0)</f>
        <v/>
      </c>
      <c r="C38" s="2">
        <f>INDEX(B$2:B$177,C37+1,1)+C37+1</f>
        <v/>
      </c>
      <c r="D38" s="61">
        <f>INDEX(ЗаданияОсень,C38,1)</f>
        <v/>
      </c>
      <c r="E38" s="58">
        <f>TRIM(CLEAN(INDEX(ЗаданияОсень,ROW(E38)-1,2)))</f>
        <v/>
      </c>
      <c r="F38" s="59">
        <f>IF(OR(E38="",COUNTIF(E$2:E38,E38)&gt;1),F39+1,0)</f>
        <v/>
      </c>
      <c r="G38" s="2">
        <f>INDEX(F$2:F$177,G37+1,1)+G37+1</f>
        <v/>
      </c>
      <c r="H38" s="61">
        <f>INDEX(ЗаданияОсень,G38,2)</f>
        <v/>
      </c>
      <c r="I38" s="58">
        <f>TRIM(CLEAN(INDEX(ЗаданияВесна,ROW(I38)-1,1)))</f>
        <v/>
      </c>
      <c r="J38" s="59">
        <f>IF(OR(I38="",COUNTIF(I$2:I38,I38)&gt;1),J39+1,0)</f>
        <v/>
      </c>
      <c r="K38" s="2">
        <f>INDEX(J$2:J$177,K37+1,1)+K37+1</f>
        <v/>
      </c>
      <c r="L38" s="61">
        <f>INDEX(ЗаданияВесна,K38,1)</f>
        <v/>
      </c>
      <c r="M38" s="58">
        <f>TRIM(CLEAN(INDEX(ЗаданияВесна,ROW(M38)-1,2)))</f>
        <v/>
      </c>
      <c r="N38" s="59">
        <f>IF(OR(M38="",COUNTIF(M$2:M38,M38)&gt;1),N39+1,0)</f>
        <v/>
      </c>
      <c r="O38" s="2">
        <f>INDEX(N$2:N$177,O37+1,1)+O37+1</f>
        <v/>
      </c>
      <c r="P38" s="61">
        <f>INDEX(ЗаданияВесна,O38,2)</f>
        <v/>
      </c>
    </row>
    <row r="39">
      <c r="A39" s="58">
        <f>TRIM(CLEAN(INDEX(ЗаданияОсень,ROW(A39)-1,1)))</f>
        <v/>
      </c>
      <c r="B39" s="59">
        <f>IF(OR(A39="",COUNTIF(A$2:A39,A39)&gt;1),B40+1,0)</f>
        <v/>
      </c>
      <c r="C39" s="2">
        <f>INDEX(B$2:B$177,C38+1,1)+C38+1</f>
        <v/>
      </c>
      <c r="D39" s="61">
        <f>INDEX(ЗаданияОсень,C39,1)</f>
        <v/>
      </c>
      <c r="E39" s="58">
        <f>TRIM(CLEAN(INDEX(ЗаданияОсень,ROW(E39)-1,2)))</f>
        <v/>
      </c>
      <c r="F39" s="59">
        <f>IF(OR(E39="",COUNTIF(E$2:E39,E39)&gt;1),F40+1,0)</f>
        <v/>
      </c>
      <c r="G39" s="2">
        <f>INDEX(F$2:F$177,G38+1,1)+G38+1</f>
        <v/>
      </c>
      <c r="H39" s="61">
        <f>INDEX(ЗаданияОсень,G39,2)</f>
        <v/>
      </c>
      <c r="I39" s="58">
        <f>TRIM(CLEAN(INDEX(ЗаданияВесна,ROW(I39)-1,1)))</f>
        <v/>
      </c>
      <c r="J39" s="59">
        <f>IF(OR(I39="",COUNTIF(I$2:I39,I39)&gt;1),J40+1,0)</f>
        <v/>
      </c>
      <c r="K39" s="2">
        <f>INDEX(J$2:J$177,K38+1,1)+K38+1</f>
        <v/>
      </c>
      <c r="L39" s="61">
        <f>INDEX(ЗаданияВесна,K39,1)</f>
        <v/>
      </c>
      <c r="M39" s="58">
        <f>TRIM(CLEAN(INDEX(ЗаданияВесна,ROW(M39)-1,2)))</f>
        <v/>
      </c>
      <c r="N39" s="59">
        <f>IF(OR(M39="",COUNTIF(M$2:M39,M39)&gt;1),N40+1,0)</f>
        <v/>
      </c>
      <c r="O39" s="2">
        <f>INDEX(N$2:N$177,O38+1,1)+O38+1</f>
        <v/>
      </c>
      <c r="P39" s="61">
        <f>INDEX(ЗаданияВесна,O39,2)</f>
        <v/>
      </c>
    </row>
    <row r="40">
      <c r="A40" s="58">
        <f>TRIM(CLEAN(INDEX(ЗаданияОсень,ROW(A40)-1,1)))</f>
        <v/>
      </c>
      <c r="B40" s="59">
        <f>IF(OR(A40="",COUNTIF(A$2:A40,A40)&gt;1),B41+1,0)</f>
        <v/>
      </c>
      <c r="C40" s="2">
        <f>INDEX(B$2:B$177,C39+1,1)+C39+1</f>
        <v/>
      </c>
      <c r="D40" s="61">
        <f>INDEX(ЗаданияОсень,C40,1)</f>
        <v/>
      </c>
      <c r="E40" s="58">
        <f>TRIM(CLEAN(INDEX(ЗаданияОсень,ROW(E40)-1,2)))</f>
        <v/>
      </c>
      <c r="F40" s="59">
        <f>IF(OR(E40="",COUNTIF(E$2:E40,E40)&gt;1),F41+1,0)</f>
        <v/>
      </c>
      <c r="G40" s="2">
        <f>INDEX(F$2:F$177,G39+1,1)+G39+1</f>
        <v/>
      </c>
      <c r="H40" s="61">
        <f>INDEX(ЗаданияОсень,G40,2)</f>
        <v/>
      </c>
      <c r="I40" s="58">
        <f>TRIM(CLEAN(INDEX(ЗаданияВесна,ROW(I40)-1,1)))</f>
        <v/>
      </c>
      <c r="J40" s="59">
        <f>IF(OR(I40="",COUNTIF(I$2:I40,I40)&gt;1),J41+1,0)</f>
        <v/>
      </c>
      <c r="K40" s="2">
        <f>INDEX(J$2:J$177,K39+1,1)+K39+1</f>
        <v/>
      </c>
      <c r="L40" s="61">
        <f>INDEX(ЗаданияВесна,K40,1)</f>
        <v/>
      </c>
      <c r="M40" s="58">
        <f>TRIM(CLEAN(INDEX(ЗаданияВесна,ROW(M40)-1,2)))</f>
        <v/>
      </c>
      <c r="N40" s="59">
        <f>IF(OR(M40="",COUNTIF(M$2:M40,M40)&gt;1),N41+1,0)</f>
        <v/>
      </c>
      <c r="O40" s="2">
        <f>INDEX(N$2:N$177,O39+1,1)+O39+1</f>
        <v/>
      </c>
      <c r="P40" s="61">
        <f>INDEX(ЗаданияВесна,O40,2)</f>
        <v/>
      </c>
    </row>
    <row r="41">
      <c r="A41" s="58">
        <f>TRIM(CLEAN(INDEX(ЗаданияОсень,ROW(A41)-1,1)))</f>
        <v/>
      </c>
      <c r="B41" s="59">
        <f>IF(OR(A41="",COUNTIF(A$2:A41,A41)&gt;1),B42+1,0)</f>
        <v/>
      </c>
      <c r="C41" s="2">
        <f>INDEX(B$2:B$177,C40+1,1)+C40+1</f>
        <v/>
      </c>
      <c r="D41" s="61">
        <f>INDEX(ЗаданияОсень,C41,1)</f>
        <v/>
      </c>
      <c r="E41" s="58">
        <f>TRIM(CLEAN(INDEX(ЗаданияОсень,ROW(E41)-1,2)))</f>
        <v/>
      </c>
      <c r="F41" s="59">
        <f>IF(OR(E41="",COUNTIF(E$2:E41,E41)&gt;1),F42+1,0)</f>
        <v/>
      </c>
      <c r="G41" s="2">
        <f>INDEX(F$2:F$177,G40+1,1)+G40+1</f>
        <v/>
      </c>
      <c r="H41" s="61">
        <f>INDEX(ЗаданияОсень,G41,2)</f>
        <v/>
      </c>
      <c r="I41" s="58">
        <f>TRIM(CLEAN(INDEX(ЗаданияВесна,ROW(I41)-1,1)))</f>
        <v/>
      </c>
      <c r="J41" s="59">
        <f>IF(OR(I41="",COUNTIF(I$2:I41,I41)&gt;1),J42+1,0)</f>
        <v/>
      </c>
      <c r="K41" s="2">
        <f>INDEX(J$2:J$177,K40+1,1)+K40+1</f>
        <v/>
      </c>
      <c r="L41" s="61">
        <f>INDEX(ЗаданияВесна,K41,1)</f>
        <v/>
      </c>
      <c r="M41" s="58">
        <f>TRIM(CLEAN(INDEX(ЗаданияВесна,ROW(M41)-1,2)))</f>
        <v/>
      </c>
      <c r="N41" s="59">
        <f>IF(OR(M41="",COUNTIF(M$2:M41,M41)&gt;1),N42+1,0)</f>
        <v/>
      </c>
      <c r="O41" s="2">
        <f>INDEX(N$2:N$177,O40+1,1)+O40+1</f>
        <v/>
      </c>
      <c r="P41" s="61">
        <f>INDEX(ЗаданияВесна,O41,2)</f>
        <v/>
      </c>
    </row>
    <row r="42">
      <c r="A42" s="58">
        <f>TRIM(CLEAN(INDEX(ЗаданияОсень,ROW(A42)-1,1)))</f>
        <v/>
      </c>
      <c r="B42" s="59">
        <f>IF(OR(A42="",COUNTIF(A$2:A42,A42)&gt;1),B43+1,0)</f>
        <v/>
      </c>
      <c r="C42" s="2">
        <f>INDEX(B$2:B$177,C41+1,1)+C41+1</f>
        <v/>
      </c>
      <c r="D42" s="61">
        <f>INDEX(ЗаданияОсень,C42,1)</f>
        <v/>
      </c>
      <c r="E42" s="58">
        <f>TRIM(CLEAN(INDEX(ЗаданияОсень,ROW(E42)-1,2)))</f>
        <v/>
      </c>
      <c r="F42" s="59">
        <f>IF(OR(E42="",COUNTIF(E$2:E42,E42)&gt;1),F43+1,0)</f>
        <v/>
      </c>
      <c r="G42" s="2">
        <f>INDEX(F$2:F$177,G41+1,1)+G41+1</f>
        <v/>
      </c>
      <c r="H42" s="61">
        <f>INDEX(ЗаданияОсень,G42,2)</f>
        <v/>
      </c>
      <c r="I42" s="58">
        <f>TRIM(CLEAN(INDEX(ЗаданияВесна,ROW(I42)-1,1)))</f>
        <v/>
      </c>
      <c r="J42" s="59">
        <f>IF(OR(I42="",COUNTIF(I$2:I42,I42)&gt;1),J43+1,0)</f>
        <v/>
      </c>
      <c r="K42" s="2">
        <f>INDEX(J$2:J$177,K41+1,1)+K41+1</f>
        <v/>
      </c>
      <c r="L42" s="61">
        <f>INDEX(ЗаданияВесна,K42,1)</f>
        <v/>
      </c>
      <c r="M42" s="58">
        <f>TRIM(CLEAN(INDEX(ЗаданияВесна,ROW(M42)-1,2)))</f>
        <v/>
      </c>
      <c r="N42" s="59">
        <f>IF(OR(M42="",COUNTIF(M$2:M42,M42)&gt;1),N43+1,0)</f>
        <v/>
      </c>
      <c r="O42" s="2">
        <f>INDEX(N$2:N$177,O41+1,1)+O41+1</f>
        <v/>
      </c>
      <c r="P42" s="61">
        <f>INDEX(ЗаданияВесна,O42,2)</f>
        <v/>
      </c>
    </row>
    <row r="43">
      <c r="A43" s="58">
        <f>TRIM(CLEAN(INDEX(ЗаданияОсень,ROW(A43)-1,1)))</f>
        <v/>
      </c>
      <c r="B43" s="59">
        <f>IF(OR(A43="",COUNTIF(A$2:A43,A43)&gt;1),B44+1,0)</f>
        <v/>
      </c>
      <c r="C43" s="2">
        <f>INDEX(B$2:B$177,C42+1,1)+C42+1</f>
        <v/>
      </c>
      <c r="D43" s="61">
        <f>INDEX(ЗаданияОсень,C43,1)</f>
        <v/>
      </c>
      <c r="E43" s="58">
        <f>TRIM(CLEAN(INDEX(ЗаданияОсень,ROW(E43)-1,2)))</f>
        <v/>
      </c>
      <c r="F43" s="59">
        <f>IF(OR(E43="",COUNTIF(E$2:E43,E43)&gt;1),F44+1,0)</f>
        <v/>
      </c>
      <c r="G43" s="2">
        <f>INDEX(F$2:F$177,G42+1,1)+G42+1</f>
        <v/>
      </c>
      <c r="H43" s="61">
        <f>INDEX(ЗаданияОсень,G43,2)</f>
        <v/>
      </c>
      <c r="I43" s="58">
        <f>TRIM(CLEAN(INDEX(ЗаданияВесна,ROW(I43)-1,1)))</f>
        <v/>
      </c>
      <c r="J43" s="59">
        <f>IF(OR(I43="",COUNTIF(I$2:I43,I43)&gt;1),J44+1,0)</f>
        <v/>
      </c>
      <c r="K43" s="2">
        <f>INDEX(J$2:J$177,K42+1,1)+K42+1</f>
        <v/>
      </c>
      <c r="L43" s="61">
        <f>INDEX(ЗаданияВесна,K43,1)</f>
        <v/>
      </c>
      <c r="M43" s="58">
        <f>TRIM(CLEAN(INDEX(ЗаданияВесна,ROW(M43)-1,2)))</f>
        <v/>
      </c>
      <c r="N43" s="59">
        <f>IF(OR(M43="",COUNTIF(M$2:M43,M43)&gt;1),N44+1,0)</f>
        <v/>
      </c>
      <c r="O43" s="2">
        <f>INDEX(N$2:N$177,O42+1,1)+O42+1</f>
        <v/>
      </c>
      <c r="P43" s="61">
        <f>INDEX(ЗаданияВесна,O43,2)</f>
        <v/>
      </c>
    </row>
    <row r="44">
      <c r="A44" s="58">
        <f>TRIM(CLEAN(INDEX(ЗаданияОсень,ROW(A44)-1,1)))</f>
        <v/>
      </c>
      <c r="B44" s="59">
        <f>IF(OR(A44="",COUNTIF(A$2:A44,A44)&gt;1),B45+1,0)</f>
        <v/>
      </c>
      <c r="C44" s="2">
        <f>INDEX(B$2:B$177,C43+1,1)+C43+1</f>
        <v/>
      </c>
      <c r="D44" s="61">
        <f>INDEX(ЗаданияОсень,C44,1)</f>
        <v/>
      </c>
      <c r="E44" s="58">
        <f>TRIM(CLEAN(INDEX(ЗаданияОсень,ROW(E44)-1,2)))</f>
        <v/>
      </c>
      <c r="F44" s="59">
        <f>IF(OR(E44="",COUNTIF(E$2:E44,E44)&gt;1),F45+1,0)</f>
        <v/>
      </c>
      <c r="G44" s="2">
        <f>INDEX(F$2:F$177,G43+1,1)+G43+1</f>
        <v/>
      </c>
      <c r="H44" s="61">
        <f>INDEX(ЗаданияОсень,G44,2)</f>
        <v/>
      </c>
      <c r="I44" s="58">
        <f>TRIM(CLEAN(INDEX(ЗаданияВесна,ROW(I44)-1,1)))</f>
        <v/>
      </c>
      <c r="J44" s="59">
        <f>IF(OR(I44="",COUNTIF(I$2:I44,I44)&gt;1),J45+1,0)</f>
        <v/>
      </c>
      <c r="K44" s="2">
        <f>INDEX(J$2:J$177,K43+1,1)+K43+1</f>
        <v/>
      </c>
      <c r="L44" s="61">
        <f>INDEX(ЗаданияВесна,K44,1)</f>
        <v/>
      </c>
      <c r="M44" s="58">
        <f>TRIM(CLEAN(INDEX(ЗаданияВесна,ROW(M44)-1,2)))</f>
        <v/>
      </c>
      <c r="N44" s="59">
        <f>IF(OR(M44="",COUNTIF(M$2:M44,M44)&gt;1),N45+1,0)</f>
        <v/>
      </c>
      <c r="O44" s="2">
        <f>INDEX(N$2:N$177,O43+1,1)+O43+1</f>
        <v/>
      </c>
      <c r="P44" s="61">
        <f>INDEX(ЗаданияВесна,O44,2)</f>
        <v/>
      </c>
    </row>
    <row r="45">
      <c r="A45" s="58">
        <f>TRIM(CLEAN(INDEX(ЗаданияОсень,ROW(A45)-1,1)))</f>
        <v/>
      </c>
      <c r="B45" s="59">
        <f>IF(OR(A45="",COUNTIF(A$2:A45,A45)&gt;1),B46+1,0)</f>
        <v/>
      </c>
      <c r="C45" s="2">
        <f>INDEX(B$2:B$177,C44+1,1)+C44+1</f>
        <v/>
      </c>
      <c r="D45" s="61">
        <f>INDEX(ЗаданияОсень,C45,1)</f>
        <v/>
      </c>
      <c r="E45" s="58">
        <f>TRIM(CLEAN(INDEX(ЗаданияОсень,ROW(E45)-1,2)))</f>
        <v/>
      </c>
      <c r="F45" s="59">
        <f>IF(OR(E45="",COUNTIF(E$2:E45,E45)&gt;1),F46+1,0)</f>
        <v/>
      </c>
      <c r="G45" s="2">
        <f>INDEX(F$2:F$177,G44+1,1)+G44+1</f>
        <v/>
      </c>
      <c r="H45" s="61">
        <f>INDEX(ЗаданияОсень,G45,2)</f>
        <v/>
      </c>
      <c r="I45" s="58">
        <f>TRIM(CLEAN(INDEX(ЗаданияВесна,ROW(I45)-1,1)))</f>
        <v/>
      </c>
      <c r="J45" s="59">
        <f>IF(OR(I45="",COUNTIF(I$2:I45,I45)&gt;1),J46+1,0)</f>
        <v/>
      </c>
      <c r="K45" s="2">
        <f>INDEX(J$2:J$177,K44+1,1)+K44+1</f>
        <v/>
      </c>
      <c r="L45" s="61">
        <f>INDEX(ЗаданияВесна,K45,1)</f>
        <v/>
      </c>
      <c r="M45" s="58">
        <f>TRIM(CLEAN(INDEX(ЗаданияВесна,ROW(M45)-1,2)))</f>
        <v/>
      </c>
      <c r="N45" s="59">
        <f>IF(OR(M45="",COUNTIF(M$2:M45,M45)&gt;1),N46+1,0)</f>
        <v/>
      </c>
      <c r="O45" s="2">
        <f>INDEX(N$2:N$177,O44+1,1)+O44+1</f>
        <v/>
      </c>
      <c r="P45" s="61">
        <f>INDEX(ЗаданияВесна,O45,2)</f>
        <v/>
      </c>
    </row>
    <row r="46">
      <c r="A46" s="58">
        <f>TRIM(CLEAN(INDEX(ЗаданияОсень,ROW(A46)-1,1)))</f>
        <v/>
      </c>
      <c r="B46" s="59">
        <f>IF(OR(A46="",COUNTIF(A$2:A46,A46)&gt;1),B47+1,0)</f>
        <v/>
      </c>
      <c r="C46" s="2">
        <f>INDEX(B$2:B$177,C45+1,1)+C45+1</f>
        <v/>
      </c>
      <c r="D46" s="61">
        <f>INDEX(ЗаданияОсень,C46,1)</f>
        <v/>
      </c>
      <c r="E46" s="58">
        <f>TRIM(CLEAN(INDEX(ЗаданияОсень,ROW(E46)-1,2)))</f>
        <v/>
      </c>
      <c r="F46" s="59">
        <f>IF(OR(E46="",COUNTIF(E$2:E46,E46)&gt;1),F47+1,0)</f>
        <v/>
      </c>
      <c r="G46" s="2">
        <f>INDEX(F$2:F$177,G45+1,1)+G45+1</f>
        <v/>
      </c>
      <c r="H46" s="61">
        <f>INDEX(ЗаданияОсень,G46,2)</f>
        <v/>
      </c>
      <c r="I46" s="58">
        <f>TRIM(CLEAN(INDEX(ЗаданияВесна,ROW(I46)-1,1)))</f>
        <v/>
      </c>
      <c r="J46" s="59">
        <f>IF(OR(I46="",COUNTIF(I$2:I46,I46)&gt;1),J47+1,0)</f>
        <v/>
      </c>
      <c r="K46" s="2">
        <f>INDEX(J$2:J$177,K45+1,1)+K45+1</f>
        <v/>
      </c>
      <c r="L46" s="61">
        <f>INDEX(ЗаданияВесна,K46,1)</f>
        <v/>
      </c>
      <c r="M46" s="58">
        <f>TRIM(CLEAN(INDEX(ЗаданияВесна,ROW(M46)-1,2)))</f>
        <v/>
      </c>
      <c r="N46" s="59">
        <f>IF(OR(M46="",COUNTIF(M$2:M46,M46)&gt;1),N47+1,0)</f>
        <v/>
      </c>
      <c r="O46" s="2">
        <f>INDEX(N$2:N$177,O45+1,1)+O45+1</f>
        <v/>
      </c>
      <c r="P46" s="61">
        <f>INDEX(ЗаданияВесна,O46,2)</f>
        <v/>
      </c>
    </row>
    <row r="47">
      <c r="A47" s="58">
        <f>TRIM(CLEAN(INDEX(ЗаданияОсень,ROW(A47)-1,1)))</f>
        <v/>
      </c>
      <c r="B47" s="59">
        <f>IF(OR(A47="",COUNTIF(A$2:A47,A47)&gt;1),B48+1,0)</f>
        <v/>
      </c>
      <c r="C47" s="2">
        <f>INDEX(B$2:B$177,C46+1,1)+C46+1</f>
        <v/>
      </c>
      <c r="D47" s="61">
        <f>INDEX(ЗаданияОсень,C47,1)</f>
        <v/>
      </c>
      <c r="E47" s="58">
        <f>TRIM(CLEAN(INDEX(ЗаданияОсень,ROW(E47)-1,2)))</f>
        <v/>
      </c>
      <c r="F47" s="59">
        <f>IF(OR(E47="",COUNTIF(E$2:E47,E47)&gt;1),F48+1,0)</f>
        <v/>
      </c>
      <c r="G47" s="2">
        <f>INDEX(F$2:F$177,G46+1,1)+G46+1</f>
        <v/>
      </c>
      <c r="H47" s="61">
        <f>INDEX(ЗаданияОсень,G47,2)</f>
        <v/>
      </c>
      <c r="I47" s="58">
        <f>TRIM(CLEAN(INDEX(ЗаданияВесна,ROW(I47)-1,1)))</f>
        <v/>
      </c>
      <c r="J47" s="59">
        <f>IF(OR(I47="",COUNTIF(I$2:I47,I47)&gt;1),J48+1,0)</f>
        <v/>
      </c>
      <c r="K47" s="2">
        <f>INDEX(J$2:J$177,K46+1,1)+K46+1</f>
        <v/>
      </c>
      <c r="L47" s="61">
        <f>INDEX(ЗаданияВесна,K47,1)</f>
        <v/>
      </c>
      <c r="M47" s="58">
        <f>TRIM(CLEAN(INDEX(ЗаданияВесна,ROW(M47)-1,2)))</f>
        <v/>
      </c>
      <c r="N47" s="59">
        <f>IF(OR(M47="",COUNTIF(M$2:M47,M47)&gt;1),N48+1,0)</f>
        <v/>
      </c>
      <c r="O47" s="2">
        <f>INDEX(N$2:N$177,O46+1,1)+O46+1</f>
        <v/>
      </c>
      <c r="P47" s="61">
        <f>INDEX(ЗаданияВесна,O47,2)</f>
        <v/>
      </c>
    </row>
    <row r="48">
      <c r="A48" s="58">
        <f>TRIM(CLEAN(INDEX(ЗаданияОсень,ROW(A48)-1,1)))</f>
        <v/>
      </c>
      <c r="B48" s="59">
        <f>IF(OR(A48="",COUNTIF(A$2:A48,A48)&gt;1),B49+1,0)</f>
        <v/>
      </c>
      <c r="C48" s="2">
        <f>INDEX(B$2:B$177,C47+1,1)+C47+1</f>
        <v/>
      </c>
      <c r="D48" s="61">
        <f>INDEX(ЗаданияОсень,C48,1)</f>
        <v/>
      </c>
      <c r="E48" s="58">
        <f>TRIM(CLEAN(INDEX(ЗаданияОсень,ROW(E48)-1,2)))</f>
        <v/>
      </c>
      <c r="F48" s="59">
        <f>IF(OR(E48="",COUNTIF(E$2:E48,E48)&gt;1),F49+1,0)</f>
        <v/>
      </c>
      <c r="G48" s="2">
        <f>INDEX(F$2:F$177,G47+1,1)+G47+1</f>
        <v/>
      </c>
      <c r="H48" s="61">
        <f>INDEX(ЗаданияОсень,G48,2)</f>
        <v/>
      </c>
      <c r="I48" s="58">
        <f>TRIM(CLEAN(INDEX(ЗаданияВесна,ROW(I48)-1,1)))</f>
        <v/>
      </c>
      <c r="J48" s="59">
        <f>IF(OR(I48="",COUNTIF(I$2:I48,I48)&gt;1),J49+1,0)</f>
        <v/>
      </c>
      <c r="K48" s="2">
        <f>INDEX(J$2:J$177,K47+1,1)+K47+1</f>
        <v/>
      </c>
      <c r="L48" s="61">
        <f>INDEX(ЗаданияВесна,K48,1)</f>
        <v/>
      </c>
      <c r="M48" s="58">
        <f>TRIM(CLEAN(INDEX(ЗаданияВесна,ROW(M48)-1,2)))</f>
        <v/>
      </c>
      <c r="N48" s="59">
        <f>IF(OR(M48="",COUNTIF(M$2:M48,M48)&gt;1),N49+1,0)</f>
        <v/>
      </c>
      <c r="O48" s="2">
        <f>INDEX(N$2:N$177,O47+1,1)+O47+1</f>
        <v/>
      </c>
      <c r="P48" s="61">
        <f>INDEX(ЗаданияВесна,O48,2)</f>
        <v/>
      </c>
    </row>
    <row r="49">
      <c r="A49" s="58">
        <f>TRIM(CLEAN(INDEX(ЗаданияОсень,ROW(A49)-1,1)))</f>
        <v/>
      </c>
      <c r="B49" s="59">
        <f>IF(OR(A49="",COUNTIF(A$2:A49,A49)&gt;1),B50+1,0)</f>
        <v/>
      </c>
      <c r="C49" s="2">
        <f>INDEX(B$2:B$177,C48+1,1)+C48+1</f>
        <v/>
      </c>
      <c r="D49" s="61">
        <f>INDEX(ЗаданияОсень,C49,1)</f>
        <v/>
      </c>
      <c r="E49" s="58">
        <f>TRIM(CLEAN(INDEX(ЗаданияОсень,ROW(E49)-1,2)))</f>
        <v/>
      </c>
      <c r="F49" s="59">
        <f>IF(OR(E49="",COUNTIF(E$2:E49,E49)&gt;1),F50+1,0)</f>
        <v/>
      </c>
      <c r="G49" s="2">
        <f>INDEX(F$2:F$177,G48+1,1)+G48+1</f>
        <v/>
      </c>
      <c r="H49" s="61">
        <f>INDEX(ЗаданияОсень,G49,2)</f>
        <v/>
      </c>
      <c r="I49" s="58">
        <f>TRIM(CLEAN(INDEX(ЗаданияВесна,ROW(I49)-1,1)))</f>
        <v/>
      </c>
      <c r="J49" s="59">
        <f>IF(OR(I49="",COUNTIF(I$2:I49,I49)&gt;1),J50+1,0)</f>
        <v/>
      </c>
      <c r="K49" s="2">
        <f>INDEX(J$2:J$177,K48+1,1)+K48+1</f>
        <v/>
      </c>
      <c r="L49" s="61">
        <f>INDEX(ЗаданияВесна,K49,1)</f>
        <v/>
      </c>
      <c r="M49" s="58">
        <f>TRIM(CLEAN(INDEX(ЗаданияВесна,ROW(M49)-1,2)))</f>
        <v/>
      </c>
      <c r="N49" s="59">
        <f>IF(OR(M49="",COUNTIF(M$2:M49,M49)&gt;1),N50+1,0)</f>
        <v/>
      </c>
      <c r="O49" s="2">
        <f>INDEX(N$2:N$177,O48+1,1)+O48+1</f>
        <v/>
      </c>
      <c r="P49" s="61">
        <f>INDEX(ЗаданияВесна,O49,2)</f>
        <v/>
      </c>
    </row>
    <row r="50">
      <c r="A50" s="58">
        <f>TRIM(CLEAN(INDEX(ЗаданияОсень,ROW(A50)-1,1)))</f>
        <v/>
      </c>
      <c r="B50" s="59">
        <f>IF(OR(A50="",COUNTIF(A$2:A50,A50)&gt;1),B51+1,0)</f>
        <v/>
      </c>
      <c r="C50" s="2">
        <f>INDEX(B$2:B$177,C49+1,1)+C49+1</f>
        <v/>
      </c>
      <c r="D50" s="61">
        <f>INDEX(ЗаданияОсень,C50,1)</f>
        <v/>
      </c>
      <c r="E50" s="58">
        <f>TRIM(CLEAN(INDEX(ЗаданияОсень,ROW(E50)-1,2)))</f>
        <v/>
      </c>
      <c r="F50" s="59">
        <f>IF(OR(E50="",COUNTIF(E$2:E50,E50)&gt;1),F51+1,0)</f>
        <v/>
      </c>
      <c r="G50" s="2">
        <f>INDEX(F$2:F$177,G49+1,1)+G49+1</f>
        <v/>
      </c>
      <c r="H50" s="61">
        <f>INDEX(ЗаданияОсень,G50,2)</f>
        <v/>
      </c>
      <c r="I50" s="58">
        <f>TRIM(CLEAN(INDEX(ЗаданияВесна,ROW(I50)-1,1)))</f>
        <v/>
      </c>
      <c r="J50" s="59">
        <f>IF(OR(I50="",COUNTIF(I$2:I50,I50)&gt;1),J51+1,0)</f>
        <v/>
      </c>
      <c r="K50" s="2">
        <f>INDEX(J$2:J$177,K49+1,1)+K49+1</f>
        <v/>
      </c>
      <c r="L50" s="61">
        <f>INDEX(ЗаданияВесна,K50,1)</f>
        <v/>
      </c>
      <c r="M50" s="58">
        <f>TRIM(CLEAN(INDEX(ЗаданияВесна,ROW(M50)-1,2)))</f>
        <v/>
      </c>
      <c r="N50" s="59">
        <f>IF(OR(M50="",COUNTIF(M$2:M50,M50)&gt;1),N51+1,0)</f>
        <v/>
      </c>
      <c r="O50" s="2">
        <f>INDEX(N$2:N$177,O49+1,1)+O49+1</f>
        <v/>
      </c>
      <c r="P50" s="61">
        <f>INDEX(ЗаданияВесна,O50,2)</f>
        <v/>
      </c>
    </row>
    <row r="51">
      <c r="A51" s="58">
        <f>TRIM(CLEAN(INDEX(ЗаданияОсень,ROW(A51)-1,1)))</f>
        <v/>
      </c>
      <c r="B51" s="59">
        <f>IF(OR(A51="",COUNTIF(A$2:A51,A51)&gt;1),B52+1,0)</f>
        <v/>
      </c>
      <c r="C51" s="2">
        <f>INDEX(B$2:B$177,C50+1,1)+C50+1</f>
        <v/>
      </c>
      <c r="D51" s="61">
        <f>INDEX(ЗаданияОсень,C51,1)</f>
        <v/>
      </c>
      <c r="E51" s="58">
        <f>TRIM(CLEAN(INDEX(ЗаданияОсень,ROW(E51)-1,2)))</f>
        <v/>
      </c>
      <c r="F51" s="59">
        <f>IF(OR(E51="",COUNTIF(E$2:E51,E51)&gt;1),F52+1,0)</f>
        <v/>
      </c>
      <c r="G51" s="2">
        <f>INDEX(F$2:F$177,G50+1,1)+G50+1</f>
        <v/>
      </c>
      <c r="H51" s="61">
        <f>INDEX(ЗаданияОсень,G51,2)</f>
        <v/>
      </c>
      <c r="I51" s="58">
        <f>TRIM(CLEAN(INDEX(ЗаданияВесна,ROW(I51)-1,1)))</f>
        <v/>
      </c>
      <c r="J51" s="59">
        <f>IF(OR(I51="",COUNTIF(I$2:I51,I51)&gt;1),J52+1,0)</f>
        <v/>
      </c>
      <c r="K51" s="2">
        <f>INDEX(J$2:J$177,K50+1,1)+K50+1</f>
        <v/>
      </c>
      <c r="L51" s="61">
        <f>INDEX(ЗаданияВесна,K51,1)</f>
        <v/>
      </c>
      <c r="M51" s="58">
        <f>TRIM(CLEAN(INDEX(ЗаданияВесна,ROW(M51)-1,2)))</f>
        <v/>
      </c>
      <c r="N51" s="59">
        <f>IF(OR(M51="",COUNTIF(M$2:M51,M51)&gt;1),N52+1,0)</f>
        <v/>
      </c>
      <c r="O51" s="2">
        <f>INDEX(N$2:N$177,O50+1,1)+O50+1</f>
        <v/>
      </c>
      <c r="P51" s="61">
        <f>INDEX(ЗаданияВесна,O51,2)</f>
        <v/>
      </c>
    </row>
    <row r="52">
      <c r="A52" s="58">
        <f>TRIM(CLEAN(INDEX(ЗаданияОсень,ROW(A52)-1,1)))</f>
        <v/>
      </c>
      <c r="B52" s="59">
        <f>IF(OR(A52="",COUNTIF(A$2:A52,A52)&gt;1),B53+1,0)</f>
        <v/>
      </c>
      <c r="C52" s="2">
        <f>INDEX(B$2:B$177,C51+1,1)+C51+1</f>
        <v/>
      </c>
      <c r="D52" s="61">
        <f>INDEX(ЗаданияОсень,C52,1)</f>
        <v/>
      </c>
      <c r="E52" s="58">
        <f>TRIM(CLEAN(INDEX(ЗаданияОсень,ROW(E52)-1,2)))</f>
        <v/>
      </c>
      <c r="F52" s="59">
        <f>IF(OR(E52="",COUNTIF(E$2:E52,E52)&gt;1),F53+1,0)</f>
        <v/>
      </c>
      <c r="G52" s="2">
        <f>INDEX(F$2:F$177,G51+1,1)+G51+1</f>
        <v/>
      </c>
      <c r="H52" s="61">
        <f>INDEX(ЗаданияОсень,G52,2)</f>
        <v/>
      </c>
      <c r="I52" s="58">
        <f>TRIM(CLEAN(INDEX(ЗаданияВесна,ROW(I52)-1,1)))</f>
        <v/>
      </c>
      <c r="J52" s="59">
        <f>IF(OR(I52="",COUNTIF(I$2:I52,I52)&gt;1),J53+1,0)</f>
        <v/>
      </c>
      <c r="K52" s="2">
        <f>INDEX(J$2:J$177,K51+1,1)+K51+1</f>
        <v/>
      </c>
      <c r="L52" s="61">
        <f>INDEX(ЗаданияВесна,K52,1)</f>
        <v/>
      </c>
      <c r="M52" s="58">
        <f>TRIM(CLEAN(INDEX(ЗаданияВесна,ROW(M52)-1,2)))</f>
        <v/>
      </c>
      <c r="N52" s="59">
        <f>IF(OR(M52="",COUNTIF(M$2:M52,M52)&gt;1),N53+1,0)</f>
        <v/>
      </c>
      <c r="O52" s="2">
        <f>INDEX(N$2:N$177,O51+1,1)+O51+1</f>
        <v/>
      </c>
      <c r="P52" s="61">
        <f>INDEX(ЗаданияВесна,O52,2)</f>
        <v/>
      </c>
    </row>
    <row r="53">
      <c r="A53" s="58">
        <f>TRIM(CLEAN(INDEX(ЗаданияОсень,ROW(A53)-1,1)))</f>
        <v/>
      </c>
      <c r="B53" s="59">
        <f>IF(OR(A53="",COUNTIF(A$2:A53,A53)&gt;1),B54+1,0)</f>
        <v/>
      </c>
      <c r="C53" s="2">
        <f>INDEX(B$2:B$177,C52+1,1)+C52+1</f>
        <v/>
      </c>
      <c r="D53" s="61">
        <f>INDEX(ЗаданияОсень,C53,1)</f>
        <v/>
      </c>
      <c r="E53" s="58">
        <f>TRIM(CLEAN(INDEX(ЗаданияОсень,ROW(E53)-1,2)))</f>
        <v/>
      </c>
      <c r="F53" s="59">
        <f>IF(OR(E53="",COUNTIF(E$2:E53,E53)&gt;1),F54+1,0)</f>
        <v/>
      </c>
      <c r="G53" s="2">
        <f>INDEX(F$2:F$177,G52+1,1)+G52+1</f>
        <v/>
      </c>
      <c r="H53" s="61">
        <f>INDEX(ЗаданияОсень,G53,2)</f>
        <v/>
      </c>
      <c r="I53" s="58">
        <f>TRIM(CLEAN(INDEX(ЗаданияВесна,ROW(I53)-1,1)))</f>
        <v/>
      </c>
      <c r="J53" s="59">
        <f>IF(OR(I53="",COUNTIF(I$2:I53,I53)&gt;1),J54+1,0)</f>
        <v/>
      </c>
      <c r="K53" s="2">
        <f>INDEX(J$2:J$177,K52+1,1)+K52+1</f>
        <v/>
      </c>
      <c r="L53" s="61">
        <f>INDEX(ЗаданияВесна,K53,1)</f>
        <v/>
      </c>
      <c r="M53" s="58">
        <f>TRIM(CLEAN(INDEX(ЗаданияВесна,ROW(M53)-1,2)))</f>
        <v/>
      </c>
      <c r="N53" s="59">
        <f>IF(OR(M53="",COUNTIF(M$2:M53,M53)&gt;1),N54+1,0)</f>
        <v/>
      </c>
      <c r="O53" s="2">
        <f>INDEX(N$2:N$177,O52+1,1)+O52+1</f>
        <v/>
      </c>
      <c r="P53" s="61">
        <f>INDEX(ЗаданияВесна,O53,2)</f>
        <v/>
      </c>
    </row>
    <row r="54">
      <c r="A54" s="58">
        <f>TRIM(CLEAN(INDEX(ЗаданияОсень,ROW(A54)-1,1)))</f>
        <v/>
      </c>
      <c r="B54" s="59">
        <f>IF(OR(A54="",COUNTIF(A$2:A54,A54)&gt;1),B55+1,0)</f>
        <v/>
      </c>
      <c r="C54" s="2">
        <f>INDEX(B$2:B$177,C53+1,1)+C53+1</f>
        <v/>
      </c>
      <c r="D54" s="61">
        <f>INDEX(ЗаданияОсень,C54,1)</f>
        <v/>
      </c>
      <c r="E54" s="58">
        <f>TRIM(CLEAN(INDEX(ЗаданияОсень,ROW(E54)-1,2)))</f>
        <v/>
      </c>
      <c r="F54" s="59">
        <f>IF(OR(E54="",COUNTIF(E$2:E54,E54)&gt;1),F55+1,0)</f>
        <v/>
      </c>
      <c r="G54" s="2">
        <f>INDEX(F$2:F$177,G53+1,1)+G53+1</f>
        <v/>
      </c>
      <c r="H54" s="61">
        <f>INDEX(ЗаданияОсень,G54,2)</f>
        <v/>
      </c>
      <c r="I54" s="58">
        <f>TRIM(CLEAN(INDEX(ЗаданияВесна,ROW(I54)-1,1)))</f>
        <v/>
      </c>
      <c r="J54" s="59">
        <f>IF(OR(I54="",COUNTIF(I$2:I54,I54)&gt;1),J55+1,0)</f>
        <v/>
      </c>
      <c r="K54" s="2">
        <f>INDEX(J$2:J$177,K53+1,1)+K53+1</f>
        <v/>
      </c>
      <c r="L54" s="61">
        <f>INDEX(ЗаданияВесна,K54,1)</f>
        <v/>
      </c>
      <c r="M54" s="58">
        <f>TRIM(CLEAN(INDEX(ЗаданияВесна,ROW(M54)-1,2)))</f>
        <v/>
      </c>
      <c r="N54" s="59">
        <f>IF(OR(M54="",COUNTIF(M$2:M54,M54)&gt;1),N55+1,0)</f>
        <v/>
      </c>
      <c r="O54" s="2">
        <f>INDEX(N$2:N$177,O53+1,1)+O53+1</f>
        <v/>
      </c>
      <c r="P54" s="61">
        <f>INDEX(ЗаданияВесна,O54,2)</f>
        <v/>
      </c>
    </row>
    <row r="55">
      <c r="A55" s="58">
        <f>TRIM(CLEAN(INDEX(ЗаданияОсень,ROW(A55)-1,1)))</f>
        <v/>
      </c>
      <c r="B55" s="59">
        <f>IF(OR(A55="",COUNTIF(A$2:A55,A55)&gt;1),B56+1,0)</f>
        <v/>
      </c>
      <c r="C55" s="2">
        <f>INDEX(B$2:B$177,C54+1,1)+C54+1</f>
        <v/>
      </c>
      <c r="D55" s="61">
        <f>INDEX(ЗаданияОсень,C55,1)</f>
        <v/>
      </c>
      <c r="E55" s="58">
        <f>TRIM(CLEAN(INDEX(ЗаданияОсень,ROW(E55)-1,2)))</f>
        <v/>
      </c>
      <c r="F55" s="59">
        <f>IF(OR(E55="",COUNTIF(E$2:E55,E55)&gt;1),F56+1,0)</f>
        <v/>
      </c>
      <c r="G55" s="2">
        <f>INDEX(F$2:F$177,G54+1,1)+G54+1</f>
        <v/>
      </c>
      <c r="H55" s="61">
        <f>INDEX(ЗаданияОсень,G55,2)</f>
        <v/>
      </c>
      <c r="I55" s="58">
        <f>TRIM(CLEAN(INDEX(ЗаданияВесна,ROW(I55)-1,1)))</f>
        <v/>
      </c>
      <c r="J55" s="59">
        <f>IF(OR(I55="",COUNTIF(I$2:I55,I55)&gt;1),J56+1,0)</f>
        <v/>
      </c>
      <c r="K55" s="2">
        <f>INDEX(J$2:J$177,K54+1,1)+K54+1</f>
        <v/>
      </c>
      <c r="L55" s="61">
        <f>INDEX(ЗаданияВесна,K55,1)</f>
        <v/>
      </c>
      <c r="M55" s="58">
        <f>TRIM(CLEAN(INDEX(ЗаданияВесна,ROW(M55)-1,2)))</f>
        <v/>
      </c>
      <c r="N55" s="59">
        <f>IF(OR(M55="",COUNTIF(M$2:M55,M55)&gt;1),N56+1,0)</f>
        <v/>
      </c>
      <c r="O55" s="2">
        <f>INDEX(N$2:N$177,O54+1,1)+O54+1</f>
        <v/>
      </c>
      <c r="P55" s="61">
        <f>INDEX(ЗаданияВесна,O55,2)</f>
        <v/>
      </c>
    </row>
    <row r="56">
      <c r="A56" s="58">
        <f>TRIM(CLEAN(INDEX(ЗаданияОсень,ROW(A56)-1,1)))</f>
        <v/>
      </c>
      <c r="B56" s="59">
        <f>IF(OR(A56="",COUNTIF(A$2:A56,A56)&gt;1),B57+1,0)</f>
        <v/>
      </c>
      <c r="C56" s="2">
        <f>INDEX(B$2:B$177,C55+1,1)+C55+1</f>
        <v/>
      </c>
      <c r="D56" s="61">
        <f>INDEX(ЗаданияОсень,C56,1)</f>
        <v/>
      </c>
      <c r="E56" s="58">
        <f>TRIM(CLEAN(INDEX(ЗаданияОсень,ROW(E56)-1,2)))</f>
        <v/>
      </c>
      <c r="F56" s="59">
        <f>IF(OR(E56="",COUNTIF(E$2:E56,E56)&gt;1),F57+1,0)</f>
        <v/>
      </c>
      <c r="G56" s="2">
        <f>INDEX(F$2:F$177,G55+1,1)+G55+1</f>
        <v/>
      </c>
      <c r="H56" s="61">
        <f>INDEX(ЗаданияОсень,G56,2)</f>
        <v/>
      </c>
      <c r="I56" s="58">
        <f>TRIM(CLEAN(INDEX(ЗаданияВесна,ROW(I56)-1,1)))</f>
        <v/>
      </c>
      <c r="J56" s="59">
        <f>IF(OR(I56="",COUNTIF(I$2:I56,I56)&gt;1),J57+1,0)</f>
        <v/>
      </c>
      <c r="K56" s="2">
        <f>INDEX(J$2:J$177,K55+1,1)+K55+1</f>
        <v/>
      </c>
      <c r="L56" s="61">
        <f>INDEX(ЗаданияВесна,K56,1)</f>
        <v/>
      </c>
      <c r="M56" s="58">
        <f>TRIM(CLEAN(INDEX(ЗаданияВесна,ROW(M56)-1,2)))</f>
        <v/>
      </c>
      <c r="N56" s="59">
        <f>IF(OR(M56="",COUNTIF(M$2:M56,M56)&gt;1),N57+1,0)</f>
        <v/>
      </c>
      <c r="O56" s="2">
        <f>INDEX(N$2:N$177,O55+1,1)+O55+1</f>
        <v/>
      </c>
      <c r="P56" s="61">
        <f>INDEX(ЗаданияВесна,O56,2)</f>
        <v/>
      </c>
    </row>
    <row r="57">
      <c r="A57" s="58">
        <f>TRIM(CLEAN(INDEX(ЗаданияОсень,ROW(A57)-1,1)))</f>
        <v/>
      </c>
      <c r="B57" s="59">
        <f>IF(OR(A57="",COUNTIF(A$2:A57,A57)&gt;1),B58+1,0)</f>
        <v/>
      </c>
      <c r="C57" s="2">
        <f>INDEX(B$2:B$177,C56+1,1)+C56+1</f>
        <v/>
      </c>
      <c r="D57" s="61">
        <f>INDEX(ЗаданияОсень,C57,1)</f>
        <v/>
      </c>
      <c r="E57" s="58">
        <f>TRIM(CLEAN(INDEX(ЗаданияОсень,ROW(E57)-1,2)))</f>
        <v/>
      </c>
      <c r="F57" s="59">
        <f>IF(OR(E57="",COUNTIF(E$2:E57,E57)&gt;1),F58+1,0)</f>
        <v/>
      </c>
      <c r="G57" s="2">
        <f>INDEX(F$2:F$177,G56+1,1)+G56+1</f>
        <v/>
      </c>
      <c r="H57" s="61">
        <f>INDEX(ЗаданияОсень,G57,2)</f>
        <v/>
      </c>
      <c r="I57" s="58">
        <f>TRIM(CLEAN(INDEX(ЗаданияВесна,ROW(I57)-1,1)))</f>
        <v/>
      </c>
      <c r="J57" s="59">
        <f>IF(OR(I57="",COUNTIF(I$2:I57,I57)&gt;1),J58+1,0)</f>
        <v/>
      </c>
      <c r="K57" s="2">
        <f>INDEX(J$2:J$177,K56+1,1)+K56+1</f>
        <v/>
      </c>
      <c r="L57" s="61">
        <f>INDEX(ЗаданияВесна,K57,1)</f>
        <v/>
      </c>
      <c r="M57" s="58">
        <f>TRIM(CLEAN(INDEX(ЗаданияВесна,ROW(M57)-1,2)))</f>
        <v/>
      </c>
      <c r="N57" s="59">
        <f>IF(OR(M57="",COUNTIF(M$2:M57,M57)&gt;1),N58+1,0)</f>
        <v/>
      </c>
      <c r="O57" s="2">
        <f>INDEX(N$2:N$177,O56+1,1)+O56+1</f>
        <v/>
      </c>
      <c r="P57" s="61">
        <f>INDEX(ЗаданияВесна,O57,2)</f>
        <v/>
      </c>
    </row>
    <row r="58">
      <c r="A58" s="58">
        <f>TRIM(CLEAN(INDEX(ЗаданияОсень,ROW(A58)-1,1)))</f>
        <v/>
      </c>
      <c r="B58" s="59">
        <f>IF(OR(A58="",COUNTIF(A$2:A58,A58)&gt;1),B59+1,0)</f>
        <v/>
      </c>
      <c r="C58" s="2">
        <f>INDEX(B$2:B$177,C57+1,1)+C57+1</f>
        <v/>
      </c>
      <c r="D58" s="61">
        <f>INDEX(ЗаданияОсень,C58,1)</f>
        <v/>
      </c>
      <c r="E58" s="58">
        <f>TRIM(CLEAN(INDEX(ЗаданияОсень,ROW(E58)-1,2)))</f>
        <v/>
      </c>
      <c r="F58" s="59">
        <f>IF(OR(E58="",COUNTIF(E$2:E58,E58)&gt;1),F59+1,0)</f>
        <v/>
      </c>
      <c r="G58" s="2">
        <f>INDEX(F$2:F$177,G57+1,1)+G57+1</f>
        <v/>
      </c>
      <c r="H58" s="61">
        <f>INDEX(ЗаданияОсень,G58,2)</f>
        <v/>
      </c>
      <c r="I58" s="58">
        <f>TRIM(CLEAN(INDEX(ЗаданияВесна,ROW(I58)-1,1)))</f>
        <v/>
      </c>
      <c r="J58" s="59">
        <f>IF(OR(I58="",COUNTIF(I$2:I58,I58)&gt;1),J59+1,0)</f>
        <v/>
      </c>
      <c r="K58" s="2">
        <f>INDEX(J$2:J$177,K57+1,1)+K57+1</f>
        <v/>
      </c>
      <c r="L58" s="61">
        <f>INDEX(ЗаданияВесна,K58,1)</f>
        <v/>
      </c>
      <c r="M58" s="58">
        <f>TRIM(CLEAN(INDEX(ЗаданияВесна,ROW(M58)-1,2)))</f>
        <v/>
      </c>
      <c r="N58" s="59">
        <f>IF(OR(M58="",COUNTIF(M$2:M58,M58)&gt;1),N59+1,0)</f>
        <v/>
      </c>
      <c r="O58" s="2">
        <f>INDEX(N$2:N$177,O57+1,1)+O57+1</f>
        <v/>
      </c>
      <c r="P58" s="61">
        <f>INDEX(ЗаданияВесна,O58,2)</f>
        <v/>
      </c>
    </row>
    <row r="59">
      <c r="A59" s="58">
        <f>TRIM(CLEAN(INDEX(ЗаданияОсень,ROW(A59)-1,1)))</f>
        <v/>
      </c>
      <c r="B59" s="59">
        <f>IF(OR(A59="",COUNTIF(A$2:A59,A59)&gt;1),B60+1,0)</f>
        <v/>
      </c>
      <c r="C59" s="2">
        <f>INDEX(B$2:B$177,C58+1,1)+C58+1</f>
        <v/>
      </c>
      <c r="D59" s="61">
        <f>INDEX(ЗаданияОсень,C59,1)</f>
        <v/>
      </c>
      <c r="E59" s="58">
        <f>TRIM(CLEAN(INDEX(ЗаданияОсень,ROW(E59)-1,2)))</f>
        <v/>
      </c>
      <c r="F59" s="59">
        <f>IF(OR(E59="",COUNTIF(E$2:E59,E59)&gt;1),F60+1,0)</f>
        <v/>
      </c>
      <c r="G59" s="2">
        <f>INDEX(F$2:F$177,G58+1,1)+G58+1</f>
        <v/>
      </c>
      <c r="H59" s="61">
        <f>INDEX(ЗаданияОсень,G59,2)</f>
        <v/>
      </c>
      <c r="I59" s="58">
        <f>TRIM(CLEAN(INDEX(ЗаданияВесна,ROW(I59)-1,1)))</f>
        <v/>
      </c>
      <c r="J59" s="59">
        <f>IF(OR(I59="",COUNTIF(I$2:I59,I59)&gt;1),J60+1,0)</f>
        <v/>
      </c>
      <c r="K59" s="2">
        <f>INDEX(J$2:J$177,K58+1,1)+K58+1</f>
        <v/>
      </c>
      <c r="L59" s="61">
        <f>INDEX(ЗаданияВесна,K59,1)</f>
        <v/>
      </c>
      <c r="M59" s="58">
        <f>TRIM(CLEAN(INDEX(ЗаданияВесна,ROW(M59)-1,2)))</f>
        <v/>
      </c>
      <c r="N59" s="59">
        <f>IF(OR(M59="",COUNTIF(M$2:M59,M59)&gt;1),N60+1,0)</f>
        <v/>
      </c>
      <c r="O59" s="2">
        <f>INDEX(N$2:N$177,O58+1,1)+O58+1</f>
        <v/>
      </c>
      <c r="P59" s="61">
        <f>INDEX(ЗаданияВесна,O59,2)</f>
        <v/>
      </c>
    </row>
    <row r="60">
      <c r="A60" s="58">
        <f>TRIM(CLEAN(INDEX(ЗаданияОсень,ROW(A60)-1,1)))</f>
        <v/>
      </c>
      <c r="B60" s="59">
        <f>IF(OR(A60="",COUNTIF(A$2:A60,A60)&gt;1),B61+1,0)</f>
        <v/>
      </c>
      <c r="C60" s="2">
        <f>INDEX(B$2:B$177,C59+1,1)+C59+1</f>
        <v/>
      </c>
      <c r="D60" s="61">
        <f>INDEX(ЗаданияОсень,C60,1)</f>
        <v/>
      </c>
      <c r="E60" s="58">
        <f>TRIM(CLEAN(INDEX(ЗаданияОсень,ROW(E60)-1,2)))</f>
        <v/>
      </c>
      <c r="F60" s="59">
        <f>IF(OR(E60="",COUNTIF(E$2:E60,E60)&gt;1),F61+1,0)</f>
        <v/>
      </c>
      <c r="G60" s="2">
        <f>INDEX(F$2:F$177,G59+1,1)+G59+1</f>
        <v/>
      </c>
      <c r="H60" s="61">
        <f>INDEX(ЗаданияОсень,G60,2)</f>
        <v/>
      </c>
      <c r="I60" s="58">
        <f>TRIM(CLEAN(INDEX(ЗаданияВесна,ROW(I60)-1,1)))</f>
        <v/>
      </c>
      <c r="J60" s="59">
        <f>IF(OR(I60="",COUNTIF(I$2:I60,I60)&gt;1),J61+1,0)</f>
        <v/>
      </c>
      <c r="K60" s="2">
        <f>INDEX(J$2:J$177,K59+1,1)+K59+1</f>
        <v/>
      </c>
      <c r="L60" s="61">
        <f>INDEX(ЗаданияВесна,K60,1)</f>
        <v/>
      </c>
      <c r="M60" s="58">
        <f>TRIM(CLEAN(INDEX(ЗаданияВесна,ROW(M60)-1,2)))</f>
        <v/>
      </c>
      <c r="N60" s="59">
        <f>IF(OR(M60="",COUNTIF(M$2:M60,M60)&gt;1),N61+1,0)</f>
        <v/>
      </c>
      <c r="O60" s="2">
        <f>INDEX(N$2:N$177,O59+1,1)+O59+1</f>
        <v/>
      </c>
      <c r="P60" s="61">
        <f>INDEX(ЗаданияВесна,O60,2)</f>
        <v/>
      </c>
    </row>
    <row r="61">
      <c r="A61" s="58">
        <f>TRIM(CLEAN(INDEX(ЗаданияОсень,ROW(A61)-1,1)))</f>
        <v/>
      </c>
      <c r="B61" s="59">
        <f>IF(OR(A61="",COUNTIF(A$2:A61,A61)&gt;1),B62+1,0)</f>
        <v/>
      </c>
      <c r="C61" s="2">
        <f>INDEX(B$2:B$177,C60+1,1)+C60+1</f>
        <v/>
      </c>
      <c r="D61" s="61">
        <f>INDEX(ЗаданияОсень,C61,1)</f>
        <v/>
      </c>
      <c r="E61" s="58">
        <f>TRIM(CLEAN(INDEX(ЗаданияОсень,ROW(E61)-1,2)))</f>
        <v/>
      </c>
      <c r="F61" s="59">
        <f>IF(OR(E61="",COUNTIF(E$2:E61,E61)&gt;1),F62+1,0)</f>
        <v/>
      </c>
      <c r="G61" s="2">
        <f>INDEX(F$2:F$177,G60+1,1)+G60+1</f>
        <v/>
      </c>
      <c r="H61" s="61">
        <f>INDEX(ЗаданияОсень,G61,2)</f>
        <v/>
      </c>
      <c r="I61" s="58">
        <f>TRIM(CLEAN(INDEX(ЗаданияВесна,ROW(I61)-1,1)))</f>
        <v/>
      </c>
      <c r="J61" s="59">
        <f>IF(OR(I61="",COUNTIF(I$2:I61,I61)&gt;1),J62+1,0)</f>
        <v/>
      </c>
      <c r="K61" s="2">
        <f>INDEX(J$2:J$177,K60+1,1)+K60+1</f>
        <v/>
      </c>
      <c r="L61" s="61">
        <f>INDEX(ЗаданияВесна,K61,1)</f>
        <v/>
      </c>
      <c r="M61" s="58">
        <f>TRIM(CLEAN(INDEX(ЗаданияВесна,ROW(M61)-1,2)))</f>
        <v/>
      </c>
      <c r="N61" s="59">
        <f>IF(OR(M61="",COUNTIF(M$2:M61,M61)&gt;1),N62+1,0)</f>
        <v/>
      </c>
      <c r="O61" s="2">
        <f>INDEX(N$2:N$177,O60+1,1)+O60+1</f>
        <v/>
      </c>
      <c r="P61" s="61">
        <f>INDEX(ЗаданияВесна,O61,2)</f>
        <v/>
      </c>
    </row>
    <row r="62">
      <c r="A62" s="58">
        <f>TRIM(CLEAN(INDEX(ЗаданияОсень,ROW(A62)-1,1)))</f>
        <v/>
      </c>
      <c r="B62" s="59">
        <f>IF(OR(A62="",COUNTIF(A$2:A62,A62)&gt;1),B63+1,0)</f>
        <v/>
      </c>
      <c r="C62" s="2">
        <f>INDEX(B$2:B$177,C61+1,1)+C61+1</f>
        <v/>
      </c>
      <c r="D62" s="61">
        <f>INDEX(ЗаданияОсень,C62,1)</f>
        <v/>
      </c>
      <c r="E62" s="58">
        <f>TRIM(CLEAN(INDEX(ЗаданияОсень,ROW(E62)-1,2)))</f>
        <v/>
      </c>
      <c r="F62" s="59">
        <f>IF(OR(E62="",COUNTIF(E$2:E62,E62)&gt;1),F63+1,0)</f>
        <v/>
      </c>
      <c r="G62" s="2">
        <f>INDEX(F$2:F$177,G61+1,1)+G61+1</f>
        <v/>
      </c>
      <c r="H62" s="61">
        <f>INDEX(ЗаданияОсень,G62,2)</f>
        <v/>
      </c>
      <c r="I62" s="58">
        <f>TRIM(CLEAN(INDEX(ЗаданияВесна,ROW(I62)-1,1)))</f>
        <v/>
      </c>
      <c r="J62" s="59">
        <f>IF(OR(I62="",COUNTIF(I$2:I62,I62)&gt;1),J63+1,0)</f>
        <v/>
      </c>
      <c r="K62" s="2">
        <f>INDEX(J$2:J$177,K61+1,1)+K61+1</f>
        <v/>
      </c>
      <c r="L62" s="61">
        <f>INDEX(ЗаданияВесна,K62,1)</f>
        <v/>
      </c>
      <c r="M62" s="58">
        <f>TRIM(CLEAN(INDEX(ЗаданияВесна,ROW(M62)-1,2)))</f>
        <v/>
      </c>
      <c r="N62" s="59">
        <f>IF(OR(M62="",COUNTIF(M$2:M62,M62)&gt;1),N63+1,0)</f>
        <v/>
      </c>
      <c r="O62" s="2">
        <f>INDEX(N$2:N$177,O61+1,1)+O61+1</f>
        <v/>
      </c>
      <c r="P62" s="61">
        <f>INDEX(ЗаданияВесна,O62,2)</f>
        <v/>
      </c>
    </row>
    <row r="63">
      <c r="A63" s="58">
        <f>TRIM(CLEAN(INDEX(ЗаданияОсень,ROW(A63)-1,1)))</f>
        <v/>
      </c>
      <c r="B63" s="59">
        <f>IF(OR(A63="",COUNTIF(A$2:A63,A63)&gt;1),B64+1,0)</f>
        <v/>
      </c>
      <c r="C63" s="2">
        <f>INDEX(B$2:B$177,C62+1,1)+C62+1</f>
        <v/>
      </c>
      <c r="D63" s="61">
        <f>INDEX(ЗаданияОсень,C63,1)</f>
        <v/>
      </c>
      <c r="E63" s="58">
        <f>TRIM(CLEAN(INDEX(ЗаданияОсень,ROW(E63)-1,2)))</f>
        <v/>
      </c>
      <c r="F63" s="59">
        <f>IF(OR(E63="",COUNTIF(E$2:E63,E63)&gt;1),F64+1,0)</f>
        <v/>
      </c>
      <c r="G63" s="2">
        <f>INDEX(F$2:F$177,G62+1,1)+G62+1</f>
        <v/>
      </c>
      <c r="H63" s="61">
        <f>INDEX(ЗаданияОсень,G63,2)</f>
        <v/>
      </c>
      <c r="I63" s="58">
        <f>TRIM(CLEAN(INDEX(ЗаданияВесна,ROW(I63)-1,1)))</f>
        <v/>
      </c>
      <c r="J63" s="59">
        <f>IF(OR(I63="",COUNTIF(I$2:I63,I63)&gt;1),J64+1,0)</f>
        <v/>
      </c>
      <c r="K63" s="2">
        <f>INDEX(J$2:J$177,K62+1,1)+K62+1</f>
        <v/>
      </c>
      <c r="L63" s="61">
        <f>INDEX(ЗаданияВесна,K63,1)</f>
        <v/>
      </c>
      <c r="M63" s="58">
        <f>TRIM(CLEAN(INDEX(ЗаданияВесна,ROW(M63)-1,2)))</f>
        <v/>
      </c>
      <c r="N63" s="59">
        <f>IF(OR(M63="",COUNTIF(M$2:M63,M63)&gt;1),N64+1,0)</f>
        <v/>
      </c>
      <c r="O63" s="2">
        <f>INDEX(N$2:N$177,O62+1,1)+O62+1</f>
        <v/>
      </c>
      <c r="P63" s="61">
        <f>INDEX(ЗаданияВесна,O63,2)</f>
        <v/>
      </c>
    </row>
    <row r="64">
      <c r="A64" s="58">
        <f>TRIM(CLEAN(INDEX(ЗаданияОсень,ROW(A64)-1,1)))</f>
        <v/>
      </c>
      <c r="B64" s="59">
        <f>IF(OR(A64="",COUNTIF(A$2:A64,A64)&gt;1),B65+1,0)</f>
        <v/>
      </c>
      <c r="C64" s="2">
        <f>INDEX(B$2:B$177,C63+1,1)+C63+1</f>
        <v/>
      </c>
      <c r="D64" s="61">
        <f>INDEX(ЗаданияОсень,C64,1)</f>
        <v/>
      </c>
      <c r="E64" s="58">
        <f>TRIM(CLEAN(INDEX(ЗаданияОсень,ROW(E64)-1,2)))</f>
        <v/>
      </c>
      <c r="F64" s="59">
        <f>IF(OR(E64="",COUNTIF(E$2:E64,E64)&gt;1),F65+1,0)</f>
        <v/>
      </c>
      <c r="G64" s="2">
        <f>INDEX(F$2:F$177,G63+1,1)+G63+1</f>
        <v/>
      </c>
      <c r="H64" s="61">
        <f>INDEX(ЗаданияОсень,G64,2)</f>
        <v/>
      </c>
      <c r="I64" s="58">
        <f>TRIM(CLEAN(INDEX(ЗаданияВесна,ROW(I64)-1,1)))</f>
        <v/>
      </c>
      <c r="J64" s="59">
        <f>IF(OR(I64="",COUNTIF(I$2:I64,I64)&gt;1),J65+1,0)</f>
        <v/>
      </c>
      <c r="K64" s="2">
        <f>INDEX(J$2:J$177,K63+1,1)+K63+1</f>
        <v/>
      </c>
      <c r="L64" s="61">
        <f>INDEX(ЗаданияВесна,K64,1)</f>
        <v/>
      </c>
      <c r="M64" s="58">
        <f>TRIM(CLEAN(INDEX(ЗаданияВесна,ROW(M64)-1,2)))</f>
        <v/>
      </c>
      <c r="N64" s="59">
        <f>IF(OR(M64="",COUNTIF(M$2:M64,M64)&gt;1),N65+1,0)</f>
        <v/>
      </c>
      <c r="O64" s="2">
        <f>INDEX(N$2:N$177,O63+1,1)+O63+1</f>
        <v/>
      </c>
      <c r="P64" s="61">
        <f>INDEX(ЗаданияВесна,O64,2)</f>
        <v/>
      </c>
    </row>
    <row r="65">
      <c r="A65" s="58">
        <f>TRIM(CLEAN(INDEX(ЗаданияОсень,ROW(A65)-1,1)))</f>
        <v/>
      </c>
      <c r="B65" s="59">
        <f>IF(OR(A65="",COUNTIF(A$2:A65,A65)&gt;1),B66+1,0)</f>
        <v/>
      </c>
      <c r="C65" s="2">
        <f>INDEX(B$2:B$177,C64+1,1)+C64+1</f>
        <v/>
      </c>
      <c r="D65" s="61">
        <f>INDEX(ЗаданияОсень,C65,1)</f>
        <v/>
      </c>
      <c r="E65" s="58">
        <f>TRIM(CLEAN(INDEX(ЗаданияОсень,ROW(E65)-1,2)))</f>
        <v/>
      </c>
      <c r="F65" s="59">
        <f>IF(OR(E65="",COUNTIF(E$2:E65,E65)&gt;1),F66+1,0)</f>
        <v/>
      </c>
      <c r="G65" s="2">
        <f>INDEX(F$2:F$177,G64+1,1)+G64+1</f>
        <v/>
      </c>
      <c r="H65" s="61">
        <f>INDEX(ЗаданияОсень,G65,2)</f>
        <v/>
      </c>
      <c r="I65" s="58">
        <f>TRIM(CLEAN(INDEX(ЗаданияВесна,ROW(I65)-1,1)))</f>
        <v/>
      </c>
      <c r="J65" s="59">
        <f>IF(OR(I65="",COUNTIF(I$2:I65,I65)&gt;1),J66+1,0)</f>
        <v/>
      </c>
      <c r="K65" s="2">
        <f>INDEX(J$2:J$177,K64+1,1)+K64+1</f>
        <v/>
      </c>
      <c r="L65" s="61">
        <f>INDEX(ЗаданияВесна,K65,1)</f>
        <v/>
      </c>
      <c r="M65" s="58">
        <f>TRIM(CLEAN(INDEX(ЗаданияВесна,ROW(M65)-1,2)))</f>
        <v/>
      </c>
      <c r="N65" s="59">
        <f>IF(OR(M65="",COUNTIF(M$2:M65,M65)&gt;1),N66+1,0)</f>
        <v/>
      </c>
      <c r="O65" s="2">
        <f>INDEX(N$2:N$177,O64+1,1)+O64+1</f>
        <v/>
      </c>
      <c r="P65" s="61">
        <f>INDEX(ЗаданияВесна,O65,2)</f>
        <v/>
      </c>
    </row>
    <row r="66">
      <c r="A66" s="58">
        <f>TRIM(CLEAN(INDEX(ЗаданияОсень,ROW(A66)-1,1)))</f>
        <v/>
      </c>
      <c r="B66" s="59">
        <f>IF(OR(A66="",COUNTIF(A$2:A66,A66)&gt;1),B67+1,0)</f>
        <v/>
      </c>
      <c r="C66" s="2">
        <f>INDEX(B$2:B$177,C65+1,1)+C65+1</f>
        <v/>
      </c>
      <c r="D66" s="61">
        <f>INDEX(ЗаданияОсень,C66,1)</f>
        <v/>
      </c>
      <c r="E66" s="58">
        <f>TRIM(CLEAN(INDEX(ЗаданияОсень,ROW(E66)-1,2)))</f>
        <v/>
      </c>
      <c r="F66" s="59">
        <f>IF(OR(E66="",COUNTIF(E$2:E66,E66)&gt;1),F67+1,0)</f>
        <v/>
      </c>
      <c r="G66" s="2">
        <f>INDEX(F$2:F$177,G65+1,1)+G65+1</f>
        <v/>
      </c>
      <c r="H66" s="61">
        <f>INDEX(ЗаданияОсень,G66,2)</f>
        <v/>
      </c>
      <c r="I66" s="58">
        <f>TRIM(CLEAN(INDEX(ЗаданияВесна,ROW(I66)-1,1)))</f>
        <v/>
      </c>
      <c r="J66" s="59">
        <f>IF(OR(I66="",COUNTIF(I$2:I66,I66)&gt;1),J67+1,0)</f>
        <v/>
      </c>
      <c r="K66" s="2">
        <f>INDEX(J$2:J$177,K65+1,1)+K65+1</f>
        <v/>
      </c>
      <c r="L66" s="61">
        <f>INDEX(ЗаданияВесна,K66,1)</f>
        <v/>
      </c>
      <c r="M66" s="58">
        <f>TRIM(CLEAN(INDEX(ЗаданияВесна,ROW(M66)-1,2)))</f>
        <v/>
      </c>
      <c r="N66" s="59">
        <f>IF(OR(M66="",COUNTIF(M$2:M66,M66)&gt;1),N67+1,0)</f>
        <v/>
      </c>
      <c r="O66" s="2">
        <f>INDEX(N$2:N$177,O65+1,1)+O65+1</f>
        <v/>
      </c>
      <c r="P66" s="61">
        <f>INDEX(ЗаданияВесна,O66,2)</f>
        <v/>
      </c>
    </row>
    <row r="67">
      <c r="A67" s="58">
        <f>TRIM(CLEAN(INDEX(ЗаданияОсень,ROW(A67)-1,1)))</f>
        <v/>
      </c>
      <c r="B67" s="59">
        <f>IF(OR(A67="",COUNTIF(A$2:A67,A67)&gt;1),B68+1,0)</f>
        <v/>
      </c>
      <c r="C67" s="2">
        <f>INDEX(B$2:B$177,C66+1,1)+C66+1</f>
        <v/>
      </c>
      <c r="D67" s="61">
        <f>INDEX(ЗаданияОсень,C67,1)</f>
        <v/>
      </c>
      <c r="E67" s="58">
        <f>TRIM(CLEAN(INDEX(ЗаданияОсень,ROW(E67)-1,2)))</f>
        <v/>
      </c>
      <c r="F67" s="59">
        <f>IF(OR(E67="",COUNTIF(E$2:E67,E67)&gt;1),F68+1,0)</f>
        <v/>
      </c>
      <c r="G67" s="2">
        <f>INDEX(F$2:F$177,G66+1,1)+G66+1</f>
        <v/>
      </c>
      <c r="H67" s="61">
        <f>INDEX(ЗаданияОсень,G67,2)</f>
        <v/>
      </c>
      <c r="I67" s="58">
        <f>TRIM(CLEAN(INDEX(ЗаданияВесна,ROW(I67)-1,1)))</f>
        <v/>
      </c>
      <c r="J67" s="59">
        <f>IF(OR(I67="",COUNTIF(I$2:I67,I67)&gt;1),J68+1,0)</f>
        <v/>
      </c>
      <c r="K67" s="2">
        <f>INDEX(J$2:J$177,K66+1,1)+K66+1</f>
        <v/>
      </c>
      <c r="L67" s="61">
        <f>INDEX(ЗаданияВесна,K67,1)</f>
        <v/>
      </c>
      <c r="M67" s="58">
        <f>TRIM(CLEAN(INDEX(ЗаданияВесна,ROW(M67)-1,2)))</f>
        <v/>
      </c>
      <c r="N67" s="59">
        <f>IF(OR(M67="",COUNTIF(M$2:M67,M67)&gt;1),N68+1,0)</f>
        <v/>
      </c>
      <c r="O67" s="2">
        <f>INDEX(N$2:N$177,O66+1,1)+O66+1</f>
        <v/>
      </c>
      <c r="P67" s="61">
        <f>INDEX(ЗаданияВесна,O67,2)</f>
        <v/>
      </c>
    </row>
    <row r="68">
      <c r="A68" s="58">
        <f>TRIM(CLEAN(INDEX(ЗаданияОсень,ROW(A68)-1,1)))</f>
        <v/>
      </c>
      <c r="B68" s="59">
        <f>IF(OR(A68="",COUNTIF(A$2:A68,A68)&gt;1),B69+1,0)</f>
        <v/>
      </c>
      <c r="C68" s="2">
        <f>INDEX(B$2:B$177,C67+1,1)+C67+1</f>
        <v/>
      </c>
      <c r="D68" s="61">
        <f>INDEX(ЗаданияОсень,C68,1)</f>
        <v/>
      </c>
      <c r="E68" s="58">
        <f>TRIM(CLEAN(INDEX(ЗаданияОсень,ROW(E68)-1,2)))</f>
        <v/>
      </c>
      <c r="F68" s="59">
        <f>IF(OR(E68="",COUNTIF(E$2:E68,E68)&gt;1),F69+1,0)</f>
        <v/>
      </c>
      <c r="G68" s="2">
        <f>INDEX(F$2:F$177,G67+1,1)+G67+1</f>
        <v/>
      </c>
      <c r="H68" s="61">
        <f>INDEX(ЗаданияОсень,G68,2)</f>
        <v/>
      </c>
      <c r="I68" s="58">
        <f>TRIM(CLEAN(INDEX(ЗаданияВесна,ROW(I68)-1,1)))</f>
        <v/>
      </c>
      <c r="J68" s="59">
        <f>IF(OR(I68="",COUNTIF(I$2:I68,I68)&gt;1),J69+1,0)</f>
        <v/>
      </c>
      <c r="K68" s="2">
        <f>INDEX(J$2:J$177,K67+1,1)+K67+1</f>
        <v/>
      </c>
      <c r="L68" s="61">
        <f>INDEX(ЗаданияВесна,K68,1)</f>
        <v/>
      </c>
      <c r="M68" s="58">
        <f>TRIM(CLEAN(INDEX(ЗаданияВесна,ROW(M68)-1,2)))</f>
        <v/>
      </c>
      <c r="N68" s="59">
        <f>IF(OR(M68="",COUNTIF(M$2:M68,M68)&gt;1),N69+1,0)</f>
        <v/>
      </c>
      <c r="O68" s="2">
        <f>INDEX(N$2:N$177,O67+1,1)+O67+1</f>
        <v/>
      </c>
      <c r="P68" s="61">
        <f>INDEX(ЗаданияВесна,O68,2)</f>
        <v/>
      </c>
    </row>
    <row r="69">
      <c r="A69" s="58">
        <f>TRIM(CLEAN(INDEX(ЗаданияОсень,ROW(A69)-1,1)))</f>
        <v/>
      </c>
      <c r="B69" s="59">
        <f>IF(OR(A69="",COUNTIF(A$2:A69,A69)&gt;1),B70+1,0)</f>
        <v/>
      </c>
      <c r="C69" s="2">
        <f>INDEX(B$2:B$177,C68+1,1)+C68+1</f>
        <v/>
      </c>
      <c r="D69" s="61">
        <f>INDEX(ЗаданияОсень,C69,1)</f>
        <v/>
      </c>
      <c r="E69" s="58">
        <f>TRIM(CLEAN(INDEX(ЗаданияОсень,ROW(E69)-1,2)))</f>
        <v/>
      </c>
      <c r="F69" s="59">
        <f>IF(OR(E69="",COUNTIF(E$2:E69,E69)&gt;1),F70+1,0)</f>
        <v/>
      </c>
      <c r="G69" s="2">
        <f>INDEX(F$2:F$177,G68+1,1)+G68+1</f>
        <v/>
      </c>
      <c r="H69" s="61">
        <f>INDEX(ЗаданияОсень,G69,2)</f>
        <v/>
      </c>
      <c r="I69" s="58">
        <f>TRIM(CLEAN(INDEX(ЗаданияВесна,ROW(I69)-1,1)))</f>
        <v/>
      </c>
      <c r="J69" s="59">
        <f>IF(OR(I69="",COUNTIF(I$2:I69,I69)&gt;1),J70+1,0)</f>
        <v/>
      </c>
      <c r="K69" s="2">
        <f>INDEX(J$2:J$177,K68+1,1)+K68+1</f>
        <v/>
      </c>
      <c r="L69" s="61">
        <f>INDEX(ЗаданияВесна,K69,1)</f>
        <v/>
      </c>
      <c r="M69" s="58">
        <f>TRIM(CLEAN(INDEX(ЗаданияВесна,ROW(M69)-1,2)))</f>
        <v/>
      </c>
      <c r="N69" s="59">
        <f>IF(OR(M69="",COUNTIF(M$2:M69,M69)&gt;1),N70+1,0)</f>
        <v/>
      </c>
      <c r="O69" s="2">
        <f>INDEX(N$2:N$177,O68+1,1)+O68+1</f>
        <v/>
      </c>
      <c r="P69" s="61">
        <f>INDEX(ЗаданияВесна,O69,2)</f>
        <v/>
      </c>
    </row>
    <row r="70">
      <c r="A70" s="58">
        <f>TRIM(CLEAN(INDEX(ЗаданияОсень,ROW(A70)-1,1)))</f>
        <v/>
      </c>
      <c r="B70" s="59">
        <f>IF(OR(A70="",COUNTIF(A$2:A70,A70)&gt;1),B71+1,0)</f>
        <v/>
      </c>
      <c r="C70" s="2">
        <f>INDEX(B$2:B$177,C69+1,1)+C69+1</f>
        <v/>
      </c>
      <c r="D70" s="61">
        <f>INDEX(ЗаданияОсень,C70,1)</f>
        <v/>
      </c>
      <c r="E70" s="58">
        <f>TRIM(CLEAN(INDEX(ЗаданияОсень,ROW(E70)-1,2)))</f>
        <v/>
      </c>
      <c r="F70" s="59">
        <f>IF(OR(E70="",COUNTIF(E$2:E70,E70)&gt;1),F71+1,0)</f>
        <v/>
      </c>
      <c r="G70" s="2">
        <f>INDEX(F$2:F$177,G69+1,1)+G69+1</f>
        <v/>
      </c>
      <c r="H70" s="61">
        <f>INDEX(ЗаданияОсень,G70,2)</f>
        <v/>
      </c>
      <c r="I70" s="58">
        <f>TRIM(CLEAN(INDEX(ЗаданияВесна,ROW(I70)-1,1)))</f>
        <v/>
      </c>
      <c r="J70" s="59">
        <f>IF(OR(I70="",COUNTIF(I$2:I70,I70)&gt;1),J71+1,0)</f>
        <v/>
      </c>
      <c r="K70" s="2">
        <f>INDEX(J$2:J$177,K69+1,1)+K69+1</f>
        <v/>
      </c>
      <c r="L70" s="61">
        <f>INDEX(ЗаданияВесна,K70,1)</f>
        <v/>
      </c>
      <c r="M70" s="58">
        <f>TRIM(CLEAN(INDEX(ЗаданияВесна,ROW(M70)-1,2)))</f>
        <v/>
      </c>
      <c r="N70" s="59">
        <f>IF(OR(M70="",COUNTIF(M$2:M70,M70)&gt;1),N71+1,0)</f>
        <v/>
      </c>
      <c r="O70" s="2">
        <f>INDEX(N$2:N$177,O69+1,1)+O69+1</f>
        <v/>
      </c>
      <c r="P70" s="61">
        <f>INDEX(ЗаданияВесна,O70,2)</f>
        <v/>
      </c>
    </row>
    <row r="71">
      <c r="A71" s="58">
        <f>TRIM(CLEAN(INDEX(ЗаданияОсень,ROW(A71)-1,1)))</f>
        <v/>
      </c>
      <c r="B71" s="59">
        <f>IF(OR(A71="",COUNTIF(A$2:A71,A71)&gt;1),B72+1,0)</f>
        <v/>
      </c>
      <c r="C71" s="2">
        <f>INDEX(B$2:B$177,C70+1,1)+C70+1</f>
        <v/>
      </c>
      <c r="D71" s="61">
        <f>INDEX(ЗаданияОсень,C71,1)</f>
        <v/>
      </c>
      <c r="E71" s="58">
        <f>TRIM(CLEAN(INDEX(ЗаданияОсень,ROW(E71)-1,2)))</f>
        <v/>
      </c>
      <c r="F71" s="59">
        <f>IF(OR(E71="",COUNTIF(E$2:E71,E71)&gt;1),F72+1,0)</f>
        <v/>
      </c>
      <c r="G71" s="2">
        <f>INDEX(F$2:F$177,G70+1,1)+G70+1</f>
        <v/>
      </c>
      <c r="H71" s="61">
        <f>INDEX(ЗаданияОсень,G71,2)</f>
        <v/>
      </c>
      <c r="I71" s="58">
        <f>TRIM(CLEAN(INDEX(ЗаданияВесна,ROW(I71)-1,1)))</f>
        <v/>
      </c>
      <c r="J71" s="59">
        <f>IF(OR(I71="",COUNTIF(I$2:I71,I71)&gt;1),J72+1,0)</f>
        <v/>
      </c>
      <c r="K71" s="2">
        <f>INDEX(J$2:J$177,K70+1,1)+K70+1</f>
        <v/>
      </c>
      <c r="L71" s="61">
        <f>INDEX(ЗаданияВесна,K71,1)</f>
        <v/>
      </c>
      <c r="M71" s="58">
        <f>TRIM(CLEAN(INDEX(ЗаданияВесна,ROW(M71)-1,2)))</f>
        <v/>
      </c>
      <c r="N71" s="59">
        <f>IF(OR(M71="",COUNTIF(M$2:M71,M71)&gt;1),N72+1,0)</f>
        <v/>
      </c>
      <c r="O71" s="2">
        <f>INDEX(N$2:N$177,O70+1,1)+O70+1</f>
        <v/>
      </c>
      <c r="P71" s="61">
        <f>INDEX(ЗаданияВесна,O71,2)</f>
        <v/>
      </c>
    </row>
    <row r="72">
      <c r="A72" s="58">
        <f>TRIM(CLEAN(INDEX(ЗаданияОсень,ROW(A72)-1,1)))</f>
        <v/>
      </c>
      <c r="B72" s="59">
        <f>IF(OR(A72="",COUNTIF(A$2:A72,A72)&gt;1),B73+1,0)</f>
        <v/>
      </c>
      <c r="C72" s="2">
        <f>INDEX(B$2:B$177,C71+1,1)+C71+1</f>
        <v/>
      </c>
      <c r="D72" s="61">
        <f>INDEX(ЗаданияОсень,C72,1)</f>
        <v/>
      </c>
      <c r="E72" s="58">
        <f>TRIM(CLEAN(INDEX(ЗаданияОсень,ROW(E72)-1,2)))</f>
        <v/>
      </c>
      <c r="F72" s="59">
        <f>IF(OR(E72="",COUNTIF(E$2:E72,E72)&gt;1),F73+1,0)</f>
        <v/>
      </c>
      <c r="G72" s="2">
        <f>INDEX(F$2:F$177,G71+1,1)+G71+1</f>
        <v/>
      </c>
      <c r="H72" s="61">
        <f>INDEX(ЗаданияОсень,G72,2)</f>
        <v/>
      </c>
      <c r="I72" s="58">
        <f>TRIM(CLEAN(INDEX(ЗаданияВесна,ROW(I72)-1,1)))</f>
        <v/>
      </c>
      <c r="J72" s="59">
        <f>IF(OR(I72="",COUNTIF(I$2:I72,I72)&gt;1),J73+1,0)</f>
        <v/>
      </c>
      <c r="K72" s="2">
        <f>INDEX(J$2:J$177,K71+1,1)+K71+1</f>
        <v/>
      </c>
      <c r="L72" s="61">
        <f>INDEX(ЗаданияВесна,K72,1)</f>
        <v/>
      </c>
      <c r="M72" s="58">
        <f>TRIM(CLEAN(INDEX(ЗаданияВесна,ROW(M72)-1,2)))</f>
        <v/>
      </c>
      <c r="N72" s="59">
        <f>IF(OR(M72="",COUNTIF(M$2:M72,M72)&gt;1),N73+1,0)</f>
        <v/>
      </c>
      <c r="O72" s="2">
        <f>INDEX(N$2:N$177,O71+1,1)+O71+1</f>
        <v/>
      </c>
      <c r="P72" s="61">
        <f>INDEX(ЗаданияВесна,O72,2)</f>
        <v/>
      </c>
    </row>
    <row r="73">
      <c r="A73" s="58">
        <f>TRIM(CLEAN(INDEX(ЗаданияОсень,ROW(A73)-1,1)))</f>
        <v/>
      </c>
      <c r="B73" s="59">
        <f>IF(OR(A73="",COUNTIF(A$2:A73,A73)&gt;1),B74+1,0)</f>
        <v/>
      </c>
      <c r="C73" s="2">
        <f>INDEX(B$2:B$177,C72+1,1)+C72+1</f>
        <v/>
      </c>
      <c r="D73" s="61">
        <f>INDEX(ЗаданияОсень,C73,1)</f>
        <v/>
      </c>
      <c r="E73" s="58">
        <f>TRIM(CLEAN(INDEX(ЗаданияОсень,ROW(E73)-1,2)))</f>
        <v/>
      </c>
      <c r="F73" s="59">
        <f>IF(OR(E73="",COUNTIF(E$2:E73,E73)&gt;1),F74+1,0)</f>
        <v/>
      </c>
      <c r="G73" s="2">
        <f>INDEX(F$2:F$177,G72+1,1)+G72+1</f>
        <v/>
      </c>
      <c r="H73" s="61">
        <f>INDEX(ЗаданияОсень,G73,2)</f>
        <v/>
      </c>
      <c r="I73" s="58">
        <f>TRIM(CLEAN(INDEX(ЗаданияВесна,ROW(I73)-1,1)))</f>
        <v/>
      </c>
      <c r="J73" s="59">
        <f>IF(OR(I73="",COUNTIF(I$2:I73,I73)&gt;1),J74+1,0)</f>
        <v/>
      </c>
      <c r="K73" s="2">
        <f>INDEX(J$2:J$177,K72+1,1)+K72+1</f>
        <v/>
      </c>
      <c r="L73" s="61">
        <f>INDEX(ЗаданияВесна,K73,1)</f>
        <v/>
      </c>
      <c r="M73" s="58">
        <f>TRIM(CLEAN(INDEX(ЗаданияВесна,ROW(M73)-1,2)))</f>
        <v/>
      </c>
      <c r="N73" s="59">
        <f>IF(OR(M73="",COUNTIF(M$2:M73,M73)&gt;1),N74+1,0)</f>
        <v/>
      </c>
      <c r="O73" s="2">
        <f>INDEX(N$2:N$177,O72+1,1)+O72+1</f>
        <v/>
      </c>
      <c r="P73" s="61">
        <f>INDEX(ЗаданияВесна,O73,2)</f>
        <v/>
      </c>
    </row>
    <row r="74">
      <c r="A74" s="58">
        <f>TRIM(CLEAN(INDEX(ЗаданияОсень,ROW(A74)-1,1)))</f>
        <v/>
      </c>
      <c r="B74" s="59">
        <f>IF(OR(A74="",COUNTIF(A$2:A74,A74)&gt;1),B75+1,0)</f>
        <v/>
      </c>
      <c r="C74" s="2">
        <f>INDEX(B$2:B$177,C73+1,1)+C73+1</f>
        <v/>
      </c>
      <c r="D74" s="61">
        <f>INDEX(ЗаданияОсень,C74,1)</f>
        <v/>
      </c>
      <c r="E74" s="58">
        <f>TRIM(CLEAN(INDEX(ЗаданияОсень,ROW(E74)-1,2)))</f>
        <v/>
      </c>
      <c r="F74" s="59">
        <f>IF(OR(E74="",COUNTIF(E$2:E74,E74)&gt;1),F75+1,0)</f>
        <v/>
      </c>
      <c r="G74" s="2">
        <f>INDEX(F$2:F$177,G73+1,1)+G73+1</f>
        <v/>
      </c>
      <c r="H74" s="61">
        <f>INDEX(ЗаданияОсень,G74,2)</f>
        <v/>
      </c>
      <c r="I74" s="58">
        <f>TRIM(CLEAN(INDEX(ЗаданияВесна,ROW(I74)-1,1)))</f>
        <v/>
      </c>
      <c r="J74" s="59">
        <f>IF(OR(I74="",COUNTIF(I$2:I74,I74)&gt;1),J75+1,0)</f>
        <v/>
      </c>
      <c r="K74" s="2">
        <f>INDEX(J$2:J$177,K73+1,1)+K73+1</f>
        <v/>
      </c>
      <c r="L74" s="61">
        <f>INDEX(ЗаданияВесна,K74,1)</f>
        <v/>
      </c>
      <c r="M74" s="58">
        <f>TRIM(CLEAN(INDEX(ЗаданияВесна,ROW(M74)-1,2)))</f>
        <v/>
      </c>
      <c r="N74" s="59">
        <f>IF(OR(M74="",COUNTIF(M$2:M74,M74)&gt;1),N75+1,0)</f>
        <v/>
      </c>
      <c r="O74" s="2">
        <f>INDEX(N$2:N$177,O73+1,1)+O73+1</f>
        <v/>
      </c>
      <c r="P74" s="61">
        <f>INDEX(ЗаданияВесна,O74,2)</f>
        <v/>
      </c>
    </row>
    <row r="75">
      <c r="A75" s="58">
        <f>TRIM(CLEAN(INDEX(ЗаданияОсень,ROW(A75)-1,1)))</f>
        <v/>
      </c>
      <c r="B75" s="59">
        <f>IF(OR(A75="",COUNTIF(A$2:A75,A75)&gt;1),B76+1,0)</f>
        <v/>
      </c>
      <c r="C75" s="2">
        <f>INDEX(B$2:B$177,C74+1,1)+C74+1</f>
        <v/>
      </c>
      <c r="D75" s="61">
        <f>INDEX(ЗаданияОсень,C75,1)</f>
        <v/>
      </c>
      <c r="E75" s="58">
        <f>TRIM(CLEAN(INDEX(ЗаданияОсень,ROW(E75)-1,2)))</f>
        <v/>
      </c>
      <c r="F75" s="59">
        <f>IF(OR(E75="",COUNTIF(E$2:E75,E75)&gt;1),F76+1,0)</f>
        <v/>
      </c>
      <c r="G75" s="2">
        <f>INDEX(F$2:F$177,G74+1,1)+G74+1</f>
        <v/>
      </c>
      <c r="H75" s="61">
        <f>INDEX(ЗаданияОсень,G75,2)</f>
        <v/>
      </c>
      <c r="I75" s="58">
        <f>TRIM(CLEAN(INDEX(ЗаданияВесна,ROW(I75)-1,1)))</f>
        <v/>
      </c>
      <c r="J75" s="59">
        <f>IF(OR(I75="",COUNTIF(I$2:I75,I75)&gt;1),J76+1,0)</f>
        <v/>
      </c>
      <c r="K75" s="2">
        <f>INDEX(J$2:J$177,K74+1,1)+K74+1</f>
        <v/>
      </c>
      <c r="L75" s="61">
        <f>INDEX(ЗаданияВесна,K75,1)</f>
        <v/>
      </c>
      <c r="M75" s="58">
        <f>TRIM(CLEAN(INDEX(ЗаданияВесна,ROW(M75)-1,2)))</f>
        <v/>
      </c>
      <c r="N75" s="59">
        <f>IF(OR(M75="",COUNTIF(M$2:M75,M75)&gt;1),N76+1,0)</f>
        <v/>
      </c>
      <c r="O75" s="2">
        <f>INDEX(N$2:N$177,O74+1,1)+O74+1</f>
        <v/>
      </c>
      <c r="P75" s="61">
        <f>INDEX(ЗаданияВесна,O75,2)</f>
        <v/>
      </c>
    </row>
    <row r="76">
      <c r="A76" s="58">
        <f>TRIM(CLEAN(INDEX(ЗаданияОсень,ROW(A76)-1,1)))</f>
        <v/>
      </c>
      <c r="B76" s="59">
        <f>IF(OR(A76="",COUNTIF(A$2:A76,A76)&gt;1),B77+1,0)</f>
        <v/>
      </c>
      <c r="C76" s="2">
        <f>INDEX(B$2:B$177,C75+1,1)+C75+1</f>
        <v/>
      </c>
      <c r="D76" s="61">
        <f>INDEX(ЗаданияОсень,C76,1)</f>
        <v/>
      </c>
      <c r="E76" s="58">
        <f>TRIM(CLEAN(INDEX(ЗаданияОсень,ROW(E76)-1,2)))</f>
        <v/>
      </c>
      <c r="F76" s="59">
        <f>IF(OR(E76="",COUNTIF(E$2:E76,E76)&gt;1),F77+1,0)</f>
        <v/>
      </c>
      <c r="G76" s="2">
        <f>INDEX(F$2:F$177,G75+1,1)+G75+1</f>
        <v/>
      </c>
      <c r="H76" s="61">
        <f>INDEX(ЗаданияОсень,G76,2)</f>
        <v/>
      </c>
      <c r="I76" s="58">
        <f>TRIM(CLEAN(INDEX(ЗаданияВесна,ROW(I76)-1,1)))</f>
        <v/>
      </c>
      <c r="J76" s="59">
        <f>IF(OR(I76="",COUNTIF(I$2:I76,I76)&gt;1),J77+1,0)</f>
        <v/>
      </c>
      <c r="K76" s="2">
        <f>INDEX(J$2:J$177,K75+1,1)+K75+1</f>
        <v/>
      </c>
      <c r="L76" s="61">
        <f>INDEX(ЗаданияВесна,K76,1)</f>
        <v/>
      </c>
      <c r="M76" s="58">
        <f>TRIM(CLEAN(INDEX(ЗаданияВесна,ROW(M76)-1,2)))</f>
        <v/>
      </c>
      <c r="N76" s="59">
        <f>IF(OR(M76="",COUNTIF(M$2:M76,M76)&gt;1),N77+1,0)</f>
        <v/>
      </c>
      <c r="O76" s="2">
        <f>INDEX(N$2:N$177,O75+1,1)+O75+1</f>
        <v/>
      </c>
      <c r="P76" s="61">
        <f>INDEX(ЗаданияВесна,O76,2)</f>
        <v/>
      </c>
    </row>
    <row r="77">
      <c r="A77" s="58">
        <f>TRIM(CLEAN(INDEX(ЗаданияОсень,ROW(A77)-1,1)))</f>
        <v/>
      </c>
      <c r="B77" s="59">
        <f>IF(OR(A77="",COUNTIF(A$2:A77,A77)&gt;1),B78+1,0)</f>
        <v/>
      </c>
      <c r="C77" s="2">
        <f>INDEX(B$2:B$177,C76+1,1)+C76+1</f>
        <v/>
      </c>
      <c r="D77" s="61">
        <f>INDEX(ЗаданияОсень,C77,1)</f>
        <v/>
      </c>
      <c r="E77" s="58">
        <f>TRIM(CLEAN(INDEX(ЗаданияОсень,ROW(E77)-1,2)))</f>
        <v/>
      </c>
      <c r="F77" s="59">
        <f>IF(OR(E77="",COUNTIF(E$2:E77,E77)&gt;1),F78+1,0)</f>
        <v/>
      </c>
      <c r="G77" s="2">
        <f>INDEX(F$2:F$177,G76+1,1)+G76+1</f>
        <v/>
      </c>
      <c r="H77" s="61">
        <f>INDEX(ЗаданияОсень,G77,2)</f>
        <v/>
      </c>
      <c r="I77" s="58">
        <f>TRIM(CLEAN(INDEX(ЗаданияВесна,ROW(I77)-1,1)))</f>
        <v/>
      </c>
      <c r="J77" s="59">
        <f>IF(OR(I77="",COUNTIF(I$2:I77,I77)&gt;1),J78+1,0)</f>
        <v/>
      </c>
      <c r="K77" s="2">
        <f>INDEX(J$2:J$177,K76+1,1)+K76+1</f>
        <v/>
      </c>
      <c r="L77" s="61">
        <f>INDEX(ЗаданияВесна,K77,1)</f>
        <v/>
      </c>
      <c r="M77" s="58">
        <f>TRIM(CLEAN(INDEX(ЗаданияВесна,ROW(M77)-1,2)))</f>
        <v/>
      </c>
      <c r="N77" s="59">
        <f>IF(OR(M77="",COUNTIF(M$2:M77,M77)&gt;1),N78+1,0)</f>
        <v/>
      </c>
      <c r="O77" s="2">
        <f>INDEX(N$2:N$177,O76+1,1)+O76+1</f>
        <v/>
      </c>
      <c r="P77" s="61">
        <f>INDEX(ЗаданияВесна,O77,2)</f>
        <v/>
      </c>
    </row>
    <row r="78">
      <c r="A78" s="58">
        <f>TRIM(CLEAN(INDEX(ЗаданияОсень,ROW(A78)-1,1)))</f>
        <v/>
      </c>
      <c r="B78" s="59">
        <f>IF(OR(A78="",COUNTIF(A$2:A78,A78)&gt;1),B79+1,0)</f>
        <v/>
      </c>
      <c r="C78" s="2">
        <f>INDEX(B$2:B$177,C77+1,1)+C77+1</f>
        <v/>
      </c>
      <c r="D78" s="61">
        <f>INDEX(ЗаданияОсень,C78,1)</f>
        <v/>
      </c>
      <c r="E78" s="58">
        <f>TRIM(CLEAN(INDEX(ЗаданияОсень,ROW(E78)-1,2)))</f>
        <v/>
      </c>
      <c r="F78" s="59">
        <f>IF(OR(E78="",COUNTIF(E$2:E78,E78)&gt;1),F79+1,0)</f>
        <v/>
      </c>
      <c r="G78" s="2">
        <f>INDEX(F$2:F$177,G77+1,1)+G77+1</f>
        <v/>
      </c>
      <c r="H78" s="61">
        <f>INDEX(ЗаданияОсень,G78,2)</f>
        <v/>
      </c>
      <c r="I78" s="58">
        <f>TRIM(CLEAN(INDEX(ЗаданияВесна,ROW(I78)-1,1)))</f>
        <v/>
      </c>
      <c r="J78" s="59">
        <f>IF(OR(I78="",COUNTIF(I$2:I78,I78)&gt;1),J79+1,0)</f>
        <v/>
      </c>
      <c r="K78" s="2">
        <f>INDEX(J$2:J$177,K77+1,1)+K77+1</f>
        <v/>
      </c>
      <c r="L78" s="61">
        <f>INDEX(ЗаданияВесна,K78,1)</f>
        <v/>
      </c>
      <c r="M78" s="58">
        <f>TRIM(CLEAN(INDEX(ЗаданияВесна,ROW(M78)-1,2)))</f>
        <v/>
      </c>
      <c r="N78" s="59">
        <f>IF(OR(M78="",COUNTIF(M$2:M78,M78)&gt;1),N79+1,0)</f>
        <v/>
      </c>
      <c r="O78" s="2">
        <f>INDEX(N$2:N$177,O77+1,1)+O77+1</f>
        <v/>
      </c>
      <c r="P78" s="61">
        <f>INDEX(ЗаданияВесна,O78,2)</f>
        <v/>
      </c>
    </row>
    <row r="79">
      <c r="A79" s="58">
        <f>TRIM(CLEAN(INDEX(ЗаданияОсень,ROW(A79)-1,1)))</f>
        <v/>
      </c>
      <c r="B79" s="59">
        <f>IF(OR(A79="",COUNTIF(A$2:A79,A79)&gt;1),B80+1,0)</f>
        <v/>
      </c>
      <c r="C79" s="2">
        <f>INDEX(B$2:B$177,C78+1,1)+C78+1</f>
        <v/>
      </c>
      <c r="D79" s="61">
        <f>INDEX(ЗаданияОсень,C79,1)</f>
        <v/>
      </c>
      <c r="E79" s="58">
        <f>TRIM(CLEAN(INDEX(ЗаданияОсень,ROW(E79)-1,2)))</f>
        <v/>
      </c>
      <c r="F79" s="59">
        <f>IF(OR(E79="",COUNTIF(E$2:E79,E79)&gt;1),F80+1,0)</f>
        <v/>
      </c>
      <c r="G79" s="2">
        <f>INDEX(F$2:F$177,G78+1,1)+G78+1</f>
        <v/>
      </c>
      <c r="H79" s="61">
        <f>INDEX(ЗаданияОсень,G79,2)</f>
        <v/>
      </c>
      <c r="I79" s="58">
        <f>TRIM(CLEAN(INDEX(ЗаданияВесна,ROW(I79)-1,1)))</f>
        <v/>
      </c>
      <c r="J79" s="59">
        <f>IF(OR(I79="",COUNTIF(I$2:I79,I79)&gt;1),J80+1,0)</f>
        <v/>
      </c>
      <c r="K79" s="2">
        <f>INDEX(J$2:J$177,K78+1,1)+K78+1</f>
        <v/>
      </c>
      <c r="L79" s="61">
        <f>INDEX(ЗаданияВесна,K79,1)</f>
        <v/>
      </c>
      <c r="M79" s="58">
        <f>TRIM(CLEAN(INDEX(ЗаданияВесна,ROW(M79)-1,2)))</f>
        <v/>
      </c>
      <c r="N79" s="59">
        <f>IF(OR(M79="",COUNTIF(M$2:M79,M79)&gt;1),N80+1,0)</f>
        <v/>
      </c>
      <c r="O79" s="2">
        <f>INDEX(N$2:N$177,O78+1,1)+O78+1</f>
        <v/>
      </c>
      <c r="P79" s="61">
        <f>INDEX(ЗаданияВесна,O79,2)</f>
        <v/>
      </c>
    </row>
    <row r="80">
      <c r="A80" s="58">
        <f>TRIM(CLEAN(INDEX(ЗаданияОсень,ROW(A80)-1,1)))</f>
        <v/>
      </c>
      <c r="B80" s="59">
        <f>IF(OR(A80="",COUNTIF(A$2:A80,A80)&gt;1),B81+1,0)</f>
        <v/>
      </c>
      <c r="C80" s="2">
        <f>INDEX(B$2:B$177,C79+1,1)+C79+1</f>
        <v/>
      </c>
      <c r="D80" s="61">
        <f>INDEX(ЗаданияОсень,C80,1)</f>
        <v/>
      </c>
      <c r="E80" s="58">
        <f>TRIM(CLEAN(INDEX(ЗаданияОсень,ROW(E80)-1,2)))</f>
        <v/>
      </c>
      <c r="F80" s="59">
        <f>IF(OR(E80="",COUNTIF(E$2:E80,E80)&gt;1),F81+1,0)</f>
        <v/>
      </c>
      <c r="G80" s="2">
        <f>INDEX(F$2:F$177,G79+1,1)+G79+1</f>
        <v/>
      </c>
      <c r="H80" s="61">
        <f>INDEX(ЗаданияОсень,G80,2)</f>
        <v/>
      </c>
      <c r="I80" s="58">
        <f>TRIM(CLEAN(INDEX(ЗаданияВесна,ROW(I80)-1,1)))</f>
        <v/>
      </c>
      <c r="J80" s="59">
        <f>IF(OR(I80="",COUNTIF(I$2:I80,I80)&gt;1),J81+1,0)</f>
        <v/>
      </c>
      <c r="K80" s="2">
        <f>INDEX(J$2:J$177,K79+1,1)+K79+1</f>
        <v/>
      </c>
      <c r="L80" s="61">
        <f>INDEX(ЗаданияВесна,K80,1)</f>
        <v/>
      </c>
      <c r="M80" s="58">
        <f>TRIM(CLEAN(INDEX(ЗаданияВесна,ROW(M80)-1,2)))</f>
        <v/>
      </c>
      <c r="N80" s="59">
        <f>IF(OR(M80="",COUNTIF(M$2:M80,M80)&gt;1),N81+1,0)</f>
        <v/>
      </c>
      <c r="O80" s="2">
        <f>INDEX(N$2:N$177,O79+1,1)+O79+1</f>
        <v/>
      </c>
      <c r="P80" s="61">
        <f>INDEX(ЗаданияВесна,O80,2)</f>
        <v/>
      </c>
    </row>
    <row r="81">
      <c r="A81" s="58">
        <f>TRIM(CLEAN(INDEX(ЗаданияОсень,ROW(A81)-1,1)))</f>
        <v/>
      </c>
      <c r="B81" s="59">
        <f>IF(OR(A81="",COUNTIF(A$2:A81,A81)&gt;1),B82+1,0)</f>
        <v/>
      </c>
      <c r="C81" s="2">
        <f>INDEX(B$2:B$177,C80+1,1)+C80+1</f>
        <v/>
      </c>
      <c r="D81" s="61">
        <f>INDEX(ЗаданияОсень,C81,1)</f>
        <v/>
      </c>
      <c r="E81" s="58">
        <f>TRIM(CLEAN(INDEX(ЗаданияОсень,ROW(E81)-1,2)))</f>
        <v/>
      </c>
      <c r="F81" s="59">
        <f>IF(OR(E81="",COUNTIF(E$2:E81,E81)&gt;1),F82+1,0)</f>
        <v/>
      </c>
      <c r="G81" s="2">
        <f>INDEX(F$2:F$177,G80+1,1)+G80+1</f>
        <v/>
      </c>
      <c r="H81" s="61">
        <f>INDEX(ЗаданияОсень,G81,2)</f>
        <v/>
      </c>
      <c r="I81" s="58">
        <f>TRIM(CLEAN(INDEX(ЗаданияВесна,ROW(I81)-1,1)))</f>
        <v/>
      </c>
      <c r="J81" s="59">
        <f>IF(OR(I81="",COUNTIF(I$2:I81,I81)&gt;1),J82+1,0)</f>
        <v/>
      </c>
      <c r="K81" s="2">
        <f>INDEX(J$2:J$177,K80+1,1)+K80+1</f>
        <v/>
      </c>
      <c r="L81" s="61">
        <f>INDEX(ЗаданияВесна,K81,1)</f>
        <v/>
      </c>
      <c r="M81" s="58">
        <f>TRIM(CLEAN(INDEX(ЗаданияВесна,ROW(M81)-1,2)))</f>
        <v/>
      </c>
      <c r="N81" s="59">
        <f>IF(OR(M81="",COUNTIF(M$2:M81,M81)&gt;1),N82+1,0)</f>
        <v/>
      </c>
      <c r="O81" s="2">
        <f>INDEX(N$2:N$177,O80+1,1)+O80+1</f>
        <v/>
      </c>
      <c r="P81" s="61">
        <f>INDEX(ЗаданияВесна,O81,2)</f>
        <v/>
      </c>
    </row>
    <row r="82">
      <c r="A82" s="58">
        <f>TRIM(CLEAN(INDEX(ЗаданияОсень,ROW(A82)-1,1)))</f>
        <v/>
      </c>
      <c r="B82" s="59">
        <f>IF(OR(A82="",COUNTIF(A$2:A82,A82)&gt;1),B83+1,0)</f>
        <v/>
      </c>
      <c r="C82" s="2">
        <f>INDEX(B$2:B$177,C81+1,1)+C81+1</f>
        <v/>
      </c>
      <c r="D82" s="61">
        <f>INDEX(ЗаданияОсень,C82,1)</f>
        <v/>
      </c>
      <c r="E82" s="58">
        <f>TRIM(CLEAN(INDEX(ЗаданияОсень,ROW(E82)-1,2)))</f>
        <v/>
      </c>
      <c r="F82" s="59">
        <f>IF(OR(E82="",COUNTIF(E$2:E82,E82)&gt;1),F83+1,0)</f>
        <v/>
      </c>
      <c r="G82" s="2">
        <f>INDEX(F$2:F$177,G81+1,1)+G81+1</f>
        <v/>
      </c>
      <c r="H82" s="61">
        <f>INDEX(ЗаданияОсень,G82,2)</f>
        <v/>
      </c>
      <c r="I82" s="58">
        <f>TRIM(CLEAN(INDEX(ЗаданияВесна,ROW(I82)-1,1)))</f>
        <v/>
      </c>
      <c r="J82" s="59">
        <f>IF(OR(I82="",COUNTIF(I$2:I82,I82)&gt;1),J83+1,0)</f>
        <v/>
      </c>
      <c r="K82" s="2">
        <f>INDEX(J$2:J$177,K81+1,1)+K81+1</f>
        <v/>
      </c>
      <c r="L82" s="61">
        <f>INDEX(ЗаданияВесна,K82,1)</f>
        <v/>
      </c>
      <c r="M82" s="58">
        <f>TRIM(CLEAN(INDEX(ЗаданияВесна,ROW(M82)-1,2)))</f>
        <v/>
      </c>
      <c r="N82" s="59">
        <f>IF(OR(M82="",COUNTIF(M$2:M82,M82)&gt;1),N83+1,0)</f>
        <v/>
      </c>
      <c r="O82" s="2">
        <f>INDEX(N$2:N$177,O81+1,1)+O81+1</f>
        <v/>
      </c>
      <c r="P82" s="61">
        <f>INDEX(ЗаданияВесна,O82,2)</f>
        <v/>
      </c>
    </row>
    <row r="83">
      <c r="A83" s="58">
        <f>TRIM(CLEAN(INDEX(ЗаданияОсень,ROW(A83)-1,1)))</f>
        <v/>
      </c>
      <c r="B83" s="59">
        <f>IF(OR(A83="",COUNTIF(A$2:A83,A83)&gt;1),B84+1,0)</f>
        <v/>
      </c>
      <c r="C83" s="2">
        <f>INDEX(B$2:B$177,C82+1,1)+C82+1</f>
        <v/>
      </c>
      <c r="D83" s="61">
        <f>INDEX(ЗаданияОсень,C83,1)</f>
        <v/>
      </c>
      <c r="E83" s="58">
        <f>TRIM(CLEAN(INDEX(ЗаданияОсень,ROW(E83)-1,2)))</f>
        <v/>
      </c>
      <c r="F83" s="59">
        <f>IF(OR(E83="",COUNTIF(E$2:E83,E83)&gt;1),F84+1,0)</f>
        <v/>
      </c>
      <c r="G83" s="2">
        <f>INDEX(F$2:F$177,G82+1,1)+G82+1</f>
        <v/>
      </c>
      <c r="H83" s="61">
        <f>INDEX(ЗаданияОсень,G83,2)</f>
        <v/>
      </c>
      <c r="I83" s="58">
        <f>TRIM(CLEAN(INDEX(ЗаданияВесна,ROW(I83)-1,1)))</f>
        <v/>
      </c>
      <c r="J83" s="59">
        <f>IF(OR(I83="",COUNTIF(I$2:I83,I83)&gt;1),J84+1,0)</f>
        <v/>
      </c>
      <c r="K83" s="2">
        <f>INDEX(J$2:J$177,K82+1,1)+K82+1</f>
        <v/>
      </c>
      <c r="L83" s="61">
        <f>INDEX(ЗаданияВесна,K83,1)</f>
        <v/>
      </c>
      <c r="M83" s="58">
        <f>TRIM(CLEAN(INDEX(ЗаданияВесна,ROW(M83)-1,2)))</f>
        <v/>
      </c>
      <c r="N83" s="59">
        <f>IF(OR(M83="",COUNTIF(M$2:M83,M83)&gt;1),N84+1,0)</f>
        <v/>
      </c>
      <c r="O83" s="2">
        <f>INDEX(N$2:N$177,O82+1,1)+O82+1</f>
        <v/>
      </c>
      <c r="P83" s="61">
        <f>INDEX(ЗаданияВесна,O83,2)</f>
        <v/>
      </c>
    </row>
    <row r="84">
      <c r="A84" s="58">
        <f>TRIM(CLEAN(INDEX(ЗаданияОсень,ROW(A84)-1,1)))</f>
        <v/>
      </c>
      <c r="B84" s="59">
        <f>IF(OR(A84="",COUNTIF(A$2:A84,A84)&gt;1),B85+1,0)</f>
        <v/>
      </c>
      <c r="C84" s="2">
        <f>INDEX(B$2:B$177,C83+1,1)+C83+1</f>
        <v/>
      </c>
      <c r="D84" s="61">
        <f>INDEX(ЗаданияОсень,C84,1)</f>
        <v/>
      </c>
      <c r="E84" s="58">
        <f>TRIM(CLEAN(INDEX(ЗаданияОсень,ROW(E84)-1,2)))</f>
        <v/>
      </c>
      <c r="F84" s="59">
        <f>IF(OR(E84="",COUNTIF(E$2:E84,E84)&gt;1),F85+1,0)</f>
        <v/>
      </c>
      <c r="G84" s="2">
        <f>INDEX(F$2:F$177,G83+1,1)+G83+1</f>
        <v/>
      </c>
      <c r="H84" s="61">
        <f>INDEX(ЗаданияОсень,G84,2)</f>
        <v/>
      </c>
      <c r="I84" s="58">
        <f>TRIM(CLEAN(INDEX(ЗаданияВесна,ROW(I84)-1,1)))</f>
        <v/>
      </c>
      <c r="J84" s="59">
        <f>IF(OR(I84="",COUNTIF(I$2:I84,I84)&gt;1),J85+1,0)</f>
        <v/>
      </c>
      <c r="K84" s="2">
        <f>INDEX(J$2:J$177,K83+1,1)+K83+1</f>
        <v/>
      </c>
      <c r="L84" s="61">
        <f>INDEX(ЗаданияВесна,K84,1)</f>
        <v/>
      </c>
      <c r="M84" s="58">
        <f>TRIM(CLEAN(INDEX(ЗаданияВесна,ROW(M84)-1,2)))</f>
        <v/>
      </c>
      <c r="N84" s="59">
        <f>IF(OR(M84="",COUNTIF(M$2:M84,M84)&gt;1),N85+1,0)</f>
        <v/>
      </c>
      <c r="O84" s="2">
        <f>INDEX(N$2:N$177,O83+1,1)+O83+1</f>
        <v/>
      </c>
      <c r="P84" s="61">
        <f>INDEX(ЗаданияВесна,O84,2)</f>
        <v/>
      </c>
    </row>
    <row r="85">
      <c r="A85" s="58">
        <f>TRIM(CLEAN(INDEX(ЗаданияОсень,ROW(A85)-1,1)))</f>
        <v/>
      </c>
      <c r="B85" s="59">
        <f>IF(OR(A85="",COUNTIF(A$2:A85,A85)&gt;1),B86+1,0)</f>
        <v/>
      </c>
      <c r="C85" s="2">
        <f>INDEX(B$2:B$177,C84+1,1)+C84+1</f>
        <v/>
      </c>
      <c r="D85" s="61">
        <f>INDEX(ЗаданияОсень,C85,1)</f>
        <v/>
      </c>
      <c r="E85" s="58">
        <f>TRIM(CLEAN(INDEX(ЗаданияОсень,ROW(E85)-1,2)))</f>
        <v/>
      </c>
      <c r="F85" s="59">
        <f>IF(OR(E85="",COUNTIF(E$2:E85,E85)&gt;1),F86+1,0)</f>
        <v/>
      </c>
      <c r="G85" s="2">
        <f>INDEX(F$2:F$177,G84+1,1)+G84+1</f>
        <v/>
      </c>
      <c r="H85" s="61">
        <f>INDEX(ЗаданияОсень,G85,2)</f>
        <v/>
      </c>
      <c r="I85" s="58">
        <f>TRIM(CLEAN(INDEX(ЗаданияВесна,ROW(I85)-1,1)))</f>
        <v/>
      </c>
      <c r="J85" s="59">
        <f>IF(OR(I85="",COUNTIF(I$2:I85,I85)&gt;1),J86+1,0)</f>
        <v/>
      </c>
      <c r="K85" s="2">
        <f>INDEX(J$2:J$177,K84+1,1)+K84+1</f>
        <v/>
      </c>
      <c r="L85" s="61">
        <f>INDEX(ЗаданияВесна,K85,1)</f>
        <v/>
      </c>
      <c r="M85" s="58">
        <f>TRIM(CLEAN(INDEX(ЗаданияВесна,ROW(M85)-1,2)))</f>
        <v/>
      </c>
      <c r="N85" s="59">
        <f>IF(OR(M85="",COUNTIF(M$2:M85,M85)&gt;1),N86+1,0)</f>
        <v/>
      </c>
      <c r="O85" s="2">
        <f>INDEX(N$2:N$177,O84+1,1)+O84+1</f>
        <v/>
      </c>
      <c r="P85" s="61">
        <f>INDEX(ЗаданияВесна,O85,2)</f>
        <v/>
      </c>
    </row>
    <row r="86">
      <c r="A86" s="58">
        <f>TRIM(CLEAN(INDEX(ЗаданияОсень,ROW(A86)-1,1)))</f>
        <v/>
      </c>
      <c r="B86" s="59">
        <f>IF(OR(A86="",COUNTIF(A$2:A86,A86)&gt;1),B87+1,0)</f>
        <v/>
      </c>
      <c r="C86" s="2">
        <f>INDEX(B$2:B$177,C85+1,1)+C85+1</f>
        <v/>
      </c>
      <c r="D86" s="61">
        <f>INDEX(ЗаданияОсень,C86,1)</f>
        <v/>
      </c>
      <c r="E86" s="58">
        <f>TRIM(CLEAN(INDEX(ЗаданияОсень,ROW(E86)-1,2)))</f>
        <v/>
      </c>
      <c r="F86" s="59">
        <f>IF(OR(E86="",COUNTIF(E$2:E86,E86)&gt;1),F87+1,0)</f>
        <v/>
      </c>
      <c r="G86" s="2">
        <f>INDEX(F$2:F$177,G85+1,1)+G85+1</f>
        <v/>
      </c>
      <c r="H86" s="61">
        <f>INDEX(ЗаданияОсень,G86,2)</f>
        <v/>
      </c>
      <c r="I86" s="58">
        <f>TRIM(CLEAN(INDEX(ЗаданияВесна,ROW(I86)-1,1)))</f>
        <v/>
      </c>
      <c r="J86" s="59">
        <f>IF(OR(I86="",COUNTIF(I$2:I86,I86)&gt;1),J87+1,0)</f>
        <v/>
      </c>
      <c r="K86" s="2">
        <f>INDEX(J$2:J$177,K85+1,1)+K85+1</f>
        <v/>
      </c>
      <c r="L86" s="61">
        <f>INDEX(ЗаданияВесна,K86,1)</f>
        <v/>
      </c>
      <c r="M86" s="58">
        <f>TRIM(CLEAN(INDEX(ЗаданияВесна,ROW(M86)-1,2)))</f>
        <v/>
      </c>
      <c r="N86" s="59">
        <f>IF(OR(M86="",COUNTIF(M$2:M86,M86)&gt;1),N87+1,0)</f>
        <v/>
      </c>
      <c r="O86" s="2">
        <f>INDEX(N$2:N$177,O85+1,1)+O85+1</f>
        <v/>
      </c>
      <c r="P86" s="61">
        <f>INDEX(ЗаданияВесна,O86,2)</f>
        <v/>
      </c>
    </row>
    <row r="87">
      <c r="A87" s="58">
        <f>TRIM(CLEAN(INDEX(ЗаданияОсень,ROW(A87)-1,1)))</f>
        <v/>
      </c>
      <c r="B87" s="59">
        <f>IF(OR(A87="",COUNTIF(A$2:A87,A87)&gt;1),B88+1,0)</f>
        <v/>
      </c>
      <c r="C87" s="2">
        <f>INDEX(B$2:B$177,C86+1,1)+C86+1</f>
        <v/>
      </c>
      <c r="D87" s="61">
        <f>INDEX(ЗаданияОсень,C87,1)</f>
        <v/>
      </c>
      <c r="E87" s="58">
        <f>TRIM(CLEAN(INDEX(ЗаданияОсень,ROW(E87)-1,2)))</f>
        <v/>
      </c>
      <c r="F87" s="59">
        <f>IF(OR(E87="",COUNTIF(E$2:E87,E87)&gt;1),F88+1,0)</f>
        <v/>
      </c>
      <c r="G87" s="2">
        <f>INDEX(F$2:F$177,G86+1,1)+G86+1</f>
        <v/>
      </c>
      <c r="H87" s="61">
        <f>INDEX(ЗаданияОсень,G87,2)</f>
        <v/>
      </c>
      <c r="I87" s="58">
        <f>TRIM(CLEAN(INDEX(ЗаданияВесна,ROW(I87)-1,1)))</f>
        <v/>
      </c>
      <c r="J87" s="59">
        <f>IF(OR(I87="",COUNTIF(I$2:I87,I87)&gt;1),J88+1,0)</f>
        <v/>
      </c>
      <c r="K87" s="2">
        <f>INDEX(J$2:J$177,K86+1,1)+K86+1</f>
        <v/>
      </c>
      <c r="L87" s="61">
        <f>INDEX(ЗаданияВесна,K87,1)</f>
        <v/>
      </c>
      <c r="M87" s="58">
        <f>TRIM(CLEAN(INDEX(ЗаданияВесна,ROW(M87)-1,2)))</f>
        <v/>
      </c>
      <c r="N87" s="59">
        <f>IF(OR(M87="",COUNTIF(M$2:M87,M87)&gt;1),N88+1,0)</f>
        <v/>
      </c>
      <c r="O87" s="2">
        <f>INDEX(N$2:N$177,O86+1,1)+O86+1</f>
        <v/>
      </c>
      <c r="P87" s="61">
        <f>INDEX(ЗаданияВесна,O87,2)</f>
        <v/>
      </c>
    </row>
    <row r="88">
      <c r="A88" s="58">
        <f>TRIM(CLEAN(INDEX(ЗаданияОсень,ROW(A88)-1,1)))</f>
        <v/>
      </c>
      <c r="B88" s="59">
        <f>IF(OR(A88="",COUNTIF(A$2:A88,A88)&gt;1),B89+1,0)</f>
        <v/>
      </c>
      <c r="C88" s="2">
        <f>INDEX(B$2:B$177,C87+1,1)+C87+1</f>
        <v/>
      </c>
      <c r="D88" s="61">
        <f>INDEX(ЗаданияОсень,C88,1)</f>
        <v/>
      </c>
      <c r="E88" s="58">
        <f>TRIM(CLEAN(INDEX(ЗаданияОсень,ROW(E88)-1,2)))</f>
        <v/>
      </c>
      <c r="F88" s="59">
        <f>IF(OR(E88="",COUNTIF(E$2:E88,E88)&gt;1),F89+1,0)</f>
        <v/>
      </c>
      <c r="G88" s="2">
        <f>INDEX(F$2:F$177,G87+1,1)+G87+1</f>
        <v/>
      </c>
      <c r="H88" s="61">
        <f>INDEX(ЗаданияОсень,G88,2)</f>
        <v/>
      </c>
      <c r="I88" s="58">
        <f>TRIM(CLEAN(INDEX(ЗаданияВесна,ROW(I88)-1,1)))</f>
        <v/>
      </c>
      <c r="J88" s="59">
        <f>IF(OR(I88="",COUNTIF(I$2:I88,I88)&gt;1),J89+1,0)</f>
        <v/>
      </c>
      <c r="K88" s="2">
        <f>INDEX(J$2:J$177,K87+1,1)+K87+1</f>
        <v/>
      </c>
      <c r="L88" s="61">
        <f>INDEX(ЗаданияВесна,K88,1)</f>
        <v/>
      </c>
      <c r="M88" s="58">
        <f>TRIM(CLEAN(INDEX(ЗаданияВесна,ROW(M88)-1,2)))</f>
        <v/>
      </c>
      <c r="N88" s="59">
        <f>IF(OR(M88="",COUNTIF(M$2:M88,M88)&gt;1),N89+1,0)</f>
        <v/>
      </c>
      <c r="O88" s="2">
        <f>INDEX(N$2:N$177,O87+1,1)+O87+1</f>
        <v/>
      </c>
      <c r="P88" s="61">
        <f>INDEX(ЗаданияВесна,O88,2)</f>
        <v/>
      </c>
    </row>
    <row r="89">
      <c r="A89" s="58">
        <f>TRIM(CLEAN(INDEX(ЗаданияОсень,ROW(A89)-1,1)))</f>
        <v/>
      </c>
      <c r="B89" s="59">
        <f>IF(OR(A89="",COUNTIF(A$2:A89,A89)&gt;1),B90+1,0)</f>
        <v/>
      </c>
      <c r="C89" s="2">
        <f>INDEX(B$2:B$177,C88+1,1)+C88+1</f>
        <v/>
      </c>
      <c r="D89" s="61">
        <f>INDEX(ЗаданияОсень,C89,1)</f>
        <v/>
      </c>
      <c r="E89" s="58">
        <f>TRIM(CLEAN(INDEX(ЗаданияОсень,ROW(E89)-1,2)))</f>
        <v/>
      </c>
      <c r="F89" s="59">
        <f>IF(OR(E89="",COUNTIF(E$2:E89,E89)&gt;1),F90+1,0)</f>
        <v/>
      </c>
      <c r="G89" s="2">
        <f>INDEX(F$2:F$177,G88+1,1)+G88+1</f>
        <v/>
      </c>
      <c r="H89" s="61">
        <f>INDEX(ЗаданияОсень,G89,2)</f>
        <v/>
      </c>
      <c r="I89" s="58">
        <f>TRIM(CLEAN(INDEX(ЗаданияВесна,ROW(I89)-1,1)))</f>
        <v/>
      </c>
      <c r="J89" s="59">
        <f>IF(OR(I89="",COUNTIF(I$2:I89,I89)&gt;1),J90+1,0)</f>
        <v/>
      </c>
      <c r="K89" s="2">
        <f>INDEX(J$2:J$177,K88+1,1)+K88+1</f>
        <v/>
      </c>
      <c r="L89" s="61">
        <f>INDEX(ЗаданияВесна,K89,1)</f>
        <v/>
      </c>
      <c r="M89" s="58">
        <f>TRIM(CLEAN(INDEX(ЗаданияВесна,ROW(M89)-1,2)))</f>
        <v/>
      </c>
      <c r="N89" s="59">
        <f>IF(OR(M89="",COUNTIF(M$2:M89,M89)&gt;1),N90+1,0)</f>
        <v/>
      </c>
      <c r="O89" s="2">
        <f>INDEX(N$2:N$177,O88+1,1)+O88+1</f>
        <v/>
      </c>
      <c r="P89" s="61">
        <f>INDEX(ЗаданияВесна,O89,2)</f>
        <v/>
      </c>
    </row>
    <row r="90">
      <c r="A90" s="58">
        <f>TRIM(CLEAN(INDEX(ЗаданияОсень,ROW(A90)-1,1)))</f>
        <v/>
      </c>
      <c r="B90" s="59">
        <f>IF(OR(A90="",COUNTIF(A$2:A90,A90)&gt;1),B91+1,0)</f>
        <v/>
      </c>
      <c r="C90" s="2">
        <f>INDEX(B$2:B$177,C89+1,1)+C89+1</f>
        <v/>
      </c>
      <c r="D90" s="61">
        <f>INDEX(ЗаданияОсень,C90,1)</f>
        <v/>
      </c>
      <c r="E90" s="58">
        <f>TRIM(CLEAN(INDEX(ЗаданияОсень,ROW(E90)-1,2)))</f>
        <v/>
      </c>
      <c r="F90" s="59">
        <f>IF(OR(E90="",COUNTIF(E$2:E90,E90)&gt;1),F91+1,0)</f>
        <v/>
      </c>
      <c r="G90" s="2">
        <f>INDEX(F$2:F$177,G89+1,1)+G89+1</f>
        <v/>
      </c>
      <c r="H90" s="61">
        <f>INDEX(ЗаданияОсень,G90,2)</f>
        <v/>
      </c>
      <c r="I90" s="58">
        <f>TRIM(CLEAN(INDEX(ЗаданияВесна,ROW(I90)-1,1)))</f>
        <v/>
      </c>
      <c r="J90" s="59">
        <f>IF(OR(I90="",COUNTIF(I$2:I90,I90)&gt;1),J91+1,0)</f>
        <v/>
      </c>
      <c r="K90" s="2">
        <f>INDEX(J$2:J$177,K89+1,1)+K89+1</f>
        <v/>
      </c>
      <c r="L90" s="61">
        <f>INDEX(ЗаданияВесна,K90,1)</f>
        <v/>
      </c>
      <c r="M90" s="58">
        <f>TRIM(CLEAN(INDEX(ЗаданияВесна,ROW(M90)-1,2)))</f>
        <v/>
      </c>
      <c r="N90" s="59">
        <f>IF(OR(M90="",COUNTIF(M$2:M90,M90)&gt;1),N91+1,0)</f>
        <v/>
      </c>
      <c r="O90" s="2">
        <f>INDEX(N$2:N$177,O89+1,1)+O89+1</f>
        <v/>
      </c>
      <c r="P90" s="61">
        <f>INDEX(ЗаданияВесна,O90,2)</f>
        <v/>
      </c>
    </row>
    <row r="91">
      <c r="A91" s="58">
        <f>TRIM(CLEAN(INDEX(ЗаданияОсень,ROW(A91)-1,1)))</f>
        <v/>
      </c>
      <c r="B91" s="59">
        <f>IF(OR(A91="",COUNTIF(A$2:A91,A91)&gt;1),B92+1,0)</f>
        <v/>
      </c>
      <c r="C91" s="2">
        <f>INDEX(B$2:B$177,C90+1,1)+C90+1</f>
        <v/>
      </c>
      <c r="D91" s="61">
        <f>INDEX(ЗаданияОсень,C91,1)</f>
        <v/>
      </c>
      <c r="E91" s="58">
        <f>TRIM(CLEAN(INDEX(ЗаданияОсень,ROW(E91)-1,2)))</f>
        <v/>
      </c>
      <c r="F91" s="59">
        <f>IF(OR(E91="",COUNTIF(E$2:E91,E91)&gt;1),F92+1,0)</f>
        <v/>
      </c>
      <c r="G91" s="2">
        <f>INDEX(F$2:F$177,G90+1,1)+G90+1</f>
        <v/>
      </c>
      <c r="H91" s="61">
        <f>INDEX(ЗаданияОсень,G91,2)</f>
        <v/>
      </c>
      <c r="I91" s="58">
        <f>TRIM(CLEAN(INDEX(ЗаданияВесна,ROW(I91)-1,1)))</f>
        <v/>
      </c>
      <c r="J91" s="59">
        <f>IF(OR(I91="",COUNTIF(I$2:I91,I91)&gt;1),J92+1,0)</f>
        <v/>
      </c>
      <c r="K91" s="2">
        <f>INDEX(J$2:J$177,K90+1,1)+K90+1</f>
        <v/>
      </c>
      <c r="L91" s="61">
        <f>INDEX(ЗаданияВесна,K91,1)</f>
        <v/>
      </c>
      <c r="M91" s="58">
        <f>TRIM(CLEAN(INDEX(ЗаданияВесна,ROW(M91)-1,2)))</f>
        <v/>
      </c>
      <c r="N91" s="59">
        <f>IF(OR(M91="",COUNTIF(M$2:M91,M91)&gt;1),N92+1,0)</f>
        <v/>
      </c>
      <c r="O91" s="2">
        <f>INDEX(N$2:N$177,O90+1,1)+O90+1</f>
        <v/>
      </c>
      <c r="P91" s="61">
        <f>INDEX(ЗаданияВесна,O91,2)</f>
        <v/>
      </c>
    </row>
    <row r="92">
      <c r="A92" s="58">
        <f>TRIM(CLEAN(INDEX(ЗаданияОсень,ROW(A92)-1,1)))</f>
        <v/>
      </c>
      <c r="B92" s="59">
        <f>IF(OR(A92="",COUNTIF(A$2:A92,A92)&gt;1),B93+1,0)</f>
        <v/>
      </c>
      <c r="C92" s="2">
        <f>INDEX(B$2:B$177,C91+1,1)+C91+1</f>
        <v/>
      </c>
      <c r="D92" s="61">
        <f>INDEX(ЗаданияОсень,C92,1)</f>
        <v/>
      </c>
      <c r="E92" s="58">
        <f>TRIM(CLEAN(INDEX(ЗаданияОсень,ROW(E92)-1,2)))</f>
        <v/>
      </c>
      <c r="F92" s="59">
        <f>IF(OR(E92="",COUNTIF(E$2:E92,E92)&gt;1),F93+1,0)</f>
        <v/>
      </c>
      <c r="G92" s="2">
        <f>INDEX(F$2:F$177,G91+1,1)+G91+1</f>
        <v/>
      </c>
      <c r="H92" s="61">
        <f>INDEX(ЗаданияОсень,G92,2)</f>
        <v/>
      </c>
      <c r="I92" s="58">
        <f>TRIM(CLEAN(INDEX(ЗаданияВесна,ROW(I92)-1,1)))</f>
        <v/>
      </c>
      <c r="J92" s="59">
        <f>IF(OR(I92="",COUNTIF(I$2:I92,I92)&gt;1),J93+1,0)</f>
        <v/>
      </c>
      <c r="K92" s="2">
        <f>INDEX(J$2:J$177,K91+1,1)+K91+1</f>
        <v/>
      </c>
      <c r="L92" s="61">
        <f>INDEX(ЗаданияВесна,K92,1)</f>
        <v/>
      </c>
      <c r="M92" s="58">
        <f>TRIM(CLEAN(INDEX(ЗаданияВесна,ROW(M92)-1,2)))</f>
        <v/>
      </c>
      <c r="N92" s="59">
        <f>IF(OR(M92="",COUNTIF(M$2:M92,M92)&gt;1),N93+1,0)</f>
        <v/>
      </c>
      <c r="O92" s="2">
        <f>INDEX(N$2:N$177,O91+1,1)+O91+1</f>
        <v/>
      </c>
      <c r="P92" s="61">
        <f>INDEX(ЗаданияВесна,O92,2)</f>
        <v/>
      </c>
    </row>
    <row r="93">
      <c r="A93" s="58">
        <f>TRIM(CLEAN(INDEX(ЗаданияОсень,ROW(A93)-1,1)))</f>
        <v/>
      </c>
      <c r="B93" s="59">
        <f>IF(OR(A93="",COUNTIF(A$2:A93,A93)&gt;1),B94+1,0)</f>
        <v/>
      </c>
      <c r="C93" s="2">
        <f>INDEX(B$2:B$177,C92+1,1)+C92+1</f>
        <v/>
      </c>
      <c r="D93" s="61">
        <f>INDEX(ЗаданияОсень,C93,1)</f>
        <v/>
      </c>
      <c r="E93" s="58">
        <f>TRIM(CLEAN(INDEX(ЗаданияОсень,ROW(E93)-1,2)))</f>
        <v/>
      </c>
      <c r="F93" s="59">
        <f>IF(OR(E93="",COUNTIF(E$2:E93,E93)&gt;1),F94+1,0)</f>
        <v/>
      </c>
      <c r="G93" s="2">
        <f>INDEX(F$2:F$177,G92+1,1)+G92+1</f>
        <v/>
      </c>
      <c r="H93" s="61">
        <f>INDEX(ЗаданияОсень,G93,2)</f>
        <v/>
      </c>
      <c r="I93" s="58">
        <f>TRIM(CLEAN(INDEX(ЗаданияВесна,ROW(I93)-1,1)))</f>
        <v/>
      </c>
      <c r="J93" s="59">
        <f>IF(OR(I93="",COUNTIF(I$2:I93,I93)&gt;1),J94+1,0)</f>
        <v/>
      </c>
      <c r="K93" s="2">
        <f>INDEX(J$2:J$177,K92+1,1)+K92+1</f>
        <v/>
      </c>
      <c r="L93" s="61">
        <f>INDEX(ЗаданияВесна,K93,1)</f>
        <v/>
      </c>
      <c r="M93" s="58">
        <f>TRIM(CLEAN(INDEX(ЗаданияВесна,ROW(M93)-1,2)))</f>
        <v/>
      </c>
      <c r="N93" s="59">
        <f>IF(OR(M93="",COUNTIF(M$2:M93,M93)&gt;1),N94+1,0)</f>
        <v/>
      </c>
      <c r="O93" s="2">
        <f>INDEX(N$2:N$177,O92+1,1)+O92+1</f>
        <v/>
      </c>
      <c r="P93" s="61">
        <f>INDEX(ЗаданияВесна,O93,2)</f>
        <v/>
      </c>
    </row>
    <row r="94">
      <c r="A94" s="58">
        <f>TRIM(CLEAN(INDEX(ЗаданияОсень,ROW(A94)-1,1)))</f>
        <v/>
      </c>
      <c r="B94" s="59">
        <f>IF(OR(A94="",COUNTIF(A$2:A94,A94)&gt;1),B95+1,0)</f>
        <v/>
      </c>
      <c r="C94" s="2">
        <f>INDEX(B$2:B$177,C93+1,1)+C93+1</f>
        <v/>
      </c>
      <c r="D94" s="61">
        <f>INDEX(ЗаданияОсень,C94,1)</f>
        <v/>
      </c>
      <c r="E94" s="58">
        <f>TRIM(CLEAN(INDEX(ЗаданияОсень,ROW(E94)-1,2)))</f>
        <v/>
      </c>
      <c r="F94" s="59">
        <f>IF(OR(E94="",COUNTIF(E$2:E94,E94)&gt;1),F95+1,0)</f>
        <v/>
      </c>
      <c r="G94" s="2">
        <f>INDEX(F$2:F$177,G93+1,1)+G93+1</f>
        <v/>
      </c>
      <c r="H94" s="61">
        <f>INDEX(ЗаданияОсень,G94,2)</f>
        <v/>
      </c>
      <c r="I94" s="58">
        <f>TRIM(CLEAN(INDEX(ЗаданияВесна,ROW(I94)-1,1)))</f>
        <v/>
      </c>
      <c r="J94" s="59">
        <f>IF(OR(I94="",COUNTIF(I$2:I94,I94)&gt;1),J95+1,0)</f>
        <v/>
      </c>
      <c r="K94" s="2">
        <f>INDEX(J$2:J$177,K93+1,1)+K93+1</f>
        <v/>
      </c>
      <c r="L94" s="61">
        <f>INDEX(ЗаданияВесна,K94,1)</f>
        <v/>
      </c>
      <c r="M94" s="58">
        <f>TRIM(CLEAN(INDEX(ЗаданияВесна,ROW(M94)-1,2)))</f>
        <v/>
      </c>
      <c r="N94" s="59">
        <f>IF(OR(M94="",COUNTIF(M$2:M94,M94)&gt;1),N95+1,0)</f>
        <v/>
      </c>
      <c r="O94" s="2">
        <f>INDEX(N$2:N$177,O93+1,1)+O93+1</f>
        <v/>
      </c>
      <c r="P94" s="61">
        <f>INDEX(ЗаданияВесна,O94,2)</f>
        <v/>
      </c>
    </row>
    <row r="95">
      <c r="A95" s="58">
        <f>TRIM(CLEAN(INDEX(ЗаданияОсень,ROW(A95)-1,1)))</f>
        <v/>
      </c>
      <c r="B95" s="59">
        <f>IF(OR(A95="",COUNTIF(A$2:A95,A95)&gt;1),B96+1,0)</f>
        <v/>
      </c>
      <c r="C95" s="2">
        <f>INDEX(B$2:B$177,C94+1,1)+C94+1</f>
        <v/>
      </c>
      <c r="D95" s="61">
        <f>INDEX(ЗаданияОсень,C95,1)</f>
        <v/>
      </c>
      <c r="E95" s="58">
        <f>TRIM(CLEAN(INDEX(ЗаданияОсень,ROW(E95)-1,2)))</f>
        <v/>
      </c>
      <c r="F95" s="59">
        <f>IF(OR(E95="",COUNTIF(E$2:E95,E95)&gt;1),F96+1,0)</f>
        <v/>
      </c>
      <c r="G95" s="2">
        <f>INDEX(F$2:F$177,G94+1,1)+G94+1</f>
        <v/>
      </c>
      <c r="H95" s="61">
        <f>INDEX(ЗаданияОсень,G95,2)</f>
        <v/>
      </c>
      <c r="I95" s="58">
        <f>TRIM(CLEAN(INDEX(ЗаданияВесна,ROW(I95)-1,1)))</f>
        <v/>
      </c>
      <c r="J95" s="59">
        <f>IF(OR(I95="",COUNTIF(I$2:I95,I95)&gt;1),J96+1,0)</f>
        <v/>
      </c>
      <c r="K95" s="2">
        <f>INDEX(J$2:J$177,K94+1,1)+K94+1</f>
        <v/>
      </c>
      <c r="L95" s="61">
        <f>INDEX(ЗаданияВесна,K95,1)</f>
        <v/>
      </c>
      <c r="M95" s="58">
        <f>TRIM(CLEAN(INDEX(ЗаданияВесна,ROW(M95)-1,2)))</f>
        <v/>
      </c>
      <c r="N95" s="59">
        <f>IF(OR(M95="",COUNTIF(M$2:M95,M95)&gt;1),N96+1,0)</f>
        <v/>
      </c>
      <c r="O95" s="2">
        <f>INDEX(N$2:N$177,O94+1,1)+O94+1</f>
        <v/>
      </c>
      <c r="P95" s="61">
        <f>INDEX(ЗаданияВесна,O95,2)</f>
        <v/>
      </c>
    </row>
    <row r="96">
      <c r="A96" s="58">
        <f>TRIM(CLEAN(INDEX(ЗаданияОсень,ROW(A96)-1,1)))</f>
        <v/>
      </c>
      <c r="B96" s="59">
        <f>IF(OR(A96="",COUNTIF(A$2:A96,A96)&gt;1),B97+1,0)</f>
        <v/>
      </c>
      <c r="C96" s="2">
        <f>INDEX(B$2:B$177,C95+1,1)+C95+1</f>
        <v/>
      </c>
      <c r="D96" s="61">
        <f>INDEX(ЗаданияОсень,C96,1)</f>
        <v/>
      </c>
      <c r="E96" s="58">
        <f>TRIM(CLEAN(INDEX(ЗаданияОсень,ROW(E96)-1,2)))</f>
        <v/>
      </c>
      <c r="F96" s="59">
        <f>IF(OR(E96="",COUNTIF(E$2:E96,E96)&gt;1),F97+1,0)</f>
        <v/>
      </c>
      <c r="G96" s="2">
        <f>INDEX(F$2:F$177,G95+1,1)+G95+1</f>
        <v/>
      </c>
      <c r="H96" s="61">
        <f>INDEX(ЗаданияОсень,G96,2)</f>
        <v/>
      </c>
      <c r="I96" s="58">
        <f>TRIM(CLEAN(INDEX(ЗаданияВесна,ROW(I96)-1,1)))</f>
        <v/>
      </c>
      <c r="J96" s="59">
        <f>IF(OR(I96="",COUNTIF(I$2:I96,I96)&gt;1),J97+1,0)</f>
        <v/>
      </c>
      <c r="K96" s="2">
        <f>INDEX(J$2:J$177,K95+1,1)+K95+1</f>
        <v/>
      </c>
      <c r="L96" s="61">
        <f>INDEX(ЗаданияВесна,K96,1)</f>
        <v/>
      </c>
      <c r="M96" s="58">
        <f>TRIM(CLEAN(INDEX(ЗаданияВесна,ROW(M96)-1,2)))</f>
        <v/>
      </c>
      <c r="N96" s="59">
        <f>IF(OR(M96="",COUNTIF(M$2:M96,M96)&gt;1),N97+1,0)</f>
        <v/>
      </c>
      <c r="O96" s="2">
        <f>INDEX(N$2:N$177,O95+1,1)+O95+1</f>
        <v/>
      </c>
      <c r="P96" s="61">
        <f>INDEX(ЗаданияВесна,O96,2)</f>
        <v/>
      </c>
    </row>
    <row r="97">
      <c r="A97" s="58">
        <f>TRIM(CLEAN(INDEX(ЗаданияОсень,ROW(A97)-1,1)))</f>
        <v/>
      </c>
      <c r="B97" s="59">
        <f>IF(OR(A97="",COUNTIF(A$2:A97,A97)&gt;1),B98+1,0)</f>
        <v/>
      </c>
      <c r="C97" s="2">
        <f>INDEX(B$2:B$177,C96+1,1)+C96+1</f>
        <v/>
      </c>
      <c r="D97" s="61">
        <f>INDEX(ЗаданияОсень,C97,1)</f>
        <v/>
      </c>
      <c r="E97" s="58">
        <f>TRIM(CLEAN(INDEX(ЗаданияОсень,ROW(E97)-1,2)))</f>
        <v/>
      </c>
      <c r="F97" s="59">
        <f>IF(OR(E97="",COUNTIF(E$2:E97,E97)&gt;1),F98+1,0)</f>
        <v/>
      </c>
      <c r="G97" s="2">
        <f>INDEX(F$2:F$177,G96+1,1)+G96+1</f>
        <v/>
      </c>
      <c r="H97" s="61">
        <f>INDEX(ЗаданияОсень,G97,2)</f>
        <v/>
      </c>
      <c r="I97" s="58">
        <f>TRIM(CLEAN(INDEX(ЗаданияВесна,ROW(I97)-1,1)))</f>
        <v/>
      </c>
      <c r="J97" s="59">
        <f>IF(OR(I97="",COUNTIF(I$2:I97,I97)&gt;1),J98+1,0)</f>
        <v/>
      </c>
      <c r="K97" s="2">
        <f>INDEX(J$2:J$177,K96+1,1)+K96+1</f>
        <v/>
      </c>
      <c r="L97" s="61">
        <f>INDEX(ЗаданияВесна,K97,1)</f>
        <v/>
      </c>
      <c r="M97" s="58">
        <f>TRIM(CLEAN(INDEX(ЗаданияВесна,ROW(M97)-1,2)))</f>
        <v/>
      </c>
      <c r="N97" s="59">
        <f>IF(OR(M97="",COUNTIF(M$2:M97,M97)&gt;1),N98+1,0)</f>
        <v/>
      </c>
      <c r="O97" s="2">
        <f>INDEX(N$2:N$177,O96+1,1)+O96+1</f>
        <v/>
      </c>
      <c r="P97" s="61">
        <f>INDEX(ЗаданияВесна,O97,2)</f>
        <v/>
      </c>
    </row>
    <row r="98">
      <c r="A98" s="58">
        <f>TRIM(CLEAN(INDEX(ЗаданияОсень,ROW(A98)-1,1)))</f>
        <v/>
      </c>
      <c r="B98" s="59">
        <f>IF(OR(A98="",COUNTIF(A$2:A98,A98)&gt;1),B99+1,0)</f>
        <v/>
      </c>
      <c r="C98" s="2">
        <f>INDEX(B$2:B$177,C97+1,1)+C97+1</f>
        <v/>
      </c>
      <c r="D98" s="61">
        <f>INDEX(ЗаданияОсень,C98,1)</f>
        <v/>
      </c>
      <c r="E98" s="58">
        <f>TRIM(CLEAN(INDEX(ЗаданияОсень,ROW(E98)-1,2)))</f>
        <v/>
      </c>
      <c r="F98" s="59">
        <f>IF(OR(E98="",COUNTIF(E$2:E98,E98)&gt;1),F99+1,0)</f>
        <v/>
      </c>
      <c r="G98" s="2">
        <f>INDEX(F$2:F$177,G97+1,1)+G97+1</f>
        <v/>
      </c>
      <c r="H98" s="61">
        <f>INDEX(ЗаданияОсень,G98,2)</f>
        <v/>
      </c>
      <c r="I98" s="58">
        <f>TRIM(CLEAN(INDEX(ЗаданияВесна,ROW(I98)-1,1)))</f>
        <v/>
      </c>
      <c r="J98" s="59">
        <f>IF(OR(I98="",COUNTIF(I$2:I98,I98)&gt;1),J99+1,0)</f>
        <v/>
      </c>
      <c r="K98" s="2">
        <f>INDEX(J$2:J$177,K97+1,1)+K97+1</f>
        <v/>
      </c>
      <c r="L98" s="61">
        <f>INDEX(ЗаданияВесна,K98,1)</f>
        <v/>
      </c>
      <c r="M98" s="58">
        <f>TRIM(CLEAN(INDEX(ЗаданияВесна,ROW(M98)-1,2)))</f>
        <v/>
      </c>
      <c r="N98" s="59">
        <f>IF(OR(M98="",COUNTIF(M$2:M98,M98)&gt;1),N99+1,0)</f>
        <v/>
      </c>
      <c r="O98" s="2">
        <f>INDEX(N$2:N$177,O97+1,1)+O97+1</f>
        <v/>
      </c>
      <c r="P98" s="61">
        <f>INDEX(ЗаданияВесна,O98,2)</f>
        <v/>
      </c>
    </row>
    <row r="99">
      <c r="A99" s="58">
        <f>TRIM(CLEAN(INDEX(ЗаданияОсень,ROW(A99)-1,1)))</f>
        <v/>
      </c>
      <c r="B99" s="59">
        <f>IF(OR(A99="",COUNTIF(A$2:A99,A99)&gt;1),B100+1,0)</f>
        <v/>
      </c>
      <c r="C99" s="2">
        <f>INDEX(B$2:B$177,C98+1,1)+C98+1</f>
        <v/>
      </c>
      <c r="D99" s="61">
        <f>INDEX(ЗаданияОсень,C99,1)</f>
        <v/>
      </c>
      <c r="E99" s="58">
        <f>TRIM(CLEAN(INDEX(ЗаданияОсень,ROW(E99)-1,2)))</f>
        <v/>
      </c>
      <c r="F99" s="59">
        <f>IF(OR(E99="",COUNTIF(E$2:E99,E99)&gt;1),F100+1,0)</f>
        <v/>
      </c>
      <c r="G99" s="2">
        <f>INDEX(F$2:F$177,G98+1,1)+G98+1</f>
        <v/>
      </c>
      <c r="H99" s="61">
        <f>INDEX(ЗаданияОсень,G99,2)</f>
        <v/>
      </c>
      <c r="I99" s="58">
        <f>TRIM(CLEAN(INDEX(ЗаданияВесна,ROW(I99)-1,1)))</f>
        <v/>
      </c>
      <c r="J99" s="59">
        <f>IF(OR(I99="",COUNTIF(I$2:I99,I99)&gt;1),J100+1,0)</f>
        <v/>
      </c>
      <c r="K99" s="2">
        <f>INDEX(J$2:J$177,K98+1,1)+K98+1</f>
        <v/>
      </c>
      <c r="L99" s="61">
        <f>INDEX(ЗаданияВесна,K99,1)</f>
        <v/>
      </c>
      <c r="M99" s="58">
        <f>TRIM(CLEAN(INDEX(ЗаданияВесна,ROW(M99)-1,2)))</f>
        <v/>
      </c>
      <c r="N99" s="59">
        <f>IF(OR(M99="",COUNTIF(M$2:M99,M99)&gt;1),N100+1,0)</f>
        <v/>
      </c>
      <c r="O99" s="2">
        <f>INDEX(N$2:N$177,O98+1,1)+O98+1</f>
        <v/>
      </c>
      <c r="P99" s="61">
        <f>INDEX(ЗаданияВесна,O99,2)</f>
        <v/>
      </c>
    </row>
    <row r="100">
      <c r="A100" s="58">
        <f>TRIM(CLEAN(INDEX(ЗаданияОсень,ROW(A100)-1,1)))</f>
        <v/>
      </c>
      <c r="B100" s="59">
        <f>IF(OR(A100="",COUNTIF(A$2:A100,A100)&gt;1),B101+1,0)</f>
        <v/>
      </c>
      <c r="C100" s="2">
        <f>INDEX(B$2:B$177,C99+1,1)+C99+1</f>
        <v/>
      </c>
      <c r="D100" s="61">
        <f>INDEX(ЗаданияОсень,C100,1)</f>
        <v/>
      </c>
      <c r="E100" s="58">
        <f>TRIM(CLEAN(INDEX(ЗаданияОсень,ROW(E100)-1,2)))</f>
        <v/>
      </c>
      <c r="F100" s="59">
        <f>IF(OR(E100="",COUNTIF(E$2:E100,E100)&gt;1),F101+1,0)</f>
        <v/>
      </c>
      <c r="G100" s="2">
        <f>INDEX(F$2:F$177,G99+1,1)+G99+1</f>
        <v/>
      </c>
      <c r="H100" s="61">
        <f>INDEX(ЗаданияОсень,G100,2)</f>
        <v/>
      </c>
      <c r="I100" s="58">
        <f>TRIM(CLEAN(INDEX(ЗаданияВесна,ROW(I100)-1,1)))</f>
        <v/>
      </c>
      <c r="J100" s="59">
        <f>IF(OR(I100="",COUNTIF(I$2:I100,I100)&gt;1),J101+1,0)</f>
        <v/>
      </c>
      <c r="K100" s="2">
        <f>INDEX(J$2:J$177,K99+1,1)+K99+1</f>
        <v/>
      </c>
      <c r="L100" s="61">
        <f>INDEX(ЗаданияВесна,K100,1)</f>
        <v/>
      </c>
      <c r="M100" s="58">
        <f>TRIM(CLEAN(INDEX(ЗаданияВесна,ROW(M100)-1,2)))</f>
        <v/>
      </c>
      <c r="N100" s="59">
        <f>IF(OR(M100="",COUNTIF(M$2:M100,M100)&gt;1),N101+1,0)</f>
        <v/>
      </c>
      <c r="O100" s="2">
        <f>INDEX(N$2:N$177,O99+1,1)+O99+1</f>
        <v/>
      </c>
      <c r="P100" s="61">
        <f>INDEX(ЗаданияВесна,O100,2)</f>
        <v/>
      </c>
    </row>
    <row r="101">
      <c r="A101" s="58">
        <f>TRIM(CLEAN(INDEX(ЗаданияОсень,ROW(A101)-1,1)))</f>
        <v/>
      </c>
      <c r="B101" s="59">
        <f>IF(OR(A101="",COUNTIF(A$2:A101,A101)&gt;1),B102+1,0)</f>
        <v/>
      </c>
      <c r="C101" s="2">
        <f>INDEX(B$2:B$177,C100+1,1)+C100+1</f>
        <v/>
      </c>
      <c r="D101" s="61">
        <f>INDEX(ЗаданияОсень,C101,1)</f>
        <v/>
      </c>
      <c r="E101" s="58">
        <f>TRIM(CLEAN(INDEX(ЗаданияОсень,ROW(E101)-1,2)))</f>
        <v/>
      </c>
      <c r="F101" s="59">
        <f>IF(OR(E101="",COUNTIF(E$2:E101,E101)&gt;1),F102+1,0)</f>
        <v/>
      </c>
      <c r="G101" s="2">
        <f>INDEX(F$2:F$177,G100+1,1)+G100+1</f>
        <v/>
      </c>
      <c r="H101" s="61">
        <f>INDEX(ЗаданияОсень,G101,2)</f>
        <v/>
      </c>
      <c r="I101" s="58">
        <f>TRIM(CLEAN(INDEX(ЗаданияВесна,ROW(I101)-1,1)))</f>
        <v/>
      </c>
      <c r="J101" s="59">
        <f>IF(OR(I101="",COUNTIF(I$2:I101,I101)&gt;1),J102+1,0)</f>
        <v/>
      </c>
      <c r="K101" s="2">
        <f>INDEX(J$2:J$177,K100+1,1)+K100+1</f>
        <v/>
      </c>
      <c r="L101" s="61">
        <f>INDEX(ЗаданияВесна,K101,1)</f>
        <v/>
      </c>
      <c r="M101" s="58">
        <f>TRIM(CLEAN(INDEX(ЗаданияВесна,ROW(M101)-1,2)))</f>
        <v/>
      </c>
      <c r="N101" s="59">
        <f>IF(OR(M101="",COUNTIF(M$2:M101,M101)&gt;1),N102+1,0)</f>
        <v/>
      </c>
      <c r="O101" s="2">
        <f>INDEX(N$2:N$177,O100+1,1)+O100+1</f>
        <v/>
      </c>
      <c r="P101" s="61">
        <f>INDEX(ЗаданияВесна,O101,2)</f>
        <v/>
      </c>
    </row>
    <row r="102">
      <c r="A102" s="58">
        <f>TRIM(CLEAN(INDEX(ЗаданияОсень,ROW(A102)-1,1)))</f>
        <v/>
      </c>
      <c r="B102" s="59">
        <f>IF(OR(A102="",COUNTIF(A$2:A102,A102)&gt;1),B103+1,0)</f>
        <v/>
      </c>
      <c r="C102" s="2">
        <f>INDEX(B$2:B$177,C101+1,1)+C101+1</f>
        <v/>
      </c>
      <c r="D102" s="61">
        <f>INDEX(ЗаданияОсень,C102,1)</f>
        <v/>
      </c>
      <c r="E102" s="58">
        <f>TRIM(CLEAN(INDEX(ЗаданияОсень,ROW(E102)-1,2)))</f>
        <v/>
      </c>
      <c r="F102" s="59">
        <f>IF(OR(E102="",COUNTIF(E$2:E102,E102)&gt;1),F103+1,0)</f>
        <v/>
      </c>
      <c r="G102" s="2">
        <f>INDEX(F$2:F$177,G101+1,1)+G101+1</f>
        <v/>
      </c>
      <c r="H102" s="61">
        <f>INDEX(ЗаданияОсень,G102,2)</f>
        <v/>
      </c>
      <c r="I102" s="58">
        <f>TRIM(CLEAN(INDEX(ЗаданияВесна,ROW(I102)-1,1)))</f>
        <v/>
      </c>
      <c r="J102" s="59">
        <f>IF(OR(I102="",COUNTIF(I$2:I102,I102)&gt;1),J103+1,0)</f>
        <v/>
      </c>
      <c r="K102" s="2">
        <f>INDEX(J$2:J$177,K101+1,1)+K101+1</f>
        <v/>
      </c>
      <c r="L102" s="61">
        <f>INDEX(ЗаданияВесна,K102,1)</f>
        <v/>
      </c>
      <c r="M102" s="58">
        <f>TRIM(CLEAN(INDEX(ЗаданияВесна,ROW(M102)-1,2)))</f>
        <v/>
      </c>
      <c r="N102" s="59">
        <f>IF(OR(M102="",COUNTIF(M$2:M102,M102)&gt;1),N103+1,0)</f>
        <v/>
      </c>
      <c r="O102" s="2">
        <f>INDEX(N$2:N$177,O101+1,1)+O101+1</f>
        <v/>
      </c>
      <c r="P102" s="61">
        <f>INDEX(ЗаданияВесна,O102,2)</f>
        <v/>
      </c>
    </row>
    <row r="103">
      <c r="A103" s="58">
        <f>TRIM(CLEAN(INDEX(ЗаданияОсень,ROW(A103)-1,1)))</f>
        <v/>
      </c>
      <c r="B103" s="59">
        <f>IF(OR(A103="",COUNTIF(A$2:A103,A103)&gt;1),B104+1,0)</f>
        <v/>
      </c>
      <c r="C103" s="2">
        <f>INDEX(B$2:B$177,C102+1,1)+C102+1</f>
        <v/>
      </c>
      <c r="D103" s="61">
        <f>INDEX(ЗаданияОсень,C103,1)</f>
        <v/>
      </c>
      <c r="E103" s="58">
        <f>TRIM(CLEAN(INDEX(ЗаданияОсень,ROW(E103)-1,2)))</f>
        <v/>
      </c>
      <c r="F103" s="59">
        <f>IF(OR(E103="",COUNTIF(E$2:E103,E103)&gt;1),F104+1,0)</f>
        <v/>
      </c>
      <c r="G103" s="2">
        <f>INDEX(F$2:F$177,G102+1,1)+G102+1</f>
        <v/>
      </c>
      <c r="H103" s="61">
        <f>INDEX(ЗаданияОсень,G103,2)</f>
        <v/>
      </c>
      <c r="I103" s="58">
        <f>TRIM(CLEAN(INDEX(ЗаданияВесна,ROW(I103)-1,1)))</f>
        <v/>
      </c>
      <c r="J103" s="59">
        <f>IF(OR(I103="",COUNTIF(I$2:I103,I103)&gt;1),J104+1,0)</f>
        <v/>
      </c>
      <c r="K103" s="2">
        <f>INDEX(J$2:J$177,K102+1,1)+K102+1</f>
        <v/>
      </c>
      <c r="L103" s="61">
        <f>INDEX(ЗаданияВесна,K103,1)</f>
        <v/>
      </c>
      <c r="M103" s="58">
        <f>TRIM(CLEAN(INDEX(ЗаданияВесна,ROW(M103)-1,2)))</f>
        <v/>
      </c>
      <c r="N103" s="59">
        <f>IF(OR(M103="",COUNTIF(M$2:M103,M103)&gt;1),N104+1,0)</f>
        <v/>
      </c>
      <c r="O103" s="2">
        <f>INDEX(N$2:N$177,O102+1,1)+O102+1</f>
        <v/>
      </c>
      <c r="P103" s="61">
        <f>INDEX(ЗаданияВесна,O103,2)</f>
        <v/>
      </c>
    </row>
    <row r="104">
      <c r="A104" s="58">
        <f>TRIM(CLEAN(INDEX(ЗаданияОсень,ROW(A104)-1,1)))</f>
        <v/>
      </c>
      <c r="B104" s="59">
        <f>IF(OR(A104="",COUNTIF(A$2:A104,A104)&gt;1),B105+1,0)</f>
        <v/>
      </c>
      <c r="C104" s="2">
        <f>INDEX(B$2:B$177,C103+1,1)+C103+1</f>
        <v/>
      </c>
      <c r="D104" s="61">
        <f>INDEX(ЗаданияОсень,C104,1)</f>
        <v/>
      </c>
      <c r="E104" s="58">
        <f>TRIM(CLEAN(INDEX(ЗаданияОсень,ROW(E104)-1,2)))</f>
        <v/>
      </c>
      <c r="F104" s="59">
        <f>IF(OR(E104="",COUNTIF(E$2:E104,E104)&gt;1),F105+1,0)</f>
        <v/>
      </c>
      <c r="G104" s="2">
        <f>INDEX(F$2:F$177,G103+1,1)+G103+1</f>
        <v/>
      </c>
      <c r="H104" s="61">
        <f>INDEX(ЗаданияОсень,G104,2)</f>
        <v/>
      </c>
      <c r="I104" s="58">
        <f>TRIM(CLEAN(INDEX(ЗаданияВесна,ROW(I104)-1,1)))</f>
        <v/>
      </c>
      <c r="J104" s="59">
        <f>IF(OR(I104="",COUNTIF(I$2:I104,I104)&gt;1),J105+1,0)</f>
        <v/>
      </c>
      <c r="K104" s="2">
        <f>INDEX(J$2:J$177,K103+1,1)+K103+1</f>
        <v/>
      </c>
      <c r="L104" s="61">
        <f>INDEX(ЗаданияВесна,K104,1)</f>
        <v/>
      </c>
      <c r="M104" s="58">
        <f>TRIM(CLEAN(INDEX(ЗаданияВесна,ROW(M104)-1,2)))</f>
        <v/>
      </c>
      <c r="N104" s="59">
        <f>IF(OR(M104="",COUNTIF(M$2:M104,M104)&gt;1),N105+1,0)</f>
        <v/>
      </c>
      <c r="O104" s="2">
        <f>INDEX(N$2:N$177,O103+1,1)+O103+1</f>
        <v/>
      </c>
      <c r="P104" s="61">
        <f>INDEX(ЗаданияВесна,O104,2)</f>
        <v/>
      </c>
    </row>
    <row r="105">
      <c r="A105" s="58">
        <f>TRIM(CLEAN(INDEX(ЗаданияОсень,ROW(A105)-1,1)))</f>
        <v/>
      </c>
      <c r="B105" s="59">
        <f>IF(OR(A105="",COUNTIF(A$2:A105,A105)&gt;1),B106+1,0)</f>
        <v/>
      </c>
      <c r="C105" s="2">
        <f>INDEX(B$2:B$177,C104+1,1)+C104+1</f>
        <v/>
      </c>
      <c r="D105" s="61">
        <f>INDEX(ЗаданияОсень,C105,1)</f>
        <v/>
      </c>
      <c r="E105" s="58">
        <f>TRIM(CLEAN(INDEX(ЗаданияОсень,ROW(E105)-1,2)))</f>
        <v/>
      </c>
      <c r="F105" s="59">
        <f>IF(OR(E105="",COUNTIF(E$2:E105,E105)&gt;1),F106+1,0)</f>
        <v/>
      </c>
      <c r="G105" s="2">
        <f>INDEX(F$2:F$177,G104+1,1)+G104+1</f>
        <v/>
      </c>
      <c r="H105" s="61">
        <f>INDEX(ЗаданияОсень,G105,2)</f>
        <v/>
      </c>
      <c r="I105" s="58">
        <f>TRIM(CLEAN(INDEX(ЗаданияВесна,ROW(I105)-1,1)))</f>
        <v/>
      </c>
      <c r="J105" s="59">
        <f>IF(OR(I105="",COUNTIF(I$2:I105,I105)&gt;1),J106+1,0)</f>
        <v/>
      </c>
      <c r="K105" s="2">
        <f>INDEX(J$2:J$177,K104+1,1)+K104+1</f>
        <v/>
      </c>
      <c r="L105" s="61">
        <f>INDEX(ЗаданияВесна,K105,1)</f>
        <v/>
      </c>
      <c r="M105" s="58">
        <f>TRIM(CLEAN(INDEX(ЗаданияВесна,ROW(M105)-1,2)))</f>
        <v/>
      </c>
      <c r="N105" s="59">
        <f>IF(OR(M105="",COUNTIF(M$2:M105,M105)&gt;1),N106+1,0)</f>
        <v/>
      </c>
      <c r="O105" s="2">
        <f>INDEX(N$2:N$177,O104+1,1)+O104+1</f>
        <v/>
      </c>
      <c r="P105" s="61">
        <f>INDEX(ЗаданияВесна,O105,2)</f>
        <v/>
      </c>
    </row>
    <row r="106">
      <c r="A106" s="58">
        <f>TRIM(CLEAN(INDEX(ЗаданияОсень,ROW(A106)-1,1)))</f>
        <v/>
      </c>
      <c r="B106" s="59">
        <f>IF(OR(A106="",COUNTIF(A$2:A106,A106)&gt;1),B107+1,0)</f>
        <v/>
      </c>
      <c r="C106" s="2">
        <f>INDEX(B$2:B$177,C105+1,1)+C105+1</f>
        <v/>
      </c>
      <c r="D106" s="61">
        <f>INDEX(ЗаданияОсень,C106,1)</f>
        <v/>
      </c>
      <c r="E106" s="58">
        <f>TRIM(CLEAN(INDEX(ЗаданияОсень,ROW(E106)-1,2)))</f>
        <v/>
      </c>
      <c r="F106" s="59">
        <f>IF(OR(E106="",COUNTIF(E$2:E106,E106)&gt;1),F107+1,0)</f>
        <v/>
      </c>
      <c r="G106" s="2">
        <f>INDEX(F$2:F$177,G105+1,1)+G105+1</f>
        <v/>
      </c>
      <c r="H106" s="61">
        <f>INDEX(ЗаданияОсень,G106,2)</f>
        <v/>
      </c>
      <c r="I106" s="58">
        <f>TRIM(CLEAN(INDEX(ЗаданияВесна,ROW(I106)-1,1)))</f>
        <v/>
      </c>
      <c r="J106" s="59">
        <f>IF(OR(I106="",COUNTIF(I$2:I106,I106)&gt;1),J107+1,0)</f>
        <v/>
      </c>
      <c r="K106" s="2">
        <f>INDEX(J$2:J$177,K105+1,1)+K105+1</f>
        <v/>
      </c>
      <c r="L106" s="61">
        <f>INDEX(ЗаданияВесна,K106,1)</f>
        <v/>
      </c>
      <c r="M106" s="58">
        <f>TRIM(CLEAN(INDEX(ЗаданияВесна,ROW(M106)-1,2)))</f>
        <v/>
      </c>
      <c r="N106" s="59">
        <f>IF(OR(M106="",COUNTIF(M$2:M106,M106)&gt;1),N107+1,0)</f>
        <v/>
      </c>
      <c r="O106" s="2">
        <f>INDEX(N$2:N$177,O105+1,1)+O105+1</f>
        <v/>
      </c>
      <c r="P106" s="61">
        <f>INDEX(ЗаданияВесна,O106,2)</f>
        <v/>
      </c>
    </row>
    <row r="107">
      <c r="A107" s="58">
        <f>TRIM(CLEAN(INDEX(ЗаданияОсень,ROW(A107)-1,1)))</f>
        <v/>
      </c>
      <c r="B107" s="59">
        <f>IF(OR(A107="",COUNTIF(A$2:A107,A107)&gt;1),B108+1,0)</f>
        <v/>
      </c>
      <c r="C107" s="2">
        <f>INDEX(B$2:B$177,C106+1,1)+C106+1</f>
        <v/>
      </c>
      <c r="D107" s="61">
        <f>INDEX(ЗаданияОсень,C107,1)</f>
        <v/>
      </c>
      <c r="E107" s="58">
        <f>TRIM(CLEAN(INDEX(ЗаданияОсень,ROW(E107)-1,2)))</f>
        <v/>
      </c>
      <c r="F107" s="59">
        <f>IF(OR(E107="",COUNTIF(E$2:E107,E107)&gt;1),F108+1,0)</f>
        <v/>
      </c>
      <c r="G107" s="2">
        <f>INDEX(F$2:F$177,G106+1,1)+G106+1</f>
        <v/>
      </c>
      <c r="H107" s="61">
        <f>INDEX(ЗаданияОсень,G107,2)</f>
        <v/>
      </c>
      <c r="I107" s="58">
        <f>TRIM(CLEAN(INDEX(ЗаданияВесна,ROW(I107)-1,1)))</f>
        <v/>
      </c>
      <c r="J107" s="59">
        <f>IF(OR(I107="",COUNTIF(I$2:I107,I107)&gt;1),J108+1,0)</f>
        <v/>
      </c>
      <c r="K107" s="2">
        <f>INDEX(J$2:J$177,K106+1,1)+K106+1</f>
        <v/>
      </c>
      <c r="L107" s="61">
        <f>INDEX(ЗаданияВесна,K107,1)</f>
        <v/>
      </c>
      <c r="M107" s="58">
        <f>TRIM(CLEAN(INDEX(ЗаданияВесна,ROW(M107)-1,2)))</f>
        <v/>
      </c>
      <c r="N107" s="59">
        <f>IF(OR(M107="",COUNTIF(M$2:M107,M107)&gt;1),N108+1,0)</f>
        <v/>
      </c>
      <c r="O107" s="2">
        <f>INDEX(N$2:N$177,O106+1,1)+O106+1</f>
        <v/>
      </c>
      <c r="P107" s="61">
        <f>INDEX(ЗаданияВесна,O107,2)</f>
        <v/>
      </c>
    </row>
    <row r="108">
      <c r="A108" s="58">
        <f>TRIM(CLEAN(INDEX(ЗаданияОсень,ROW(A108)-1,1)))</f>
        <v/>
      </c>
      <c r="B108" s="59">
        <f>IF(OR(A108="",COUNTIF(A$2:A108,A108)&gt;1),B109+1,0)</f>
        <v/>
      </c>
      <c r="C108" s="2">
        <f>INDEX(B$2:B$177,C107+1,1)+C107+1</f>
        <v/>
      </c>
      <c r="D108" s="61">
        <f>INDEX(ЗаданияОсень,C108,1)</f>
        <v/>
      </c>
      <c r="E108" s="58">
        <f>TRIM(CLEAN(INDEX(ЗаданияОсень,ROW(E108)-1,2)))</f>
        <v/>
      </c>
      <c r="F108" s="59">
        <f>IF(OR(E108="",COUNTIF(E$2:E108,E108)&gt;1),F109+1,0)</f>
        <v/>
      </c>
      <c r="G108" s="2">
        <f>INDEX(F$2:F$177,G107+1,1)+G107+1</f>
        <v/>
      </c>
      <c r="H108" s="61">
        <f>INDEX(ЗаданияОсень,G108,2)</f>
        <v/>
      </c>
      <c r="I108" s="58">
        <f>TRIM(CLEAN(INDEX(ЗаданияВесна,ROW(I108)-1,1)))</f>
        <v/>
      </c>
      <c r="J108" s="59">
        <f>IF(OR(I108="",COUNTIF(I$2:I108,I108)&gt;1),J109+1,0)</f>
        <v/>
      </c>
      <c r="K108" s="2">
        <f>INDEX(J$2:J$177,K107+1,1)+K107+1</f>
        <v/>
      </c>
      <c r="L108" s="61">
        <f>INDEX(ЗаданияВесна,K108,1)</f>
        <v/>
      </c>
      <c r="M108" s="58">
        <f>TRIM(CLEAN(INDEX(ЗаданияВесна,ROW(M108)-1,2)))</f>
        <v/>
      </c>
      <c r="N108" s="59">
        <f>IF(OR(M108="",COUNTIF(M$2:M108,M108)&gt;1),N109+1,0)</f>
        <v/>
      </c>
      <c r="O108" s="2">
        <f>INDEX(N$2:N$177,O107+1,1)+O107+1</f>
        <v/>
      </c>
      <c r="P108" s="61">
        <f>INDEX(ЗаданияВесна,O108,2)</f>
        <v/>
      </c>
    </row>
    <row r="109">
      <c r="A109" s="58">
        <f>TRIM(CLEAN(INDEX(ЗаданияОсень,ROW(A109)-1,1)))</f>
        <v/>
      </c>
      <c r="B109" s="59">
        <f>IF(OR(A109="",COUNTIF(A$2:A109,A109)&gt;1),B110+1,0)</f>
        <v/>
      </c>
      <c r="C109" s="2">
        <f>INDEX(B$2:B$177,C108+1,1)+C108+1</f>
        <v/>
      </c>
      <c r="D109" s="61">
        <f>INDEX(ЗаданияОсень,C109,1)</f>
        <v/>
      </c>
      <c r="E109" s="58">
        <f>TRIM(CLEAN(INDEX(ЗаданияОсень,ROW(E109)-1,2)))</f>
        <v/>
      </c>
      <c r="F109" s="59">
        <f>IF(OR(E109="",COUNTIF(E$2:E109,E109)&gt;1),F110+1,0)</f>
        <v/>
      </c>
      <c r="G109" s="2">
        <f>INDEX(F$2:F$177,G108+1,1)+G108+1</f>
        <v/>
      </c>
      <c r="H109" s="61">
        <f>INDEX(ЗаданияОсень,G109,2)</f>
        <v/>
      </c>
      <c r="I109" s="58">
        <f>TRIM(CLEAN(INDEX(ЗаданияВесна,ROW(I109)-1,1)))</f>
        <v/>
      </c>
      <c r="J109" s="59">
        <f>IF(OR(I109="",COUNTIF(I$2:I109,I109)&gt;1),J110+1,0)</f>
        <v/>
      </c>
      <c r="K109" s="2">
        <f>INDEX(J$2:J$177,K108+1,1)+K108+1</f>
        <v/>
      </c>
      <c r="L109" s="61">
        <f>INDEX(ЗаданияВесна,K109,1)</f>
        <v/>
      </c>
      <c r="M109" s="58">
        <f>TRIM(CLEAN(INDEX(ЗаданияВесна,ROW(M109)-1,2)))</f>
        <v/>
      </c>
      <c r="N109" s="59">
        <f>IF(OR(M109="",COUNTIF(M$2:M109,M109)&gt;1),N110+1,0)</f>
        <v/>
      </c>
      <c r="O109" s="2">
        <f>INDEX(N$2:N$177,O108+1,1)+O108+1</f>
        <v/>
      </c>
      <c r="P109" s="61">
        <f>INDEX(ЗаданияВесна,O109,2)</f>
        <v/>
      </c>
    </row>
    <row r="110">
      <c r="A110" s="58">
        <f>TRIM(CLEAN(INDEX(ЗаданияОсень,ROW(A110)-1,1)))</f>
        <v/>
      </c>
      <c r="B110" s="59">
        <f>IF(OR(A110="",COUNTIF(A$2:A110,A110)&gt;1),B111+1,0)</f>
        <v/>
      </c>
      <c r="C110" s="2">
        <f>INDEX(B$2:B$177,C109+1,1)+C109+1</f>
        <v/>
      </c>
      <c r="D110" s="61">
        <f>INDEX(ЗаданияОсень,C110,1)</f>
        <v/>
      </c>
      <c r="E110" s="58">
        <f>TRIM(CLEAN(INDEX(ЗаданияОсень,ROW(E110)-1,2)))</f>
        <v/>
      </c>
      <c r="F110" s="59">
        <f>IF(OR(E110="",COUNTIF(E$2:E110,E110)&gt;1),F111+1,0)</f>
        <v/>
      </c>
      <c r="G110" s="2">
        <f>INDEX(F$2:F$177,G109+1,1)+G109+1</f>
        <v/>
      </c>
      <c r="H110" s="61">
        <f>INDEX(ЗаданияОсень,G110,2)</f>
        <v/>
      </c>
      <c r="I110" s="58">
        <f>TRIM(CLEAN(INDEX(ЗаданияВесна,ROW(I110)-1,1)))</f>
        <v/>
      </c>
      <c r="J110" s="59">
        <f>IF(OR(I110="",COUNTIF(I$2:I110,I110)&gt;1),J111+1,0)</f>
        <v/>
      </c>
      <c r="K110" s="2">
        <f>INDEX(J$2:J$177,K109+1,1)+K109+1</f>
        <v/>
      </c>
      <c r="L110" s="61">
        <f>INDEX(ЗаданияВесна,K110,1)</f>
        <v/>
      </c>
      <c r="M110" s="58">
        <f>TRIM(CLEAN(INDEX(ЗаданияВесна,ROW(M110)-1,2)))</f>
        <v/>
      </c>
      <c r="N110" s="59">
        <f>IF(OR(M110="",COUNTIF(M$2:M110,M110)&gt;1),N111+1,0)</f>
        <v/>
      </c>
      <c r="O110" s="2">
        <f>INDEX(N$2:N$177,O109+1,1)+O109+1</f>
        <v/>
      </c>
      <c r="P110" s="61">
        <f>INDEX(ЗаданияВесна,O110,2)</f>
        <v/>
      </c>
    </row>
    <row r="111">
      <c r="A111" s="58">
        <f>TRIM(CLEAN(INDEX(ЗаданияОсень,ROW(A111)-1,1)))</f>
        <v/>
      </c>
      <c r="B111" s="59">
        <f>IF(OR(A111="",COUNTIF(A$2:A111,A111)&gt;1),B112+1,0)</f>
        <v/>
      </c>
      <c r="C111" s="2">
        <f>INDEX(B$2:B$177,C110+1,1)+C110+1</f>
        <v/>
      </c>
      <c r="D111" s="61">
        <f>INDEX(ЗаданияОсень,C111,1)</f>
        <v/>
      </c>
      <c r="E111" s="58">
        <f>TRIM(CLEAN(INDEX(ЗаданияОсень,ROW(E111)-1,2)))</f>
        <v/>
      </c>
      <c r="F111" s="59">
        <f>IF(OR(E111="",COUNTIF(E$2:E111,E111)&gt;1),F112+1,0)</f>
        <v/>
      </c>
      <c r="G111" s="2">
        <f>INDEX(F$2:F$177,G110+1,1)+G110+1</f>
        <v/>
      </c>
      <c r="H111" s="61">
        <f>INDEX(ЗаданияОсень,G111,2)</f>
        <v/>
      </c>
      <c r="I111" s="58">
        <f>TRIM(CLEAN(INDEX(ЗаданияВесна,ROW(I111)-1,1)))</f>
        <v/>
      </c>
      <c r="J111" s="59">
        <f>IF(OR(I111="",COUNTIF(I$2:I111,I111)&gt;1),J112+1,0)</f>
        <v/>
      </c>
      <c r="K111" s="2">
        <f>INDEX(J$2:J$177,K110+1,1)+K110+1</f>
        <v/>
      </c>
      <c r="L111" s="61">
        <f>INDEX(ЗаданияВесна,K111,1)</f>
        <v/>
      </c>
      <c r="M111" s="58">
        <f>TRIM(CLEAN(INDEX(ЗаданияВесна,ROW(M111)-1,2)))</f>
        <v/>
      </c>
      <c r="N111" s="59">
        <f>IF(OR(M111="",COUNTIF(M$2:M111,M111)&gt;1),N112+1,0)</f>
        <v/>
      </c>
      <c r="O111" s="2">
        <f>INDEX(N$2:N$177,O110+1,1)+O110+1</f>
        <v/>
      </c>
      <c r="P111" s="61">
        <f>INDEX(ЗаданияВесна,O111,2)</f>
        <v/>
      </c>
    </row>
    <row r="112">
      <c r="A112" s="58">
        <f>TRIM(CLEAN(INDEX(ЗаданияОсень,ROW(A112)-1,1)))</f>
        <v/>
      </c>
      <c r="B112" s="59">
        <f>IF(OR(A112="",COUNTIF(A$2:A112,A112)&gt;1),B113+1,0)</f>
        <v/>
      </c>
      <c r="C112" s="2">
        <f>INDEX(B$2:B$177,C111+1,1)+C111+1</f>
        <v/>
      </c>
      <c r="D112" s="61">
        <f>INDEX(ЗаданияОсень,C112,1)</f>
        <v/>
      </c>
      <c r="E112" s="58">
        <f>TRIM(CLEAN(INDEX(ЗаданияОсень,ROW(E112)-1,2)))</f>
        <v/>
      </c>
      <c r="F112" s="59">
        <f>IF(OR(E112="",COUNTIF(E$2:E112,E112)&gt;1),F113+1,0)</f>
        <v/>
      </c>
      <c r="G112" s="2">
        <f>INDEX(F$2:F$177,G111+1,1)+G111+1</f>
        <v/>
      </c>
      <c r="H112" s="61">
        <f>INDEX(ЗаданияОсень,G112,2)</f>
        <v/>
      </c>
      <c r="I112" s="58">
        <f>TRIM(CLEAN(INDEX(ЗаданияВесна,ROW(I112)-1,1)))</f>
        <v/>
      </c>
      <c r="J112" s="59">
        <f>IF(OR(I112="",COUNTIF(I$2:I112,I112)&gt;1),J113+1,0)</f>
        <v/>
      </c>
      <c r="K112" s="2">
        <f>INDEX(J$2:J$177,K111+1,1)+K111+1</f>
        <v/>
      </c>
      <c r="L112" s="61">
        <f>INDEX(ЗаданияВесна,K112,1)</f>
        <v/>
      </c>
      <c r="M112" s="58">
        <f>TRIM(CLEAN(INDEX(ЗаданияВесна,ROW(M112)-1,2)))</f>
        <v/>
      </c>
      <c r="N112" s="59">
        <f>IF(OR(M112="",COUNTIF(M$2:M112,M112)&gt;1),N113+1,0)</f>
        <v/>
      </c>
      <c r="O112" s="2">
        <f>INDEX(N$2:N$177,O111+1,1)+O111+1</f>
        <v/>
      </c>
      <c r="P112" s="61">
        <f>INDEX(ЗаданияВесна,O112,2)</f>
        <v/>
      </c>
    </row>
    <row r="113">
      <c r="A113" s="58">
        <f>TRIM(CLEAN(INDEX(ЗаданияОсень,ROW(A113)-1,1)))</f>
        <v/>
      </c>
      <c r="B113" s="59">
        <f>IF(OR(A113="",COUNTIF(A$2:A113,A113)&gt;1),B114+1,0)</f>
        <v/>
      </c>
      <c r="C113" s="2">
        <f>INDEX(B$2:B$177,C112+1,1)+C112+1</f>
        <v/>
      </c>
      <c r="D113" s="61">
        <f>INDEX(ЗаданияОсень,C113,1)</f>
        <v/>
      </c>
      <c r="E113" s="58">
        <f>TRIM(CLEAN(INDEX(ЗаданияОсень,ROW(E113)-1,2)))</f>
        <v/>
      </c>
      <c r="F113" s="59">
        <f>IF(OR(E113="",COUNTIF(E$2:E113,E113)&gt;1),F114+1,0)</f>
        <v/>
      </c>
      <c r="G113" s="2">
        <f>INDEX(F$2:F$177,G112+1,1)+G112+1</f>
        <v/>
      </c>
      <c r="H113" s="61">
        <f>INDEX(ЗаданияОсень,G113,2)</f>
        <v/>
      </c>
      <c r="I113" s="58">
        <f>TRIM(CLEAN(INDEX(ЗаданияВесна,ROW(I113)-1,1)))</f>
        <v/>
      </c>
      <c r="J113" s="59">
        <f>IF(OR(I113="",COUNTIF(I$2:I113,I113)&gt;1),J114+1,0)</f>
        <v/>
      </c>
      <c r="K113" s="2">
        <f>INDEX(J$2:J$177,K112+1,1)+K112+1</f>
        <v/>
      </c>
      <c r="L113" s="61">
        <f>INDEX(ЗаданияВесна,K113,1)</f>
        <v/>
      </c>
      <c r="M113" s="58">
        <f>TRIM(CLEAN(INDEX(ЗаданияВесна,ROW(M113)-1,2)))</f>
        <v/>
      </c>
      <c r="N113" s="59">
        <f>IF(OR(M113="",COUNTIF(M$2:M113,M113)&gt;1),N114+1,0)</f>
        <v/>
      </c>
      <c r="O113" s="2">
        <f>INDEX(N$2:N$177,O112+1,1)+O112+1</f>
        <v/>
      </c>
      <c r="P113" s="61">
        <f>INDEX(ЗаданияВесна,O113,2)</f>
        <v/>
      </c>
    </row>
    <row r="114">
      <c r="A114" s="58">
        <f>TRIM(CLEAN(INDEX(ЗаданияОсень,ROW(A114)-1,1)))</f>
        <v/>
      </c>
      <c r="B114" s="59">
        <f>IF(OR(A114="",COUNTIF(A$2:A114,A114)&gt;1),B115+1,0)</f>
        <v/>
      </c>
      <c r="C114" s="2">
        <f>INDEX(B$2:B$177,C113+1,1)+C113+1</f>
        <v/>
      </c>
      <c r="D114" s="61">
        <f>INDEX(ЗаданияОсень,C114,1)</f>
        <v/>
      </c>
      <c r="E114" s="58">
        <f>TRIM(CLEAN(INDEX(ЗаданияОсень,ROW(E114)-1,2)))</f>
        <v/>
      </c>
      <c r="F114" s="59">
        <f>IF(OR(E114="",COUNTIF(E$2:E114,E114)&gt;1),F115+1,0)</f>
        <v/>
      </c>
      <c r="G114" s="2">
        <f>INDEX(F$2:F$177,G113+1,1)+G113+1</f>
        <v/>
      </c>
      <c r="H114" s="61">
        <f>INDEX(ЗаданияОсень,G114,2)</f>
        <v/>
      </c>
      <c r="I114" s="58">
        <f>TRIM(CLEAN(INDEX(ЗаданияВесна,ROW(I114)-1,1)))</f>
        <v/>
      </c>
      <c r="J114" s="59">
        <f>IF(OR(I114="",COUNTIF(I$2:I114,I114)&gt;1),J115+1,0)</f>
        <v/>
      </c>
      <c r="K114" s="2">
        <f>INDEX(J$2:J$177,K113+1,1)+K113+1</f>
        <v/>
      </c>
      <c r="L114" s="61">
        <f>INDEX(ЗаданияВесна,K114,1)</f>
        <v/>
      </c>
      <c r="M114" s="58">
        <f>TRIM(CLEAN(INDEX(ЗаданияВесна,ROW(M114)-1,2)))</f>
        <v/>
      </c>
      <c r="N114" s="59">
        <f>IF(OR(M114="",COUNTIF(M$2:M114,M114)&gt;1),N115+1,0)</f>
        <v/>
      </c>
      <c r="O114" s="2">
        <f>INDEX(N$2:N$177,O113+1,1)+O113+1</f>
        <v/>
      </c>
      <c r="P114" s="61">
        <f>INDEX(ЗаданияВесна,O114,2)</f>
        <v/>
      </c>
    </row>
    <row r="115">
      <c r="A115" s="58">
        <f>TRIM(CLEAN(INDEX(ЗаданияОсень,ROW(A115)-1,1)))</f>
        <v/>
      </c>
      <c r="B115" s="59">
        <f>IF(OR(A115="",COUNTIF(A$2:A115,A115)&gt;1),B116+1,0)</f>
        <v/>
      </c>
      <c r="C115" s="2">
        <f>INDEX(B$2:B$177,C114+1,1)+C114+1</f>
        <v/>
      </c>
      <c r="D115" s="61">
        <f>INDEX(ЗаданияОсень,C115,1)</f>
        <v/>
      </c>
      <c r="E115" s="58">
        <f>TRIM(CLEAN(INDEX(ЗаданияОсень,ROW(E115)-1,2)))</f>
        <v/>
      </c>
      <c r="F115" s="59">
        <f>IF(OR(E115="",COUNTIF(E$2:E115,E115)&gt;1),F116+1,0)</f>
        <v/>
      </c>
      <c r="G115" s="2">
        <f>INDEX(F$2:F$177,G114+1,1)+G114+1</f>
        <v/>
      </c>
      <c r="H115" s="61">
        <f>INDEX(ЗаданияОсень,G115,2)</f>
        <v/>
      </c>
      <c r="I115" s="58">
        <f>TRIM(CLEAN(INDEX(ЗаданияВесна,ROW(I115)-1,1)))</f>
        <v/>
      </c>
      <c r="J115" s="59">
        <f>IF(OR(I115="",COUNTIF(I$2:I115,I115)&gt;1),J116+1,0)</f>
        <v/>
      </c>
      <c r="K115" s="2">
        <f>INDEX(J$2:J$177,K114+1,1)+K114+1</f>
        <v/>
      </c>
      <c r="L115" s="61">
        <f>INDEX(ЗаданияВесна,K115,1)</f>
        <v/>
      </c>
      <c r="M115" s="58">
        <f>TRIM(CLEAN(INDEX(ЗаданияВесна,ROW(M115)-1,2)))</f>
        <v/>
      </c>
      <c r="N115" s="59">
        <f>IF(OR(M115="",COUNTIF(M$2:M115,M115)&gt;1),N116+1,0)</f>
        <v/>
      </c>
      <c r="O115" s="2">
        <f>INDEX(N$2:N$177,O114+1,1)+O114+1</f>
        <v/>
      </c>
      <c r="P115" s="61">
        <f>INDEX(ЗаданияВесна,O115,2)</f>
        <v/>
      </c>
    </row>
    <row r="116">
      <c r="A116" s="58">
        <f>TRIM(CLEAN(INDEX(ЗаданияОсень,ROW(A116)-1,1)))</f>
        <v/>
      </c>
      <c r="B116" s="59">
        <f>IF(OR(A116="",COUNTIF(A$2:A116,A116)&gt;1),B117+1,0)</f>
        <v/>
      </c>
      <c r="C116" s="2">
        <f>INDEX(B$2:B$177,C115+1,1)+C115+1</f>
        <v/>
      </c>
      <c r="D116" s="61">
        <f>INDEX(ЗаданияОсень,C116,1)</f>
        <v/>
      </c>
      <c r="E116" s="58">
        <f>TRIM(CLEAN(INDEX(ЗаданияОсень,ROW(E116)-1,2)))</f>
        <v/>
      </c>
      <c r="F116" s="59">
        <f>IF(OR(E116="",COUNTIF(E$2:E116,E116)&gt;1),F117+1,0)</f>
        <v/>
      </c>
      <c r="G116" s="2">
        <f>INDEX(F$2:F$177,G115+1,1)+G115+1</f>
        <v/>
      </c>
      <c r="H116" s="61">
        <f>INDEX(ЗаданияОсень,G116,2)</f>
        <v/>
      </c>
      <c r="I116" s="58">
        <f>TRIM(CLEAN(INDEX(ЗаданияВесна,ROW(I116)-1,1)))</f>
        <v/>
      </c>
      <c r="J116" s="59">
        <f>IF(OR(I116="",COUNTIF(I$2:I116,I116)&gt;1),J117+1,0)</f>
        <v/>
      </c>
      <c r="K116" s="2">
        <f>INDEX(J$2:J$177,K115+1,1)+K115+1</f>
        <v/>
      </c>
      <c r="L116" s="61">
        <f>INDEX(ЗаданияВесна,K116,1)</f>
        <v/>
      </c>
      <c r="M116" s="58">
        <f>TRIM(CLEAN(INDEX(ЗаданияВесна,ROW(M116)-1,2)))</f>
        <v/>
      </c>
      <c r="N116" s="59">
        <f>IF(OR(M116="",COUNTIF(M$2:M116,M116)&gt;1),N117+1,0)</f>
        <v/>
      </c>
      <c r="O116" s="2">
        <f>INDEX(N$2:N$177,O115+1,1)+O115+1</f>
        <v/>
      </c>
      <c r="P116" s="61">
        <f>INDEX(ЗаданияВесна,O116,2)</f>
        <v/>
      </c>
    </row>
    <row r="117">
      <c r="A117" s="58">
        <f>TRIM(CLEAN(INDEX(ЗаданияОсень,ROW(A117)-1,1)))</f>
        <v/>
      </c>
      <c r="B117" s="59">
        <f>IF(OR(A117="",COUNTIF(A$2:A117,A117)&gt;1),B118+1,0)</f>
        <v/>
      </c>
      <c r="C117" s="2">
        <f>INDEX(B$2:B$177,C116+1,1)+C116+1</f>
        <v/>
      </c>
      <c r="D117" s="61">
        <f>INDEX(ЗаданияОсень,C117,1)</f>
        <v/>
      </c>
      <c r="E117" s="58">
        <f>TRIM(CLEAN(INDEX(ЗаданияОсень,ROW(E117)-1,2)))</f>
        <v/>
      </c>
      <c r="F117" s="59">
        <f>IF(OR(E117="",COUNTIF(E$2:E117,E117)&gt;1),F118+1,0)</f>
        <v/>
      </c>
      <c r="G117" s="2">
        <f>INDEX(F$2:F$177,G116+1,1)+G116+1</f>
        <v/>
      </c>
      <c r="H117" s="61">
        <f>INDEX(ЗаданияОсень,G117,2)</f>
        <v/>
      </c>
      <c r="I117" s="58">
        <f>TRIM(CLEAN(INDEX(ЗаданияВесна,ROW(I117)-1,1)))</f>
        <v/>
      </c>
      <c r="J117" s="59">
        <f>IF(OR(I117="",COUNTIF(I$2:I117,I117)&gt;1),J118+1,0)</f>
        <v/>
      </c>
      <c r="K117" s="2">
        <f>INDEX(J$2:J$177,K116+1,1)+K116+1</f>
        <v/>
      </c>
      <c r="L117" s="61">
        <f>INDEX(ЗаданияВесна,K117,1)</f>
        <v/>
      </c>
      <c r="M117" s="58">
        <f>TRIM(CLEAN(INDEX(ЗаданияВесна,ROW(M117)-1,2)))</f>
        <v/>
      </c>
      <c r="N117" s="59">
        <f>IF(OR(M117="",COUNTIF(M$2:M117,M117)&gt;1),N118+1,0)</f>
        <v/>
      </c>
      <c r="O117" s="2">
        <f>INDEX(N$2:N$177,O116+1,1)+O116+1</f>
        <v/>
      </c>
      <c r="P117" s="61">
        <f>INDEX(ЗаданияВесна,O117,2)</f>
        <v/>
      </c>
    </row>
    <row r="118">
      <c r="A118" s="58">
        <f>TRIM(CLEAN(INDEX(ЗаданияОсень,ROW(A118)-1,1)))</f>
        <v/>
      </c>
      <c r="B118" s="59">
        <f>IF(OR(A118="",COUNTIF(A$2:A118,A118)&gt;1),B119+1,0)</f>
        <v/>
      </c>
      <c r="C118" s="2">
        <f>INDEX(B$2:B$177,C117+1,1)+C117+1</f>
        <v/>
      </c>
      <c r="D118" s="61">
        <f>INDEX(ЗаданияОсень,C118,1)</f>
        <v/>
      </c>
      <c r="E118" s="58">
        <f>TRIM(CLEAN(INDEX(ЗаданияОсень,ROW(E118)-1,2)))</f>
        <v/>
      </c>
      <c r="F118" s="59">
        <f>IF(OR(E118="",COUNTIF(E$2:E118,E118)&gt;1),F119+1,0)</f>
        <v/>
      </c>
      <c r="G118" s="2">
        <f>INDEX(F$2:F$177,G117+1,1)+G117+1</f>
        <v/>
      </c>
      <c r="H118" s="61">
        <f>INDEX(ЗаданияОсень,G118,2)</f>
        <v/>
      </c>
      <c r="I118" s="58">
        <f>TRIM(CLEAN(INDEX(ЗаданияВесна,ROW(I118)-1,1)))</f>
        <v/>
      </c>
      <c r="J118" s="59">
        <f>IF(OR(I118="",COUNTIF(I$2:I118,I118)&gt;1),J119+1,0)</f>
        <v/>
      </c>
      <c r="K118" s="2">
        <f>INDEX(J$2:J$177,K117+1,1)+K117+1</f>
        <v/>
      </c>
      <c r="L118" s="61">
        <f>INDEX(ЗаданияВесна,K118,1)</f>
        <v/>
      </c>
      <c r="M118" s="58">
        <f>TRIM(CLEAN(INDEX(ЗаданияВесна,ROW(M118)-1,2)))</f>
        <v/>
      </c>
      <c r="N118" s="59">
        <f>IF(OR(M118="",COUNTIF(M$2:M118,M118)&gt;1),N119+1,0)</f>
        <v/>
      </c>
      <c r="O118" s="2">
        <f>INDEX(N$2:N$177,O117+1,1)+O117+1</f>
        <v/>
      </c>
      <c r="P118" s="61">
        <f>INDEX(ЗаданияВесна,O118,2)</f>
        <v/>
      </c>
    </row>
    <row r="119">
      <c r="A119" s="58">
        <f>TRIM(CLEAN(INDEX(ЗаданияОсень,ROW(A119)-1,1)))</f>
        <v/>
      </c>
      <c r="B119" s="59">
        <f>IF(OR(A119="",COUNTIF(A$2:A119,A119)&gt;1),B120+1,0)</f>
        <v/>
      </c>
      <c r="C119" s="2">
        <f>INDEX(B$2:B$177,C118+1,1)+C118+1</f>
        <v/>
      </c>
      <c r="D119" s="61">
        <f>INDEX(ЗаданияОсень,C119,1)</f>
        <v/>
      </c>
      <c r="E119" s="58">
        <f>TRIM(CLEAN(INDEX(ЗаданияОсень,ROW(E119)-1,2)))</f>
        <v/>
      </c>
      <c r="F119" s="59">
        <f>IF(OR(E119="",COUNTIF(E$2:E119,E119)&gt;1),F120+1,0)</f>
        <v/>
      </c>
      <c r="G119" s="2">
        <f>INDEX(F$2:F$177,G118+1,1)+G118+1</f>
        <v/>
      </c>
      <c r="H119" s="61">
        <f>INDEX(ЗаданияОсень,G119,2)</f>
        <v/>
      </c>
      <c r="I119" s="58">
        <f>TRIM(CLEAN(INDEX(ЗаданияВесна,ROW(I119)-1,1)))</f>
        <v/>
      </c>
      <c r="J119" s="59">
        <f>IF(OR(I119="",COUNTIF(I$2:I119,I119)&gt;1),J120+1,0)</f>
        <v/>
      </c>
      <c r="K119" s="2">
        <f>INDEX(J$2:J$177,K118+1,1)+K118+1</f>
        <v/>
      </c>
      <c r="L119" s="61">
        <f>INDEX(ЗаданияВесна,K119,1)</f>
        <v/>
      </c>
      <c r="M119" s="58">
        <f>TRIM(CLEAN(INDEX(ЗаданияВесна,ROW(M119)-1,2)))</f>
        <v/>
      </c>
      <c r="N119" s="59">
        <f>IF(OR(M119="",COUNTIF(M$2:M119,M119)&gt;1),N120+1,0)</f>
        <v/>
      </c>
      <c r="O119" s="2">
        <f>INDEX(N$2:N$177,O118+1,1)+O118+1</f>
        <v/>
      </c>
      <c r="P119" s="61">
        <f>INDEX(ЗаданияВесна,O119,2)</f>
        <v/>
      </c>
    </row>
    <row r="120">
      <c r="A120" s="58">
        <f>TRIM(CLEAN(INDEX(ЗаданияОсень,ROW(A120)-1,1)))</f>
        <v/>
      </c>
      <c r="B120" s="59">
        <f>IF(OR(A120="",COUNTIF(A$2:A120,A120)&gt;1),B121+1,0)</f>
        <v/>
      </c>
      <c r="C120" s="2">
        <f>INDEX(B$2:B$177,C119+1,1)+C119+1</f>
        <v/>
      </c>
      <c r="D120" s="61">
        <f>INDEX(ЗаданияОсень,C120,1)</f>
        <v/>
      </c>
      <c r="E120" s="58">
        <f>TRIM(CLEAN(INDEX(ЗаданияОсень,ROW(E120)-1,2)))</f>
        <v/>
      </c>
      <c r="F120" s="59">
        <f>IF(OR(E120="",COUNTIF(E$2:E120,E120)&gt;1),F121+1,0)</f>
        <v/>
      </c>
      <c r="G120" s="2">
        <f>INDEX(F$2:F$177,G119+1,1)+G119+1</f>
        <v/>
      </c>
      <c r="H120" s="61">
        <f>INDEX(ЗаданияОсень,G120,2)</f>
        <v/>
      </c>
      <c r="I120" s="58">
        <f>TRIM(CLEAN(INDEX(ЗаданияВесна,ROW(I120)-1,1)))</f>
        <v/>
      </c>
      <c r="J120" s="59">
        <f>IF(OR(I120="",COUNTIF(I$2:I120,I120)&gt;1),J121+1,0)</f>
        <v/>
      </c>
      <c r="K120" s="2">
        <f>INDEX(J$2:J$177,K119+1,1)+K119+1</f>
        <v/>
      </c>
      <c r="L120" s="61">
        <f>INDEX(ЗаданияВесна,K120,1)</f>
        <v/>
      </c>
      <c r="M120" s="58">
        <f>TRIM(CLEAN(INDEX(ЗаданияВесна,ROW(M120)-1,2)))</f>
        <v/>
      </c>
      <c r="N120" s="59">
        <f>IF(OR(M120="",COUNTIF(M$2:M120,M120)&gt;1),N121+1,0)</f>
        <v/>
      </c>
      <c r="O120" s="2">
        <f>INDEX(N$2:N$177,O119+1,1)+O119+1</f>
        <v/>
      </c>
      <c r="P120" s="61">
        <f>INDEX(ЗаданияВесна,O120,2)</f>
        <v/>
      </c>
    </row>
    <row r="121">
      <c r="A121" s="58">
        <f>TRIM(CLEAN(INDEX(ЗаданияОсень,ROW(A121)-1,1)))</f>
        <v/>
      </c>
      <c r="B121" s="59">
        <f>IF(OR(A121="",COUNTIF(A$2:A121,A121)&gt;1),B122+1,0)</f>
        <v/>
      </c>
      <c r="C121" s="2">
        <f>INDEX(B$2:B$177,C120+1,1)+C120+1</f>
        <v/>
      </c>
      <c r="D121" s="61">
        <f>INDEX(ЗаданияОсень,C121,1)</f>
        <v/>
      </c>
      <c r="E121" s="58">
        <f>TRIM(CLEAN(INDEX(ЗаданияОсень,ROW(E121)-1,2)))</f>
        <v/>
      </c>
      <c r="F121" s="59">
        <f>IF(OR(E121="",COUNTIF(E$2:E121,E121)&gt;1),F122+1,0)</f>
        <v/>
      </c>
      <c r="G121" s="2">
        <f>INDEX(F$2:F$177,G120+1,1)+G120+1</f>
        <v/>
      </c>
      <c r="H121" s="61">
        <f>INDEX(ЗаданияОсень,G121,2)</f>
        <v/>
      </c>
      <c r="I121" s="58">
        <f>TRIM(CLEAN(INDEX(ЗаданияВесна,ROW(I121)-1,1)))</f>
        <v/>
      </c>
      <c r="J121" s="59">
        <f>IF(OR(I121="",COUNTIF(I$2:I121,I121)&gt;1),J122+1,0)</f>
        <v/>
      </c>
      <c r="K121" s="2">
        <f>INDEX(J$2:J$177,K120+1,1)+K120+1</f>
        <v/>
      </c>
      <c r="L121" s="61">
        <f>INDEX(ЗаданияВесна,K121,1)</f>
        <v/>
      </c>
      <c r="M121" s="58">
        <f>TRIM(CLEAN(INDEX(ЗаданияВесна,ROW(M121)-1,2)))</f>
        <v/>
      </c>
      <c r="N121" s="59">
        <f>IF(OR(M121="",COUNTIF(M$2:M121,M121)&gt;1),N122+1,0)</f>
        <v/>
      </c>
      <c r="O121" s="2">
        <f>INDEX(N$2:N$177,O120+1,1)+O120+1</f>
        <v/>
      </c>
      <c r="P121" s="61">
        <f>INDEX(ЗаданияВесна,O121,2)</f>
        <v/>
      </c>
    </row>
    <row r="122">
      <c r="A122" s="58">
        <f>TRIM(CLEAN(INDEX(ЗаданияОсень,ROW(A122)-1,1)))</f>
        <v/>
      </c>
      <c r="B122" s="59">
        <f>IF(OR(A122="",COUNTIF(A$2:A122,A122)&gt;1),B123+1,0)</f>
        <v/>
      </c>
      <c r="C122" s="2">
        <f>INDEX(B$2:B$177,C121+1,1)+C121+1</f>
        <v/>
      </c>
      <c r="D122" s="61">
        <f>INDEX(ЗаданияОсень,C122,1)</f>
        <v/>
      </c>
      <c r="E122" s="58">
        <f>TRIM(CLEAN(INDEX(ЗаданияОсень,ROW(E122)-1,2)))</f>
        <v/>
      </c>
      <c r="F122" s="59">
        <f>IF(OR(E122="",COUNTIF(E$2:E122,E122)&gt;1),F123+1,0)</f>
        <v/>
      </c>
      <c r="G122" s="2">
        <f>INDEX(F$2:F$177,G121+1,1)+G121+1</f>
        <v/>
      </c>
      <c r="H122" s="61">
        <f>INDEX(ЗаданияОсень,G122,2)</f>
        <v/>
      </c>
      <c r="I122" s="58">
        <f>TRIM(CLEAN(INDEX(ЗаданияВесна,ROW(I122)-1,1)))</f>
        <v/>
      </c>
      <c r="J122" s="59">
        <f>IF(OR(I122="",COUNTIF(I$2:I122,I122)&gt;1),J123+1,0)</f>
        <v/>
      </c>
      <c r="K122" s="2">
        <f>INDEX(J$2:J$177,K121+1,1)+K121+1</f>
        <v/>
      </c>
      <c r="L122" s="61">
        <f>INDEX(ЗаданияВесна,K122,1)</f>
        <v/>
      </c>
      <c r="M122" s="58">
        <f>TRIM(CLEAN(INDEX(ЗаданияВесна,ROW(M122)-1,2)))</f>
        <v/>
      </c>
      <c r="N122" s="59">
        <f>IF(OR(M122="",COUNTIF(M$2:M122,M122)&gt;1),N123+1,0)</f>
        <v/>
      </c>
      <c r="O122" s="2">
        <f>INDEX(N$2:N$177,O121+1,1)+O121+1</f>
        <v/>
      </c>
      <c r="P122" s="61">
        <f>INDEX(ЗаданияВесна,O122,2)</f>
        <v/>
      </c>
    </row>
    <row r="123">
      <c r="A123" s="58">
        <f>TRIM(CLEAN(INDEX(ЗаданияОсень,ROW(A123)-1,1)))</f>
        <v/>
      </c>
      <c r="B123" s="59">
        <f>IF(OR(A123="",COUNTIF(A$2:A123,A123)&gt;1),B124+1,0)</f>
        <v/>
      </c>
      <c r="C123" s="2">
        <f>INDEX(B$2:B$177,C122+1,1)+C122+1</f>
        <v/>
      </c>
      <c r="D123" s="61">
        <f>INDEX(ЗаданияОсень,C123,1)</f>
        <v/>
      </c>
      <c r="E123" s="58">
        <f>TRIM(CLEAN(INDEX(ЗаданияОсень,ROW(E123)-1,2)))</f>
        <v/>
      </c>
      <c r="F123" s="59">
        <f>IF(OR(E123="",COUNTIF(E$2:E123,E123)&gt;1),F124+1,0)</f>
        <v/>
      </c>
      <c r="G123" s="2">
        <f>INDEX(F$2:F$177,G122+1,1)+G122+1</f>
        <v/>
      </c>
      <c r="H123" s="61">
        <f>INDEX(ЗаданияОсень,G123,2)</f>
        <v/>
      </c>
      <c r="I123" s="58">
        <f>TRIM(CLEAN(INDEX(ЗаданияВесна,ROW(I123)-1,1)))</f>
        <v/>
      </c>
      <c r="J123" s="59">
        <f>IF(OR(I123="",COUNTIF(I$2:I123,I123)&gt;1),J124+1,0)</f>
        <v/>
      </c>
      <c r="K123" s="2">
        <f>INDEX(J$2:J$177,K122+1,1)+K122+1</f>
        <v/>
      </c>
      <c r="L123" s="61">
        <f>INDEX(ЗаданияВесна,K123,1)</f>
        <v/>
      </c>
      <c r="M123" s="58">
        <f>TRIM(CLEAN(INDEX(ЗаданияВесна,ROW(M123)-1,2)))</f>
        <v/>
      </c>
      <c r="N123" s="59">
        <f>IF(OR(M123="",COUNTIF(M$2:M123,M123)&gt;1),N124+1,0)</f>
        <v/>
      </c>
      <c r="O123" s="2">
        <f>INDEX(N$2:N$177,O122+1,1)+O122+1</f>
        <v/>
      </c>
      <c r="P123" s="61">
        <f>INDEX(ЗаданияВесна,O123,2)</f>
        <v/>
      </c>
    </row>
    <row r="124">
      <c r="A124" s="58">
        <f>TRIM(CLEAN(INDEX(ЗаданияОсень,ROW(A124)-1,1)))</f>
        <v/>
      </c>
      <c r="B124" s="59">
        <f>IF(OR(A124="",COUNTIF(A$2:A124,A124)&gt;1),B125+1,0)</f>
        <v/>
      </c>
      <c r="C124" s="2">
        <f>INDEX(B$2:B$177,C123+1,1)+C123+1</f>
        <v/>
      </c>
      <c r="D124" s="61">
        <f>INDEX(ЗаданияОсень,C124,1)</f>
        <v/>
      </c>
      <c r="E124" s="58">
        <f>TRIM(CLEAN(INDEX(ЗаданияОсень,ROW(E124)-1,2)))</f>
        <v/>
      </c>
      <c r="F124" s="59">
        <f>IF(OR(E124="",COUNTIF(E$2:E124,E124)&gt;1),F125+1,0)</f>
        <v/>
      </c>
      <c r="G124" s="2">
        <f>INDEX(F$2:F$177,G123+1,1)+G123+1</f>
        <v/>
      </c>
      <c r="H124" s="61">
        <f>INDEX(ЗаданияОсень,G124,2)</f>
        <v/>
      </c>
      <c r="I124" s="58">
        <f>TRIM(CLEAN(INDEX(ЗаданияВесна,ROW(I124)-1,1)))</f>
        <v/>
      </c>
      <c r="J124" s="59">
        <f>IF(OR(I124="",COUNTIF(I$2:I124,I124)&gt;1),J125+1,0)</f>
        <v/>
      </c>
      <c r="K124" s="2">
        <f>INDEX(J$2:J$177,K123+1,1)+K123+1</f>
        <v/>
      </c>
      <c r="L124" s="61">
        <f>INDEX(ЗаданияВесна,K124,1)</f>
        <v/>
      </c>
      <c r="M124" s="58">
        <f>TRIM(CLEAN(INDEX(ЗаданияВесна,ROW(M124)-1,2)))</f>
        <v/>
      </c>
      <c r="N124" s="59">
        <f>IF(OR(M124="",COUNTIF(M$2:M124,M124)&gt;1),N125+1,0)</f>
        <v/>
      </c>
      <c r="O124" s="2">
        <f>INDEX(N$2:N$177,O123+1,1)+O123+1</f>
        <v/>
      </c>
      <c r="P124" s="61">
        <f>INDEX(ЗаданияВесна,O124,2)</f>
        <v/>
      </c>
    </row>
    <row r="125">
      <c r="A125" s="58">
        <f>TRIM(CLEAN(INDEX(ЗаданияОсень,ROW(A125)-1,1)))</f>
        <v/>
      </c>
      <c r="B125" s="59">
        <f>IF(OR(A125="",COUNTIF(A$2:A125,A125)&gt;1),B126+1,0)</f>
        <v/>
      </c>
      <c r="C125" s="2">
        <f>INDEX(B$2:B$177,C124+1,1)+C124+1</f>
        <v/>
      </c>
      <c r="D125" s="61">
        <f>INDEX(ЗаданияОсень,C125,1)</f>
        <v/>
      </c>
      <c r="E125" s="58">
        <f>TRIM(CLEAN(INDEX(ЗаданияОсень,ROW(E125)-1,2)))</f>
        <v/>
      </c>
      <c r="F125" s="59">
        <f>IF(OR(E125="",COUNTIF(E$2:E125,E125)&gt;1),F126+1,0)</f>
        <v/>
      </c>
      <c r="G125" s="2">
        <f>INDEX(F$2:F$177,G124+1,1)+G124+1</f>
        <v/>
      </c>
      <c r="H125" s="61">
        <f>INDEX(ЗаданияОсень,G125,2)</f>
        <v/>
      </c>
      <c r="I125" s="58">
        <f>TRIM(CLEAN(INDEX(ЗаданияВесна,ROW(I125)-1,1)))</f>
        <v/>
      </c>
      <c r="J125" s="59">
        <f>IF(OR(I125="",COUNTIF(I$2:I125,I125)&gt;1),J126+1,0)</f>
        <v/>
      </c>
      <c r="K125" s="2">
        <f>INDEX(J$2:J$177,K124+1,1)+K124+1</f>
        <v/>
      </c>
      <c r="L125" s="61">
        <f>INDEX(ЗаданияВесна,K125,1)</f>
        <v/>
      </c>
      <c r="M125" s="58">
        <f>TRIM(CLEAN(INDEX(ЗаданияВесна,ROW(M125)-1,2)))</f>
        <v/>
      </c>
      <c r="N125" s="59">
        <f>IF(OR(M125="",COUNTIF(M$2:M125,M125)&gt;1),N126+1,0)</f>
        <v/>
      </c>
      <c r="O125" s="2">
        <f>INDEX(N$2:N$177,O124+1,1)+O124+1</f>
        <v/>
      </c>
      <c r="P125" s="61">
        <f>INDEX(ЗаданияВесна,O125,2)</f>
        <v/>
      </c>
    </row>
    <row r="126">
      <c r="A126" s="58">
        <f>TRIM(CLEAN(INDEX(ЗаданияОсень,ROW(A126)-1,1)))</f>
        <v/>
      </c>
      <c r="B126" s="59">
        <f>IF(OR(A126="",COUNTIF(A$2:A126,A126)&gt;1),B127+1,0)</f>
        <v/>
      </c>
      <c r="C126" s="2">
        <f>INDEX(B$2:B$177,C125+1,1)+C125+1</f>
        <v/>
      </c>
      <c r="D126" s="61">
        <f>INDEX(ЗаданияОсень,C126,1)</f>
        <v/>
      </c>
      <c r="E126" s="58">
        <f>TRIM(CLEAN(INDEX(ЗаданияОсень,ROW(E126)-1,2)))</f>
        <v/>
      </c>
      <c r="F126" s="59">
        <f>IF(OR(E126="",COUNTIF(E$2:E126,E126)&gt;1),F127+1,0)</f>
        <v/>
      </c>
      <c r="G126" s="2">
        <f>INDEX(F$2:F$177,G125+1,1)+G125+1</f>
        <v/>
      </c>
      <c r="H126" s="61">
        <f>INDEX(ЗаданияОсень,G126,2)</f>
        <v/>
      </c>
      <c r="I126" s="58">
        <f>TRIM(CLEAN(INDEX(ЗаданияВесна,ROW(I126)-1,1)))</f>
        <v/>
      </c>
      <c r="J126" s="59">
        <f>IF(OR(I126="",COUNTIF(I$2:I126,I126)&gt;1),J127+1,0)</f>
        <v/>
      </c>
      <c r="K126" s="2">
        <f>INDEX(J$2:J$177,K125+1,1)+K125+1</f>
        <v/>
      </c>
      <c r="L126" s="61">
        <f>INDEX(ЗаданияВесна,K126,1)</f>
        <v/>
      </c>
      <c r="M126" s="58">
        <f>TRIM(CLEAN(INDEX(ЗаданияВесна,ROW(M126)-1,2)))</f>
        <v/>
      </c>
      <c r="N126" s="59">
        <f>IF(OR(M126="",COUNTIF(M$2:M126,M126)&gt;1),N127+1,0)</f>
        <v/>
      </c>
      <c r="O126" s="2">
        <f>INDEX(N$2:N$177,O125+1,1)+O125+1</f>
        <v/>
      </c>
      <c r="P126" s="61">
        <f>INDEX(ЗаданияВесна,O126,2)</f>
        <v/>
      </c>
    </row>
    <row r="127">
      <c r="A127" s="58">
        <f>TRIM(CLEAN(INDEX(ЗаданияОсень,ROW(A127)-1,1)))</f>
        <v/>
      </c>
      <c r="B127" s="59">
        <f>IF(OR(A127="",COUNTIF(A$2:A127,A127)&gt;1),B128+1,0)</f>
        <v/>
      </c>
      <c r="C127" s="2">
        <f>INDEX(B$2:B$177,C126+1,1)+C126+1</f>
        <v/>
      </c>
      <c r="D127" s="61">
        <f>INDEX(ЗаданияОсень,C127,1)</f>
        <v/>
      </c>
      <c r="E127" s="58">
        <f>TRIM(CLEAN(INDEX(ЗаданияОсень,ROW(E127)-1,2)))</f>
        <v/>
      </c>
      <c r="F127" s="59">
        <f>IF(OR(E127="",COUNTIF(E$2:E127,E127)&gt;1),F128+1,0)</f>
        <v/>
      </c>
      <c r="G127" s="2">
        <f>INDEX(F$2:F$177,G126+1,1)+G126+1</f>
        <v/>
      </c>
      <c r="H127" s="61">
        <f>INDEX(ЗаданияОсень,G127,2)</f>
        <v/>
      </c>
      <c r="I127" s="58">
        <f>TRIM(CLEAN(INDEX(ЗаданияВесна,ROW(I127)-1,1)))</f>
        <v/>
      </c>
      <c r="J127" s="59">
        <f>IF(OR(I127="",COUNTIF(I$2:I127,I127)&gt;1),J128+1,0)</f>
        <v/>
      </c>
      <c r="K127" s="2">
        <f>INDEX(J$2:J$177,K126+1,1)+K126+1</f>
        <v/>
      </c>
      <c r="L127" s="61">
        <f>INDEX(ЗаданияВесна,K127,1)</f>
        <v/>
      </c>
      <c r="M127" s="58">
        <f>TRIM(CLEAN(INDEX(ЗаданияВесна,ROW(M127)-1,2)))</f>
        <v/>
      </c>
      <c r="N127" s="59">
        <f>IF(OR(M127="",COUNTIF(M$2:M127,M127)&gt;1),N128+1,0)</f>
        <v/>
      </c>
      <c r="O127" s="2">
        <f>INDEX(N$2:N$177,O126+1,1)+O126+1</f>
        <v/>
      </c>
      <c r="P127" s="61">
        <f>INDEX(ЗаданияВесна,O127,2)</f>
        <v/>
      </c>
    </row>
    <row r="128">
      <c r="A128" s="58">
        <f>TRIM(CLEAN(INDEX(ЗаданияОсень,ROW(A128)-1,1)))</f>
        <v/>
      </c>
      <c r="B128" s="59">
        <f>IF(OR(A128="",COUNTIF(A$2:A128,A128)&gt;1),B129+1,0)</f>
        <v/>
      </c>
      <c r="C128" s="2">
        <f>INDEX(B$2:B$177,C127+1,1)+C127+1</f>
        <v/>
      </c>
      <c r="D128" s="61">
        <f>INDEX(ЗаданияОсень,C128,1)</f>
        <v/>
      </c>
      <c r="E128" s="58">
        <f>TRIM(CLEAN(INDEX(ЗаданияОсень,ROW(E128)-1,2)))</f>
        <v/>
      </c>
      <c r="F128" s="59">
        <f>IF(OR(E128="",COUNTIF(E$2:E128,E128)&gt;1),F129+1,0)</f>
        <v/>
      </c>
      <c r="G128" s="2">
        <f>INDEX(F$2:F$177,G127+1,1)+G127+1</f>
        <v/>
      </c>
      <c r="H128" s="61">
        <f>INDEX(ЗаданияОсень,G128,2)</f>
        <v/>
      </c>
      <c r="I128" s="58">
        <f>TRIM(CLEAN(INDEX(ЗаданияВесна,ROW(I128)-1,1)))</f>
        <v/>
      </c>
      <c r="J128" s="59">
        <f>IF(OR(I128="",COUNTIF(I$2:I128,I128)&gt;1),J129+1,0)</f>
        <v/>
      </c>
      <c r="K128" s="2">
        <f>INDEX(J$2:J$177,K127+1,1)+K127+1</f>
        <v/>
      </c>
      <c r="L128" s="61">
        <f>INDEX(ЗаданияВесна,K128,1)</f>
        <v/>
      </c>
      <c r="M128" s="58">
        <f>TRIM(CLEAN(INDEX(ЗаданияВесна,ROW(M128)-1,2)))</f>
        <v/>
      </c>
      <c r="N128" s="59">
        <f>IF(OR(M128="",COUNTIF(M$2:M128,M128)&gt;1),N129+1,0)</f>
        <v/>
      </c>
      <c r="O128" s="2">
        <f>INDEX(N$2:N$177,O127+1,1)+O127+1</f>
        <v/>
      </c>
      <c r="P128" s="61">
        <f>INDEX(ЗаданияВесна,O128,2)</f>
        <v/>
      </c>
    </row>
    <row r="129">
      <c r="A129" s="58">
        <f>TRIM(CLEAN(INDEX(ЗаданияОсень,ROW(A129)-1,1)))</f>
        <v/>
      </c>
      <c r="B129" s="59">
        <f>IF(OR(A129="",COUNTIF(A$2:A129,A129)&gt;1),B130+1,0)</f>
        <v/>
      </c>
      <c r="C129" s="2">
        <f>INDEX(B$2:B$177,C128+1,1)+C128+1</f>
        <v/>
      </c>
      <c r="D129" s="61">
        <f>INDEX(ЗаданияОсень,C129,1)</f>
        <v/>
      </c>
      <c r="E129" s="58">
        <f>TRIM(CLEAN(INDEX(ЗаданияОсень,ROW(E129)-1,2)))</f>
        <v/>
      </c>
      <c r="F129" s="59">
        <f>IF(OR(E129="",COUNTIF(E$2:E129,E129)&gt;1),F130+1,0)</f>
        <v/>
      </c>
      <c r="G129" s="2">
        <f>INDEX(F$2:F$177,G128+1,1)+G128+1</f>
        <v/>
      </c>
      <c r="H129" s="61">
        <f>INDEX(ЗаданияОсень,G129,2)</f>
        <v/>
      </c>
      <c r="I129" s="58">
        <f>TRIM(CLEAN(INDEX(ЗаданияВесна,ROW(I129)-1,1)))</f>
        <v/>
      </c>
      <c r="J129" s="59">
        <f>IF(OR(I129="",COUNTIF(I$2:I129,I129)&gt;1),J130+1,0)</f>
        <v/>
      </c>
      <c r="K129" s="2">
        <f>INDEX(J$2:J$177,K128+1,1)+K128+1</f>
        <v/>
      </c>
      <c r="L129" s="61">
        <f>INDEX(ЗаданияВесна,K129,1)</f>
        <v/>
      </c>
      <c r="M129" s="58">
        <f>TRIM(CLEAN(INDEX(ЗаданияВесна,ROW(M129)-1,2)))</f>
        <v/>
      </c>
      <c r="N129" s="59">
        <f>IF(OR(M129="",COUNTIF(M$2:M129,M129)&gt;1),N130+1,0)</f>
        <v/>
      </c>
      <c r="O129" s="2">
        <f>INDEX(N$2:N$177,O128+1,1)+O128+1</f>
        <v/>
      </c>
      <c r="P129" s="61">
        <f>INDEX(ЗаданияВесна,O129,2)</f>
        <v/>
      </c>
    </row>
    <row r="130">
      <c r="A130" s="58">
        <f>TRIM(CLEAN(INDEX(ЗаданияОсень,ROW(A130)-1,1)))</f>
        <v/>
      </c>
      <c r="B130" s="59">
        <f>IF(OR(A130="",COUNTIF(A$2:A130,A130)&gt;1),B131+1,0)</f>
        <v/>
      </c>
      <c r="C130" s="2">
        <f>INDEX(B$2:B$177,C129+1,1)+C129+1</f>
        <v/>
      </c>
      <c r="D130" s="61">
        <f>INDEX(ЗаданияОсень,C130,1)</f>
        <v/>
      </c>
      <c r="E130" s="58">
        <f>TRIM(CLEAN(INDEX(ЗаданияОсень,ROW(E130)-1,2)))</f>
        <v/>
      </c>
      <c r="F130" s="59">
        <f>IF(OR(E130="",COUNTIF(E$2:E130,E130)&gt;1),F131+1,0)</f>
        <v/>
      </c>
      <c r="G130" s="2">
        <f>INDEX(F$2:F$177,G129+1,1)+G129+1</f>
        <v/>
      </c>
      <c r="H130" s="61">
        <f>INDEX(ЗаданияОсень,G130,2)</f>
        <v/>
      </c>
      <c r="I130" s="58">
        <f>TRIM(CLEAN(INDEX(ЗаданияВесна,ROW(I130)-1,1)))</f>
        <v/>
      </c>
      <c r="J130" s="59">
        <f>IF(OR(I130="",COUNTIF(I$2:I130,I130)&gt;1),J131+1,0)</f>
        <v/>
      </c>
      <c r="K130" s="2">
        <f>INDEX(J$2:J$177,K129+1,1)+K129+1</f>
        <v/>
      </c>
      <c r="L130" s="61">
        <f>INDEX(ЗаданияВесна,K130,1)</f>
        <v/>
      </c>
      <c r="M130" s="58">
        <f>TRIM(CLEAN(INDEX(ЗаданияВесна,ROW(M130)-1,2)))</f>
        <v/>
      </c>
      <c r="N130" s="59">
        <f>IF(OR(M130="",COUNTIF(M$2:M130,M130)&gt;1),N131+1,0)</f>
        <v/>
      </c>
      <c r="O130" s="2">
        <f>INDEX(N$2:N$177,O129+1,1)+O129+1</f>
        <v/>
      </c>
      <c r="P130" s="61">
        <f>INDEX(ЗаданияВесна,O130,2)</f>
        <v/>
      </c>
    </row>
    <row r="131">
      <c r="A131" s="58">
        <f>TRIM(CLEAN(INDEX(ЗаданияОсень,ROW(A131)-1,1)))</f>
        <v/>
      </c>
      <c r="B131" s="59">
        <f>IF(OR(A131="",COUNTIF(A$2:A131,A131)&gt;1),B132+1,0)</f>
        <v/>
      </c>
      <c r="C131" s="2">
        <f>INDEX(B$2:B$177,C130+1,1)+C130+1</f>
        <v/>
      </c>
      <c r="D131" s="61">
        <f>INDEX(ЗаданияОсень,C131,1)</f>
        <v/>
      </c>
      <c r="E131" s="58">
        <f>TRIM(CLEAN(INDEX(ЗаданияОсень,ROW(E131)-1,2)))</f>
        <v/>
      </c>
      <c r="F131" s="59">
        <f>IF(OR(E131="",COUNTIF(E$2:E131,E131)&gt;1),F132+1,0)</f>
        <v/>
      </c>
      <c r="G131" s="2">
        <f>INDEX(F$2:F$177,G130+1,1)+G130+1</f>
        <v/>
      </c>
      <c r="H131" s="61">
        <f>INDEX(ЗаданияОсень,G131,2)</f>
        <v/>
      </c>
      <c r="I131" s="58">
        <f>TRIM(CLEAN(INDEX(ЗаданияВесна,ROW(I131)-1,1)))</f>
        <v/>
      </c>
      <c r="J131" s="59">
        <f>IF(OR(I131="",COUNTIF(I$2:I131,I131)&gt;1),J132+1,0)</f>
        <v/>
      </c>
      <c r="K131" s="2">
        <f>INDEX(J$2:J$177,K130+1,1)+K130+1</f>
        <v/>
      </c>
      <c r="L131" s="61">
        <f>INDEX(ЗаданияВесна,K131,1)</f>
        <v/>
      </c>
      <c r="M131" s="58">
        <f>TRIM(CLEAN(INDEX(ЗаданияВесна,ROW(M131)-1,2)))</f>
        <v/>
      </c>
      <c r="N131" s="59">
        <f>IF(OR(M131="",COUNTIF(M$2:M131,M131)&gt;1),N132+1,0)</f>
        <v/>
      </c>
      <c r="O131" s="2">
        <f>INDEX(N$2:N$177,O130+1,1)+O130+1</f>
        <v/>
      </c>
      <c r="P131" s="61">
        <f>INDEX(ЗаданияВесна,O131,2)</f>
        <v/>
      </c>
    </row>
    <row r="132">
      <c r="A132" s="58">
        <f>TRIM(CLEAN(INDEX(ЗаданияОсень,ROW(A132)-1,1)))</f>
        <v/>
      </c>
      <c r="B132" s="59">
        <f>IF(OR(A132="",COUNTIF(A$2:A132,A132)&gt;1),B133+1,0)</f>
        <v/>
      </c>
      <c r="C132" s="2">
        <f>INDEX(B$2:B$177,C131+1,1)+C131+1</f>
        <v/>
      </c>
      <c r="D132" s="61">
        <f>INDEX(ЗаданияОсень,C132,1)</f>
        <v/>
      </c>
      <c r="E132" s="58">
        <f>TRIM(CLEAN(INDEX(ЗаданияОсень,ROW(E132)-1,2)))</f>
        <v/>
      </c>
      <c r="F132" s="59">
        <f>IF(OR(E132="",COUNTIF(E$2:E132,E132)&gt;1),F133+1,0)</f>
        <v/>
      </c>
      <c r="G132" s="2">
        <f>INDEX(F$2:F$177,G131+1,1)+G131+1</f>
        <v/>
      </c>
      <c r="H132" s="61">
        <f>INDEX(ЗаданияОсень,G132,2)</f>
        <v/>
      </c>
      <c r="I132" s="58">
        <f>TRIM(CLEAN(INDEX(ЗаданияВесна,ROW(I132)-1,1)))</f>
        <v/>
      </c>
      <c r="J132" s="59">
        <f>IF(OR(I132="",COUNTIF(I$2:I132,I132)&gt;1),J133+1,0)</f>
        <v/>
      </c>
      <c r="K132" s="2">
        <f>INDEX(J$2:J$177,K131+1,1)+K131+1</f>
        <v/>
      </c>
      <c r="L132" s="61">
        <f>INDEX(ЗаданияВесна,K132,1)</f>
        <v/>
      </c>
      <c r="M132" s="58">
        <f>TRIM(CLEAN(INDEX(ЗаданияВесна,ROW(M132)-1,2)))</f>
        <v/>
      </c>
      <c r="N132" s="59">
        <f>IF(OR(M132="",COUNTIF(M$2:M132,M132)&gt;1),N133+1,0)</f>
        <v/>
      </c>
      <c r="O132" s="2">
        <f>INDEX(N$2:N$177,O131+1,1)+O131+1</f>
        <v/>
      </c>
      <c r="P132" s="61">
        <f>INDEX(ЗаданияВесна,O132,2)</f>
        <v/>
      </c>
    </row>
    <row r="133">
      <c r="A133" s="58">
        <f>TRIM(CLEAN(INDEX(ЗаданияОсень,ROW(A133)-1,1)))</f>
        <v/>
      </c>
      <c r="B133" s="59">
        <f>IF(OR(A133="",COUNTIF(A$2:A133,A133)&gt;1),B134+1,0)</f>
        <v/>
      </c>
      <c r="C133" s="2">
        <f>INDEX(B$2:B$177,C132+1,1)+C132+1</f>
        <v/>
      </c>
      <c r="D133" s="61">
        <f>INDEX(ЗаданияОсень,C133,1)</f>
        <v/>
      </c>
      <c r="E133" s="58">
        <f>TRIM(CLEAN(INDEX(ЗаданияОсень,ROW(E133)-1,2)))</f>
        <v/>
      </c>
      <c r="F133" s="59">
        <f>IF(OR(E133="",COUNTIF(E$2:E133,E133)&gt;1),F134+1,0)</f>
        <v/>
      </c>
      <c r="G133" s="2">
        <f>INDEX(F$2:F$177,G132+1,1)+G132+1</f>
        <v/>
      </c>
      <c r="H133" s="61">
        <f>INDEX(ЗаданияОсень,G133,2)</f>
        <v/>
      </c>
      <c r="I133" s="58">
        <f>TRIM(CLEAN(INDEX(ЗаданияВесна,ROW(I133)-1,1)))</f>
        <v/>
      </c>
      <c r="J133" s="59">
        <f>IF(OR(I133="",COUNTIF(I$2:I133,I133)&gt;1),J134+1,0)</f>
        <v/>
      </c>
      <c r="K133" s="2">
        <f>INDEX(J$2:J$177,K132+1,1)+K132+1</f>
        <v/>
      </c>
      <c r="L133" s="61">
        <f>INDEX(ЗаданияВесна,K133,1)</f>
        <v/>
      </c>
      <c r="M133" s="58">
        <f>TRIM(CLEAN(INDEX(ЗаданияВесна,ROW(M133)-1,2)))</f>
        <v/>
      </c>
      <c r="N133" s="59">
        <f>IF(OR(M133="",COUNTIF(M$2:M133,M133)&gt;1),N134+1,0)</f>
        <v/>
      </c>
      <c r="O133" s="2">
        <f>INDEX(N$2:N$177,O132+1,1)+O132+1</f>
        <v/>
      </c>
      <c r="P133" s="61">
        <f>INDEX(ЗаданияВесна,O133,2)</f>
        <v/>
      </c>
    </row>
    <row r="134">
      <c r="A134" s="58">
        <f>TRIM(CLEAN(INDEX(ЗаданияОсень,ROW(A134)-1,1)))</f>
        <v/>
      </c>
      <c r="B134" s="59">
        <f>IF(OR(A134="",COUNTIF(A$2:A134,A134)&gt;1),B135+1,0)</f>
        <v/>
      </c>
      <c r="C134" s="2">
        <f>INDEX(B$2:B$177,C133+1,1)+C133+1</f>
        <v/>
      </c>
      <c r="D134" s="61">
        <f>INDEX(ЗаданияОсень,C134,1)</f>
        <v/>
      </c>
      <c r="E134" s="58">
        <f>TRIM(CLEAN(INDEX(ЗаданияОсень,ROW(E134)-1,2)))</f>
        <v/>
      </c>
      <c r="F134" s="59">
        <f>IF(OR(E134="",COUNTIF(E$2:E134,E134)&gt;1),F135+1,0)</f>
        <v/>
      </c>
      <c r="G134" s="2">
        <f>INDEX(F$2:F$177,G133+1,1)+G133+1</f>
        <v/>
      </c>
      <c r="H134" s="61">
        <f>INDEX(ЗаданияОсень,G134,2)</f>
        <v/>
      </c>
      <c r="I134" s="58">
        <f>TRIM(CLEAN(INDEX(ЗаданияВесна,ROW(I134)-1,1)))</f>
        <v/>
      </c>
      <c r="J134" s="59">
        <f>IF(OR(I134="",COUNTIF(I$2:I134,I134)&gt;1),J135+1,0)</f>
        <v/>
      </c>
      <c r="K134" s="2">
        <f>INDEX(J$2:J$177,K133+1,1)+K133+1</f>
        <v/>
      </c>
      <c r="L134" s="61">
        <f>INDEX(ЗаданияВесна,K134,1)</f>
        <v/>
      </c>
      <c r="M134" s="58">
        <f>TRIM(CLEAN(INDEX(ЗаданияВесна,ROW(M134)-1,2)))</f>
        <v/>
      </c>
      <c r="N134" s="59">
        <f>IF(OR(M134="",COUNTIF(M$2:M134,M134)&gt;1),N135+1,0)</f>
        <v/>
      </c>
      <c r="O134" s="2">
        <f>INDEX(N$2:N$177,O133+1,1)+O133+1</f>
        <v/>
      </c>
      <c r="P134" s="61">
        <f>INDEX(ЗаданияВесна,O134,2)</f>
        <v/>
      </c>
    </row>
    <row r="135">
      <c r="A135" s="58">
        <f>TRIM(CLEAN(INDEX(ЗаданияОсень,ROW(A135)-1,1)))</f>
        <v/>
      </c>
      <c r="B135" s="59">
        <f>IF(OR(A135="",COUNTIF(A$2:A135,A135)&gt;1),B136+1,0)</f>
        <v/>
      </c>
      <c r="C135" s="2">
        <f>INDEX(B$2:B$177,C134+1,1)+C134+1</f>
        <v/>
      </c>
      <c r="D135" s="61">
        <f>INDEX(ЗаданияОсень,C135,1)</f>
        <v/>
      </c>
      <c r="E135" s="58">
        <f>TRIM(CLEAN(INDEX(ЗаданияОсень,ROW(E135)-1,2)))</f>
        <v/>
      </c>
      <c r="F135" s="59">
        <f>IF(OR(E135="",COUNTIF(E$2:E135,E135)&gt;1),F136+1,0)</f>
        <v/>
      </c>
      <c r="G135" s="2">
        <f>INDEX(F$2:F$177,G134+1,1)+G134+1</f>
        <v/>
      </c>
      <c r="H135" s="61">
        <f>INDEX(ЗаданияОсень,G135,2)</f>
        <v/>
      </c>
      <c r="I135" s="58">
        <f>TRIM(CLEAN(INDEX(ЗаданияВесна,ROW(I135)-1,1)))</f>
        <v/>
      </c>
      <c r="J135" s="59">
        <f>IF(OR(I135="",COUNTIF(I$2:I135,I135)&gt;1),J136+1,0)</f>
        <v/>
      </c>
      <c r="K135" s="2">
        <f>INDEX(J$2:J$177,K134+1,1)+K134+1</f>
        <v/>
      </c>
      <c r="L135" s="61">
        <f>INDEX(ЗаданияВесна,K135,1)</f>
        <v/>
      </c>
      <c r="M135" s="58">
        <f>TRIM(CLEAN(INDEX(ЗаданияВесна,ROW(M135)-1,2)))</f>
        <v/>
      </c>
      <c r="N135" s="59">
        <f>IF(OR(M135="",COUNTIF(M$2:M135,M135)&gt;1),N136+1,0)</f>
        <v/>
      </c>
      <c r="O135" s="2">
        <f>INDEX(N$2:N$177,O134+1,1)+O134+1</f>
        <v/>
      </c>
      <c r="P135" s="61">
        <f>INDEX(ЗаданияВесна,O135,2)</f>
        <v/>
      </c>
    </row>
    <row r="136">
      <c r="A136" s="58">
        <f>TRIM(CLEAN(INDEX(ЗаданияОсень,ROW(A136)-1,1)))</f>
        <v/>
      </c>
      <c r="B136" s="59">
        <f>IF(OR(A136="",COUNTIF(A$2:A136,A136)&gt;1),B137+1,0)</f>
        <v/>
      </c>
      <c r="C136" s="2">
        <f>INDEX(B$2:B$177,C135+1,1)+C135+1</f>
        <v/>
      </c>
      <c r="D136" s="61">
        <f>INDEX(ЗаданияОсень,C136,1)</f>
        <v/>
      </c>
      <c r="E136" s="58">
        <f>TRIM(CLEAN(INDEX(ЗаданияОсень,ROW(E136)-1,2)))</f>
        <v/>
      </c>
      <c r="F136" s="59">
        <f>IF(OR(E136="",COUNTIF(E$2:E136,E136)&gt;1),F137+1,0)</f>
        <v/>
      </c>
      <c r="G136" s="2">
        <f>INDEX(F$2:F$177,G135+1,1)+G135+1</f>
        <v/>
      </c>
      <c r="H136" s="61">
        <f>INDEX(ЗаданияОсень,G136,2)</f>
        <v/>
      </c>
      <c r="I136" s="58">
        <f>TRIM(CLEAN(INDEX(ЗаданияВесна,ROW(I136)-1,1)))</f>
        <v/>
      </c>
      <c r="J136" s="59">
        <f>IF(OR(I136="",COUNTIF(I$2:I136,I136)&gt;1),J137+1,0)</f>
        <v/>
      </c>
      <c r="K136" s="2">
        <f>INDEX(J$2:J$177,K135+1,1)+K135+1</f>
        <v/>
      </c>
      <c r="L136" s="61">
        <f>INDEX(ЗаданияВесна,K136,1)</f>
        <v/>
      </c>
      <c r="M136" s="58">
        <f>TRIM(CLEAN(INDEX(ЗаданияВесна,ROW(M136)-1,2)))</f>
        <v/>
      </c>
      <c r="N136" s="59">
        <f>IF(OR(M136="",COUNTIF(M$2:M136,M136)&gt;1),N137+1,0)</f>
        <v/>
      </c>
      <c r="O136" s="2">
        <f>INDEX(N$2:N$177,O135+1,1)+O135+1</f>
        <v/>
      </c>
      <c r="P136" s="61">
        <f>INDEX(ЗаданияВесна,O136,2)</f>
        <v/>
      </c>
    </row>
    <row r="137">
      <c r="A137" s="58">
        <f>TRIM(CLEAN(INDEX(ЗаданияОсень,ROW(A137)-1,1)))</f>
        <v/>
      </c>
      <c r="B137" s="59">
        <f>IF(OR(A137="",COUNTIF(A$2:A137,A137)&gt;1),B138+1,0)</f>
        <v/>
      </c>
      <c r="C137" s="2">
        <f>INDEX(B$2:B$177,C136+1,1)+C136+1</f>
        <v/>
      </c>
      <c r="D137" s="61">
        <f>INDEX(ЗаданияОсень,C137,1)</f>
        <v/>
      </c>
      <c r="E137" s="58">
        <f>TRIM(CLEAN(INDEX(ЗаданияОсень,ROW(E137)-1,2)))</f>
        <v/>
      </c>
      <c r="F137" s="59">
        <f>IF(OR(E137="",COUNTIF(E$2:E137,E137)&gt;1),F138+1,0)</f>
        <v/>
      </c>
      <c r="G137" s="2">
        <f>INDEX(F$2:F$177,G136+1,1)+G136+1</f>
        <v/>
      </c>
      <c r="H137" s="61">
        <f>INDEX(ЗаданияОсень,G137,2)</f>
        <v/>
      </c>
      <c r="I137" s="58">
        <f>TRIM(CLEAN(INDEX(ЗаданияВесна,ROW(I137)-1,1)))</f>
        <v/>
      </c>
      <c r="J137" s="59">
        <f>IF(OR(I137="",COUNTIF(I$2:I137,I137)&gt;1),J138+1,0)</f>
        <v/>
      </c>
      <c r="K137" s="2">
        <f>INDEX(J$2:J$177,K136+1,1)+K136+1</f>
        <v/>
      </c>
      <c r="L137" s="61">
        <f>INDEX(ЗаданияВесна,K137,1)</f>
        <v/>
      </c>
      <c r="M137" s="58">
        <f>TRIM(CLEAN(INDEX(ЗаданияВесна,ROW(M137)-1,2)))</f>
        <v/>
      </c>
      <c r="N137" s="59">
        <f>IF(OR(M137="",COUNTIF(M$2:M137,M137)&gt;1),N138+1,0)</f>
        <v/>
      </c>
      <c r="O137" s="2">
        <f>INDEX(N$2:N$177,O136+1,1)+O136+1</f>
        <v/>
      </c>
      <c r="P137" s="61">
        <f>INDEX(ЗаданияВесна,O137,2)</f>
        <v/>
      </c>
    </row>
    <row r="138">
      <c r="A138" s="58">
        <f>TRIM(CLEAN(INDEX(ЗаданияОсень,ROW(A138)-1,1)))</f>
        <v/>
      </c>
      <c r="B138" s="59">
        <f>IF(OR(A138="",COUNTIF(A$2:A138,A138)&gt;1),B139+1,0)</f>
        <v/>
      </c>
      <c r="C138" s="2">
        <f>INDEX(B$2:B$177,C137+1,1)+C137+1</f>
        <v/>
      </c>
      <c r="D138" s="61">
        <f>INDEX(ЗаданияОсень,C138,1)</f>
        <v/>
      </c>
      <c r="E138" s="58">
        <f>TRIM(CLEAN(INDEX(ЗаданияОсень,ROW(E138)-1,2)))</f>
        <v/>
      </c>
      <c r="F138" s="59">
        <f>IF(OR(E138="",COUNTIF(E$2:E138,E138)&gt;1),F139+1,0)</f>
        <v/>
      </c>
      <c r="G138" s="2">
        <f>INDEX(F$2:F$177,G137+1,1)+G137+1</f>
        <v/>
      </c>
      <c r="H138" s="61">
        <f>INDEX(ЗаданияОсень,G138,2)</f>
        <v/>
      </c>
      <c r="I138" s="58">
        <f>TRIM(CLEAN(INDEX(ЗаданияВесна,ROW(I138)-1,1)))</f>
        <v/>
      </c>
      <c r="J138" s="59">
        <f>IF(OR(I138="",COUNTIF(I$2:I138,I138)&gt;1),J139+1,0)</f>
        <v/>
      </c>
      <c r="K138" s="2">
        <f>INDEX(J$2:J$177,K137+1,1)+K137+1</f>
        <v/>
      </c>
      <c r="L138" s="61">
        <f>INDEX(ЗаданияВесна,K138,1)</f>
        <v/>
      </c>
      <c r="M138" s="58">
        <f>TRIM(CLEAN(INDEX(ЗаданияВесна,ROW(M138)-1,2)))</f>
        <v/>
      </c>
      <c r="N138" s="59">
        <f>IF(OR(M138="",COUNTIF(M$2:M138,M138)&gt;1),N139+1,0)</f>
        <v/>
      </c>
      <c r="O138" s="2">
        <f>INDEX(N$2:N$177,O137+1,1)+O137+1</f>
        <v/>
      </c>
      <c r="P138" s="61">
        <f>INDEX(ЗаданияВесна,O138,2)</f>
        <v/>
      </c>
    </row>
    <row r="139">
      <c r="A139" s="58">
        <f>TRIM(CLEAN(INDEX(ЗаданияОсень,ROW(A139)-1,1)))</f>
        <v/>
      </c>
      <c r="B139" s="59">
        <f>IF(OR(A139="",COUNTIF(A$2:A139,A139)&gt;1),B140+1,0)</f>
        <v/>
      </c>
      <c r="C139" s="2">
        <f>INDEX(B$2:B$177,C138+1,1)+C138+1</f>
        <v/>
      </c>
      <c r="D139" s="61">
        <f>INDEX(ЗаданияОсень,C139,1)</f>
        <v/>
      </c>
      <c r="E139" s="58">
        <f>TRIM(CLEAN(INDEX(ЗаданияОсень,ROW(E139)-1,2)))</f>
        <v/>
      </c>
      <c r="F139" s="59">
        <f>IF(OR(E139="",COUNTIF(E$2:E139,E139)&gt;1),F140+1,0)</f>
        <v/>
      </c>
      <c r="G139" s="2">
        <f>INDEX(F$2:F$177,G138+1,1)+G138+1</f>
        <v/>
      </c>
      <c r="H139" s="61">
        <f>INDEX(ЗаданияОсень,G139,2)</f>
        <v/>
      </c>
      <c r="I139" s="58">
        <f>TRIM(CLEAN(INDEX(ЗаданияВесна,ROW(I139)-1,1)))</f>
        <v/>
      </c>
      <c r="J139" s="59">
        <f>IF(OR(I139="",COUNTIF(I$2:I139,I139)&gt;1),J140+1,0)</f>
        <v/>
      </c>
      <c r="K139" s="2">
        <f>INDEX(J$2:J$177,K138+1,1)+K138+1</f>
        <v/>
      </c>
      <c r="L139" s="61">
        <f>INDEX(ЗаданияВесна,K139,1)</f>
        <v/>
      </c>
      <c r="M139" s="58">
        <f>TRIM(CLEAN(INDEX(ЗаданияВесна,ROW(M139)-1,2)))</f>
        <v/>
      </c>
      <c r="N139" s="59">
        <f>IF(OR(M139="",COUNTIF(M$2:M139,M139)&gt;1),N140+1,0)</f>
        <v/>
      </c>
      <c r="O139" s="2">
        <f>INDEX(N$2:N$177,O138+1,1)+O138+1</f>
        <v/>
      </c>
      <c r="P139" s="61">
        <f>INDEX(ЗаданияВесна,O139,2)</f>
        <v/>
      </c>
    </row>
    <row r="140">
      <c r="A140" s="58">
        <f>TRIM(CLEAN(INDEX(ЗаданияОсень,ROW(A140)-1,1)))</f>
        <v/>
      </c>
      <c r="B140" s="59">
        <f>IF(OR(A140="",COUNTIF(A$2:A140,A140)&gt;1),B141+1,0)</f>
        <v/>
      </c>
      <c r="C140" s="2">
        <f>INDEX(B$2:B$177,C139+1,1)+C139+1</f>
        <v/>
      </c>
      <c r="D140" s="61">
        <f>INDEX(ЗаданияОсень,C140,1)</f>
        <v/>
      </c>
      <c r="E140" s="58">
        <f>TRIM(CLEAN(INDEX(ЗаданияОсень,ROW(E140)-1,2)))</f>
        <v/>
      </c>
      <c r="F140" s="59">
        <f>IF(OR(E140="",COUNTIF(E$2:E140,E140)&gt;1),F141+1,0)</f>
        <v/>
      </c>
      <c r="G140" s="2">
        <f>INDEX(F$2:F$177,G139+1,1)+G139+1</f>
        <v/>
      </c>
      <c r="H140" s="61">
        <f>INDEX(ЗаданияОсень,G140,2)</f>
        <v/>
      </c>
      <c r="I140" s="58">
        <f>TRIM(CLEAN(INDEX(ЗаданияВесна,ROW(I140)-1,1)))</f>
        <v/>
      </c>
      <c r="J140" s="59">
        <f>IF(OR(I140="",COUNTIF(I$2:I140,I140)&gt;1),J141+1,0)</f>
        <v/>
      </c>
      <c r="K140" s="2">
        <f>INDEX(J$2:J$177,K139+1,1)+K139+1</f>
        <v/>
      </c>
      <c r="L140" s="61">
        <f>INDEX(ЗаданияВесна,K140,1)</f>
        <v/>
      </c>
      <c r="M140" s="58">
        <f>TRIM(CLEAN(INDEX(ЗаданияВесна,ROW(M140)-1,2)))</f>
        <v/>
      </c>
      <c r="N140" s="59">
        <f>IF(OR(M140="",COUNTIF(M$2:M140,M140)&gt;1),N141+1,0)</f>
        <v/>
      </c>
      <c r="O140" s="2">
        <f>INDEX(N$2:N$177,O139+1,1)+O139+1</f>
        <v/>
      </c>
      <c r="P140" s="61">
        <f>INDEX(ЗаданияВесна,O140,2)</f>
        <v/>
      </c>
    </row>
    <row r="141">
      <c r="A141" s="58">
        <f>TRIM(CLEAN(INDEX(ЗаданияОсень,ROW(A141)-1,1)))</f>
        <v/>
      </c>
      <c r="B141" s="59">
        <f>IF(OR(A141="",COUNTIF(A$2:A141,A141)&gt;1),B142+1,0)</f>
        <v/>
      </c>
      <c r="C141" s="2">
        <f>INDEX(B$2:B$177,C140+1,1)+C140+1</f>
        <v/>
      </c>
      <c r="D141" s="61">
        <f>INDEX(ЗаданияОсень,C141,1)</f>
        <v/>
      </c>
      <c r="E141" s="58">
        <f>TRIM(CLEAN(INDEX(ЗаданияОсень,ROW(E141)-1,2)))</f>
        <v/>
      </c>
      <c r="F141" s="59">
        <f>IF(OR(E141="",COUNTIF(E$2:E141,E141)&gt;1),F142+1,0)</f>
        <v/>
      </c>
      <c r="G141" s="2">
        <f>INDEX(F$2:F$177,G140+1,1)+G140+1</f>
        <v/>
      </c>
      <c r="H141" s="61">
        <f>INDEX(ЗаданияОсень,G141,2)</f>
        <v/>
      </c>
      <c r="I141" s="58">
        <f>TRIM(CLEAN(INDEX(ЗаданияВесна,ROW(I141)-1,1)))</f>
        <v/>
      </c>
      <c r="J141" s="59">
        <f>IF(OR(I141="",COUNTIF(I$2:I141,I141)&gt;1),J142+1,0)</f>
        <v/>
      </c>
      <c r="K141" s="2">
        <f>INDEX(J$2:J$177,K140+1,1)+K140+1</f>
        <v/>
      </c>
      <c r="L141" s="61">
        <f>INDEX(ЗаданияВесна,K141,1)</f>
        <v/>
      </c>
      <c r="M141" s="58">
        <f>TRIM(CLEAN(INDEX(ЗаданияВесна,ROW(M141)-1,2)))</f>
        <v/>
      </c>
      <c r="N141" s="59">
        <f>IF(OR(M141="",COUNTIF(M$2:M141,M141)&gt;1),N142+1,0)</f>
        <v/>
      </c>
      <c r="O141" s="2">
        <f>INDEX(N$2:N$177,O140+1,1)+O140+1</f>
        <v/>
      </c>
      <c r="P141" s="61">
        <f>INDEX(ЗаданияВесна,O141,2)</f>
        <v/>
      </c>
    </row>
    <row r="142">
      <c r="A142" s="58">
        <f>TRIM(CLEAN(INDEX(ЗаданияОсень,ROW(A142)-1,1)))</f>
        <v/>
      </c>
      <c r="B142" s="59">
        <f>IF(OR(A142="",COUNTIF(A$2:A142,A142)&gt;1),B143+1,0)</f>
        <v/>
      </c>
      <c r="C142" s="2">
        <f>INDEX(B$2:B$177,C141+1,1)+C141+1</f>
        <v/>
      </c>
      <c r="D142" s="61">
        <f>INDEX(ЗаданияОсень,C142,1)</f>
        <v/>
      </c>
      <c r="E142" s="58">
        <f>TRIM(CLEAN(INDEX(ЗаданияОсень,ROW(E142)-1,2)))</f>
        <v/>
      </c>
      <c r="F142" s="59">
        <f>IF(OR(E142="",COUNTIF(E$2:E142,E142)&gt;1),F143+1,0)</f>
        <v/>
      </c>
      <c r="G142" s="2">
        <f>INDEX(F$2:F$177,G141+1,1)+G141+1</f>
        <v/>
      </c>
      <c r="H142" s="61">
        <f>INDEX(ЗаданияОсень,G142,2)</f>
        <v/>
      </c>
      <c r="I142" s="58">
        <f>TRIM(CLEAN(INDEX(ЗаданияВесна,ROW(I142)-1,1)))</f>
        <v/>
      </c>
      <c r="J142" s="59">
        <f>IF(OR(I142="",COUNTIF(I$2:I142,I142)&gt;1),J143+1,0)</f>
        <v/>
      </c>
      <c r="K142" s="2">
        <f>INDEX(J$2:J$177,K141+1,1)+K141+1</f>
        <v/>
      </c>
      <c r="L142" s="61">
        <f>INDEX(ЗаданияВесна,K142,1)</f>
        <v/>
      </c>
      <c r="M142" s="58">
        <f>TRIM(CLEAN(INDEX(ЗаданияВесна,ROW(M142)-1,2)))</f>
        <v/>
      </c>
      <c r="N142" s="59">
        <f>IF(OR(M142="",COUNTIF(M$2:M142,M142)&gt;1),N143+1,0)</f>
        <v/>
      </c>
      <c r="O142" s="2">
        <f>INDEX(N$2:N$177,O141+1,1)+O141+1</f>
        <v/>
      </c>
      <c r="P142" s="61">
        <f>INDEX(ЗаданияВесна,O142,2)</f>
        <v/>
      </c>
    </row>
    <row r="143">
      <c r="A143" s="58">
        <f>TRIM(CLEAN(INDEX(ЗаданияОсень,ROW(A143)-1,1)))</f>
        <v/>
      </c>
      <c r="B143" s="59">
        <f>IF(OR(A143="",COUNTIF(A$2:A143,A143)&gt;1),B144+1,0)</f>
        <v/>
      </c>
      <c r="C143" s="2">
        <f>INDEX(B$2:B$177,C142+1,1)+C142+1</f>
        <v/>
      </c>
      <c r="D143" s="61">
        <f>INDEX(ЗаданияОсень,C143,1)</f>
        <v/>
      </c>
      <c r="E143" s="58">
        <f>TRIM(CLEAN(INDEX(ЗаданияОсень,ROW(E143)-1,2)))</f>
        <v/>
      </c>
      <c r="F143" s="59">
        <f>IF(OR(E143="",COUNTIF(E$2:E143,E143)&gt;1),F144+1,0)</f>
        <v/>
      </c>
      <c r="G143" s="2">
        <f>INDEX(F$2:F$177,G142+1,1)+G142+1</f>
        <v/>
      </c>
      <c r="H143" s="61">
        <f>INDEX(ЗаданияОсень,G143,2)</f>
        <v/>
      </c>
      <c r="I143" s="58">
        <f>TRIM(CLEAN(INDEX(ЗаданияВесна,ROW(I143)-1,1)))</f>
        <v/>
      </c>
      <c r="J143" s="59">
        <f>IF(OR(I143="",COUNTIF(I$2:I143,I143)&gt;1),J144+1,0)</f>
        <v/>
      </c>
      <c r="K143" s="2">
        <f>INDEX(J$2:J$177,K142+1,1)+K142+1</f>
        <v/>
      </c>
      <c r="L143" s="61">
        <f>INDEX(ЗаданияВесна,K143,1)</f>
        <v/>
      </c>
      <c r="M143" s="58">
        <f>TRIM(CLEAN(INDEX(ЗаданияВесна,ROW(M143)-1,2)))</f>
        <v/>
      </c>
      <c r="N143" s="59">
        <f>IF(OR(M143="",COUNTIF(M$2:M143,M143)&gt;1),N144+1,0)</f>
        <v/>
      </c>
      <c r="O143" s="2">
        <f>INDEX(N$2:N$177,O142+1,1)+O142+1</f>
        <v/>
      </c>
      <c r="P143" s="61">
        <f>INDEX(ЗаданияВесна,O143,2)</f>
        <v/>
      </c>
    </row>
    <row r="144">
      <c r="A144" s="58">
        <f>TRIM(CLEAN(INDEX(ЗаданияОсень,ROW(A144)-1,1)))</f>
        <v/>
      </c>
      <c r="B144" s="59">
        <f>IF(OR(A144="",COUNTIF(A$2:A144,A144)&gt;1),B145+1,0)</f>
        <v/>
      </c>
      <c r="C144" s="2">
        <f>INDEX(B$2:B$177,C143+1,1)+C143+1</f>
        <v/>
      </c>
      <c r="D144" s="61">
        <f>INDEX(ЗаданияОсень,C144,1)</f>
        <v/>
      </c>
      <c r="E144" s="58">
        <f>TRIM(CLEAN(INDEX(ЗаданияОсень,ROW(E144)-1,2)))</f>
        <v/>
      </c>
      <c r="F144" s="59">
        <f>IF(OR(E144="",COUNTIF(E$2:E144,E144)&gt;1),F145+1,0)</f>
        <v/>
      </c>
      <c r="G144" s="2">
        <f>INDEX(F$2:F$177,G143+1,1)+G143+1</f>
        <v/>
      </c>
      <c r="H144" s="61">
        <f>INDEX(ЗаданияОсень,G144,2)</f>
        <v/>
      </c>
      <c r="I144" s="58">
        <f>TRIM(CLEAN(INDEX(ЗаданияВесна,ROW(I144)-1,1)))</f>
        <v/>
      </c>
      <c r="J144" s="59">
        <f>IF(OR(I144="",COUNTIF(I$2:I144,I144)&gt;1),J145+1,0)</f>
        <v/>
      </c>
      <c r="K144" s="2">
        <f>INDEX(J$2:J$177,K143+1,1)+K143+1</f>
        <v/>
      </c>
      <c r="L144" s="61">
        <f>INDEX(ЗаданияВесна,K144,1)</f>
        <v/>
      </c>
      <c r="M144" s="58">
        <f>TRIM(CLEAN(INDEX(ЗаданияВесна,ROW(M144)-1,2)))</f>
        <v/>
      </c>
      <c r="N144" s="59">
        <f>IF(OR(M144="",COUNTIF(M$2:M144,M144)&gt;1),N145+1,0)</f>
        <v/>
      </c>
      <c r="O144" s="2">
        <f>INDEX(N$2:N$177,O143+1,1)+O143+1</f>
        <v/>
      </c>
      <c r="P144" s="61">
        <f>INDEX(ЗаданияВесна,O144,2)</f>
        <v/>
      </c>
    </row>
    <row r="145">
      <c r="A145" s="58">
        <f>TRIM(CLEAN(INDEX(ЗаданияОсень,ROW(A145)-1,1)))</f>
        <v/>
      </c>
      <c r="B145" s="59">
        <f>IF(OR(A145="",COUNTIF(A$2:A145,A145)&gt;1),B146+1,0)</f>
        <v/>
      </c>
      <c r="C145" s="2">
        <f>INDEX(B$2:B$177,C144+1,1)+C144+1</f>
        <v/>
      </c>
      <c r="D145" s="61">
        <f>INDEX(ЗаданияОсень,C145,1)</f>
        <v/>
      </c>
      <c r="E145" s="58">
        <f>TRIM(CLEAN(INDEX(ЗаданияОсень,ROW(E145)-1,2)))</f>
        <v/>
      </c>
      <c r="F145" s="59">
        <f>IF(OR(E145="",COUNTIF(E$2:E145,E145)&gt;1),F146+1,0)</f>
        <v/>
      </c>
      <c r="G145" s="2">
        <f>INDEX(F$2:F$177,G144+1,1)+G144+1</f>
        <v/>
      </c>
      <c r="H145" s="61">
        <f>INDEX(ЗаданияОсень,G145,2)</f>
        <v/>
      </c>
      <c r="I145" s="58">
        <f>TRIM(CLEAN(INDEX(ЗаданияВесна,ROW(I145)-1,1)))</f>
        <v/>
      </c>
      <c r="J145" s="59">
        <f>IF(OR(I145="",COUNTIF(I$2:I145,I145)&gt;1),J146+1,0)</f>
        <v/>
      </c>
      <c r="K145" s="2">
        <f>INDEX(J$2:J$177,K144+1,1)+K144+1</f>
        <v/>
      </c>
      <c r="L145" s="61">
        <f>INDEX(ЗаданияВесна,K145,1)</f>
        <v/>
      </c>
      <c r="M145" s="58">
        <f>TRIM(CLEAN(INDEX(ЗаданияВесна,ROW(M145)-1,2)))</f>
        <v/>
      </c>
      <c r="N145" s="59">
        <f>IF(OR(M145="",COUNTIF(M$2:M145,M145)&gt;1),N146+1,0)</f>
        <v/>
      </c>
      <c r="O145" s="2">
        <f>INDEX(N$2:N$177,O144+1,1)+O144+1</f>
        <v/>
      </c>
      <c r="P145" s="61">
        <f>INDEX(ЗаданияВесна,O145,2)</f>
        <v/>
      </c>
    </row>
    <row r="146">
      <c r="A146" s="58">
        <f>TRIM(CLEAN(INDEX(ЗаданияОсень,ROW(A146)-1,1)))</f>
        <v/>
      </c>
      <c r="B146" s="59">
        <f>IF(OR(A146="",COUNTIF(A$2:A146,A146)&gt;1),B147+1,0)</f>
        <v/>
      </c>
      <c r="C146" s="2">
        <f>INDEX(B$2:B$177,C145+1,1)+C145+1</f>
        <v/>
      </c>
      <c r="D146" s="61">
        <f>INDEX(ЗаданияОсень,C146,1)</f>
        <v/>
      </c>
      <c r="E146" s="58">
        <f>TRIM(CLEAN(INDEX(ЗаданияОсень,ROW(E146)-1,2)))</f>
        <v/>
      </c>
      <c r="F146" s="59">
        <f>IF(OR(E146="",COUNTIF(E$2:E146,E146)&gt;1),F147+1,0)</f>
        <v/>
      </c>
      <c r="G146" s="2">
        <f>INDEX(F$2:F$177,G145+1,1)+G145+1</f>
        <v/>
      </c>
      <c r="H146" s="61">
        <f>INDEX(ЗаданияОсень,G146,2)</f>
        <v/>
      </c>
      <c r="I146" s="58">
        <f>TRIM(CLEAN(INDEX(ЗаданияВесна,ROW(I146)-1,1)))</f>
        <v/>
      </c>
      <c r="J146" s="59">
        <f>IF(OR(I146="",COUNTIF(I$2:I146,I146)&gt;1),J147+1,0)</f>
        <v/>
      </c>
      <c r="K146" s="2">
        <f>INDEX(J$2:J$177,K145+1,1)+K145+1</f>
        <v/>
      </c>
      <c r="L146" s="61">
        <f>INDEX(ЗаданияВесна,K146,1)</f>
        <v/>
      </c>
      <c r="M146" s="58">
        <f>TRIM(CLEAN(INDEX(ЗаданияВесна,ROW(M146)-1,2)))</f>
        <v/>
      </c>
      <c r="N146" s="59">
        <f>IF(OR(M146="",COUNTIF(M$2:M146,M146)&gt;1),N147+1,0)</f>
        <v/>
      </c>
      <c r="O146" s="2">
        <f>INDEX(N$2:N$177,O145+1,1)+O145+1</f>
        <v/>
      </c>
      <c r="P146" s="61">
        <f>INDEX(ЗаданияВесна,O146,2)</f>
        <v/>
      </c>
    </row>
    <row r="147">
      <c r="A147" s="58">
        <f>TRIM(CLEAN(INDEX(ЗаданияОсень,ROW(A147)-1,1)))</f>
        <v/>
      </c>
      <c r="B147" s="59">
        <f>IF(OR(A147="",COUNTIF(A$2:A147,A147)&gt;1),B148+1,0)</f>
        <v/>
      </c>
      <c r="C147" s="2">
        <f>INDEX(B$2:B$177,C146+1,1)+C146+1</f>
        <v/>
      </c>
      <c r="D147" s="61">
        <f>INDEX(ЗаданияОсень,C147,1)</f>
        <v/>
      </c>
      <c r="E147" s="58">
        <f>TRIM(CLEAN(INDEX(ЗаданияОсень,ROW(E147)-1,2)))</f>
        <v/>
      </c>
      <c r="F147" s="59">
        <f>IF(OR(E147="",COUNTIF(E$2:E147,E147)&gt;1),F148+1,0)</f>
        <v/>
      </c>
      <c r="G147" s="2">
        <f>INDEX(F$2:F$177,G146+1,1)+G146+1</f>
        <v/>
      </c>
      <c r="H147" s="61">
        <f>INDEX(ЗаданияОсень,G147,2)</f>
        <v/>
      </c>
      <c r="I147" s="58">
        <f>TRIM(CLEAN(INDEX(ЗаданияВесна,ROW(I147)-1,1)))</f>
        <v/>
      </c>
      <c r="J147" s="59">
        <f>IF(OR(I147="",COUNTIF(I$2:I147,I147)&gt;1),J148+1,0)</f>
        <v/>
      </c>
      <c r="K147" s="2">
        <f>INDEX(J$2:J$177,K146+1,1)+K146+1</f>
        <v/>
      </c>
      <c r="L147" s="61">
        <f>INDEX(ЗаданияВесна,K147,1)</f>
        <v/>
      </c>
      <c r="M147" s="58">
        <f>TRIM(CLEAN(INDEX(ЗаданияВесна,ROW(M147)-1,2)))</f>
        <v/>
      </c>
      <c r="N147" s="59">
        <f>IF(OR(M147="",COUNTIF(M$2:M147,M147)&gt;1),N148+1,0)</f>
        <v/>
      </c>
      <c r="O147" s="2">
        <f>INDEX(N$2:N$177,O146+1,1)+O146+1</f>
        <v/>
      </c>
      <c r="P147" s="61">
        <f>INDEX(ЗаданияВесна,O147,2)</f>
        <v/>
      </c>
    </row>
    <row r="148">
      <c r="A148" s="58">
        <f>TRIM(CLEAN(INDEX(ЗаданияОсень,ROW(A148)-1,1)))</f>
        <v/>
      </c>
      <c r="B148" s="59">
        <f>IF(OR(A148="",COUNTIF(A$2:A148,A148)&gt;1),B149+1,0)</f>
        <v/>
      </c>
      <c r="C148" s="2">
        <f>INDEX(B$2:B$177,C147+1,1)+C147+1</f>
        <v/>
      </c>
      <c r="D148" s="61">
        <f>INDEX(ЗаданияОсень,C148,1)</f>
        <v/>
      </c>
      <c r="E148" s="58">
        <f>TRIM(CLEAN(INDEX(ЗаданияОсень,ROW(E148)-1,2)))</f>
        <v/>
      </c>
      <c r="F148" s="59">
        <f>IF(OR(E148="",COUNTIF(E$2:E148,E148)&gt;1),F149+1,0)</f>
        <v/>
      </c>
      <c r="G148" s="2">
        <f>INDEX(F$2:F$177,G147+1,1)+G147+1</f>
        <v/>
      </c>
      <c r="H148" s="61">
        <f>INDEX(ЗаданияОсень,G148,2)</f>
        <v/>
      </c>
      <c r="I148" s="58">
        <f>TRIM(CLEAN(INDEX(ЗаданияВесна,ROW(I148)-1,1)))</f>
        <v/>
      </c>
      <c r="J148" s="59">
        <f>IF(OR(I148="",COUNTIF(I$2:I148,I148)&gt;1),J149+1,0)</f>
        <v/>
      </c>
      <c r="K148" s="2">
        <f>INDEX(J$2:J$177,K147+1,1)+K147+1</f>
        <v/>
      </c>
      <c r="L148" s="61">
        <f>INDEX(ЗаданияВесна,K148,1)</f>
        <v/>
      </c>
      <c r="M148" s="58">
        <f>TRIM(CLEAN(INDEX(ЗаданияВесна,ROW(M148)-1,2)))</f>
        <v/>
      </c>
      <c r="N148" s="59">
        <f>IF(OR(M148="",COUNTIF(M$2:M148,M148)&gt;1),N149+1,0)</f>
        <v/>
      </c>
      <c r="O148" s="2">
        <f>INDEX(N$2:N$177,O147+1,1)+O147+1</f>
        <v/>
      </c>
      <c r="P148" s="61">
        <f>INDEX(ЗаданияВесна,O148,2)</f>
        <v/>
      </c>
    </row>
    <row r="149">
      <c r="A149" s="58">
        <f>TRIM(CLEAN(INDEX(ЗаданияОсень,ROW(A149)-1,1)))</f>
        <v/>
      </c>
      <c r="B149" s="59">
        <f>IF(OR(A149="",COUNTIF(A$2:A149,A149)&gt;1),B150+1,0)</f>
        <v/>
      </c>
      <c r="C149" s="2">
        <f>INDEX(B$2:B$177,C148+1,1)+C148+1</f>
        <v/>
      </c>
      <c r="D149" s="61">
        <f>INDEX(ЗаданияОсень,C149,1)</f>
        <v/>
      </c>
      <c r="E149" s="58">
        <f>TRIM(CLEAN(INDEX(ЗаданияОсень,ROW(E149)-1,2)))</f>
        <v/>
      </c>
      <c r="F149" s="59">
        <f>IF(OR(E149="",COUNTIF(E$2:E149,E149)&gt;1),F150+1,0)</f>
        <v/>
      </c>
      <c r="G149" s="2">
        <f>INDEX(F$2:F$177,G148+1,1)+G148+1</f>
        <v/>
      </c>
      <c r="H149" s="61">
        <f>INDEX(ЗаданияОсень,G149,2)</f>
        <v/>
      </c>
      <c r="I149" s="58">
        <f>TRIM(CLEAN(INDEX(ЗаданияВесна,ROW(I149)-1,1)))</f>
        <v/>
      </c>
      <c r="J149" s="59">
        <f>IF(OR(I149="",COUNTIF(I$2:I149,I149)&gt;1),J150+1,0)</f>
        <v/>
      </c>
      <c r="K149" s="2">
        <f>INDEX(J$2:J$177,K148+1,1)+K148+1</f>
        <v/>
      </c>
      <c r="L149" s="61">
        <f>INDEX(ЗаданияВесна,K149,1)</f>
        <v/>
      </c>
      <c r="M149" s="58">
        <f>TRIM(CLEAN(INDEX(ЗаданияВесна,ROW(M149)-1,2)))</f>
        <v/>
      </c>
      <c r="N149" s="59">
        <f>IF(OR(M149="",COUNTIF(M$2:M149,M149)&gt;1),N150+1,0)</f>
        <v/>
      </c>
      <c r="O149" s="2">
        <f>INDEX(N$2:N$177,O148+1,1)+O148+1</f>
        <v/>
      </c>
      <c r="P149" s="61">
        <f>INDEX(ЗаданияВесна,O149,2)</f>
        <v/>
      </c>
    </row>
    <row r="150">
      <c r="A150" s="58">
        <f>TRIM(CLEAN(INDEX(ЗаданияОсень,ROW(A150)-1,1)))</f>
        <v/>
      </c>
      <c r="B150" s="59">
        <f>IF(OR(A150="",COUNTIF(A$2:A150,A150)&gt;1),B151+1,0)</f>
        <v/>
      </c>
      <c r="C150" s="2">
        <f>INDEX(B$2:B$177,C149+1,1)+C149+1</f>
        <v/>
      </c>
      <c r="D150" s="61">
        <f>INDEX(ЗаданияОсень,C150,1)</f>
        <v/>
      </c>
      <c r="E150" s="58">
        <f>TRIM(CLEAN(INDEX(ЗаданияОсень,ROW(E150)-1,2)))</f>
        <v/>
      </c>
      <c r="F150" s="59">
        <f>IF(OR(E150="",COUNTIF(E$2:E150,E150)&gt;1),F151+1,0)</f>
        <v/>
      </c>
      <c r="G150" s="2">
        <f>INDEX(F$2:F$177,G149+1,1)+G149+1</f>
        <v/>
      </c>
      <c r="H150" s="61">
        <f>INDEX(ЗаданияОсень,G150,2)</f>
        <v/>
      </c>
      <c r="I150" s="58">
        <f>TRIM(CLEAN(INDEX(ЗаданияВесна,ROW(I150)-1,1)))</f>
        <v/>
      </c>
      <c r="J150" s="59">
        <f>IF(OR(I150="",COUNTIF(I$2:I150,I150)&gt;1),J151+1,0)</f>
        <v/>
      </c>
      <c r="K150" s="2">
        <f>INDEX(J$2:J$177,K149+1,1)+K149+1</f>
        <v/>
      </c>
      <c r="L150" s="61">
        <f>INDEX(ЗаданияВесна,K150,1)</f>
        <v/>
      </c>
      <c r="M150" s="58">
        <f>TRIM(CLEAN(INDEX(ЗаданияВесна,ROW(M150)-1,2)))</f>
        <v/>
      </c>
      <c r="N150" s="59">
        <f>IF(OR(M150="",COUNTIF(M$2:M150,M150)&gt;1),N151+1,0)</f>
        <v/>
      </c>
      <c r="O150" s="2">
        <f>INDEX(N$2:N$177,O149+1,1)+O149+1</f>
        <v/>
      </c>
      <c r="P150" s="61">
        <f>INDEX(ЗаданияВесна,O150,2)</f>
        <v/>
      </c>
    </row>
    <row r="151">
      <c r="A151" s="58">
        <f>TRIM(CLEAN(INDEX(ЗаданияОсень,ROW(A151)-1,1)))</f>
        <v/>
      </c>
      <c r="B151" s="59">
        <f>IF(OR(A151="",COUNTIF(A$2:A151,A151)&gt;1),B152+1,0)</f>
        <v/>
      </c>
      <c r="C151" s="2">
        <f>INDEX(B$2:B$177,C150+1,1)+C150+1</f>
        <v/>
      </c>
      <c r="D151" s="61">
        <f>INDEX(ЗаданияОсень,C151,1)</f>
        <v/>
      </c>
      <c r="E151" s="58">
        <f>TRIM(CLEAN(INDEX(ЗаданияОсень,ROW(E151)-1,2)))</f>
        <v/>
      </c>
      <c r="F151" s="59">
        <f>IF(OR(E151="",COUNTIF(E$2:E151,E151)&gt;1),F152+1,0)</f>
        <v/>
      </c>
      <c r="G151" s="2">
        <f>INDEX(F$2:F$177,G150+1,1)+G150+1</f>
        <v/>
      </c>
      <c r="H151" s="61">
        <f>INDEX(ЗаданияОсень,G151,2)</f>
        <v/>
      </c>
      <c r="I151" s="58">
        <f>TRIM(CLEAN(INDEX(ЗаданияВесна,ROW(I151)-1,1)))</f>
        <v/>
      </c>
      <c r="J151" s="59">
        <f>IF(OR(I151="",COUNTIF(I$2:I151,I151)&gt;1),J152+1,0)</f>
        <v/>
      </c>
      <c r="K151" s="2">
        <f>INDEX(J$2:J$177,K150+1,1)+K150+1</f>
        <v/>
      </c>
      <c r="L151" s="61">
        <f>INDEX(ЗаданияВесна,K151,1)</f>
        <v/>
      </c>
      <c r="M151" s="58">
        <f>TRIM(CLEAN(INDEX(ЗаданияВесна,ROW(M151)-1,2)))</f>
        <v/>
      </c>
      <c r="N151" s="59">
        <f>IF(OR(M151="",COUNTIF(M$2:M151,M151)&gt;1),N152+1,0)</f>
        <v/>
      </c>
      <c r="O151" s="2">
        <f>INDEX(N$2:N$177,O150+1,1)+O150+1</f>
        <v/>
      </c>
      <c r="P151" s="61">
        <f>INDEX(ЗаданияВесна,O151,2)</f>
        <v/>
      </c>
    </row>
    <row r="152">
      <c r="A152" s="58">
        <f>TRIM(CLEAN(INDEX(ЗаданияОсень,ROW(A152)-1,1)))</f>
        <v/>
      </c>
      <c r="B152" s="59">
        <f>IF(OR(A152="",COUNTIF(A$2:A152,A152)&gt;1),B153+1,0)</f>
        <v/>
      </c>
      <c r="C152" s="2">
        <f>INDEX(B$2:B$177,C151+1,1)+C151+1</f>
        <v/>
      </c>
      <c r="D152" s="61">
        <f>INDEX(ЗаданияОсень,C152,1)</f>
        <v/>
      </c>
      <c r="E152" s="58">
        <f>TRIM(CLEAN(INDEX(ЗаданияОсень,ROW(E152)-1,2)))</f>
        <v/>
      </c>
      <c r="F152" s="59">
        <f>IF(OR(E152="",COUNTIF(E$2:E152,E152)&gt;1),F153+1,0)</f>
        <v/>
      </c>
      <c r="G152" s="2">
        <f>INDEX(F$2:F$177,G151+1,1)+G151+1</f>
        <v/>
      </c>
      <c r="H152" s="61">
        <f>INDEX(ЗаданияОсень,G152,2)</f>
        <v/>
      </c>
      <c r="I152" s="58">
        <f>TRIM(CLEAN(INDEX(ЗаданияВесна,ROW(I152)-1,1)))</f>
        <v/>
      </c>
      <c r="J152" s="59">
        <f>IF(OR(I152="",COUNTIF(I$2:I152,I152)&gt;1),J153+1,0)</f>
        <v/>
      </c>
      <c r="K152" s="2">
        <f>INDEX(J$2:J$177,K151+1,1)+K151+1</f>
        <v/>
      </c>
      <c r="L152" s="61">
        <f>INDEX(ЗаданияВесна,K152,1)</f>
        <v/>
      </c>
      <c r="M152" s="58">
        <f>TRIM(CLEAN(INDEX(ЗаданияВесна,ROW(M152)-1,2)))</f>
        <v/>
      </c>
      <c r="N152" s="59">
        <f>IF(OR(M152="",COUNTIF(M$2:M152,M152)&gt;1),N153+1,0)</f>
        <v/>
      </c>
      <c r="O152" s="2">
        <f>INDEX(N$2:N$177,O151+1,1)+O151+1</f>
        <v/>
      </c>
      <c r="P152" s="61">
        <f>INDEX(ЗаданияВесна,O152,2)</f>
        <v/>
      </c>
    </row>
    <row r="153">
      <c r="A153" s="58">
        <f>TRIM(CLEAN(INDEX(ЗаданияОсень,ROW(A153)-1,1)))</f>
        <v/>
      </c>
      <c r="B153" s="59">
        <f>IF(OR(A153="",COUNTIF(A$2:A153,A153)&gt;1),B154+1,0)</f>
        <v/>
      </c>
      <c r="C153" s="2">
        <f>INDEX(B$2:B$177,C152+1,1)+C152+1</f>
        <v/>
      </c>
      <c r="D153" s="61">
        <f>INDEX(ЗаданияОсень,C153,1)</f>
        <v/>
      </c>
      <c r="E153" s="58">
        <f>TRIM(CLEAN(INDEX(ЗаданияОсень,ROW(E153)-1,2)))</f>
        <v/>
      </c>
      <c r="F153" s="59">
        <f>IF(OR(E153="",COUNTIF(E$2:E153,E153)&gt;1),F154+1,0)</f>
        <v/>
      </c>
      <c r="G153" s="2">
        <f>INDEX(F$2:F$177,G152+1,1)+G152+1</f>
        <v/>
      </c>
      <c r="H153" s="61">
        <f>INDEX(ЗаданияОсень,G153,2)</f>
        <v/>
      </c>
      <c r="I153" s="58">
        <f>TRIM(CLEAN(INDEX(ЗаданияВесна,ROW(I153)-1,1)))</f>
        <v/>
      </c>
      <c r="J153" s="59">
        <f>IF(OR(I153="",COUNTIF(I$2:I153,I153)&gt;1),J154+1,0)</f>
        <v/>
      </c>
      <c r="K153" s="2">
        <f>INDEX(J$2:J$177,K152+1,1)+K152+1</f>
        <v/>
      </c>
      <c r="L153" s="61">
        <f>INDEX(ЗаданияВесна,K153,1)</f>
        <v/>
      </c>
      <c r="M153" s="58">
        <f>TRIM(CLEAN(INDEX(ЗаданияВесна,ROW(M153)-1,2)))</f>
        <v/>
      </c>
      <c r="N153" s="59">
        <f>IF(OR(M153="",COUNTIF(M$2:M153,M153)&gt;1),N154+1,0)</f>
        <v/>
      </c>
      <c r="O153" s="2">
        <f>INDEX(N$2:N$177,O152+1,1)+O152+1</f>
        <v/>
      </c>
      <c r="P153" s="61">
        <f>INDEX(ЗаданияВесна,O153,2)</f>
        <v/>
      </c>
    </row>
    <row r="154">
      <c r="A154" s="58">
        <f>TRIM(CLEAN(INDEX(ЗаданияОсень,ROW(A154)-1,1)))</f>
        <v/>
      </c>
      <c r="B154" s="59">
        <f>IF(OR(A154="",COUNTIF(A$2:A154,A154)&gt;1),B155+1,0)</f>
        <v/>
      </c>
      <c r="C154" s="2">
        <f>INDEX(B$2:B$177,C153+1,1)+C153+1</f>
        <v/>
      </c>
      <c r="D154" s="61">
        <f>INDEX(ЗаданияОсень,C154,1)</f>
        <v/>
      </c>
      <c r="E154" s="58">
        <f>TRIM(CLEAN(INDEX(ЗаданияОсень,ROW(E154)-1,2)))</f>
        <v/>
      </c>
      <c r="F154" s="59">
        <f>IF(OR(E154="",COUNTIF(E$2:E154,E154)&gt;1),F155+1,0)</f>
        <v/>
      </c>
      <c r="G154" s="2">
        <f>INDEX(F$2:F$177,G153+1,1)+G153+1</f>
        <v/>
      </c>
      <c r="H154" s="61">
        <f>INDEX(ЗаданияОсень,G154,2)</f>
        <v/>
      </c>
      <c r="I154" s="58">
        <f>TRIM(CLEAN(INDEX(ЗаданияВесна,ROW(I154)-1,1)))</f>
        <v/>
      </c>
      <c r="J154" s="59">
        <f>IF(OR(I154="",COUNTIF(I$2:I154,I154)&gt;1),J155+1,0)</f>
        <v/>
      </c>
      <c r="K154" s="2">
        <f>INDEX(J$2:J$177,K153+1,1)+K153+1</f>
        <v/>
      </c>
      <c r="L154" s="61">
        <f>INDEX(ЗаданияВесна,K154,1)</f>
        <v/>
      </c>
      <c r="M154" s="58">
        <f>TRIM(CLEAN(INDEX(ЗаданияВесна,ROW(M154)-1,2)))</f>
        <v/>
      </c>
      <c r="N154" s="59">
        <f>IF(OR(M154="",COUNTIF(M$2:M154,M154)&gt;1),N155+1,0)</f>
        <v/>
      </c>
      <c r="O154" s="2">
        <f>INDEX(N$2:N$177,O153+1,1)+O153+1</f>
        <v/>
      </c>
      <c r="P154" s="61">
        <f>INDEX(ЗаданияВесна,O154,2)</f>
        <v/>
      </c>
    </row>
    <row r="155">
      <c r="A155" s="58">
        <f>TRIM(CLEAN(INDEX(ЗаданияОсень,ROW(A155)-1,1)))</f>
        <v/>
      </c>
      <c r="B155" s="59">
        <f>IF(OR(A155="",COUNTIF(A$2:A155,A155)&gt;1),B156+1,0)</f>
        <v/>
      </c>
      <c r="C155" s="2">
        <f>INDEX(B$2:B$177,C154+1,1)+C154+1</f>
        <v/>
      </c>
      <c r="D155" s="61">
        <f>INDEX(ЗаданияОсень,C155,1)</f>
        <v/>
      </c>
      <c r="E155" s="58">
        <f>TRIM(CLEAN(INDEX(ЗаданияОсень,ROW(E155)-1,2)))</f>
        <v/>
      </c>
      <c r="F155" s="59">
        <f>IF(OR(E155="",COUNTIF(E$2:E155,E155)&gt;1),F156+1,0)</f>
        <v/>
      </c>
      <c r="G155" s="2">
        <f>INDEX(F$2:F$177,G154+1,1)+G154+1</f>
        <v/>
      </c>
      <c r="H155" s="61">
        <f>INDEX(ЗаданияОсень,G155,2)</f>
        <v/>
      </c>
      <c r="I155" s="58">
        <f>TRIM(CLEAN(INDEX(ЗаданияВесна,ROW(I155)-1,1)))</f>
        <v/>
      </c>
      <c r="J155" s="59">
        <f>IF(OR(I155="",COUNTIF(I$2:I155,I155)&gt;1),J156+1,0)</f>
        <v/>
      </c>
      <c r="K155" s="2">
        <f>INDEX(J$2:J$177,K154+1,1)+K154+1</f>
        <v/>
      </c>
      <c r="L155" s="61">
        <f>INDEX(ЗаданияВесна,K155,1)</f>
        <v/>
      </c>
      <c r="M155" s="58">
        <f>TRIM(CLEAN(INDEX(ЗаданияВесна,ROW(M155)-1,2)))</f>
        <v/>
      </c>
      <c r="N155" s="59">
        <f>IF(OR(M155="",COUNTIF(M$2:M155,M155)&gt;1),N156+1,0)</f>
        <v/>
      </c>
      <c r="O155" s="2">
        <f>INDEX(N$2:N$177,O154+1,1)+O154+1</f>
        <v/>
      </c>
      <c r="P155" s="61">
        <f>INDEX(ЗаданияВесна,O155,2)</f>
        <v/>
      </c>
    </row>
    <row r="156">
      <c r="A156" s="58">
        <f>TRIM(CLEAN(INDEX(ЗаданияОсень,ROW(A156)-1,1)))</f>
        <v/>
      </c>
      <c r="B156" s="59">
        <f>IF(OR(A156="",COUNTIF(A$2:A156,A156)&gt;1),B157+1,0)</f>
        <v/>
      </c>
      <c r="C156" s="2">
        <f>INDEX(B$2:B$177,C155+1,1)+C155+1</f>
        <v/>
      </c>
      <c r="D156" s="61">
        <f>INDEX(ЗаданияОсень,C156,1)</f>
        <v/>
      </c>
      <c r="E156" s="58">
        <f>TRIM(CLEAN(INDEX(ЗаданияОсень,ROW(E156)-1,2)))</f>
        <v/>
      </c>
      <c r="F156" s="59">
        <f>IF(OR(E156="",COUNTIF(E$2:E156,E156)&gt;1),F157+1,0)</f>
        <v/>
      </c>
      <c r="G156" s="2">
        <f>INDEX(F$2:F$177,G155+1,1)+G155+1</f>
        <v/>
      </c>
      <c r="H156" s="61">
        <f>INDEX(ЗаданияОсень,G156,2)</f>
        <v/>
      </c>
      <c r="I156" s="58">
        <f>TRIM(CLEAN(INDEX(ЗаданияВесна,ROW(I156)-1,1)))</f>
        <v/>
      </c>
      <c r="J156" s="59">
        <f>IF(OR(I156="",COUNTIF(I$2:I156,I156)&gt;1),J157+1,0)</f>
        <v/>
      </c>
      <c r="K156" s="2">
        <f>INDEX(J$2:J$177,K155+1,1)+K155+1</f>
        <v/>
      </c>
      <c r="L156" s="61">
        <f>INDEX(ЗаданияВесна,K156,1)</f>
        <v/>
      </c>
      <c r="M156" s="58">
        <f>TRIM(CLEAN(INDEX(ЗаданияВесна,ROW(M156)-1,2)))</f>
        <v/>
      </c>
      <c r="N156" s="59">
        <f>IF(OR(M156="",COUNTIF(M$2:M156,M156)&gt;1),N157+1,0)</f>
        <v/>
      </c>
      <c r="O156" s="2">
        <f>INDEX(N$2:N$177,O155+1,1)+O155+1</f>
        <v/>
      </c>
      <c r="P156" s="61">
        <f>INDEX(ЗаданияВесна,O156,2)</f>
        <v/>
      </c>
    </row>
    <row r="157">
      <c r="A157" s="58">
        <f>TRIM(CLEAN(INDEX(ЗаданияОсень,ROW(A157)-1,1)))</f>
        <v/>
      </c>
      <c r="B157" s="59">
        <f>IF(OR(A157="",COUNTIF(A$2:A157,A157)&gt;1),B158+1,0)</f>
        <v/>
      </c>
      <c r="C157" s="2">
        <f>INDEX(B$2:B$177,C156+1,1)+C156+1</f>
        <v/>
      </c>
      <c r="D157" s="61">
        <f>INDEX(ЗаданияОсень,C157,1)</f>
        <v/>
      </c>
      <c r="E157" s="58">
        <f>TRIM(CLEAN(INDEX(ЗаданияОсень,ROW(E157)-1,2)))</f>
        <v/>
      </c>
      <c r="F157" s="59">
        <f>IF(OR(E157="",COUNTIF(E$2:E157,E157)&gt;1),F158+1,0)</f>
        <v/>
      </c>
      <c r="G157" s="2">
        <f>INDEX(F$2:F$177,G156+1,1)+G156+1</f>
        <v/>
      </c>
      <c r="H157" s="61">
        <f>INDEX(ЗаданияОсень,G157,2)</f>
        <v/>
      </c>
      <c r="I157" s="58">
        <f>TRIM(CLEAN(INDEX(ЗаданияВесна,ROW(I157)-1,1)))</f>
        <v/>
      </c>
      <c r="J157" s="59">
        <f>IF(OR(I157="",COUNTIF(I$2:I157,I157)&gt;1),J158+1,0)</f>
        <v/>
      </c>
      <c r="K157" s="2">
        <f>INDEX(J$2:J$177,K156+1,1)+K156+1</f>
        <v/>
      </c>
      <c r="L157" s="61">
        <f>INDEX(ЗаданияВесна,K157,1)</f>
        <v/>
      </c>
      <c r="M157" s="58">
        <f>TRIM(CLEAN(INDEX(ЗаданияВесна,ROW(M157)-1,2)))</f>
        <v/>
      </c>
      <c r="N157" s="59">
        <f>IF(OR(M157="",COUNTIF(M$2:M157,M157)&gt;1),N158+1,0)</f>
        <v/>
      </c>
      <c r="O157" s="2">
        <f>INDEX(N$2:N$177,O156+1,1)+O156+1</f>
        <v/>
      </c>
      <c r="P157" s="61">
        <f>INDEX(ЗаданияВесна,O157,2)</f>
        <v/>
      </c>
    </row>
    <row r="158">
      <c r="A158" s="58">
        <f>TRIM(CLEAN(INDEX(ЗаданияОсень,ROW(A158)-1,1)))</f>
        <v/>
      </c>
      <c r="B158" s="59">
        <f>IF(OR(A158="",COUNTIF(A$2:A158,A158)&gt;1),B159+1,0)</f>
        <v/>
      </c>
      <c r="C158" s="2">
        <f>INDEX(B$2:B$177,C157+1,1)+C157+1</f>
        <v/>
      </c>
      <c r="D158" s="61">
        <f>INDEX(ЗаданияОсень,C158,1)</f>
        <v/>
      </c>
      <c r="E158" s="58">
        <f>TRIM(CLEAN(INDEX(ЗаданияОсень,ROW(E158)-1,2)))</f>
        <v/>
      </c>
      <c r="F158" s="59">
        <f>IF(OR(E158="",COUNTIF(E$2:E158,E158)&gt;1),F159+1,0)</f>
        <v/>
      </c>
      <c r="G158" s="2">
        <f>INDEX(F$2:F$177,G157+1,1)+G157+1</f>
        <v/>
      </c>
      <c r="H158" s="61">
        <f>INDEX(ЗаданияОсень,G158,2)</f>
        <v/>
      </c>
      <c r="I158" s="58">
        <f>TRIM(CLEAN(INDEX(ЗаданияВесна,ROW(I158)-1,1)))</f>
        <v/>
      </c>
      <c r="J158" s="59">
        <f>IF(OR(I158="",COUNTIF(I$2:I158,I158)&gt;1),J159+1,0)</f>
        <v/>
      </c>
      <c r="K158" s="2">
        <f>INDEX(J$2:J$177,K157+1,1)+K157+1</f>
        <v/>
      </c>
      <c r="L158" s="61">
        <f>INDEX(ЗаданияВесна,K158,1)</f>
        <v/>
      </c>
      <c r="M158" s="58">
        <f>TRIM(CLEAN(INDEX(ЗаданияВесна,ROW(M158)-1,2)))</f>
        <v/>
      </c>
      <c r="N158" s="59">
        <f>IF(OR(M158="",COUNTIF(M$2:M158,M158)&gt;1),N159+1,0)</f>
        <v/>
      </c>
      <c r="O158" s="2">
        <f>INDEX(N$2:N$177,O157+1,1)+O157+1</f>
        <v/>
      </c>
      <c r="P158" s="61">
        <f>INDEX(ЗаданияВесна,O158,2)</f>
        <v/>
      </c>
    </row>
    <row r="159">
      <c r="A159" s="58">
        <f>TRIM(CLEAN(INDEX(ЗаданияОсень,ROW(A159)-1,1)))</f>
        <v/>
      </c>
      <c r="B159" s="59">
        <f>IF(OR(A159="",COUNTIF(A$2:A159,A159)&gt;1),B160+1,0)</f>
        <v/>
      </c>
      <c r="C159" s="2">
        <f>INDEX(B$2:B$177,C158+1,1)+C158+1</f>
        <v/>
      </c>
      <c r="D159" s="61">
        <f>INDEX(ЗаданияОсень,C159,1)</f>
        <v/>
      </c>
      <c r="E159" s="58">
        <f>TRIM(CLEAN(INDEX(ЗаданияОсень,ROW(E159)-1,2)))</f>
        <v/>
      </c>
      <c r="F159" s="59">
        <f>IF(OR(E159="",COUNTIF(E$2:E159,E159)&gt;1),F160+1,0)</f>
        <v/>
      </c>
      <c r="G159" s="2">
        <f>INDEX(F$2:F$177,G158+1,1)+G158+1</f>
        <v/>
      </c>
      <c r="H159" s="61">
        <f>INDEX(ЗаданияОсень,G159,2)</f>
        <v/>
      </c>
      <c r="I159" s="58">
        <f>TRIM(CLEAN(INDEX(ЗаданияВесна,ROW(I159)-1,1)))</f>
        <v/>
      </c>
      <c r="J159" s="59">
        <f>IF(OR(I159="",COUNTIF(I$2:I159,I159)&gt;1),J160+1,0)</f>
        <v/>
      </c>
      <c r="K159" s="2">
        <f>INDEX(J$2:J$177,K158+1,1)+K158+1</f>
        <v/>
      </c>
      <c r="L159" s="61">
        <f>INDEX(ЗаданияВесна,K159,1)</f>
        <v/>
      </c>
      <c r="M159" s="58">
        <f>TRIM(CLEAN(INDEX(ЗаданияВесна,ROW(M159)-1,2)))</f>
        <v/>
      </c>
      <c r="N159" s="59">
        <f>IF(OR(M159="",COUNTIF(M$2:M159,M159)&gt;1),N160+1,0)</f>
        <v/>
      </c>
      <c r="O159" s="2">
        <f>INDEX(N$2:N$177,O158+1,1)+O158+1</f>
        <v/>
      </c>
      <c r="P159" s="61">
        <f>INDEX(ЗаданияВесна,O159,2)</f>
        <v/>
      </c>
    </row>
    <row r="160">
      <c r="A160" s="58">
        <f>TRIM(CLEAN(INDEX(ЗаданияОсень,ROW(A160)-1,1)))</f>
        <v/>
      </c>
      <c r="B160" s="59">
        <f>IF(OR(A160="",COUNTIF(A$2:A160,A160)&gt;1),B161+1,0)</f>
        <v/>
      </c>
      <c r="C160" s="2">
        <f>INDEX(B$2:B$177,C159+1,1)+C159+1</f>
        <v/>
      </c>
      <c r="D160" s="61">
        <f>INDEX(ЗаданияОсень,C160,1)</f>
        <v/>
      </c>
      <c r="E160" s="58">
        <f>TRIM(CLEAN(INDEX(ЗаданияОсень,ROW(E160)-1,2)))</f>
        <v/>
      </c>
      <c r="F160" s="59">
        <f>IF(OR(E160="",COUNTIF(E$2:E160,E160)&gt;1),F161+1,0)</f>
        <v/>
      </c>
      <c r="G160" s="2">
        <f>INDEX(F$2:F$177,G159+1,1)+G159+1</f>
        <v/>
      </c>
      <c r="H160" s="61">
        <f>INDEX(ЗаданияОсень,G160,2)</f>
        <v/>
      </c>
      <c r="I160" s="58">
        <f>TRIM(CLEAN(INDEX(ЗаданияВесна,ROW(I160)-1,1)))</f>
        <v/>
      </c>
      <c r="J160" s="59">
        <f>IF(OR(I160="",COUNTIF(I$2:I160,I160)&gt;1),J161+1,0)</f>
        <v/>
      </c>
      <c r="K160" s="2">
        <f>INDEX(J$2:J$177,K159+1,1)+K159+1</f>
        <v/>
      </c>
      <c r="L160" s="61">
        <f>INDEX(ЗаданияВесна,K160,1)</f>
        <v/>
      </c>
      <c r="M160" s="58">
        <f>TRIM(CLEAN(INDEX(ЗаданияВесна,ROW(M160)-1,2)))</f>
        <v/>
      </c>
      <c r="N160" s="59">
        <f>IF(OR(M160="",COUNTIF(M$2:M160,M160)&gt;1),N161+1,0)</f>
        <v/>
      </c>
      <c r="O160" s="2">
        <f>INDEX(N$2:N$177,O159+1,1)+O159+1</f>
        <v/>
      </c>
      <c r="P160" s="61">
        <f>INDEX(ЗаданияВесна,O160,2)</f>
        <v/>
      </c>
    </row>
    <row r="161">
      <c r="A161" s="58">
        <f>TRIM(CLEAN(INDEX(ЗаданияОсень,ROW(A161)-1,1)))</f>
        <v/>
      </c>
      <c r="B161" s="59">
        <f>IF(OR(A161="",COUNTIF(A$2:A161,A161)&gt;1),B162+1,0)</f>
        <v/>
      </c>
      <c r="C161" s="2">
        <f>INDEX(B$2:B$177,C160+1,1)+C160+1</f>
        <v/>
      </c>
      <c r="D161" s="61">
        <f>INDEX(ЗаданияОсень,C161,1)</f>
        <v/>
      </c>
      <c r="E161" s="58">
        <f>TRIM(CLEAN(INDEX(ЗаданияОсень,ROW(E161)-1,2)))</f>
        <v/>
      </c>
      <c r="F161" s="59">
        <f>IF(OR(E161="",COUNTIF(E$2:E161,E161)&gt;1),F162+1,0)</f>
        <v/>
      </c>
      <c r="G161" s="2">
        <f>INDEX(F$2:F$177,G160+1,1)+G160+1</f>
        <v/>
      </c>
      <c r="H161" s="61">
        <f>INDEX(ЗаданияОсень,G161,2)</f>
        <v/>
      </c>
      <c r="I161" s="58">
        <f>TRIM(CLEAN(INDEX(ЗаданияВесна,ROW(I161)-1,1)))</f>
        <v/>
      </c>
      <c r="J161" s="59">
        <f>IF(OR(I161="",COUNTIF(I$2:I161,I161)&gt;1),J162+1,0)</f>
        <v/>
      </c>
      <c r="K161" s="2">
        <f>INDEX(J$2:J$177,K160+1,1)+K160+1</f>
        <v/>
      </c>
      <c r="L161" s="61">
        <f>INDEX(ЗаданияВесна,K161,1)</f>
        <v/>
      </c>
      <c r="M161" s="58">
        <f>TRIM(CLEAN(INDEX(ЗаданияВесна,ROW(M161)-1,2)))</f>
        <v/>
      </c>
      <c r="N161" s="59">
        <f>IF(OR(M161="",COUNTIF(M$2:M161,M161)&gt;1),N162+1,0)</f>
        <v/>
      </c>
      <c r="O161" s="2">
        <f>INDEX(N$2:N$177,O160+1,1)+O160+1</f>
        <v/>
      </c>
      <c r="P161" s="61">
        <f>INDEX(ЗаданияВесна,O161,2)</f>
        <v/>
      </c>
    </row>
    <row r="162">
      <c r="A162" s="58">
        <f>TRIM(CLEAN(INDEX(ЗаданияОсень,ROW(A162)-1,1)))</f>
        <v/>
      </c>
      <c r="B162" s="59">
        <f>IF(OR(A162="",COUNTIF(A$2:A162,A162)&gt;1),B163+1,0)</f>
        <v/>
      </c>
      <c r="C162" s="2">
        <f>INDEX(B$2:B$177,C161+1,1)+C161+1</f>
        <v/>
      </c>
      <c r="D162" s="61">
        <f>INDEX(ЗаданияОсень,C162,1)</f>
        <v/>
      </c>
      <c r="E162" s="58">
        <f>TRIM(CLEAN(INDEX(ЗаданияОсень,ROW(E162)-1,2)))</f>
        <v/>
      </c>
      <c r="F162" s="59">
        <f>IF(OR(E162="",COUNTIF(E$2:E162,E162)&gt;1),F163+1,0)</f>
        <v/>
      </c>
      <c r="G162" s="2">
        <f>INDEX(F$2:F$177,G161+1,1)+G161+1</f>
        <v/>
      </c>
      <c r="H162" s="61">
        <f>INDEX(ЗаданияОсень,G162,2)</f>
        <v/>
      </c>
      <c r="I162" s="58">
        <f>TRIM(CLEAN(INDEX(ЗаданияВесна,ROW(I162)-1,1)))</f>
        <v/>
      </c>
      <c r="J162" s="59">
        <f>IF(OR(I162="",COUNTIF(I$2:I162,I162)&gt;1),J163+1,0)</f>
        <v/>
      </c>
      <c r="K162" s="2">
        <f>INDEX(J$2:J$177,K161+1,1)+K161+1</f>
        <v/>
      </c>
      <c r="L162" s="61">
        <f>INDEX(ЗаданияВесна,K162,1)</f>
        <v/>
      </c>
      <c r="M162" s="58">
        <f>TRIM(CLEAN(INDEX(ЗаданияВесна,ROW(M162)-1,2)))</f>
        <v/>
      </c>
      <c r="N162" s="59">
        <f>IF(OR(M162="",COUNTIF(M$2:M162,M162)&gt;1),N163+1,0)</f>
        <v/>
      </c>
      <c r="O162" s="2">
        <f>INDEX(N$2:N$177,O161+1,1)+O161+1</f>
        <v/>
      </c>
      <c r="P162" s="61">
        <f>INDEX(ЗаданияВесна,O162,2)</f>
        <v/>
      </c>
    </row>
    <row r="163">
      <c r="A163" s="58">
        <f>TRIM(CLEAN(INDEX(ЗаданияОсень,ROW(A163)-1,1)))</f>
        <v/>
      </c>
      <c r="B163" s="59">
        <f>IF(OR(A163="",COUNTIF(A$2:A163,A163)&gt;1),B164+1,0)</f>
        <v/>
      </c>
      <c r="C163" s="2">
        <f>INDEX(B$2:B$177,C162+1,1)+C162+1</f>
        <v/>
      </c>
      <c r="D163" s="61">
        <f>INDEX(ЗаданияОсень,C163,1)</f>
        <v/>
      </c>
      <c r="E163" s="58">
        <f>TRIM(CLEAN(INDEX(ЗаданияОсень,ROW(E163)-1,2)))</f>
        <v/>
      </c>
      <c r="F163" s="59">
        <f>IF(OR(E163="",COUNTIF(E$2:E163,E163)&gt;1),F164+1,0)</f>
        <v/>
      </c>
      <c r="G163" s="2">
        <f>INDEX(F$2:F$177,G162+1,1)+G162+1</f>
        <v/>
      </c>
      <c r="H163" s="61">
        <f>INDEX(ЗаданияОсень,G163,2)</f>
        <v/>
      </c>
      <c r="I163" s="58">
        <f>TRIM(CLEAN(INDEX(ЗаданияВесна,ROW(I163)-1,1)))</f>
        <v/>
      </c>
      <c r="J163" s="59">
        <f>IF(OR(I163="",COUNTIF(I$2:I163,I163)&gt;1),J164+1,0)</f>
        <v/>
      </c>
      <c r="K163" s="2">
        <f>INDEX(J$2:J$177,K162+1,1)+K162+1</f>
        <v/>
      </c>
      <c r="L163" s="61">
        <f>INDEX(ЗаданияВесна,K163,1)</f>
        <v/>
      </c>
      <c r="M163" s="58">
        <f>TRIM(CLEAN(INDEX(ЗаданияВесна,ROW(M163)-1,2)))</f>
        <v/>
      </c>
      <c r="N163" s="59">
        <f>IF(OR(M163="",COUNTIF(M$2:M163,M163)&gt;1),N164+1,0)</f>
        <v/>
      </c>
      <c r="O163" s="2">
        <f>INDEX(N$2:N$177,O162+1,1)+O162+1</f>
        <v/>
      </c>
      <c r="P163" s="61">
        <f>INDEX(ЗаданияВесна,O163,2)</f>
        <v/>
      </c>
    </row>
    <row r="164">
      <c r="A164" s="58">
        <f>TRIM(CLEAN(INDEX(ЗаданияОсень,ROW(A164)-1,1)))</f>
        <v/>
      </c>
      <c r="B164" s="59">
        <f>IF(OR(A164="",COUNTIF(A$2:A164,A164)&gt;1),B165+1,0)</f>
        <v/>
      </c>
      <c r="C164" s="2">
        <f>INDEX(B$2:B$177,C163+1,1)+C163+1</f>
        <v/>
      </c>
      <c r="D164" s="61">
        <f>INDEX(ЗаданияОсень,C164,1)</f>
        <v/>
      </c>
      <c r="E164" s="58">
        <f>TRIM(CLEAN(INDEX(ЗаданияОсень,ROW(E164)-1,2)))</f>
        <v/>
      </c>
      <c r="F164" s="59">
        <f>IF(OR(E164="",COUNTIF(E$2:E164,E164)&gt;1),F165+1,0)</f>
        <v/>
      </c>
      <c r="G164" s="2">
        <f>INDEX(F$2:F$177,G163+1,1)+G163+1</f>
        <v/>
      </c>
      <c r="H164" s="61">
        <f>INDEX(ЗаданияОсень,G164,2)</f>
        <v/>
      </c>
      <c r="I164" s="58">
        <f>TRIM(CLEAN(INDEX(ЗаданияВесна,ROW(I164)-1,1)))</f>
        <v/>
      </c>
      <c r="J164" s="59">
        <f>IF(OR(I164="",COUNTIF(I$2:I164,I164)&gt;1),J165+1,0)</f>
        <v/>
      </c>
      <c r="K164" s="2">
        <f>INDEX(J$2:J$177,K163+1,1)+K163+1</f>
        <v/>
      </c>
      <c r="L164" s="61">
        <f>INDEX(ЗаданияВесна,K164,1)</f>
        <v/>
      </c>
      <c r="M164" s="58">
        <f>TRIM(CLEAN(INDEX(ЗаданияВесна,ROW(M164)-1,2)))</f>
        <v/>
      </c>
      <c r="N164" s="59">
        <f>IF(OR(M164="",COUNTIF(M$2:M164,M164)&gt;1),N165+1,0)</f>
        <v/>
      </c>
      <c r="O164" s="2">
        <f>INDEX(N$2:N$177,O163+1,1)+O163+1</f>
        <v/>
      </c>
      <c r="P164" s="61">
        <f>INDEX(ЗаданияВесна,O164,2)</f>
        <v/>
      </c>
    </row>
    <row r="165">
      <c r="A165" s="58">
        <f>TRIM(CLEAN(INDEX(ЗаданияОсень,ROW(A165)-1,1)))</f>
        <v/>
      </c>
      <c r="B165" s="59">
        <f>IF(OR(A165="",COUNTIF(A$2:A165,A165)&gt;1),B166+1,0)</f>
        <v/>
      </c>
      <c r="C165" s="2">
        <f>INDEX(B$2:B$177,C164+1,1)+C164+1</f>
        <v/>
      </c>
      <c r="D165" s="61">
        <f>INDEX(ЗаданияОсень,C165,1)</f>
        <v/>
      </c>
      <c r="E165" s="58">
        <f>TRIM(CLEAN(INDEX(ЗаданияОсень,ROW(E165)-1,2)))</f>
        <v/>
      </c>
      <c r="F165" s="59">
        <f>IF(OR(E165="",COUNTIF(E$2:E165,E165)&gt;1),F166+1,0)</f>
        <v/>
      </c>
      <c r="G165" s="2">
        <f>INDEX(F$2:F$177,G164+1,1)+G164+1</f>
        <v/>
      </c>
      <c r="H165" s="61">
        <f>INDEX(ЗаданияОсень,G165,2)</f>
        <v/>
      </c>
      <c r="I165" s="58">
        <f>TRIM(CLEAN(INDEX(ЗаданияВесна,ROW(I165)-1,1)))</f>
        <v/>
      </c>
      <c r="J165" s="59">
        <f>IF(OR(I165="",COUNTIF(I$2:I165,I165)&gt;1),J166+1,0)</f>
        <v/>
      </c>
      <c r="K165" s="2">
        <f>INDEX(J$2:J$177,K164+1,1)+K164+1</f>
        <v/>
      </c>
      <c r="L165" s="61">
        <f>INDEX(ЗаданияВесна,K165,1)</f>
        <v/>
      </c>
      <c r="M165" s="58">
        <f>TRIM(CLEAN(INDEX(ЗаданияВесна,ROW(M165)-1,2)))</f>
        <v/>
      </c>
      <c r="N165" s="59">
        <f>IF(OR(M165="",COUNTIF(M$2:M165,M165)&gt;1),N166+1,0)</f>
        <v/>
      </c>
      <c r="O165" s="2">
        <f>INDEX(N$2:N$177,O164+1,1)+O164+1</f>
        <v/>
      </c>
      <c r="P165" s="61">
        <f>INDEX(ЗаданияВесна,O165,2)</f>
        <v/>
      </c>
    </row>
    <row r="166">
      <c r="A166" s="58">
        <f>TRIM(CLEAN(INDEX(ЗаданияОсень,ROW(A166)-1,1)))</f>
        <v/>
      </c>
      <c r="B166" s="59">
        <f>IF(OR(A166="",COUNTIF(A$2:A166,A166)&gt;1),B167+1,0)</f>
        <v/>
      </c>
      <c r="C166" s="2">
        <f>INDEX(B$2:B$177,C165+1,1)+C165+1</f>
        <v/>
      </c>
      <c r="D166" s="61">
        <f>INDEX(ЗаданияОсень,C166,1)</f>
        <v/>
      </c>
      <c r="E166" s="58">
        <f>TRIM(CLEAN(INDEX(ЗаданияОсень,ROW(E166)-1,2)))</f>
        <v/>
      </c>
      <c r="F166" s="59">
        <f>IF(OR(E166="",COUNTIF(E$2:E166,E166)&gt;1),F167+1,0)</f>
        <v/>
      </c>
      <c r="G166" s="2">
        <f>INDEX(F$2:F$177,G165+1,1)+G165+1</f>
        <v/>
      </c>
      <c r="H166" s="61">
        <f>INDEX(ЗаданияОсень,G166,2)</f>
        <v/>
      </c>
      <c r="I166" s="58">
        <f>TRIM(CLEAN(INDEX(ЗаданияВесна,ROW(I166)-1,1)))</f>
        <v/>
      </c>
      <c r="J166" s="59">
        <f>IF(OR(I166="",COUNTIF(I$2:I166,I166)&gt;1),J167+1,0)</f>
        <v/>
      </c>
      <c r="K166" s="2">
        <f>INDEX(J$2:J$177,K165+1,1)+K165+1</f>
        <v/>
      </c>
      <c r="L166" s="61">
        <f>INDEX(ЗаданияВесна,K166,1)</f>
        <v/>
      </c>
      <c r="M166" s="58">
        <f>TRIM(CLEAN(INDEX(ЗаданияВесна,ROW(M166)-1,2)))</f>
        <v/>
      </c>
      <c r="N166" s="59">
        <f>IF(OR(M166="",COUNTIF(M$2:M166,M166)&gt;1),N167+1,0)</f>
        <v/>
      </c>
      <c r="O166" s="2">
        <f>INDEX(N$2:N$177,O165+1,1)+O165+1</f>
        <v/>
      </c>
      <c r="P166" s="61">
        <f>INDEX(ЗаданияВесна,O166,2)</f>
        <v/>
      </c>
    </row>
    <row r="167">
      <c r="A167" s="58">
        <f>TRIM(CLEAN(INDEX(ЗаданияОсень,ROW(A167)-1,1)))</f>
        <v/>
      </c>
      <c r="B167" s="59">
        <f>IF(OR(A167="",COUNTIF(A$2:A167,A167)&gt;1),B168+1,0)</f>
        <v/>
      </c>
      <c r="C167" s="2">
        <f>INDEX(B$2:B$177,C166+1,1)+C166+1</f>
        <v/>
      </c>
      <c r="D167" s="61">
        <f>INDEX(ЗаданияОсень,C167,1)</f>
        <v/>
      </c>
      <c r="E167" s="58">
        <f>TRIM(CLEAN(INDEX(ЗаданияОсень,ROW(E167)-1,2)))</f>
        <v/>
      </c>
      <c r="F167" s="59">
        <f>IF(OR(E167="",COUNTIF(E$2:E167,E167)&gt;1),F168+1,0)</f>
        <v/>
      </c>
      <c r="G167" s="2">
        <f>INDEX(F$2:F$177,G166+1,1)+G166+1</f>
        <v/>
      </c>
      <c r="H167" s="61">
        <f>INDEX(ЗаданияОсень,G167,2)</f>
        <v/>
      </c>
      <c r="I167" s="58">
        <f>TRIM(CLEAN(INDEX(ЗаданияВесна,ROW(I167)-1,1)))</f>
        <v/>
      </c>
      <c r="J167" s="59">
        <f>IF(OR(I167="",COUNTIF(I$2:I167,I167)&gt;1),J168+1,0)</f>
        <v/>
      </c>
      <c r="K167" s="2">
        <f>INDEX(J$2:J$177,K166+1,1)+K166+1</f>
        <v/>
      </c>
      <c r="L167" s="61">
        <f>INDEX(ЗаданияВесна,K167,1)</f>
        <v/>
      </c>
      <c r="M167" s="58">
        <f>TRIM(CLEAN(INDEX(ЗаданияВесна,ROW(M167)-1,2)))</f>
        <v/>
      </c>
      <c r="N167" s="59">
        <f>IF(OR(M167="",COUNTIF(M$2:M167,M167)&gt;1),N168+1,0)</f>
        <v/>
      </c>
      <c r="O167" s="2">
        <f>INDEX(N$2:N$177,O166+1,1)+O166+1</f>
        <v/>
      </c>
      <c r="P167" s="61">
        <f>INDEX(ЗаданияВесна,O167,2)</f>
        <v/>
      </c>
    </row>
    <row r="168">
      <c r="A168" s="58">
        <f>TRIM(CLEAN(INDEX(ЗаданияОсень,ROW(A168)-1,1)))</f>
        <v/>
      </c>
      <c r="B168" s="59">
        <f>IF(OR(A168="",COUNTIF(A$2:A168,A168)&gt;1),B169+1,0)</f>
        <v/>
      </c>
      <c r="C168" s="2">
        <f>INDEX(B$2:B$177,C167+1,1)+C167+1</f>
        <v/>
      </c>
      <c r="D168" s="61">
        <f>INDEX(ЗаданияОсень,C168,1)</f>
        <v/>
      </c>
      <c r="E168" s="58">
        <f>TRIM(CLEAN(INDEX(ЗаданияОсень,ROW(E168)-1,2)))</f>
        <v/>
      </c>
      <c r="F168" s="59">
        <f>IF(OR(E168="",COUNTIF(E$2:E168,E168)&gt;1),F169+1,0)</f>
        <v/>
      </c>
      <c r="G168" s="2">
        <f>INDEX(F$2:F$177,G167+1,1)+G167+1</f>
        <v/>
      </c>
      <c r="H168" s="61">
        <f>INDEX(ЗаданияОсень,G168,2)</f>
        <v/>
      </c>
      <c r="I168" s="58">
        <f>TRIM(CLEAN(INDEX(ЗаданияВесна,ROW(I168)-1,1)))</f>
        <v/>
      </c>
      <c r="J168" s="59">
        <f>IF(OR(I168="",COUNTIF(I$2:I168,I168)&gt;1),J169+1,0)</f>
        <v/>
      </c>
      <c r="K168" s="2">
        <f>INDEX(J$2:J$177,K167+1,1)+K167+1</f>
        <v/>
      </c>
      <c r="L168" s="61">
        <f>INDEX(ЗаданияВесна,K168,1)</f>
        <v/>
      </c>
      <c r="M168" s="58">
        <f>TRIM(CLEAN(INDEX(ЗаданияВесна,ROW(M168)-1,2)))</f>
        <v/>
      </c>
      <c r="N168" s="59">
        <f>IF(OR(M168="",COUNTIF(M$2:M168,M168)&gt;1),N169+1,0)</f>
        <v/>
      </c>
      <c r="O168" s="2">
        <f>INDEX(N$2:N$177,O167+1,1)+O167+1</f>
        <v/>
      </c>
      <c r="P168" s="61">
        <f>INDEX(ЗаданияВесна,O168,2)</f>
        <v/>
      </c>
    </row>
    <row r="169">
      <c r="A169" s="58">
        <f>TRIM(CLEAN(INDEX(ЗаданияОсень,ROW(A169)-1,1)))</f>
        <v/>
      </c>
      <c r="B169" s="59">
        <f>IF(OR(A169="",COUNTIF(A$2:A169,A169)&gt;1),B170+1,0)</f>
        <v/>
      </c>
      <c r="C169" s="2">
        <f>INDEX(B$2:B$177,C168+1,1)+C168+1</f>
        <v/>
      </c>
      <c r="D169" s="61">
        <f>INDEX(ЗаданияОсень,C169,1)</f>
        <v/>
      </c>
      <c r="E169" s="58">
        <f>TRIM(CLEAN(INDEX(ЗаданияОсень,ROW(E169)-1,2)))</f>
        <v/>
      </c>
      <c r="F169" s="59">
        <f>IF(OR(E169="",COUNTIF(E$2:E169,E169)&gt;1),F170+1,0)</f>
        <v/>
      </c>
      <c r="G169" s="2">
        <f>INDEX(F$2:F$177,G168+1,1)+G168+1</f>
        <v/>
      </c>
      <c r="H169" s="61">
        <f>INDEX(ЗаданияОсень,G169,2)</f>
        <v/>
      </c>
      <c r="I169" s="58">
        <f>TRIM(CLEAN(INDEX(ЗаданияВесна,ROW(I169)-1,1)))</f>
        <v/>
      </c>
      <c r="J169" s="59">
        <f>IF(OR(I169="",COUNTIF(I$2:I169,I169)&gt;1),J170+1,0)</f>
        <v/>
      </c>
      <c r="K169" s="2">
        <f>INDEX(J$2:J$177,K168+1,1)+K168+1</f>
        <v/>
      </c>
      <c r="L169" s="61">
        <f>INDEX(ЗаданияВесна,K169,1)</f>
        <v/>
      </c>
      <c r="M169" s="58">
        <f>TRIM(CLEAN(INDEX(ЗаданияВесна,ROW(M169)-1,2)))</f>
        <v/>
      </c>
      <c r="N169" s="59">
        <f>IF(OR(M169="",COUNTIF(M$2:M169,M169)&gt;1),N170+1,0)</f>
        <v/>
      </c>
      <c r="O169" s="2">
        <f>INDEX(N$2:N$177,O168+1,1)+O168+1</f>
        <v/>
      </c>
      <c r="P169" s="61">
        <f>INDEX(ЗаданияВесна,O169,2)</f>
        <v/>
      </c>
    </row>
    <row r="170">
      <c r="A170" s="58">
        <f>TRIM(CLEAN(INDEX(ЗаданияОсень,ROW(A170)-1,1)))</f>
        <v/>
      </c>
      <c r="B170" s="59">
        <f>IF(OR(A170="",COUNTIF(A$2:A170,A170)&gt;1),B171+1,0)</f>
        <v/>
      </c>
      <c r="C170" s="2">
        <f>INDEX(B$2:B$177,C169+1,1)+C169+1</f>
        <v/>
      </c>
      <c r="D170" s="61">
        <f>INDEX(ЗаданияОсень,C170,1)</f>
        <v/>
      </c>
      <c r="E170" s="58">
        <f>TRIM(CLEAN(INDEX(ЗаданияОсень,ROW(E170)-1,2)))</f>
        <v/>
      </c>
      <c r="F170" s="59">
        <f>IF(OR(E170="",COUNTIF(E$2:E170,E170)&gt;1),F171+1,0)</f>
        <v/>
      </c>
      <c r="G170" s="2">
        <f>INDEX(F$2:F$177,G169+1,1)+G169+1</f>
        <v/>
      </c>
      <c r="H170" s="61">
        <f>INDEX(ЗаданияОсень,G170,2)</f>
        <v/>
      </c>
      <c r="I170" s="58">
        <f>TRIM(CLEAN(INDEX(ЗаданияВесна,ROW(I170)-1,1)))</f>
        <v/>
      </c>
      <c r="J170" s="59">
        <f>IF(OR(I170="",COUNTIF(I$2:I170,I170)&gt;1),J171+1,0)</f>
        <v/>
      </c>
      <c r="K170" s="2">
        <f>INDEX(J$2:J$177,K169+1,1)+K169+1</f>
        <v/>
      </c>
      <c r="L170" s="61">
        <f>INDEX(ЗаданияВесна,K170,1)</f>
        <v/>
      </c>
      <c r="M170" s="58">
        <f>TRIM(CLEAN(INDEX(ЗаданияВесна,ROW(M170)-1,2)))</f>
        <v/>
      </c>
      <c r="N170" s="59">
        <f>IF(OR(M170="",COUNTIF(M$2:M170,M170)&gt;1),N171+1,0)</f>
        <v/>
      </c>
      <c r="O170" s="2">
        <f>INDEX(N$2:N$177,O169+1,1)+O169+1</f>
        <v/>
      </c>
      <c r="P170" s="61">
        <f>INDEX(ЗаданияВесна,O170,2)</f>
        <v/>
      </c>
    </row>
    <row r="171">
      <c r="A171" s="58">
        <f>TRIM(CLEAN(INDEX(ЗаданияОсень,ROW(A171)-1,1)))</f>
        <v/>
      </c>
      <c r="B171" s="59">
        <f>IF(OR(A171="",COUNTIF(A$2:A171,A171)&gt;1),B172+1,0)</f>
        <v/>
      </c>
      <c r="C171" s="2">
        <f>INDEX(B$2:B$177,C170+1,1)+C170+1</f>
        <v/>
      </c>
      <c r="D171" s="61">
        <f>INDEX(ЗаданияОсень,C171,1)</f>
        <v/>
      </c>
      <c r="E171" s="58">
        <f>TRIM(CLEAN(INDEX(ЗаданияОсень,ROW(E171)-1,2)))</f>
        <v/>
      </c>
      <c r="F171" s="59">
        <f>IF(OR(E171="",COUNTIF(E$2:E171,E171)&gt;1),F172+1,0)</f>
        <v/>
      </c>
      <c r="G171" s="2">
        <f>INDEX(F$2:F$177,G170+1,1)+G170+1</f>
        <v/>
      </c>
      <c r="H171" s="61">
        <f>INDEX(ЗаданияОсень,G171,2)</f>
        <v/>
      </c>
      <c r="I171" s="58">
        <f>TRIM(CLEAN(INDEX(ЗаданияВесна,ROW(I171)-1,1)))</f>
        <v/>
      </c>
      <c r="J171" s="59">
        <f>IF(OR(I171="",COUNTIF(I$2:I171,I171)&gt;1),J172+1,0)</f>
        <v/>
      </c>
      <c r="K171" s="2">
        <f>INDEX(J$2:J$177,K170+1,1)+K170+1</f>
        <v/>
      </c>
      <c r="L171" s="61">
        <f>INDEX(ЗаданияВесна,K171,1)</f>
        <v/>
      </c>
      <c r="M171" s="58">
        <f>TRIM(CLEAN(INDEX(ЗаданияВесна,ROW(M171)-1,2)))</f>
        <v/>
      </c>
      <c r="N171" s="59">
        <f>IF(OR(M171="",COUNTIF(M$2:M171,M171)&gt;1),N172+1,0)</f>
        <v/>
      </c>
      <c r="O171" s="2">
        <f>INDEX(N$2:N$177,O170+1,1)+O170+1</f>
        <v/>
      </c>
      <c r="P171" s="61">
        <f>INDEX(ЗаданияВесна,O171,2)</f>
        <v/>
      </c>
    </row>
    <row r="172">
      <c r="A172" s="58">
        <f>TRIM(CLEAN(INDEX(ЗаданияОсень,ROW(A172)-1,1)))</f>
        <v/>
      </c>
      <c r="B172" s="59">
        <f>IF(OR(A172="",COUNTIF(A$2:A172,A172)&gt;1),B173+1,0)</f>
        <v/>
      </c>
      <c r="C172" s="2">
        <f>INDEX(B$2:B$177,C171+1,1)+C171+1</f>
        <v/>
      </c>
      <c r="D172" s="61">
        <f>INDEX(ЗаданияОсень,C172,1)</f>
        <v/>
      </c>
      <c r="E172" s="58">
        <f>TRIM(CLEAN(INDEX(ЗаданияОсень,ROW(E172)-1,2)))</f>
        <v/>
      </c>
      <c r="F172" s="59">
        <f>IF(OR(E172="",COUNTIF(E$2:E172,E172)&gt;1),F173+1,0)</f>
        <v/>
      </c>
      <c r="G172" s="2">
        <f>INDEX(F$2:F$177,G171+1,1)+G171+1</f>
        <v/>
      </c>
      <c r="H172" s="61">
        <f>INDEX(ЗаданияОсень,G172,2)</f>
        <v/>
      </c>
      <c r="I172" s="58">
        <f>TRIM(CLEAN(INDEX(ЗаданияВесна,ROW(I172)-1,1)))</f>
        <v/>
      </c>
      <c r="J172" s="59">
        <f>IF(OR(I172="",COUNTIF(I$2:I172,I172)&gt;1),J173+1,0)</f>
        <v/>
      </c>
      <c r="K172" s="2">
        <f>INDEX(J$2:J$177,K171+1,1)+K171+1</f>
        <v/>
      </c>
      <c r="L172" s="61">
        <f>INDEX(ЗаданияВесна,K172,1)</f>
        <v/>
      </c>
      <c r="M172" s="58">
        <f>TRIM(CLEAN(INDEX(ЗаданияВесна,ROW(M172)-1,2)))</f>
        <v/>
      </c>
      <c r="N172" s="59">
        <f>IF(OR(M172="",COUNTIF(M$2:M172,M172)&gt;1),N173+1,0)</f>
        <v/>
      </c>
      <c r="O172" s="2">
        <f>INDEX(N$2:N$177,O171+1,1)+O171+1</f>
        <v/>
      </c>
      <c r="P172" s="61">
        <f>INDEX(ЗаданияВесна,O172,2)</f>
        <v/>
      </c>
    </row>
    <row r="173">
      <c r="A173" s="58">
        <f>TRIM(CLEAN(INDEX(ЗаданияОсень,ROW(A173)-1,1)))</f>
        <v/>
      </c>
      <c r="B173" s="59">
        <f>IF(OR(A173="",COUNTIF(A$2:A173,A173)&gt;1),B174+1,0)</f>
        <v/>
      </c>
      <c r="C173" s="2">
        <f>INDEX(B$2:B$177,C172+1,1)+C172+1</f>
        <v/>
      </c>
      <c r="D173" s="61">
        <f>INDEX(ЗаданияОсень,C173,1)</f>
        <v/>
      </c>
      <c r="E173" s="58">
        <f>TRIM(CLEAN(INDEX(ЗаданияОсень,ROW(E173)-1,2)))</f>
        <v/>
      </c>
      <c r="F173" s="59">
        <f>IF(OR(E173="",COUNTIF(E$2:E173,E173)&gt;1),F174+1,0)</f>
        <v/>
      </c>
      <c r="G173" s="2">
        <f>INDEX(F$2:F$177,G172+1,1)+G172+1</f>
        <v/>
      </c>
      <c r="H173" s="61">
        <f>INDEX(ЗаданияОсень,G173,2)</f>
        <v/>
      </c>
      <c r="I173" s="58">
        <f>TRIM(CLEAN(INDEX(ЗаданияВесна,ROW(I173)-1,1)))</f>
        <v/>
      </c>
      <c r="J173" s="59">
        <f>IF(OR(I173="",COUNTIF(I$2:I173,I173)&gt;1),J174+1,0)</f>
        <v/>
      </c>
      <c r="K173" s="2">
        <f>INDEX(J$2:J$177,K172+1,1)+K172+1</f>
        <v/>
      </c>
      <c r="L173" s="61">
        <f>INDEX(ЗаданияВесна,K173,1)</f>
        <v/>
      </c>
      <c r="M173" s="58">
        <f>TRIM(CLEAN(INDEX(ЗаданияВесна,ROW(M173)-1,2)))</f>
        <v/>
      </c>
      <c r="N173" s="59">
        <f>IF(OR(M173="",COUNTIF(M$2:M173,M173)&gt;1),N174+1,0)</f>
        <v/>
      </c>
      <c r="O173" s="2">
        <f>INDEX(N$2:N$177,O172+1,1)+O172+1</f>
        <v/>
      </c>
      <c r="P173" s="61">
        <f>INDEX(ЗаданияВесна,O173,2)</f>
        <v/>
      </c>
    </row>
    <row r="174">
      <c r="A174" s="58">
        <f>TRIM(CLEAN(INDEX(ЗаданияОсень,ROW(A174)-1,1)))</f>
        <v/>
      </c>
      <c r="B174" s="59">
        <f>IF(OR(A174="",COUNTIF(A$2:A174,A174)&gt;1),B175+1,0)</f>
        <v/>
      </c>
      <c r="C174" s="2">
        <f>INDEX(B$2:B$177,C173+1,1)+C173+1</f>
        <v/>
      </c>
      <c r="D174" s="61">
        <f>INDEX(ЗаданияОсень,C174,1)</f>
        <v/>
      </c>
      <c r="E174" s="58">
        <f>TRIM(CLEAN(INDEX(ЗаданияОсень,ROW(E174)-1,2)))</f>
        <v/>
      </c>
      <c r="F174" s="59">
        <f>IF(OR(E174="",COUNTIF(E$2:E174,E174)&gt;1),F175+1,0)</f>
        <v/>
      </c>
      <c r="G174" s="2">
        <f>INDEX(F$2:F$177,G173+1,1)+G173+1</f>
        <v/>
      </c>
      <c r="H174" s="61">
        <f>INDEX(ЗаданияОсень,G174,2)</f>
        <v/>
      </c>
      <c r="I174" s="58">
        <f>TRIM(CLEAN(INDEX(ЗаданияВесна,ROW(I174)-1,1)))</f>
        <v/>
      </c>
      <c r="J174" s="59">
        <f>IF(OR(I174="",COUNTIF(I$2:I174,I174)&gt;1),J175+1,0)</f>
        <v/>
      </c>
      <c r="K174" s="2">
        <f>INDEX(J$2:J$177,K173+1,1)+K173+1</f>
        <v/>
      </c>
      <c r="L174" s="61">
        <f>INDEX(ЗаданияВесна,K174,1)</f>
        <v/>
      </c>
      <c r="M174" s="58">
        <f>TRIM(CLEAN(INDEX(ЗаданияВесна,ROW(M174)-1,2)))</f>
        <v/>
      </c>
      <c r="N174" s="59">
        <f>IF(OR(M174="",COUNTIF(M$2:M174,M174)&gt;1),N175+1,0)</f>
        <v/>
      </c>
      <c r="O174" s="2">
        <f>INDEX(N$2:N$177,O173+1,1)+O173+1</f>
        <v/>
      </c>
      <c r="P174" s="61">
        <f>INDEX(ЗаданияВесна,O174,2)</f>
        <v/>
      </c>
    </row>
    <row r="175">
      <c r="A175" s="58">
        <f>TRIM(CLEAN(INDEX(ЗаданияОсень,ROW(A175)-1,1)))</f>
        <v/>
      </c>
      <c r="B175" s="59">
        <f>IF(OR(A175="",COUNTIF(A$2:A175,A175)&gt;1),B176+1,0)</f>
        <v/>
      </c>
      <c r="C175" s="2">
        <f>INDEX(B$2:B$177,C174+1,1)+C174+1</f>
        <v/>
      </c>
      <c r="D175" s="61">
        <f>INDEX(ЗаданияОсень,C175,1)</f>
        <v/>
      </c>
      <c r="E175" s="58">
        <f>TRIM(CLEAN(INDEX(ЗаданияОсень,ROW(E175)-1,2)))</f>
        <v/>
      </c>
      <c r="F175" s="59">
        <f>IF(OR(E175="",COUNTIF(E$2:E175,E175)&gt;1),F176+1,0)</f>
        <v/>
      </c>
      <c r="G175" s="2">
        <f>INDEX(F$2:F$177,G174+1,1)+G174+1</f>
        <v/>
      </c>
      <c r="H175" s="61">
        <f>INDEX(ЗаданияОсень,G175,2)</f>
        <v/>
      </c>
      <c r="I175" s="58">
        <f>TRIM(CLEAN(INDEX(ЗаданияВесна,ROW(I175)-1,1)))</f>
        <v/>
      </c>
      <c r="J175" s="59">
        <f>IF(OR(I175="",COUNTIF(I$2:I175,I175)&gt;1),J176+1,0)</f>
        <v/>
      </c>
      <c r="K175" s="2">
        <f>INDEX(J$2:J$177,K174+1,1)+K174+1</f>
        <v/>
      </c>
      <c r="L175" s="61">
        <f>INDEX(ЗаданияВесна,K175,1)</f>
        <v/>
      </c>
      <c r="M175" s="58">
        <f>TRIM(CLEAN(INDEX(ЗаданияВесна,ROW(M175)-1,2)))</f>
        <v/>
      </c>
      <c r="N175" s="59">
        <f>IF(OR(M175="",COUNTIF(M$2:M175,M175)&gt;1),N176+1,0)</f>
        <v/>
      </c>
      <c r="O175" s="2">
        <f>INDEX(N$2:N$177,O174+1,1)+O174+1</f>
        <v/>
      </c>
      <c r="P175" s="61">
        <f>INDEX(ЗаданияВесна,O175,2)</f>
        <v/>
      </c>
    </row>
    <row r="176" ht="13.8" customHeight="1" s="296" thickBot="1">
      <c r="A176" s="62" t="n"/>
      <c r="B176" s="62" t="n"/>
      <c r="C176" s="62" t="n"/>
      <c r="E176" s="62" t="n"/>
      <c r="F176" s="62" t="n"/>
      <c r="G176" s="62" t="n"/>
      <c r="I176" s="62" t="n"/>
      <c r="J176" s="62" t="n"/>
      <c r="K176" s="62" t="n"/>
      <c r="M176" s="62" t="n"/>
      <c r="N176" s="62" t="n"/>
      <c r="O176" s="62" t="n"/>
    </row>
    <row r="177" ht="13.8" customHeight="1" s="296" thickBot="1">
      <c r="A177" s="62" t="n"/>
      <c r="B177" s="63" t="n">
        <v>-1</v>
      </c>
      <c r="C177" s="64">
        <f>COUNTIF(B2:B175,0)</f>
        <v/>
      </c>
      <c r="E177" s="62" t="n"/>
      <c r="F177" s="63" t="n">
        <v>-1</v>
      </c>
      <c r="G177" s="64">
        <f>COUNTIF(F2:F175,0)</f>
        <v/>
      </c>
      <c r="I177" s="62" t="n"/>
      <c r="J177" s="63" t="n">
        <v>-1</v>
      </c>
      <c r="K177" s="64">
        <f>COUNTIF(J2:J175,0)</f>
        <v/>
      </c>
      <c r="M177" s="62" t="n"/>
      <c r="N177" s="63" t="n">
        <v>-1</v>
      </c>
      <c r="O177" s="64">
        <f>COUNTIF(N2:N175,0)</f>
        <v/>
      </c>
    </row>
  </sheetData>
  <sheetProtection selectLockedCells="0" selectUnlockedCells="0" algorithmName="SHA-512" sheet="1" objects="1" insertRows="1" insertHyperlinks="1" autoFilter="1" scenarios="1" formatColumns="1" deleteColumns="1" insertColumns="1" pivotTables="1" deleteRows="1" formatCells="1" saltValue="gvEJIGnp4ra1HosUXsDxZQ==" formatRows="1" sort="1" spinCount="100000" hashValue="jvrSvbrWcyPOKUvWVsM3evTf6jQArPCyySpEoDNki673INyds6QtJ08xoccYqLkyTNGqJnf4APzxSjCgHm0Ycw=="/>
  <pageMargins left="0.75" right="0.75" top="1" bottom="1" header="0.5" footer="0.5"/>
  <pageSetup orientation="portrait" paperSize="9"/>
</worksheet>
</file>

<file path=xl/worksheets/sheet2.xml><?xml version="1.0" encoding="utf-8"?>
<worksheet xmlns="http://schemas.openxmlformats.org/spreadsheetml/2006/main">
  <sheetPr codeName="Лист30">
    <tabColor indexed="8"/>
    <outlinePr summaryBelow="1" summaryRight="1"/>
    <pageSetUpPr fitToPage="1"/>
  </sheetPr>
  <dimension ref="A1:L124"/>
  <sheetViews>
    <sheetView topLeftCell="K1" workbookViewId="0">
      <selection activeCell="K2" sqref="K2"/>
    </sheetView>
  </sheetViews>
  <sheetFormatPr baseColWidth="8" defaultColWidth="9.109375" defaultRowHeight="13.2"/>
  <cols>
    <col hidden="1" width="23.33203125" customWidth="1" style="65" min="1" max="1"/>
    <col hidden="1" width="13.6640625" customWidth="1" style="65" min="2" max="3"/>
    <col hidden="1" width="7.33203125" customWidth="1" style="65" min="4" max="4"/>
    <col hidden="1" width="7.88671875" customWidth="1" style="65" min="5" max="7"/>
    <col hidden="1" width="68.33203125" customWidth="1" style="65" min="8" max="8"/>
    <col hidden="1" width="35" customWidth="1" style="65" min="9" max="9"/>
    <col hidden="1" width="9.109375" customWidth="1" style="65" min="10" max="10"/>
    <col width="9.109375" customWidth="1" style="65" min="11" max="16384"/>
  </cols>
  <sheetData>
    <row r="1">
      <c r="A1" s="106" t="inlineStr">
        <is>
          <t>Должность</t>
        </is>
      </c>
      <c r="B1" s="107" t="inlineStr">
        <is>
          <t>Степень</t>
        </is>
      </c>
      <c r="C1" s="107" t="inlineStr">
        <is>
          <t>Звание</t>
        </is>
      </c>
      <c r="D1" s="108" t="inlineStr">
        <is>
          <t>Код</t>
        </is>
      </c>
      <c r="E1" s="107" t="inlineStr">
        <is>
          <t>Норма</t>
        </is>
      </c>
      <c r="F1" s="106" t="inlineStr">
        <is>
          <t>Мин</t>
        </is>
      </c>
      <c r="G1" s="109" t="inlineStr">
        <is>
          <t>Макс</t>
        </is>
      </c>
      <c r="H1" s="109" t="inlineStr">
        <is>
          <t>Пояснение</t>
        </is>
      </c>
      <c r="K1" s="110" t="inlineStr">
        <is>
          <t>Служебный лист</t>
        </is>
      </c>
      <c r="L1" s="66" t="n"/>
    </row>
    <row r="2">
      <c r="A2" s="67" t="n"/>
      <c r="B2" s="68" t="n"/>
      <c r="C2" s="68" t="n"/>
      <c r="D2" s="69">
        <f>SUMIF(A$15:A$22,A2,D$15:D$22)+SUMIF(B$23:B$25,B2,D$23:D$25)+SUMIF(C$26:C$28,C2,D$26:D$28)</f>
        <v/>
      </c>
      <c r="E2" s="68">
        <f>F2</f>
        <v/>
      </c>
      <c r="F2" s="70" t="n">
        <v>0</v>
      </c>
      <c r="G2" s="71" t="n">
        <v>0</v>
      </c>
      <c r="H2" s="111" t="inlineStr">
        <is>
          <t>Никто, такого не бывает</t>
        </is>
      </c>
    </row>
    <row r="3">
      <c r="A3" s="72" t="inlineStr">
        <is>
          <t>Ассистент</t>
        </is>
      </c>
      <c r="B3" s="73" t="n"/>
      <c r="C3" s="73" t="n"/>
      <c r="D3" s="74">
        <f>SUMIF(A$15:A$22,A3,D$15:D$22)+SUMIF(B$23:B$25,B3,D$23:D$25)+SUMIF(C$26:C$28,C3,D$26:D$28)</f>
        <v/>
      </c>
      <c r="E3" s="73">
        <f>F3</f>
        <v/>
      </c>
      <c r="F3" s="75" t="n">
        <v>900</v>
      </c>
      <c r="G3" s="76" t="n">
        <v>900</v>
      </c>
      <c r="H3" s="77" t="inlineStr">
        <is>
          <t>введено 2018 г., вне зависимости от звания, степени</t>
        </is>
      </c>
    </row>
    <row r="4">
      <c r="A4" s="78" t="inlineStr">
        <is>
          <t>Преподаватель</t>
        </is>
      </c>
      <c r="D4" s="79">
        <f>SUMIF(A$15:A$22,A4,D$15:D$22)+SUMIF(B$23:B$25,B4,D$23:D$25)+SUMIF(C$26:C$28,C4,D$26:D$28)</f>
        <v/>
      </c>
      <c r="E4" s="65">
        <f>F4</f>
        <v/>
      </c>
      <c r="F4" s="80" t="n">
        <v>900</v>
      </c>
      <c r="G4" s="81" t="n">
        <v>900</v>
      </c>
      <c r="H4" s="82" t="inlineStr">
        <is>
          <t>введено 2018 г., вне зависимости от звания, степени</t>
        </is>
      </c>
    </row>
    <row r="5">
      <c r="A5" s="78" t="inlineStr">
        <is>
          <t>Старший преподаватель</t>
        </is>
      </c>
      <c r="D5" s="79">
        <f>SUMIF(A$15:A$22,A5,D$15:D$22)+SUMIF(B$23:B$25,B5,D$23:D$25)+SUMIF(C$26:C$28,C5,D$26:D$28)</f>
        <v/>
      </c>
      <c r="E5" s="65">
        <f>F5</f>
        <v/>
      </c>
      <c r="F5" s="80" t="n">
        <v>880</v>
      </c>
      <c r="G5" s="81" t="n">
        <v>884</v>
      </c>
      <c r="H5" s="82" t="inlineStr">
        <is>
          <t>введено 2018 г., вне зависимости от звания, степени</t>
        </is>
      </c>
    </row>
    <row r="6">
      <c r="A6" s="78" t="inlineStr">
        <is>
          <t>Доцент</t>
        </is>
      </c>
      <c r="D6" s="79">
        <f>SUMIF(A$15:A$22,A6,D$15:D$22)+SUMIF(B$23:B$25,B6,D$23:D$25)+SUMIF(C$26:C$28,C6,D$26:D$28)</f>
        <v/>
      </c>
      <c r="E6" s="65">
        <f>F6</f>
        <v/>
      </c>
      <c r="F6" s="80" t="n">
        <v>850</v>
      </c>
      <c r="G6" s="81" t="n">
        <v>854</v>
      </c>
      <c r="H6" s="82" t="inlineStr">
        <is>
          <t>введено 2018 г., вне зависимости от звания, степени</t>
        </is>
      </c>
    </row>
    <row r="7">
      <c r="A7" s="83" t="inlineStr">
        <is>
          <t>Профессор</t>
        </is>
      </c>
      <c r="B7" s="84" t="n"/>
      <c r="C7" s="84" t="n"/>
      <c r="D7" s="85">
        <f>SUMIF(A$15:A$22,A7,D$15:D$22)+SUMIF(B$23:B$25,B7,D$23:D$25)+SUMIF(C$26:C$28,C7,D$26:D$28)</f>
        <v/>
      </c>
      <c r="E7" s="84">
        <f>F7</f>
        <v/>
      </c>
      <c r="F7" s="86" t="n">
        <v>800</v>
      </c>
      <c r="G7" s="87" t="n">
        <v>803</v>
      </c>
      <c r="H7" s="88" t="inlineStr">
        <is>
          <t>введено 2018 г., вне зависимости от звания, степени</t>
        </is>
      </c>
    </row>
    <row r="8">
      <c r="A8" s="78" t="inlineStr">
        <is>
          <t>Зав. кафедрой</t>
        </is>
      </c>
      <c r="D8" s="79">
        <f>SUMIF(A$15:A$22,A8,D$15:D$22)+SUMIF(B$23:B$25,B8,D$23:D$25)+SUMIF(C$26:C$28,C8,D$26:D$28)</f>
        <v/>
      </c>
      <c r="E8" s="65">
        <f>F8</f>
        <v/>
      </c>
      <c r="F8" s="80" t="n">
        <v>450</v>
      </c>
      <c r="G8" s="81" t="n">
        <v>452</v>
      </c>
      <c r="H8" s="82" t="inlineStr">
        <is>
          <t>введено 2018 г. (невыпускающей)</t>
        </is>
      </c>
    </row>
    <row r="9" ht="13.8" customHeight="1" s="296" thickBot="1">
      <c r="A9" s="83" t="inlineStr">
        <is>
          <t>Зав. выпускающей кафедрой</t>
        </is>
      </c>
      <c r="B9" s="84" t="n"/>
      <c r="C9" s="84" t="n"/>
      <c r="D9" s="85">
        <f>SUMIF(A$15:A$22,A9,D$15:D$22)+SUMIF(B$23:B$25,B9,D$23:D$25)+SUMIF(C$26:C$28,C9,D$26:D$28)</f>
        <v/>
      </c>
      <c r="E9" s="84">
        <f>F9</f>
        <v/>
      </c>
      <c r="F9" s="80" t="n">
        <v>300</v>
      </c>
      <c r="G9" s="81" t="n">
        <v>301</v>
      </c>
      <c r="H9" s="88" t="inlineStr">
        <is>
          <t>введено 2018 г.</t>
        </is>
      </c>
    </row>
    <row r="10" ht="13.8" customHeight="1" s="296" thickBot="1">
      <c r="F10" s="370" t="inlineStr">
        <is>
          <t>На ставку</t>
        </is>
      </c>
      <c r="G10" s="371" t="n"/>
    </row>
    <row r="11" ht="13.8" customHeight="1" s="296" thickBot="1">
      <c r="A11" s="89">
        <f>IF(Т_Должность="","",Т_Должность)</f>
        <v/>
      </c>
      <c r="B11" s="90">
        <f>IF(COUNTIF(Т_Степень,"кандидат*наук")&gt;0,"кандидат наук",IF(COUNTIF(Т_Степень,"доктор*наук")&gt;0,"доктор наук",""))</f>
        <v/>
      </c>
      <c r="C11" s="91">
        <f>IF(Т_Звание="","",Т_Звание)</f>
        <v/>
      </c>
      <c r="D11" s="92">
        <f>SUMIF(A$15:A$22,A11,D$15:D$22)+SUMIF(B$23:B$25,B11,D$23:D$25)+SUMIF(C$26:C$28,C11,D$26:D$28)</f>
        <v/>
      </c>
      <c r="E11" s="93">
        <f>INDEX(E2:E9,MATCH(D11,D2:D9,1))</f>
        <v/>
      </c>
      <c r="F11" s="372">
        <f>E11</f>
        <v/>
      </c>
      <c r="G11" s="373" t="n"/>
      <c r="H11" s="112" t="inlineStr">
        <is>
          <t>основное</t>
        </is>
      </c>
    </row>
    <row r="12" ht="13.8" customHeight="1" s="296" thickBot="1">
      <c r="A12" s="94">
        <f>IF(Т_Должность_С="","",Т_Должность_С)</f>
        <v/>
      </c>
      <c r="B12" s="90">
        <f>IF(COUNTIF(Т_Степень,"кандидат*наук")&gt;0,"кандидат наук",IF(COUNTIF(Т_Степень,"доктор*наук")&gt;0,"доктор наук",""))</f>
        <v/>
      </c>
      <c r="C12" s="91">
        <f>IF(Т_Звание="","",Т_Звание)</f>
        <v/>
      </c>
      <c r="D12" s="92">
        <f>SUMIF(A$15:A$22,A12,D$15:D$22)+SUMIF(B$23:B$25,B12,D$23:D$25)+SUMIF(C$26:C$28,C12,D$26:D$28)</f>
        <v/>
      </c>
      <c r="E12" s="93">
        <f>INDEX(E2:E9,MATCH(D12,D2:D9,1))</f>
        <v/>
      </c>
      <c r="F12" s="374">
        <f>E12</f>
        <v/>
      </c>
      <c r="G12" s="375" t="n"/>
      <c r="H12" s="112" t="inlineStr">
        <is>
          <t>совмещение</t>
        </is>
      </c>
    </row>
    <row r="13" ht="13.8" customHeight="1" s="296" thickBot="1"/>
    <row r="14">
      <c r="A14" s="101" t="inlineStr">
        <is>
          <t>Должность</t>
        </is>
      </c>
      <c r="B14" s="101" t="inlineStr">
        <is>
          <t>Степень</t>
        </is>
      </c>
      <c r="C14" s="101" t="inlineStr">
        <is>
          <t>Звание</t>
        </is>
      </c>
      <c r="D14" s="95" t="inlineStr">
        <is>
          <t>Код</t>
        </is>
      </c>
      <c r="F14" s="113" t="inlineStr">
        <is>
          <t>версия</t>
        </is>
      </c>
    </row>
    <row r="15">
      <c r="A15" s="72" t="inlineStr">
        <is>
          <t>зав. выпускающей кафедрой</t>
        </is>
      </c>
      <c r="B15" s="95" t="n"/>
      <c r="C15" s="96" t="n"/>
      <c r="D15" s="74" t="n">
        <v>700</v>
      </c>
      <c r="F15" s="114" t="n">
        <v>13</v>
      </c>
    </row>
    <row r="16" ht="13.8" customHeight="1" s="296" thickBot="1">
      <c r="A16" s="78" t="inlineStr">
        <is>
          <t>зав. кафедрой</t>
        </is>
      </c>
      <c r="B16" s="97" t="n"/>
      <c r="C16" s="98" t="n"/>
      <c r="D16" s="79" t="n">
        <v>600</v>
      </c>
      <c r="F16" s="115" t="n">
        <v>2</v>
      </c>
    </row>
    <row r="17" ht="13.8" customHeight="1" s="296" thickBot="1">
      <c r="A17" s="78" t="inlineStr">
        <is>
          <t>профессор</t>
        </is>
      </c>
      <c r="B17" s="97" t="n"/>
      <c r="C17" s="98" t="n"/>
      <c r="D17" s="79" t="n">
        <v>500</v>
      </c>
    </row>
    <row r="18">
      <c r="A18" s="78" t="inlineStr">
        <is>
          <t>доцент</t>
        </is>
      </c>
      <c r="B18" s="97" t="n"/>
      <c r="C18" s="98" t="n"/>
      <c r="D18" s="79" t="n">
        <v>400</v>
      </c>
      <c r="F18" s="113" t="inlineStr">
        <is>
          <t>сборка</t>
        </is>
      </c>
    </row>
    <row r="19" ht="13.8" customHeight="1" s="296" thickBot="1">
      <c r="A19" s="78" t="inlineStr">
        <is>
          <t>старший преподаватель</t>
        </is>
      </c>
      <c r="B19" s="97" t="n"/>
      <c r="C19" s="98" t="n"/>
      <c r="D19" s="79" t="n">
        <v>300</v>
      </c>
      <c r="F19" s="115" t="inlineStr">
        <is>
          <t>G</t>
        </is>
      </c>
    </row>
    <row r="20">
      <c r="A20" s="78" t="inlineStr">
        <is>
          <t>преподаватель</t>
        </is>
      </c>
      <c r="B20" s="97" t="n"/>
      <c r="C20" s="98" t="n"/>
      <c r="D20" s="79" t="n">
        <v>200</v>
      </c>
    </row>
    <row r="21">
      <c r="A21" s="78" t="inlineStr">
        <is>
          <t>ассистент</t>
        </is>
      </c>
      <c r="B21" s="97" t="n"/>
      <c r="C21" s="98" t="n"/>
      <c r="D21" s="79" t="n">
        <v>100</v>
      </c>
    </row>
    <row r="22">
      <c r="A22" s="78" t="inlineStr">
        <is>
          <t>(нет)</t>
        </is>
      </c>
      <c r="B22" s="97" t="n"/>
      <c r="C22" s="98" t="n"/>
      <c r="D22" s="79" t="n">
        <v>0</v>
      </c>
    </row>
    <row r="23">
      <c r="A23" s="75" t="n"/>
      <c r="B23" s="74" t="inlineStr">
        <is>
          <t>доктор наук</t>
        </is>
      </c>
      <c r="C23" s="96" t="n"/>
      <c r="D23" s="74" t="n">
        <v>20</v>
      </c>
    </row>
    <row r="24">
      <c r="A24" s="80" t="n"/>
      <c r="B24" s="79" t="inlineStr">
        <is>
          <t>кандидат наук</t>
        </is>
      </c>
      <c r="C24" s="98" t="n"/>
      <c r="D24" s="79" t="n">
        <v>10</v>
      </c>
    </row>
    <row r="25">
      <c r="A25" s="86" t="n"/>
      <c r="B25" s="85" t="inlineStr">
        <is>
          <t>(нет)</t>
        </is>
      </c>
      <c r="C25" s="99" t="n"/>
      <c r="D25" s="85" t="n">
        <v>0</v>
      </c>
    </row>
    <row r="26">
      <c r="A26" s="80" t="n"/>
      <c r="B26" s="97" t="n"/>
      <c r="C26" s="65" t="inlineStr">
        <is>
          <t>профессор</t>
        </is>
      </c>
      <c r="D26" s="79" t="n">
        <v>2</v>
      </c>
    </row>
    <row r="27">
      <c r="A27" s="80" t="n"/>
      <c r="B27" s="97" t="n"/>
      <c r="C27" s="65" t="inlineStr">
        <is>
          <t>доцент</t>
        </is>
      </c>
      <c r="D27" s="79" t="n">
        <v>1</v>
      </c>
    </row>
    <row r="28">
      <c r="A28" s="86" t="n"/>
      <c r="B28" s="100" t="n"/>
      <c r="C28" s="84" t="inlineStr">
        <is>
          <t>(нет)</t>
        </is>
      </c>
      <c r="D28" s="85" t="n">
        <v>0</v>
      </c>
      <c r="F28" s="116" t="inlineStr">
        <is>
          <t>=ЕСЛИ(титул!B17="";"";ЕСЛИ(ЕОШ(НАЙТИ(" ";титул!B17;1));титул!B17;ПСТР(титул!B17;1;НАЙТИ(" ";титул!B17;1)-1)))</t>
        </is>
      </c>
    </row>
    <row r="30">
      <c r="A30" s="101" t="inlineStr">
        <is>
          <t>Отрасли наук</t>
        </is>
      </c>
      <c r="B30" s="2" t="n"/>
    </row>
    <row r="31">
      <c r="A31" s="79" t="inlineStr">
        <is>
          <t>архитектуры</t>
        </is>
      </c>
      <c r="B31" s="2" t="n"/>
    </row>
    <row r="32">
      <c r="A32" s="79" t="inlineStr">
        <is>
          <t>биологических</t>
        </is>
      </c>
      <c r="B32" s="2" t="n"/>
    </row>
    <row r="33">
      <c r="A33" s="79" t="inlineStr">
        <is>
          <t>ветеринарных</t>
        </is>
      </c>
      <c r="B33" s="2" t="n"/>
    </row>
    <row r="34">
      <c r="A34" s="79" t="inlineStr">
        <is>
          <t>военных</t>
        </is>
      </c>
      <c r="B34" s="2" t="n"/>
    </row>
    <row r="35">
      <c r="A35" s="79" t="inlineStr">
        <is>
          <t>географических</t>
        </is>
      </c>
      <c r="B35" s="2" t="n"/>
    </row>
    <row r="36">
      <c r="A36" s="79" t="inlineStr">
        <is>
          <t>геолого-минералогических</t>
        </is>
      </c>
      <c r="B36" s="2" t="n"/>
    </row>
    <row r="37">
      <c r="A37" s="79" t="inlineStr">
        <is>
          <t>искусствоведения</t>
        </is>
      </c>
      <c r="B37" s="2" t="n"/>
    </row>
    <row r="38">
      <c r="A38" s="79" t="inlineStr">
        <is>
          <t>исторических</t>
        </is>
      </c>
      <c r="B38" s="2" t="n"/>
    </row>
    <row r="39">
      <c r="A39" s="79" t="inlineStr">
        <is>
          <t>культурологии</t>
        </is>
      </c>
      <c r="B39" s="2" t="n"/>
    </row>
    <row r="40">
      <c r="A40" s="79" t="inlineStr">
        <is>
          <t>медицинских</t>
        </is>
      </c>
      <c r="B40" s="2" t="n"/>
    </row>
    <row r="41">
      <c r="A41" s="79" t="inlineStr">
        <is>
          <t>педагогических</t>
        </is>
      </c>
      <c r="B41" s="2" t="n"/>
    </row>
    <row r="42">
      <c r="A42" s="79" t="inlineStr">
        <is>
          <t>политических</t>
        </is>
      </c>
      <c r="B42" s="2" t="n"/>
    </row>
    <row r="43">
      <c r="A43" s="79" t="inlineStr">
        <is>
          <t>психологических</t>
        </is>
      </c>
      <c r="B43" s="2" t="n"/>
    </row>
    <row r="44">
      <c r="A44" s="79" t="inlineStr">
        <is>
          <t>сельскохозяйственных</t>
        </is>
      </c>
      <c r="B44" s="2" t="n"/>
    </row>
    <row r="45">
      <c r="A45" s="79" t="inlineStr">
        <is>
          <t>социологических</t>
        </is>
      </c>
      <c r="B45" s="2" t="n"/>
    </row>
    <row r="46">
      <c r="A46" s="79" t="inlineStr">
        <is>
          <t>технических</t>
        </is>
      </c>
    </row>
    <row r="47">
      <c r="A47" s="79" t="inlineStr">
        <is>
          <t>фармацевтических</t>
        </is>
      </c>
    </row>
    <row r="48">
      <c r="A48" s="79" t="inlineStr">
        <is>
          <t>физико-математических</t>
        </is>
      </c>
    </row>
    <row r="49">
      <c r="A49" s="79" t="inlineStr">
        <is>
          <t>филологических</t>
        </is>
      </c>
    </row>
    <row r="50">
      <c r="A50" s="79" t="inlineStr">
        <is>
          <t>философских</t>
        </is>
      </c>
    </row>
    <row r="51">
      <c r="A51" s="79" t="inlineStr">
        <is>
          <t>химических</t>
        </is>
      </c>
    </row>
    <row r="52">
      <c r="A52" s="79" t="inlineStr">
        <is>
          <t>экономических</t>
        </is>
      </c>
    </row>
    <row r="53">
      <c r="A53" s="85" t="inlineStr">
        <is>
          <t>юридических</t>
        </is>
      </c>
    </row>
    <row r="55">
      <c r="A55" s="95" t="inlineStr">
        <is>
          <t>Уровни ООП</t>
        </is>
      </c>
    </row>
    <row r="56">
      <c r="A56" s="74" t="inlineStr">
        <is>
          <t>бакалавриат</t>
        </is>
      </c>
    </row>
    <row r="57">
      <c r="A57" s="79" t="inlineStr">
        <is>
          <t>специалитет</t>
        </is>
      </c>
    </row>
    <row r="58">
      <c r="A58" s="79" t="inlineStr">
        <is>
          <t>магистратура</t>
        </is>
      </c>
    </row>
    <row r="59">
      <c r="A59" s="79" t="inlineStr">
        <is>
          <t>аспирантура</t>
        </is>
      </c>
    </row>
    <row r="60">
      <c r="A60" s="79" t="inlineStr">
        <is>
          <t>докторантура</t>
        </is>
      </c>
    </row>
    <row r="61">
      <c r="A61" s="79" t="inlineStr">
        <is>
          <t>интернатура</t>
        </is>
      </c>
    </row>
    <row r="62">
      <c r="A62" s="85" t="inlineStr">
        <is>
          <t>ординатура</t>
        </is>
      </c>
    </row>
    <row r="64">
      <c r="A64" s="95" t="inlineStr">
        <is>
          <t>ФормыООП</t>
        </is>
      </c>
    </row>
    <row r="65">
      <c r="A65" s="74" t="inlineStr">
        <is>
          <t>очная</t>
        </is>
      </c>
    </row>
    <row r="66">
      <c r="A66" s="79" t="inlineStr">
        <is>
          <t>очно-заочная</t>
        </is>
      </c>
    </row>
    <row r="67">
      <c r="A67" s="79" t="inlineStr">
        <is>
          <t>заочная</t>
        </is>
      </c>
    </row>
    <row r="68">
      <c r="A68" s="79" t="inlineStr">
        <is>
          <t>заочная, очно-заочная</t>
        </is>
      </c>
    </row>
    <row r="69">
      <c r="A69" s="85" t="inlineStr">
        <is>
          <t>экстернат</t>
        </is>
      </c>
    </row>
    <row r="71">
      <c r="A71" s="95" t="inlineStr">
        <is>
          <t>ВидыНагрузки</t>
        </is>
      </c>
      <c r="C71" s="95" t="inlineStr">
        <is>
          <t>ВидыНагр</t>
        </is>
      </c>
    </row>
    <row r="72">
      <c r="A72" s="74" t="inlineStr">
        <is>
          <t>основное</t>
        </is>
      </c>
      <c r="C72" s="74" t="inlineStr">
        <is>
          <t>осн.</t>
        </is>
      </c>
    </row>
    <row r="73">
      <c r="A73" s="79" t="inlineStr">
        <is>
          <t>совмещение</t>
        </is>
      </c>
      <c r="C73" s="79" t="inlineStr">
        <is>
          <t>совм.</t>
        </is>
      </c>
    </row>
    <row r="74">
      <c r="A74" s="85" t="inlineStr">
        <is>
          <t>почасовая</t>
        </is>
      </c>
      <c r="C74" s="85" t="inlineStr">
        <is>
          <t>почас.</t>
        </is>
      </c>
    </row>
    <row r="76">
      <c r="A76" s="70" t="inlineStr">
        <is>
          <t>Институты</t>
        </is>
      </c>
      <c r="B76" s="71" t="n"/>
      <c r="C76" s="71" t="inlineStr">
        <is>
          <t>ИнстСокр</t>
        </is>
      </c>
      <c r="D76" s="101" t="inlineStr">
        <is>
          <t>Инст№</t>
        </is>
      </c>
    </row>
    <row r="77">
      <c r="A77" s="78" t="inlineStr">
        <is>
          <t>государства и права</t>
        </is>
      </c>
      <c r="B77" s="102" t="n"/>
      <c r="C77" s="102" t="inlineStr">
        <is>
          <t>ИГиП</t>
        </is>
      </c>
      <c r="D77" s="79" t="n">
        <v>1</v>
      </c>
    </row>
    <row r="78">
      <c r="A78" s="78" t="inlineStr">
        <is>
          <t>гуманитарного образования и спорта</t>
        </is>
      </c>
      <c r="B78" s="102" t="n"/>
      <c r="C78" s="102" t="inlineStr">
        <is>
          <t>ИГОиС</t>
        </is>
      </c>
      <c r="D78" s="79" t="n">
        <v>2</v>
      </c>
    </row>
    <row r="79">
      <c r="A79" s="78" t="inlineStr">
        <is>
          <t>естественных и технических наук</t>
        </is>
      </c>
      <c r="B79" s="102" t="n"/>
      <c r="C79" s="102" t="inlineStr">
        <is>
          <t>ИЕиТН</t>
        </is>
      </c>
      <c r="D79" s="79" t="n">
        <v>3</v>
      </c>
    </row>
    <row r="80">
      <c r="A80" s="78" t="inlineStr">
        <is>
          <t>медицинский</t>
        </is>
      </c>
      <c r="B80" s="102" t="n"/>
      <c r="C80" s="102" t="inlineStr">
        <is>
          <t>МИ</t>
        </is>
      </c>
      <c r="D80" s="79" t="n">
        <v>5</v>
      </c>
    </row>
    <row r="81">
      <c r="A81" s="78" t="inlineStr">
        <is>
          <t>политехнический</t>
        </is>
      </c>
      <c r="B81" s="102" t="n"/>
      <c r="C81" s="102" t="inlineStr">
        <is>
          <t>ПИ</t>
        </is>
      </c>
      <c r="D81" s="79" t="n">
        <v>6</v>
      </c>
    </row>
    <row r="82">
      <c r="A82" s="78" t="inlineStr">
        <is>
          <t>экономики и управления</t>
        </is>
      </c>
      <c r="B82" s="102" t="n"/>
      <c r="C82" s="102" t="inlineStr">
        <is>
          <t>ИЭиУ</t>
        </is>
      </c>
      <c r="D82" s="79" t="n">
        <v>4</v>
      </c>
    </row>
    <row r="83">
      <c r="A83" s="83" t="inlineStr">
        <is>
          <t>среднего медицинского образования</t>
        </is>
      </c>
      <c r="B83" s="103" t="n"/>
      <c r="C83" s="103" t="inlineStr">
        <is>
          <t>ИСМО</t>
        </is>
      </c>
      <c r="D83" s="85" t="n"/>
    </row>
    <row r="85">
      <c r="A85" s="101" t="inlineStr">
        <is>
          <t>Кафедры</t>
        </is>
      </c>
      <c r="F85" s="101" t="inlineStr">
        <is>
          <t>Инст№</t>
        </is>
      </c>
      <c r="G85" s="101" t="inlineStr">
        <is>
          <t>№</t>
        </is>
      </c>
      <c r="H85" s="71" t="inlineStr">
        <is>
          <t>Название</t>
        </is>
      </c>
      <c r="I85" s="101" t="inlineStr">
        <is>
          <t>Заведующий</t>
        </is>
      </c>
    </row>
    <row r="86">
      <c r="A86" s="79">
        <f>H86 &amp; " (" &amp; G86 &amp; ")"</f>
        <v/>
      </c>
      <c r="F86" s="74" t="n">
        <v>6</v>
      </c>
      <c r="G86" s="74" t="n">
        <v>48</v>
      </c>
      <c r="H86" s="104" t="inlineStr">
        <is>
          <t>Автоматизированных систем обработки информации и управления</t>
        </is>
      </c>
      <c r="I86" s="104" t="inlineStr">
        <is>
          <t>Бушмелева Кия Иннокентьевна</t>
        </is>
      </c>
    </row>
    <row r="87">
      <c r="A87" s="79">
        <f>H87 &amp; " (" &amp; G87 &amp; ")"</f>
        <v/>
      </c>
      <c r="F87" s="79" t="n">
        <v>6</v>
      </c>
      <c r="G87" s="79" t="n">
        <v>24</v>
      </c>
      <c r="H87" s="102" t="inlineStr">
        <is>
          <t>Автоматики и компьютерных систем</t>
        </is>
      </c>
      <c r="I87" s="102" t="inlineStr">
        <is>
          <t>Запевалов Андрей Валентинович</t>
        </is>
      </c>
    </row>
    <row r="88">
      <c r="A88" s="79">
        <f>H88 &amp; " (" &amp; G88 &amp; ")"</f>
        <v/>
      </c>
      <c r="F88" s="79" t="n">
        <v>5</v>
      </c>
      <c r="G88" s="79" t="n">
        <v>25</v>
      </c>
      <c r="H88" s="102" t="inlineStr">
        <is>
          <t>Акушерства, гинекологии и перинатологии</t>
        </is>
      </c>
      <c r="I88" s="102" t="inlineStr">
        <is>
          <t>Белоцерковцева Лариса Дмитриевна</t>
        </is>
      </c>
    </row>
    <row r="89">
      <c r="A89" s="79">
        <f>H89 &amp; " (" &amp; G89 &amp; ")"</f>
        <v/>
      </c>
      <c r="F89" s="79" t="n">
        <v>3</v>
      </c>
      <c r="G89" s="79" t="n">
        <v>49</v>
      </c>
      <c r="H89" s="102" t="inlineStr">
        <is>
          <t>Безопасности жизнедеятельности</t>
        </is>
      </c>
      <c r="I89" s="102" t="inlineStr">
        <is>
          <t>Кузнецова Юлия Вадимовна</t>
        </is>
      </c>
    </row>
    <row r="90">
      <c r="A90" s="79">
        <f>H90 &amp; " (" &amp; G90 &amp; ")"</f>
        <v/>
      </c>
      <c r="F90" s="79" t="n">
        <v>3</v>
      </c>
      <c r="G90" s="79" t="n">
        <v>16</v>
      </c>
      <c r="H90" s="102" t="inlineStr">
        <is>
          <t>Биологии и биотехнологий</t>
        </is>
      </c>
      <c r="I90" s="102" t="inlineStr">
        <is>
          <t>Берников Кирилл Александрович</t>
        </is>
      </c>
    </row>
    <row r="91">
      <c r="A91" s="79">
        <f>H91 &amp; " (" &amp; G91 &amp; ")"</f>
        <v/>
      </c>
      <c r="F91" s="79" t="n">
        <v>5</v>
      </c>
      <c r="G91" s="79" t="n">
        <v>14</v>
      </c>
      <c r="H91" s="102" t="inlineStr">
        <is>
          <t>Внутренних болезней</t>
        </is>
      </c>
      <c r="I91" s="102" t="inlineStr">
        <is>
          <t>Арямкина Ольга Леонидовна</t>
        </is>
      </c>
    </row>
    <row r="92">
      <c r="A92" s="79">
        <f>H92 &amp; " (" &amp; G92 &amp; ")"</f>
        <v/>
      </c>
      <c r="F92" s="79" t="n">
        <v>4</v>
      </c>
      <c r="G92" s="79" t="n">
        <v>45</v>
      </c>
      <c r="H92" s="102" t="inlineStr">
        <is>
          <t>Государственного и муниципального управления и управления персоналом</t>
        </is>
      </c>
      <c r="I92" s="102" t="inlineStr">
        <is>
          <t>Хадасевич Наиля Ракиповна</t>
        </is>
      </c>
    </row>
    <row r="93">
      <c r="A93" s="79">
        <f>H93 &amp; " (" &amp; G93 &amp; ")"</f>
        <v/>
      </c>
      <c r="F93" s="79" t="n">
        <v>5</v>
      </c>
      <c r="G93" s="79" t="n">
        <v>63</v>
      </c>
      <c r="H93" s="102" t="inlineStr">
        <is>
          <t>Детских болезней</t>
        </is>
      </c>
      <c r="I93" s="102" t="inlineStr">
        <is>
          <t>Тепляков Андрей Александрович</t>
        </is>
      </c>
    </row>
    <row r="94">
      <c r="A94" s="79">
        <f>H94 &amp; " (" &amp; G94 &amp; ")"</f>
        <v/>
      </c>
      <c r="F94" s="79" t="n">
        <v>2</v>
      </c>
      <c r="G94" s="79" t="n">
        <v>4</v>
      </c>
      <c r="H94" s="102" t="inlineStr">
        <is>
          <t>Иностранных языков</t>
        </is>
      </c>
      <c r="I94" s="102" t="inlineStr">
        <is>
          <t>Сергиенко Наталья Анатольевна</t>
        </is>
      </c>
    </row>
    <row r="95">
      <c r="A95" s="79">
        <f>H95 &amp; " (" &amp; G95 &amp; ")"</f>
        <v/>
      </c>
      <c r="F95" s="79" t="n">
        <v>6</v>
      </c>
      <c r="G95" s="79" t="n">
        <v>19</v>
      </c>
      <c r="H95" s="102" t="inlineStr">
        <is>
          <t>Информатики и вычислительной техники</t>
        </is>
      </c>
      <c r="I95" s="102" t="inlineStr">
        <is>
          <t>Лысенкова Светлана Александровна</t>
        </is>
      </c>
    </row>
    <row r="96">
      <c r="A96" s="79">
        <f>H96 &amp; " (" &amp; G96 &amp; ")"</f>
        <v/>
      </c>
      <c r="F96" s="79" t="n">
        <v>2</v>
      </c>
      <c r="G96" s="79" t="n">
        <v>15</v>
      </c>
      <c r="H96" s="102" t="inlineStr">
        <is>
          <t>Истории России</t>
        </is>
      </c>
      <c r="I96" s="102" t="inlineStr">
        <is>
          <t>Кирилюк Денис Валериевич</t>
        </is>
      </c>
    </row>
    <row r="97">
      <c r="A97" s="79">
        <f>H97 &amp; " (" &amp; G97 &amp; ")"</f>
        <v/>
      </c>
      <c r="F97" s="79" t="n">
        <v>5</v>
      </c>
      <c r="G97" s="79" t="n">
        <v>65</v>
      </c>
      <c r="H97" s="102" t="inlineStr">
        <is>
          <t>Кардиологии</t>
        </is>
      </c>
      <c r="I97" s="102" t="inlineStr">
        <is>
          <t>Урванцева Ирина Александровна</t>
        </is>
      </c>
    </row>
    <row r="98">
      <c r="A98" s="79">
        <f>H98 &amp; " (" &amp; G98 &amp; ")"</f>
        <v/>
      </c>
      <c r="F98" s="79" t="n">
        <v>2</v>
      </c>
      <c r="G98" s="79" t="n">
        <v>37</v>
      </c>
      <c r="H98" s="102" t="inlineStr">
        <is>
          <t>Лингвистики и переводоведения</t>
        </is>
      </c>
      <c r="I98" s="102" t="inlineStr">
        <is>
          <t>Евласьев Александр Петрович</t>
        </is>
      </c>
    </row>
    <row r="99">
      <c r="A99" s="79">
        <f>H99 &amp; " (" &amp; G99 &amp; ")"</f>
        <v/>
      </c>
      <c r="F99" s="79" t="n">
        <v>2</v>
      </c>
      <c r="G99" s="79" t="n">
        <v>22</v>
      </c>
      <c r="H99" s="102" t="inlineStr">
        <is>
          <t>Медико-биологических основ физической культуры</t>
        </is>
      </c>
      <c r="I99" s="102" t="inlineStr">
        <is>
          <t>Мальков Михаил Николаевич</t>
        </is>
      </c>
    </row>
    <row r="100">
      <c r="A100" s="79">
        <f>H100 &amp; " (" &amp; G100 &amp; ")"</f>
        <v/>
      </c>
      <c r="F100" s="79" t="n">
        <v>4</v>
      </c>
      <c r="G100" s="79" t="n">
        <v>17</v>
      </c>
      <c r="H100" s="102" t="inlineStr">
        <is>
          <t>Менеджмента и бизнеса</t>
        </is>
      </c>
      <c r="I100" s="102" t="inlineStr">
        <is>
          <t>Ширинкина Елена Викторовна</t>
        </is>
      </c>
    </row>
    <row r="101">
      <c r="A101" s="79">
        <f>H101 &amp; " (" &amp; G101 &amp; ")"</f>
        <v/>
      </c>
      <c r="F101" s="79" t="n">
        <v>5</v>
      </c>
      <c r="G101" s="79" t="n">
        <v>68</v>
      </c>
      <c r="H101" s="102" t="inlineStr">
        <is>
          <t>Многопрофильной клинической подготовки</t>
        </is>
      </c>
      <c r="I101" s="102" t="inlineStr">
        <is>
          <t>Климова Наталья Валерьевна</t>
        </is>
      </c>
    </row>
    <row r="102">
      <c r="A102" s="79">
        <f>H102 &amp; " (" &amp; G102 &amp; ")"</f>
        <v/>
      </c>
      <c r="F102" s="79" t="n">
        <v>5</v>
      </c>
      <c r="G102" s="79" t="n">
        <v>8</v>
      </c>
      <c r="H102" s="102" t="inlineStr">
        <is>
          <t>Морфологии и физиологии</t>
        </is>
      </c>
      <c r="I102" s="102" t="inlineStr">
        <is>
          <t>Столяров Виктор Викторович</t>
        </is>
      </c>
    </row>
    <row r="103">
      <c r="A103" s="79">
        <f>H103 &amp; " (" &amp; G103 &amp; ")"</f>
        <v/>
      </c>
      <c r="F103" s="79" t="n">
        <v>5</v>
      </c>
      <c r="G103" s="79" t="n">
        <v>61</v>
      </c>
      <c r="H103" s="102" t="inlineStr">
        <is>
          <t>Патофизиологии и общей патологии</t>
        </is>
      </c>
      <c r="I103" s="102" t="inlineStr">
        <is>
          <t>Коваленко Людмила Васильевна</t>
        </is>
      </c>
    </row>
    <row r="104">
      <c r="A104" s="79">
        <f>H104 &amp; " (" &amp; G104 &amp; ")"</f>
        <v/>
      </c>
      <c r="F104" s="79" t="n">
        <v>2</v>
      </c>
      <c r="G104" s="79" t="n">
        <v>11</v>
      </c>
      <c r="H104" s="102" t="inlineStr">
        <is>
          <t>Педагогики профессионального и дополнительного образования</t>
        </is>
      </c>
      <c r="I104" s="102" t="inlineStr">
        <is>
          <t>Демчук Анстасия Владимировна</t>
        </is>
      </c>
    </row>
    <row r="105">
      <c r="A105" s="79">
        <f>H105 &amp; " (" &amp; G105 &amp; ")"</f>
        <v/>
      </c>
      <c r="F105" s="79" t="n">
        <v>1</v>
      </c>
      <c r="G105" s="79" t="n">
        <v>47</v>
      </c>
      <c r="H105" s="102" t="inlineStr">
        <is>
          <t>Политологии и философии</t>
        </is>
      </c>
      <c r="I105" s="102" t="inlineStr">
        <is>
          <t>Ушакова Надежда Владимировна</t>
        </is>
      </c>
    </row>
    <row r="106">
      <c r="A106" s="79">
        <f>H106 &amp; " (" &amp; G106 &amp; ")"</f>
        <v/>
      </c>
      <c r="F106" s="79" t="n">
        <v>6</v>
      </c>
      <c r="G106" s="79" t="n">
        <v>1</v>
      </c>
      <c r="H106" s="102" t="inlineStr">
        <is>
          <t>Прикладной математики</t>
        </is>
      </c>
      <c r="I106" s="102" t="inlineStr">
        <is>
          <t>Гореликов Андрей Вячеславович</t>
        </is>
      </c>
    </row>
    <row r="107">
      <c r="A107" s="79">
        <f>H107 &amp; " (" &amp; G107 &amp; ")"</f>
        <v/>
      </c>
      <c r="F107" s="79" t="n">
        <v>2</v>
      </c>
      <c r="G107" s="79" t="n">
        <v>20</v>
      </c>
      <c r="H107" s="102" t="inlineStr">
        <is>
          <t>Психологии</t>
        </is>
      </c>
      <c r="I107" s="102" t="inlineStr">
        <is>
          <t>Родермель Татьяна Алексеевна</t>
        </is>
      </c>
    </row>
    <row r="108">
      <c r="A108" s="79">
        <f>H108 &amp; " (" &amp; G108 &amp; ")"</f>
        <v/>
      </c>
      <c r="F108" s="79" t="n">
        <v>1</v>
      </c>
      <c r="G108" s="79" t="n">
        <v>30</v>
      </c>
      <c r="H108" s="102" t="inlineStr">
        <is>
          <t>Публичного и уголовного права</t>
        </is>
      </c>
      <c r="I108" s="102" t="inlineStr">
        <is>
          <t>Попова Лариса Александровна</t>
        </is>
      </c>
    </row>
    <row r="109">
      <c r="A109" s="79">
        <f>H109 &amp; " (" &amp; G109 &amp; ")"</f>
        <v/>
      </c>
      <c r="F109" s="79" t="n">
        <v>6</v>
      </c>
      <c r="G109" s="79" t="n">
        <v>13</v>
      </c>
      <c r="H109" s="102" t="inlineStr">
        <is>
          <t>Радиоэлектроники и электроэнергетики</t>
        </is>
      </c>
      <c r="I109" s="102" t="inlineStr">
        <is>
          <t>Рыжаков Виталий Владимирович</t>
        </is>
      </c>
    </row>
    <row r="110">
      <c r="A110" s="79">
        <f>H110 &amp; " (" &amp; G110 &amp; ")"</f>
        <v/>
      </c>
      <c r="F110" s="79" t="n">
        <v>2</v>
      </c>
      <c r="G110" s="79" t="n">
        <v>44</v>
      </c>
      <c r="H110" s="102" t="inlineStr">
        <is>
          <t>Режиссуры</t>
        </is>
      </c>
      <c r="I110" s="102" t="inlineStr">
        <is>
          <t>Шевкунов Александр Николаевич</t>
        </is>
      </c>
    </row>
    <row r="111">
      <c r="A111" s="79">
        <f>H111 &amp; " (" &amp; G111 &amp; ")"</f>
        <v/>
      </c>
      <c r="F111" s="79" t="n">
        <v>6</v>
      </c>
      <c r="G111" s="79" t="n">
        <v>62</v>
      </c>
      <c r="H111" s="102" t="inlineStr">
        <is>
          <t>Строительных технологий и конструкций</t>
        </is>
      </c>
      <c r="I111" s="102" t="inlineStr">
        <is>
          <t>Галиев Ильдар Мурзагитович</t>
        </is>
      </c>
    </row>
    <row r="112">
      <c r="A112" s="79">
        <f>H112 &amp; " (" &amp; G112 &amp; ")"</f>
        <v/>
      </c>
      <c r="F112" s="79" t="n">
        <v>2</v>
      </c>
      <c r="G112" s="79" t="n">
        <v>33</v>
      </c>
      <c r="H112" s="102" t="inlineStr">
        <is>
          <t>Теории физической культуры</t>
        </is>
      </c>
      <c r="I112" s="102" t="inlineStr">
        <is>
          <t>Лосев Виктор Юрьевич</t>
        </is>
      </c>
    </row>
    <row r="113">
      <c r="A113" s="79">
        <f>H113 &amp; " (" &amp; G113 &amp; ")"</f>
        <v/>
      </c>
      <c r="F113" s="79" t="n">
        <v>2</v>
      </c>
      <c r="G113" s="79" t="n">
        <v>6</v>
      </c>
      <c r="H113" s="102" t="inlineStr">
        <is>
          <t>Физической культуры</t>
        </is>
      </c>
      <c r="I113" s="102" t="inlineStr">
        <is>
          <t>Пешкова Наталья Виллиевна</t>
        </is>
      </c>
    </row>
    <row r="114">
      <c r="A114" s="79">
        <f>H114 &amp; " (" &amp; G114 &amp; ")"</f>
        <v/>
      </c>
      <c r="F114" s="79" t="n">
        <v>3</v>
      </c>
      <c r="G114" s="79" t="n">
        <v>5</v>
      </c>
      <c r="H114" s="102" t="inlineStr">
        <is>
          <t>Химии</t>
        </is>
      </c>
      <c r="I114" s="102" t="inlineStr">
        <is>
          <t>Сутормин Олег Сергеевич</t>
        </is>
      </c>
    </row>
    <row r="115">
      <c r="A115" s="79">
        <f>H115 &amp; " (" &amp; G115 &amp; ")"</f>
        <v/>
      </c>
      <c r="F115" s="79" t="n">
        <v>5</v>
      </c>
      <c r="G115" s="79" t="n">
        <v>26</v>
      </c>
      <c r="H115" s="102" t="inlineStr">
        <is>
          <t>Хирургических болезней</t>
        </is>
      </c>
      <c r="I115" s="102" t="inlineStr">
        <is>
          <t>Дарвин Владимир Васильевич</t>
        </is>
      </c>
    </row>
    <row r="116">
      <c r="A116" s="79">
        <f>H116 &amp; " (" &amp; G116 &amp; ")"</f>
        <v/>
      </c>
      <c r="F116" s="79" t="n">
        <v>1</v>
      </c>
      <c r="G116" s="79" t="n">
        <v>39</v>
      </c>
      <c r="H116" s="102" t="inlineStr">
        <is>
          <t>Частного и предпринимательского права</t>
        </is>
      </c>
      <c r="I116" s="102" t="inlineStr">
        <is>
          <t>Налбандян Елена Левоновна</t>
        </is>
      </c>
    </row>
    <row r="117">
      <c r="A117" s="79">
        <f>H117 &amp; " (" &amp; G117 &amp; ")"</f>
        <v/>
      </c>
      <c r="F117" s="79" t="n">
        <v>3</v>
      </c>
      <c r="G117" s="79" t="n">
        <v>38</v>
      </c>
      <c r="H117" s="102" t="inlineStr">
        <is>
          <t>Экологии и биофизики</t>
        </is>
      </c>
      <c r="I117" s="102" t="inlineStr">
        <is>
          <t>Шорникова Елена Александровна</t>
        </is>
      </c>
    </row>
    <row r="118">
      <c r="A118" s="79">
        <f>H118 &amp; " (" &amp; G118 &amp; ")"</f>
        <v/>
      </c>
      <c r="F118" s="79" t="n">
        <v>4</v>
      </c>
      <c r="G118" s="79" t="n">
        <v>23</v>
      </c>
      <c r="H118" s="102" t="inlineStr">
        <is>
          <t>Экономических и учетных дисциплин</t>
        </is>
      </c>
      <c r="I118" s="102" t="inlineStr">
        <is>
          <t>Пучкова Надежда Викторовна</t>
        </is>
      </c>
    </row>
    <row r="119">
      <c r="A119" s="85">
        <f>H119 &amp; " (" &amp; G119 &amp; ")"</f>
        <v/>
      </c>
      <c r="F119" s="85" t="n">
        <v>6</v>
      </c>
      <c r="G119" s="85" t="n">
        <v>3</v>
      </c>
      <c r="H119" s="103" t="inlineStr">
        <is>
          <t>Экспериментальной физики</t>
        </is>
      </c>
      <c r="I119" s="103" t="inlineStr">
        <is>
          <t>Ельников Андрей Владимирович</t>
        </is>
      </c>
    </row>
    <row r="121">
      <c r="A121" s="101" t="inlineStr">
        <is>
          <t>ДопОбязанности</t>
        </is>
      </c>
      <c r="B121" s="105" t="inlineStr">
        <is>
          <t>Скидка (часов)</t>
        </is>
      </c>
    </row>
    <row r="122">
      <c r="A122" s="79" t="inlineStr">
        <is>
          <t>* профорг университета</t>
        </is>
      </c>
      <c r="B122" s="97" t="n">
        <v>50</v>
      </c>
    </row>
    <row r="123">
      <c r="A123" s="79" t="inlineStr">
        <is>
          <t>* профорг института</t>
        </is>
      </c>
      <c r="B123" s="97" t="n">
        <v>50</v>
      </c>
    </row>
    <row r="124">
      <c r="A124" s="85" t="n"/>
      <c r="B124" s="100" t="n">
        <v>0</v>
      </c>
    </row>
  </sheetData>
  <sheetProtection selectLockedCells="0" selectUnlockedCells="0" algorithmName="SHA-512" sheet="1" objects="1" insertRows="1" insertHyperlinks="1" autoFilter="1" scenarios="1" formatColumns="1" deleteColumns="1" insertColumns="1" pivotTables="1" deleteRows="1" formatCells="1" saltValue="HW/6yq7zFNBzQRZpXhPmEA==" formatRows="1" sort="1" spinCount="100000" hashValue="TS2hTSCb/kiutoSHM9+QmntAqBNENFUe85GLxG5u3uRu/1JgwMnPTFfXLB9cV68l4/akGcggPDiw7De6Nhxf7Q=="/>
  <mergeCells count="3">
    <mergeCell ref="F10:G10"/>
    <mergeCell ref="F11:G11"/>
    <mergeCell ref="F12:G12"/>
  </mergeCells>
  <pageMargins left="0.3937007874015748" right="0.3937007874015748" top="0.984251968503937" bottom="0.3937007874015748" header="0.7874015748031497" footer="0.3149606299212598"/>
  <pageSetup orientation="landscape" paperSize="9" scale="46"/>
</worksheet>
</file>

<file path=xl/worksheets/sheet3.xml><?xml version="1.0" encoding="utf-8"?>
<worksheet xmlns="http://schemas.openxmlformats.org/spreadsheetml/2006/main">
  <sheetPr codeName="Лист27">
    <tabColor indexed="10"/>
    <outlinePr summaryBelow="1" summaryRight="1"/>
    <pageSetUpPr fitToPage="1"/>
  </sheetPr>
  <dimension ref="A1:B24"/>
  <sheetViews>
    <sheetView workbookViewId="0">
      <pane xSplit="2" ySplit="1" topLeftCell="C11" activePane="bottomRight" state="frozen"/>
      <selection activeCell="A19" sqref="A19:B22"/>
      <selection pane="topRight" activeCell="A19" sqref="A19:B22"/>
      <selection pane="bottomLeft" activeCell="A19" sqref="A19:B22"/>
      <selection pane="bottomRight" activeCell="A1" sqref="A1:B1"/>
    </sheetView>
  </sheetViews>
  <sheetFormatPr baseColWidth="8" defaultColWidth="9.109375" defaultRowHeight="13.2"/>
  <cols>
    <col width="3.88671875" customWidth="1" style="118" min="1" max="1"/>
    <col width="88.88671875" customWidth="1" style="120" min="2" max="2"/>
  </cols>
  <sheetData>
    <row r="1" ht="43.5" customFormat="1" customHeight="1" s="117">
      <c r="A1" s="290" t="inlineStr">
        <is>
          <t>Краткая инструкция
по работе с системой планирования и учета учебной нагрузки преподавателя</t>
        </is>
      </c>
    </row>
    <row r="2" ht="102" customFormat="1" customHeight="1" s="117">
      <c r="A2" s="292" t="inlineStr">
        <is>
          <t>Уважаемые коллеги! Данный продукт изначально разрабатывался для личных целей и впоследствии был доработан для использования всеми преподавателями СурГУ, поэтому при разработке не преследовалась цель обеспечения максимальных потребительских качеств, функциональности и надежности, тем более, что Microsoft Excel не обладает для этого достаточными возможностями.
Для обеспечения адекватного функционирования системы необходимо соблюдать приведенные ниже правила. Пренебрежение ими может повлечь нарушения вычислений и индикации ошибок при учете фактически выполненной преподавателем работы.</t>
        </is>
      </c>
    </row>
    <row r="3" ht="52.8" customFormat="1" customHeight="1" s="117">
      <c r="A3" s="118" t="n">
        <v>1</v>
      </c>
      <c r="B3" s="292" t="inlineStr">
        <is>
          <t>При открытии данного шаблона тетради, автоматически создается новый документ, который требуется сохранить с новым именем и расширением ".xlsx". В имени файла рекомендуется указать NN - номер кафедры, а также "(заоч)" для тетради по заочной (очно-заочной) форме. Например: "Тетрадь ППС 2021-2022 каф.24 Гришмановский ПВ (заоч).xlsx".</t>
        </is>
      </c>
    </row>
    <row r="4" ht="52.8" customHeight="1" s="296">
      <c r="A4" s="118" t="n">
        <v>2</v>
      </c>
      <c r="B4" s="18" t="inlineStr">
        <is>
          <t>Первым этапом использования системы является обязательное заполнение листов:
- титул - титульный лист, содержащий исходные данные и общие показатели;
- осень - план учебной работы на осенний семестр;
- весна - план учебной работы на весенний семестр.</t>
        </is>
      </c>
    </row>
    <row r="5" ht="39.6" customHeight="1" s="296">
      <c r="A5" s="118" t="n">
        <v>3</v>
      </c>
      <c r="B5" s="18" t="inlineStr">
        <is>
          <t>Учет по очной и другим формам обучения, а также учет нагрузки по разным кафедрам, ведется в отдельных электронных тетрадях (в отдельных файлах). Кафедра и форма обучения указываются на титульном листе.</t>
        </is>
      </c>
    </row>
    <row r="6" ht="26.4" customHeight="1" s="296">
      <c r="A6" s="118" t="n">
        <v>4</v>
      </c>
      <c r="B6" s="18" t="inlineStr">
        <is>
          <t>Учет всех видов нагрузки (по основному месту работы, по совместительству, с почасовой оплатой) по одной кафедре ведется в одной электронной тетради.</t>
        </is>
      </c>
    </row>
    <row r="7" ht="52.8" customHeight="1" s="296">
      <c r="A7" s="118" t="n">
        <v>5</v>
      </c>
      <c r="B7" s="18" t="inlineStr">
        <is>
          <t>В течение учебного года ежемесячно заполняются листы:
- 09, 10, 11, 12, 01 - месяцы осеннего семестра;
- 02, 03, 04, 05, 06 - месяцы весеннего семестра;
- 07, 08 - для преподавателей, имеющих учебную нагрузку в июле и августе (весенний семестр).</t>
        </is>
      </c>
    </row>
    <row r="8" ht="26.4" customHeight="1" s="296">
      <c r="A8" s="118" t="n">
        <v>6</v>
      </c>
      <c r="B8" s="18" t="inlineStr">
        <is>
          <t>Лист "карточка" отражает плановую и фактическую нагрузку непосредственно при изменении данных на других листах (ничего считать и вписывать самостоятельно на этом листе не нужно).</t>
        </is>
      </c>
    </row>
    <row r="9" ht="102" customHeight="1" s="296">
      <c r="A9" s="118" t="n">
        <v>7</v>
      </c>
      <c r="B9" s="18" t="inlineStr">
        <is>
          <t>Фактически выполненная работа соотносится с плановой при одновременном совпадении на листах плана ("осень" и "весна") и месяца ("09"-"01" и "02"-"08") совокупности ключевых атрибутов:
- Дисциплина, вид учебной работы;
- Группа (институт, направление, профиль или специальность, уровень, курс);
- Вид нагрузки.
Группа может быть указана по ее номеру или в виде шифра, указанного в нагрузке по кафедре, выданной УМУ, но в одной тетради следует строго придерживаться одного варианта.</t>
        </is>
      </c>
    </row>
    <row r="10" ht="39.6" customHeight="1" s="296">
      <c r="A10" s="118" t="n">
        <v>8</v>
      </c>
      <c r="B10" s="18" t="inlineStr">
        <is>
          <t>Если на листе плана ("осень", "весна") в двух или более строках указаны совпадающие ключевые атрибуты, то они выделяются фоном желтого цвета. Такие строки считаются ошибочными и не учитываются в расчетах.</t>
        </is>
      </c>
    </row>
    <row r="11" ht="52.8" customHeight="1" s="296">
      <c r="A11" s="118" t="n">
        <v>9</v>
      </c>
      <c r="B11" s="18" t="inlineStr">
        <is>
          <t>Если ключевые атрибуты на листе месяца не совпадают ни с одной записью на листе плана, то они выделяются фоном желтого цвета, а часы, указанные в этой строке - красным. Такие часы считаются ошибочными, подсчитываются отдельно в верхней части листа и не суммируются при подведении итогов.</t>
        </is>
      </c>
    </row>
    <row r="12" ht="26.4" customHeight="1" s="296">
      <c r="A12" s="118" t="n">
        <v>10</v>
      </c>
      <c r="B12" s="18" t="inlineStr">
        <is>
          <t>Поля "Число месяца", "Подгруппа", "Количество студентов", "Тема занятия" и "Примечания" на листах месяцев введены для повышения информативности и не учитываются в расчетах.</t>
        </is>
      </c>
    </row>
    <row r="13" ht="52.8" customHeight="1" s="296">
      <c r="A13" s="118" t="n">
        <v>11</v>
      </c>
      <c r="B13" s="18" t="inlineStr">
        <is>
          <t>В случае выполнения работ, изначально не предусмотренных планом, соответствующие данные должны быть внесены на листе плана ("осень", "весна") без указания запланированного объема. После этого могут быть указаны фактические значения выполненной работы на соответствующих листах в зависимости от вида и сроков выпонения работы.</t>
        </is>
      </c>
    </row>
    <row r="14" ht="39.6" customHeight="1" s="296">
      <c r="A14" s="119" t="n">
        <v>12</v>
      </c>
      <c r="B14" s="121" t="inlineStr">
        <is>
          <t>НЕ ДОПУСКАЕТСЯ использование перетаскивания мышью ячеек на листах - это приведет к нарушению расчетов (особенность MS Excel). Вместо этого следует пользоваться специальными командами копирования (не вырезания!) и вставки (см. п. 13).</t>
        </is>
      </c>
    </row>
    <row r="15" ht="52.8" customHeight="1" s="296">
      <c r="A15" s="119" t="n">
        <v>13</v>
      </c>
      <c r="B15" s="121" t="inlineStr">
        <is>
          <t>РЕКОМЕНДУЕТСЯ при вставке данных, скопированных как из других документов, так и из этой же тетради, вместо обычной вставки использовать команды "Вставить значения" или "Специальная вставка - Значения и форматы чисел". В противном случае вероятно нарушение расчетов и индикации ошибок.</t>
        </is>
      </c>
    </row>
    <row r="16" ht="66" customHeight="1" s="296">
      <c r="A16" s="118" t="n">
        <v>14</v>
      </c>
      <c r="B16" s="18" t="inlineStr">
        <is>
          <t>При печати листов "осень" и "весна", листов по месяцам ("09"-"01" и "02"-"08"), рекомендуется ограничивать количество выводимых страниц, чтобы избежать печати страниц, которые не содержат данных (всего предусмотрено по 4 страницы на план каждого семестра и по 6 страниц на каждый месяц). Для определения количества заполненных страниц можно использовать предварительный просмотр перед печатью.</t>
        </is>
      </c>
    </row>
    <row r="17">
      <c r="B17" s="18" t="n"/>
    </row>
    <row r="18" ht="60.75" customHeight="1" s="296">
      <c r="A18" s="293" t="inlineStr">
        <is>
          <t>По всем техническим вопросам (т.е. связанным с функционированием данной системы) следует обращаться к Гришмановскому Павлу Валерьевичу по электронной почте grishmanovskiy_pv@surgu.ru с указанием в теме письма "Тетрадь ППС". (ПРОСТО КЛИКНИТЕ МЫШЬЮ В ЭТОЙ ЯЧЕЙКЕ)
В тексте письма необходимо указать характер проблемы и прикрепить к письму файл тетради.</t>
        </is>
      </c>
    </row>
    <row r="19">
      <c r="B19" s="18" t="n"/>
    </row>
    <row r="20">
      <c r="B20" s="18" t="n"/>
    </row>
    <row r="21">
      <c r="B21" s="18" t="n"/>
    </row>
    <row r="22">
      <c r="B22" s="18" t="n"/>
    </row>
    <row r="23">
      <c r="B23" s="18" t="n"/>
    </row>
    <row r="24">
      <c r="B24" s="18" t="n"/>
    </row>
  </sheetData>
  <sheetProtection selectLockedCells="0" selectUnlockedCells="0" algorithmName="SHA-512" sheet="1" objects="1" insertRows="1" insertHyperlinks="1" autoFilter="1" scenarios="1" formatColumns="1" deleteColumns="1" insertColumns="1" pivotTables="1" deleteRows="1" formatCells="1" saltValue="iZMNJbz+snokjYPMpBcSNQ==" formatRows="1" sort="1" spinCount="100000" hashValue="H34nvjoE6HSi6n8fMJksf/n6OxPzyJAhjOVaBdoOhWlPuYtAdxxwf67OtL+h5Bb7plVAUfmPfxLA31Kj2iS5IQ=="/>
  <mergeCells count="3">
    <mergeCell ref="A18:B18"/>
    <mergeCell ref="A2:B2"/>
    <mergeCell ref="A1:B1"/>
  </mergeCells>
  <hyperlinks>
    <hyperlink xmlns:r="http://schemas.openxmlformats.org/officeDocument/2006/relationships" ref="A18" display="qq" r:id="rId1"/>
  </hyperlinks>
  <printOptions horizontalCentered="1"/>
  <pageMargins left="0.984251968503937" right="0.3937007874015748" top="0.7874015748031497" bottom="0.5905511811023623" header="0.5118110236220472" footer="0.5118110236220472"/>
  <pageSetup orientation="portrait" paperSize="9" scale="96" fitToHeight="10"/>
  <headerFooter alignWithMargins="0">
    <oddHeader>&amp;L&amp;F&amp;C&amp;P&amp;R&amp;D  &amp;T</oddHeader>
    <oddFooter/>
    <evenHeader/>
    <evenFooter/>
    <firstHeader/>
    <firstFooter/>
  </headerFooter>
  <rowBreaks count="1" manualBreakCount="1">
    <brk id="4" min="0" max="1" man="1"/>
  </rowBreaks>
</worksheet>
</file>

<file path=xl/worksheets/sheet4.xml><?xml version="1.0" encoding="utf-8"?>
<worksheet xmlns="http://schemas.openxmlformats.org/spreadsheetml/2006/main">
  <sheetPr codeName="Лист22">
    <outlinePr summaryBelow="1" summaryRight="1"/>
    <pageSetUpPr fitToPage="1"/>
  </sheetPr>
  <dimension ref="A1:F44"/>
  <sheetViews>
    <sheetView topLeftCell="A6" zoomScale="115" zoomScaleNormal="115" workbookViewId="0">
      <selection activeCell="C26" sqref="C26"/>
    </sheetView>
  </sheetViews>
  <sheetFormatPr baseColWidth="8" defaultColWidth="9.109375" defaultRowHeight="13.2"/>
  <cols>
    <col width="17.6640625" customWidth="1" style="296" min="1" max="1"/>
    <col width="14.6640625" customWidth="1" style="296" min="2" max="2"/>
    <col width="12.6640625" customWidth="1" style="296" min="3" max="4"/>
    <col width="7.6640625" customWidth="1" style="296" min="5" max="5"/>
    <col width="22.6640625" customWidth="1" style="296" min="6" max="6"/>
  </cols>
  <sheetData>
    <row r="1" ht="63" customHeight="1" s="296">
      <c r="A1" s="297" t="n"/>
    </row>
    <row r="2" ht="28.5" customHeight="1" s="296">
      <c r="A2" s="298" t="inlineStr">
        <is>
          <t>Бюджетное учреждение высшего образования Ханты-Мансийского автономного округа – Югры
«Сургутский государственный университет»</t>
        </is>
      </c>
    </row>
    <row r="3" ht="15.6" customHeight="1" s="296">
      <c r="A3" s="297" t="n"/>
    </row>
    <row r="4" ht="69.75" customHeight="1" s="296">
      <c r="F4" s="122" t="n"/>
    </row>
    <row r="5" ht="24" customFormat="1" customHeight="1" s="123">
      <c r="A5" s="300" t="inlineStr">
        <is>
          <t>Тетрадь планирования и учёта учебной работы преподавателя</t>
        </is>
      </c>
    </row>
    <row r="6" ht="15" customFormat="1" customHeight="1" s="123">
      <c r="A6" s="301" t="inlineStr">
        <is>
          <t>Индивидуальный план и отчет преподавателя</t>
        </is>
      </c>
    </row>
    <row r="7" ht="21.75" customHeight="1" s="296">
      <c r="F7" s="124">
        <f>CONCATENATE("(v. ",Form_PPS_v_major,".",Form_PPS_v_minor,")")</f>
        <v/>
      </c>
    </row>
    <row r="8">
      <c r="A8" t="inlineStr">
        <is>
          <t>Институт</t>
        </is>
      </c>
      <c r="B8" s="294" t="inlineStr">
        <is>
          <t>политехнический</t>
        </is>
      </c>
      <c r="C8" s="294" t="n"/>
      <c r="D8" s="294" t="n"/>
      <c r="E8" s="294" t="n"/>
      <c r="F8" s="294" t="n"/>
    </row>
    <row r="9">
      <c r="A9" t="inlineStr">
        <is>
          <t>Кафедра</t>
        </is>
      </c>
      <c r="B9" s="294" t="inlineStr">
        <is>
          <t>Прикладной математики (1)</t>
        </is>
      </c>
      <c r="C9" s="294" t="n"/>
      <c r="D9" s="294" t="n"/>
      <c r="E9" s="294" t="n"/>
      <c r="F9" s="294" t="n"/>
    </row>
    <row r="11">
      <c r="A11" t="inlineStr">
        <is>
          <t>Учебный год</t>
        </is>
      </c>
      <c r="B11" t="inlineStr">
        <is>
          <t>2024/2025</t>
        </is>
      </c>
    </row>
    <row r="12">
      <c r="A12" t="inlineStr">
        <is>
          <t>Форма обучения</t>
        </is>
      </c>
      <c r="B12" s="294" t="inlineStr">
        <is>
          <t>очная</t>
        </is>
      </c>
      <c r="C12" s="294" t="n"/>
    </row>
    <row r="13" ht="18.75" customHeight="1" s="296">
      <c r="A13" s="125" t="n"/>
      <c r="B13" s="125" t="n"/>
      <c r="C13" s="125" t="n"/>
      <c r="D13" s="125" t="n"/>
      <c r="E13" s="125" t="n"/>
      <c r="F13" s="125" t="n"/>
    </row>
    <row r="14" ht="18.75" customHeight="1" s="296"/>
    <row r="15">
      <c r="A15" t="inlineStr">
        <is>
          <t>Преподаватель</t>
        </is>
      </c>
      <c r="B15" s="294" t="n"/>
      <c r="C15" s="294" t="n"/>
      <c r="D15" s="294" t="n"/>
      <c r="E15" s="294" t="n"/>
      <c r="F15" s="294" t="n"/>
    </row>
    <row r="16">
      <c r="A16" t="inlineStr">
        <is>
          <t>Должность</t>
        </is>
      </c>
      <c r="B16" s="294" t="inlineStr">
        <is>
          <t>(нет)</t>
        </is>
      </c>
      <c r="C16" s="294" t="n"/>
      <c r="D16" s="376" t="inlineStr">
        <is>
          <t>Совмещение</t>
        </is>
      </c>
      <c r="E16" s="2" t="n"/>
      <c r="F16" s="294" t="n"/>
    </row>
    <row r="18">
      <c r="A18" t="inlineStr">
        <is>
          <t>Степень</t>
        </is>
      </c>
      <c r="B18" s="294" t="inlineStr">
        <is>
          <t>(нет)</t>
        </is>
      </c>
      <c r="C18" s="294" t="n"/>
      <c r="D18" s="294" t="n"/>
      <c r="E18" s="294" t="n"/>
      <c r="F18" s="294" t="n"/>
    </row>
    <row r="19">
      <c r="A19" t="inlineStr">
        <is>
          <t>Звание</t>
        </is>
      </c>
      <c r="B19" s="294" t="inlineStr">
        <is>
          <t>(нет)</t>
        </is>
      </c>
      <c r="C19" s="294" t="n"/>
    </row>
    <row r="20" ht="18.75" customHeight="1" s="296">
      <c r="A20" s="125" t="n"/>
      <c r="B20" s="125" t="n"/>
      <c r="C20" s="125" t="n"/>
      <c r="D20" s="125" t="n"/>
      <c r="E20" s="125" t="n"/>
      <c r="F20" s="125" t="n"/>
    </row>
    <row r="21" ht="18.75" customHeight="1" s="296"/>
    <row r="22">
      <c r="A22" t="inlineStr">
        <is>
          <t>Структура учебной нагрузки (в часах):</t>
        </is>
      </c>
    </row>
    <row r="23">
      <c r="C23" s="127" t="inlineStr">
        <is>
          <t xml:space="preserve">по плану </t>
        </is>
      </c>
      <c r="D23" s="128" t="inlineStr">
        <is>
          <t xml:space="preserve"> по приказу</t>
        </is>
      </c>
      <c r="F23" s="377" t="n"/>
    </row>
    <row r="24">
      <c r="B24" s="130">
        <f>INDEX(ВидыНагрузки,1)</f>
        <v/>
      </c>
      <c r="C24" s="378">
        <f>карточка!S71</f>
        <v/>
      </c>
      <c r="D24" s="379" t="n"/>
      <c r="F24" s="380" t="n"/>
    </row>
    <row r="25">
      <c r="B25" s="130">
        <f>INDEX(ВидыНагрузки,2)</f>
        <v/>
      </c>
      <c r="C25" s="381">
        <f>карточка!S72</f>
        <v/>
      </c>
      <c r="D25" s="382" t="n"/>
      <c r="F25" s="136" t="n"/>
    </row>
    <row r="26">
      <c r="B26" s="130">
        <f>INDEX(ВидыНагрузки,3)</f>
        <v/>
      </c>
      <c r="C26" s="383">
        <f>карточка!S73</f>
        <v/>
      </c>
      <c r="D26" s="384" t="n"/>
    </row>
    <row r="27">
      <c r="B27" s="130" t="inlineStr">
        <is>
          <t>всего</t>
        </is>
      </c>
      <c r="C27" s="385">
        <f>карточка!S74</f>
        <v/>
      </c>
      <c r="D27" s="386">
        <f>SUM(D24:D26)</f>
        <v/>
      </c>
      <c r="E27" s="130" t="n"/>
      <c r="F27" s="141" t="n"/>
    </row>
    <row r="28">
      <c r="B28" s="130" t="n"/>
      <c r="C28" s="387" t="n"/>
      <c r="D28" s="387" t="n"/>
      <c r="E28" s="143" t="n"/>
    </row>
    <row r="29" ht="5.1" customHeight="1" s="296">
      <c r="F29" s="388">
        <f>COUNTIF(F30:F36,"&gt;0")</f>
        <v/>
      </c>
    </row>
    <row r="30" ht="5.1" customHeight="1" s="296">
      <c r="F30" s="145" t="n"/>
    </row>
    <row r="31" ht="5.1" customHeight="1" s="296">
      <c r="F31" s="145" t="n"/>
    </row>
    <row r="32" ht="5.1" customHeight="1" s="296">
      <c r="F32" s="145" t="n"/>
    </row>
    <row r="33" ht="5.1" customHeight="1" s="296">
      <c r="F33" s="145" t="n"/>
    </row>
    <row r="34" ht="5.1" customHeight="1" s="296">
      <c r="F34" s="145" t="n"/>
    </row>
    <row r="36">
      <c r="F36" s="145" t="n"/>
    </row>
    <row r="38">
      <c r="A38" s="389" t="n"/>
      <c r="B38" s="2" t="n"/>
      <c r="C38" s="2" t="n"/>
      <c r="D38" s="2" t="n"/>
      <c r="E38" s="2" t="n"/>
      <c r="F38" s="2" t="n"/>
    </row>
    <row r="39">
      <c r="A39" s="390" t="n"/>
      <c r="B39" s="2" t="n"/>
      <c r="C39" s="2" t="n"/>
      <c r="D39" s="2" t="n"/>
      <c r="E39" s="2" t="n"/>
      <c r="F39" s="2" t="n"/>
    </row>
    <row r="40">
      <c r="A40" s="391" t="n"/>
      <c r="B40" s="2" t="n"/>
      <c r="C40" s="2" t="n"/>
      <c r="D40" s="2" t="n"/>
      <c r="E40" s="2" t="n"/>
      <c r="F40" s="2" t="n"/>
    </row>
    <row r="41">
      <c r="A41" s="125" t="n"/>
      <c r="B41" s="125" t="n"/>
      <c r="C41" s="125" t="n"/>
      <c r="D41" s="125" t="n"/>
      <c r="E41" s="125" t="n"/>
      <c r="F41" s="125" t="n"/>
    </row>
    <row r="44" ht="15.6" customHeight="1" s="296">
      <c r="A44" s="305">
        <f>CONCATENATE("Сургут, ",MID(B11,1,4)," г.")</f>
        <v/>
      </c>
      <c r="B44" s="2" t="n"/>
      <c r="C44" s="2" t="n"/>
      <c r="D44" s="2" t="n"/>
      <c r="E44" s="2" t="n"/>
      <c r="F44" s="2" t="n"/>
    </row>
  </sheetData>
  <sheetProtection selectLockedCells="0" selectUnlockedCells="0" algorithmName="SHA-512" sheet="1" objects="1" insertRows="1" insertHyperlinks="1" autoFilter="1" scenarios="1" formatColumns="1" deleteColumns="1" insertColumns="1" pivotTables="1" deleteRows="1" formatCells="1" saltValue="M+mHLpYxO/mCosnK4pejPw==" formatRows="1" sort="1" spinCount="100000" hashValue="vaFy2ju6H8VlAMQPrY+WwQWe3mP4UxWUyakJ0Vz7SX3mNQvbiwDwAzCZBiG/XxQfYNjGM9Fs2+1JLiRFdITQNA=="/>
  <mergeCells count="19">
    <mergeCell ref="B16:C16"/>
    <mergeCell ref="A3:F3"/>
    <mergeCell ref="B18:C18"/>
    <mergeCell ref="B12:C12"/>
    <mergeCell ref="A2:F2"/>
    <mergeCell ref="B11:C11"/>
    <mergeCell ref="A5:F5"/>
    <mergeCell ref="D18:F18"/>
    <mergeCell ref="B8:F8"/>
    <mergeCell ref="A38:F38"/>
    <mergeCell ref="D16:E16"/>
    <mergeCell ref="A44:F44"/>
    <mergeCell ref="B19:C19"/>
    <mergeCell ref="A40:F40"/>
    <mergeCell ref="A39:F39"/>
    <mergeCell ref="B9:F9"/>
    <mergeCell ref="B15:F15"/>
    <mergeCell ref="A1:F1"/>
    <mergeCell ref="A6:F6"/>
  </mergeCells>
  <conditionalFormatting sqref="B8:D9 B12:C12 B15:D15 B16:C16 B18:C19 D24:D26">
    <cfRule type="cellIs" priority="8" operator="equal" dxfId="94" stopIfTrue="1">
      <formula>""</formula>
    </cfRule>
  </conditionalFormatting>
  <conditionalFormatting sqref="D18">
    <cfRule type="expression" priority="9" dxfId="94" stopIfTrue="1">
      <formula>AND($B$18&lt;&gt;"",$B$18&lt;&gt;"(нет)",$D$18="")</formula>
    </cfRule>
  </conditionalFormatting>
  <conditionalFormatting sqref="F16">
    <cfRule type="expression" priority="1" dxfId="93" stopIfTrue="1">
      <formula>AND($D$16&gt;0,$F$16="")</formula>
    </cfRule>
    <cfRule type="expression" priority="2" dxfId="92">
      <formula>($D$16=0)</formula>
    </cfRule>
  </conditionalFormatting>
  <dataValidations count="8">
    <dataValidation sqref="B8:F8" showDropDown="0" showInputMessage="0" showErrorMessage="1" allowBlank="0" errorTitle="Неверные данные" error="Необходимо выбрать значение из списка" type="list">
      <formula1>Институты</formula1>
    </dataValidation>
    <dataValidation sqref="B16:C16" showDropDown="0" showInputMessage="0" showErrorMessage="1" allowBlank="0" errorTitle="Неверные данные" error="Необходимо выбрать значение из списка" promptTitle="ываыв" prompt="ваываыва" type="list">
      <formula1>ДолжностиППС</formula1>
    </dataValidation>
    <dataValidation sqref="B12:C12" showDropDown="0" showInputMessage="0" showErrorMessage="1" allowBlank="0" errorTitle="Неверные данные" error="Необходимо выбрать значение из списка" promptTitle="ываыв" prompt="ваываыва" type="list">
      <formula1>ФормыООП</formula1>
    </dataValidation>
    <dataValidation sqref="D18:F18" showDropDown="0" showInputMessage="0" showErrorMessage="0" allowBlank="1" errorTitle="Неверные данные" error="Необходимо выбрать значение из списка" type="list">
      <formula1>IF(OR($B$18="(нет)",$B$18=""),D19,ОтраслиНаук)</formula1>
    </dataValidation>
    <dataValidation sqref="B19:C19" showDropDown="0" showInputMessage="0" showErrorMessage="1" allowBlank="0" errorTitle="Неверные данные" error="Необзодимо выбрать значение из списка" type="list">
      <formula1>ЗванияППС</formula1>
    </dataValidation>
    <dataValidation sqref="B18:C18" showDropDown="0" showInputMessage="0" showErrorMessage="1" allowBlank="0" errorTitle="Неверные данные" error="Необходимо выбрать значение из списка" type="list">
      <formula1>СтепениППС</formula1>
    </dataValidation>
    <dataValidation sqref="B9:F9" showDropDown="0" showInputMessage="1" showErrorMessage="1" allowBlank="0" type="list">
      <formula1>Кафедры</formula1>
    </dataValidation>
    <dataValidation sqref="F16" showDropDown="0" showInputMessage="1" showErrorMessage="1" allowBlank="1" type="list">
      <formula1>ДолжностиППС_С</formula1>
    </dataValidation>
  </dataValidations>
  <printOptions horizontalCentered="1" verticalCentered="1"/>
  <pageMargins left="0.7874015748031497" right="0.3937007874015748" top="0.3937007874015748" bottom="0.3937007874015748" header="0.5118110236220472" footer="0.5118110236220472"/>
  <pageSetup orientation="portrait" paperSize="9"/>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codeName="Лист23">
    <tabColor rgb="FFFFFF66"/>
    <outlinePr summaryBelow="1" summaryRight="1"/>
    <pageSetUpPr fitToPage="1"/>
  </sheetPr>
  <dimension ref="A1:Z194"/>
  <sheetViews>
    <sheetView zoomScale="117" zoomScaleNormal="130" workbookViewId="0">
      <pane xSplit="7" ySplit="4" topLeftCell="H5" activePane="bottomRight" state="frozen"/>
      <selection activeCell="D3" sqref="D3:F4"/>
      <selection pane="topRight" activeCell="D3" sqref="D3:F4"/>
      <selection pane="bottomLeft" activeCell="D3" sqref="D3:F4"/>
      <selection pane="bottomRight" activeCell="N9" sqref="N9"/>
    </sheetView>
  </sheetViews>
  <sheetFormatPr baseColWidth="8" defaultColWidth="9.109375" defaultRowHeight="13.2"/>
  <cols>
    <col hidden="1" width="4.6640625" customWidth="1" style="146" min="1" max="2"/>
    <col hidden="1" width="27" customWidth="1" style="9" min="3" max="3"/>
    <col width="32.6640625" customWidth="1" style="9" min="4" max="4"/>
    <col width="18.6640625" customWidth="1" style="9" min="5" max="5"/>
    <col width="6.6640625" customWidth="1" style="9" min="6" max="6"/>
    <col width="5.6640625" customWidth="1" style="9" min="7" max="7"/>
    <col width="3.6640625" customWidth="1" style="9" min="8" max="9"/>
    <col width="6.6640625" customWidth="1" style="9" min="10" max="23"/>
    <col width="7.6640625" customWidth="1" style="9" min="24" max="25"/>
    <col width="20.6640625" customWidth="1" style="9" min="26" max="26"/>
    <col width="9.109375" customWidth="1" style="9" min="27" max="16384"/>
  </cols>
  <sheetData>
    <row r="1" ht="12.75" customHeight="1" s="296">
      <c r="D1" s="319" t="inlineStr">
        <is>
          <t>Заполнить</t>
        </is>
      </c>
      <c r="E1" s="392" t="n"/>
      <c r="F1" s="392" t="n"/>
      <c r="G1" s="392" t="n"/>
      <c r="H1" s="392" t="n"/>
      <c r="I1" s="392" t="n"/>
      <c r="J1" s="393" t="inlineStr">
        <is>
          <t>Заполнить только строки "план" (значения в строках "факт" рассчитываются автоматически)</t>
        </is>
      </c>
      <c r="K1" s="392" t="n"/>
      <c r="L1" s="392" t="n"/>
      <c r="M1" s="392" t="n"/>
      <c r="N1" s="392" t="n"/>
      <c r="O1" s="392" t="n"/>
      <c r="P1" s="392" t="n"/>
      <c r="Q1" s="392" t="n"/>
      <c r="R1" s="392" t="n"/>
      <c r="S1" s="392" t="n"/>
      <c r="T1" s="392" t="n"/>
      <c r="U1" s="392" t="n"/>
      <c r="V1" s="392" t="n"/>
      <c r="W1" s="394" t="n"/>
    </row>
    <row r="2" ht="112.5" customHeight="1" s="296">
      <c r="A2" s="147" t="inlineStr">
        <is>
          <t>индекс</t>
        </is>
      </c>
      <c r="B2" s="147" t="inlineStr">
        <is>
          <t>пусто</t>
        </is>
      </c>
      <c r="C2" s="148" t="inlineStr">
        <is>
          <t>ключ</t>
        </is>
      </c>
      <c r="D2" s="167" t="inlineStr">
        <is>
          <t xml:space="preserve">Дисциплина, 
вид учебной работы </t>
        </is>
      </c>
      <c r="E2" s="168" t="inlineStr">
        <is>
          <t>Группа (институт, направление, профиль или специальность, уровень, курс)</t>
        </is>
      </c>
      <c r="F2" s="170" t="inlineStr">
        <is>
          <t>Вид нагрузки</t>
        </is>
      </c>
      <c r="G2" s="280" t="inlineStr">
        <is>
          <t>План / Факт</t>
        </is>
      </c>
      <c r="H2" s="175" t="inlineStr">
        <is>
          <t>Количество подгрупп</t>
        </is>
      </c>
      <c r="I2" s="170" t="inlineStr">
        <is>
          <t>Количество студентов</t>
        </is>
      </c>
      <c r="J2" s="175" t="inlineStr">
        <is>
          <t>лекции</t>
        </is>
      </c>
      <c r="K2" s="174" t="inlineStr">
        <is>
          <t>практические занятия 
и семинары</t>
        </is>
      </c>
      <c r="L2" s="169" t="inlineStr">
        <is>
          <t>лабораторные работы</t>
        </is>
      </c>
      <c r="M2" s="175" t="inlineStr">
        <is>
          <t>консультации</t>
        </is>
      </c>
      <c r="N2" s="174" t="inlineStr">
        <is>
          <t>контрольные работы</t>
        </is>
      </c>
      <c r="O2" s="169" t="inlineStr">
        <is>
          <t>курсовые проекты и работы</t>
        </is>
      </c>
      <c r="P2" s="175" t="inlineStr">
        <is>
          <t>зачеты, дифферен-цированные зачеты</t>
        </is>
      </c>
      <c r="Q2" s="174" t="inlineStr">
        <is>
          <t>семестровые экзамены</t>
        </is>
      </c>
      <c r="R2" s="169" t="inlineStr">
        <is>
          <t>КСР</t>
        </is>
      </c>
      <c r="S2" s="175" t="inlineStr">
        <is>
          <t>руководство 
практиками</t>
        </is>
      </c>
      <c r="T2" s="174" t="inlineStr">
        <is>
          <t>руководство 
научной работой</t>
        </is>
      </c>
      <c r="U2" s="176" t="inlineStr">
        <is>
          <t>руководство ВКР (дипломные проекты)</t>
        </is>
      </c>
      <c r="V2" s="169" t="inlineStr">
        <is>
          <t>ГЭК, ИАК</t>
        </is>
      </c>
      <c r="W2" s="281" t="inlineStr">
        <is>
          <t>прочие</t>
        </is>
      </c>
      <c r="X2" s="282" t="inlineStr">
        <is>
          <t>всего</t>
        </is>
      </c>
      <c r="Y2" s="280" t="inlineStr">
        <is>
          <t>Отклонение от плана</t>
        </is>
      </c>
      <c r="Z2" s="215" t="inlineStr">
        <is>
          <t>Примечания</t>
        </is>
      </c>
    </row>
    <row r="3">
      <c r="D3" s="395" t="inlineStr">
        <is>
          <t>Всего за семестр</t>
        </is>
      </c>
      <c r="E3" s="396" t="n"/>
      <c r="F3" s="397" t="n"/>
      <c r="G3" s="235" t="inlineStr">
        <is>
          <t>план</t>
        </is>
      </c>
      <c r="H3" s="236" t="n"/>
      <c r="I3" s="150" t="n"/>
      <c r="J3" s="398">
        <f>SUMIF($G$5:$G$178,$G3,J$5:J$178)</f>
        <v/>
      </c>
      <c r="K3" s="399">
        <f>SUMIF($G$5:$G$178,$G3,K$5:K$178)</f>
        <v/>
      </c>
      <c r="L3" s="400">
        <f>SUMIF($G$5:$G$178,$G3,L$5:L$178)</f>
        <v/>
      </c>
      <c r="M3" s="398">
        <f>SUMIF($G$5:$G$178,$G3,M$5:M$178)</f>
        <v/>
      </c>
      <c r="N3" s="399">
        <f>SUMIF($G$5:$G$178,$G3,N$5:N$178)</f>
        <v/>
      </c>
      <c r="O3" s="400">
        <f>SUMIF($G$5:$G$178,$G3,O$5:O$178)</f>
        <v/>
      </c>
      <c r="P3" s="398">
        <f>SUMIF($G$5:$G$178,$G3,P$5:P$178)</f>
        <v/>
      </c>
      <c r="Q3" s="399">
        <f>SUMIF($G$5:$G$178,$G3,Q$5:Q$178)</f>
        <v/>
      </c>
      <c r="R3" s="400">
        <f>SUMIF($G$5:$G$178,$G3,R$5:R$178)</f>
        <v/>
      </c>
      <c r="S3" s="398">
        <f>SUMIF($G$5:$G$178,$G3,S$5:S$178)</f>
        <v/>
      </c>
      <c r="T3" s="399">
        <f>SUMIF($G$5:$G$178,$G3,T$5:T$178)</f>
        <v/>
      </c>
      <c r="U3" s="401">
        <f>SUMIF($G$5:$G$178,$G3,U$5:U$178)</f>
        <v/>
      </c>
      <c r="V3" s="400">
        <f>SUMIF($G$5:$G$178,$G3,V$5:V$178)</f>
        <v/>
      </c>
      <c r="W3" s="400">
        <f>SUMIF($G$5:$G$178,$G3,W$5:W$178)</f>
        <v/>
      </c>
      <c r="X3" s="402">
        <f>SUM(J3:W3)</f>
        <v/>
      </c>
      <c r="Y3" s="403">
        <f>X4-X3</f>
        <v/>
      </c>
      <c r="Z3" s="404">
        <f>Утв_План</f>
        <v/>
      </c>
    </row>
    <row r="4">
      <c r="D4" s="405" t="n"/>
      <c r="E4" s="406" t="n"/>
      <c r="F4" s="407" t="n"/>
      <c r="G4" s="242" t="inlineStr">
        <is>
          <t>факт</t>
        </is>
      </c>
      <c r="H4" s="243" t="n"/>
      <c r="I4" s="152" t="n"/>
      <c r="J4" s="408">
        <f>SUMIF($G$5:$G$178,$G4,J$5:J$178)</f>
        <v/>
      </c>
      <c r="K4" s="409">
        <f>SUMIF($G$5:$G$178,$G4,K$5:K$178)</f>
        <v/>
      </c>
      <c r="L4" s="410">
        <f>SUMIF($G$5:$G$178,$G4,L$5:L$178)</f>
        <v/>
      </c>
      <c r="M4" s="408">
        <f>SUMIF($G$5:$G$178,$G4,M$5:M$178)</f>
        <v/>
      </c>
      <c r="N4" s="409">
        <f>SUMIF($G$5:$G$178,$G4,N$5:N$178)</f>
        <v/>
      </c>
      <c r="O4" s="410">
        <f>SUMIF($G$5:$G$178,$G4,O$5:O$178)</f>
        <v/>
      </c>
      <c r="P4" s="408">
        <f>SUMIF($G$5:$G$178,$G4,P$5:P$178)</f>
        <v/>
      </c>
      <c r="Q4" s="409">
        <f>SUMIF($G$5:$G$178,$G4,Q$5:Q$178)</f>
        <v/>
      </c>
      <c r="R4" s="410">
        <f>SUMIF($G$5:$G$178,$G4,R$5:R$178)</f>
        <v/>
      </c>
      <c r="S4" s="408">
        <f>SUMIF($G$5:$G$178,$G4,S$5:S$178)</f>
        <v/>
      </c>
      <c r="T4" s="409">
        <f>SUMIF($G$5:$G$178,$G4,T$5:T$178)</f>
        <v/>
      </c>
      <c r="U4" s="411">
        <f>SUMIF($G$5:$G$178,$G4,U$5:U$178)</f>
        <v/>
      </c>
      <c r="V4" s="410">
        <f>SUMIF($G$5:$G$178,$G4,V$5:V$178)</f>
        <v/>
      </c>
      <c r="W4" s="410">
        <f>SUMIF($G$5:$G$178,$G4,W$5:W$178)</f>
        <v/>
      </c>
      <c r="X4" s="412">
        <f>SUM(J4:W4)</f>
        <v/>
      </c>
      <c r="Y4" s="413" t="n"/>
      <c r="Z4" s="414">
        <f>Утв_Осень</f>
        <v/>
      </c>
    </row>
    <row r="5" ht="14.25" customHeight="1" s="296">
      <c r="A5" s="154">
        <f>IF(OR(C5="0",COUNTIF(КлючОсень,C5)&gt;1),0,MATCH(F5,ВидыНагр,0))</f>
        <v/>
      </c>
      <c r="B5" s="154">
        <f>(COUNTA(D5:F6,J5:W5,H5:I6)=0)</f>
        <v/>
      </c>
      <c r="C5" s="155">
        <f>IF(OR(TRIM(D5)="",COUNTIF(ВидыНагр,F5)&lt;&gt;1),"0",CONCATENATE("$",TRIM(D5),"$",TRIM(E5),"$",F5,"$"))</f>
        <v/>
      </c>
      <c r="D5" s="415" t="inlineStr">
        <is>
          <t>Дискретная математика</t>
        </is>
      </c>
      <c r="E5" s="416" t="inlineStr">
        <is>
          <t>605-31 (УТС-23-1)</t>
        </is>
      </c>
      <c r="F5" s="417" t="inlineStr">
        <is>
          <t>почас.</t>
        </is>
      </c>
      <c r="G5" s="156" t="inlineStr">
        <is>
          <t>план</t>
        </is>
      </c>
      <c r="H5" s="157" t="n"/>
      <c r="I5" s="158" t="n"/>
      <c r="J5" s="418" t="n"/>
      <c r="K5" s="419" t="n"/>
      <c r="L5" s="420" t="n"/>
      <c r="M5" s="418" t="n">
        <v>9</v>
      </c>
      <c r="N5" s="419" t="n"/>
      <c r="O5" s="420" t="n"/>
      <c r="P5" s="418" t="n"/>
      <c r="Q5" s="419" t="n">
        <v>7.2</v>
      </c>
      <c r="R5" s="420" t="n"/>
      <c r="S5" s="418" t="n"/>
      <c r="T5" s="419" t="n"/>
      <c r="U5" s="421" t="n"/>
      <c r="V5" s="420" t="n"/>
      <c r="W5" s="420" t="n"/>
      <c r="X5" s="422">
        <f>SUM(J5:W5)</f>
        <v/>
      </c>
      <c r="Y5" s="423">
        <f>X6-X5</f>
        <v/>
      </c>
      <c r="Z5" s="209" t="n"/>
    </row>
    <row r="6" ht="14.25" customHeight="1" s="296">
      <c r="A6" s="154">
        <f>-A5</f>
        <v/>
      </c>
      <c r="B6" s="154">
        <f>B5</f>
        <v/>
      </c>
      <c r="C6" s="163" t="n"/>
      <c r="D6" s="424" t="n"/>
      <c r="E6" s="425" t="n"/>
      <c r="F6" s="426" t="n"/>
      <c r="G6" s="164" t="inlineStr">
        <is>
          <t>факт</t>
        </is>
      </c>
      <c r="H6" s="165" t="n"/>
      <c r="I6" s="250" t="n"/>
      <c r="J6" s="427">
        <f>SUMIF('09'!$D$7:$D$159,$C5,'09'!L$7:L$159)+SUMIF('10'!$D$7:$D$159,$C5,'10'!L$7:L$159)+SUMIF('11'!$D$7:$D$159,$C5,'11'!L$7:L$159)+SUMIF('12'!$D$7:$D$159,$C5,'12'!L$7:L$159)+SUMIF('01'!$D$7:$D$159,$C5,'01'!L$7:L$159)</f>
        <v/>
      </c>
      <c r="K6" s="428">
        <f>SUMIF('09'!$D$7:$D$159,$C5,'09'!M$7:M$159)+SUMIF('10'!$D$7:$D$159,$C5,'10'!M$7:M$159)+SUMIF('11'!$D$7:$D$159,$C5,'11'!M$7:M$159)+SUMIF('12'!$D$7:$D$159,$C5,'12'!M$7:M$159)+SUMIF('01'!$D$7:$D$159,$C5,'01'!M$7:M$159)</f>
        <v/>
      </c>
      <c r="L6" s="429">
        <f>SUMIF('09'!$D$7:$D$159,$C5,'09'!N$7:N$159)+SUMIF('10'!$D$7:$D$159,$C5,'10'!N$7:N$159)+SUMIF('11'!$D$7:$D$159,$C5,'11'!N$7:N$159)+SUMIF('12'!$D$7:$D$159,$C5,'12'!N$7:N$159)+SUMIF('01'!$D$7:$D$159,$C5,'01'!N$7:N$159)</f>
        <v/>
      </c>
      <c r="M6" s="427">
        <f>SUMIF('09'!$D$7:$D$159,$C5,'09'!O$7:O$159)+SUMIF('10'!$D$7:$D$159,$C5,'10'!O$7:O$159)+SUMIF('11'!$D$7:$D$159,$C5,'11'!O$7:O$159)+SUMIF('12'!$D$7:$D$159,$C5,'12'!O$7:O$159)+SUMIF('01'!$D$7:$D$159,$C5,'01'!O$7:O$159)</f>
        <v/>
      </c>
      <c r="N6" s="428">
        <f>SUMIF('09'!$D$7:$D$159,$C5,'09'!P$7:P$159)+SUMIF('10'!$D$7:$D$159,$C5,'10'!P$7:P$159)+SUMIF('11'!$D$7:$D$159,$C5,'11'!P$7:P$159)+SUMIF('12'!$D$7:$D$159,$C5,'12'!P$7:P$159)+SUMIF('01'!$D$7:$D$159,$C5,'01'!P$7:P$159)</f>
        <v/>
      </c>
      <c r="O6" s="429">
        <f>SUMIF('09'!$D$7:$D$159,$C5,'09'!Q$7:Q$159)+SUMIF('10'!$D$7:$D$159,$C5,'10'!Q$7:Q$159)+SUMIF('11'!$D$7:$D$159,$C5,'11'!Q$7:Q$159)+SUMIF('12'!$D$7:$D$159,$C5,'12'!Q$7:Q$159)+SUMIF('01'!$D$7:$D$159,$C5,'01'!Q$7:Q$159)</f>
        <v/>
      </c>
      <c r="P6" s="427">
        <f>SUMIF('09'!$D$7:$D$159,$C5,'09'!R$7:R$159)+SUMIF('10'!$D$7:$D$159,$C5,'10'!R$7:R$159)+SUMIF('11'!$D$7:$D$159,$C5,'11'!R$7:R$159)+SUMIF('12'!$D$7:$D$159,$C5,'12'!R$7:R$159)+SUMIF('01'!$D$7:$D$159,$C5,'01'!R$7:R$159)</f>
        <v/>
      </c>
      <c r="Q6" s="428">
        <f>SUMIF('09'!$D$7:$D$159,$C5,'09'!S$7:S$159)+SUMIF('10'!$D$7:$D$159,$C5,'10'!S$7:S$159)+SUMIF('11'!$D$7:$D$159,$C5,'11'!S$7:S$159)+SUMIF('12'!$D$7:$D$159,$C5,'12'!S$7:S$159)+SUMIF('01'!$D$7:$D$159,$C5,'01'!S$7:S$159)</f>
        <v/>
      </c>
      <c r="R6" s="429">
        <f>SUMIF('09'!$D$7:$D$159,$C5,'09'!T$7:T$159)+SUMIF('10'!$D$7:$D$159,$C5,'10'!T$7:T$159)+SUMIF('11'!$D$7:$D$159,$C5,'11'!T$7:T$159)+SUMIF('12'!$D$7:$D$159,$C5,'12'!T$7:T$159)+SUMIF('01'!$D$7:$D$159,$C5,'01'!T$7:T$159)</f>
        <v/>
      </c>
      <c r="S6" s="427">
        <f>SUMIF('09'!$D$7:$D$159,$C5,'09'!U$7:U$159)+SUMIF('10'!$D$7:$D$159,$C5,'10'!U$7:U$159)+SUMIF('11'!$D$7:$D$159,$C5,'11'!U$7:U$159)+SUMIF('12'!$D$7:$D$159,$C5,'12'!U$7:U$159)+SUMIF('01'!$D$7:$D$159,$C5,'01'!U$7:U$159)</f>
        <v/>
      </c>
      <c r="T6" s="428">
        <f>SUMIF('09'!$D$7:$D$159,$C5,'09'!V$7:V$159)+SUMIF('10'!$D$7:$D$159,$C5,'10'!V$7:V$159)+SUMIF('11'!$D$7:$D$159,$C5,'11'!V$7:V$159)+SUMIF('12'!$D$7:$D$159,$C5,'12'!V$7:V$159)+SUMIF('01'!$D$7:$D$159,$C5,'01'!V$7:V$159)</f>
        <v/>
      </c>
      <c r="U6" s="430">
        <f>SUMIF('09'!$D$7:$D$159,$C5,'09'!W$7:W$159)+SUMIF('10'!$D$7:$D$159,$C5,'10'!W$7:W$159)+SUMIF('11'!$D$7:$D$159,$C5,'11'!W$7:W$159)+SUMIF('12'!$D$7:$D$159,$C5,'12'!W$7:W$159)+SUMIF('01'!$D$7:$D$159,$C5,'01'!W$7:W$159)</f>
        <v/>
      </c>
      <c r="V6" s="429">
        <f>SUMIF('09'!$D$7:$D$159,$C5,'09'!X$7:X$159)+SUMIF('10'!$D$7:$D$159,$C5,'10'!X$7:X$159)+SUMIF('11'!$D$7:$D$159,$C5,'11'!X$7:X$159)+SUMIF('12'!$D$7:$D$159,$C5,'12'!X$7:X$159)+SUMIF('01'!$D$7:$D$159,$C5,'01'!X$7:X$159)</f>
        <v/>
      </c>
      <c r="W6" s="429">
        <f>SUMIF('09'!$D$7:$D$159,$C5,'09'!Y$7:Y$159)+SUMIF('10'!$D$7:$D$159,$C5,'10'!Y$7:Y$159)+SUMIF('11'!$D$7:$D$159,$C5,'11'!Y$7:Y$159)+SUMIF('12'!$D$7:$D$159,$C5,'12'!Y$7:Y$159)+SUMIF('01'!$D$7:$D$159,$C5,'01'!Y$7:Y$159)</f>
        <v/>
      </c>
      <c r="X6" s="431">
        <f>SUM(J6:W6)</f>
        <v/>
      </c>
      <c r="Y6" s="413" t="n"/>
      <c r="Z6" s="432" t="n"/>
    </row>
    <row r="7" ht="14.25" customHeight="1" s="296">
      <c r="A7" s="154">
        <f>IF(OR(C7="0",COUNTIF(КлючОсень,C7)&gt;1),0,MATCH(F7,ВидыНагр,0))</f>
        <v/>
      </c>
      <c r="B7" s="154">
        <f>(COUNTA(D7:F8,J7:W7,H7:I8)=0)</f>
        <v/>
      </c>
      <c r="C7" s="155">
        <f>IF(OR(TRIM(D7)="",COUNTIF(ВидыНагр,F7)&lt;&gt;1),"0",CONCATENATE("$",TRIM(D7),"$",TRIM(E7),"$",F7,"$"))</f>
        <v/>
      </c>
      <c r="D7" s="415" t="inlineStr">
        <is>
          <t>Дискретная математика</t>
        </is>
      </c>
      <c r="E7" s="416" t="inlineStr">
        <is>
          <t>605-31 (УТС-23-1)</t>
        </is>
      </c>
      <c r="F7" s="417" t="inlineStr">
        <is>
          <t>совм.</t>
        </is>
      </c>
      <c r="G7" s="156" t="inlineStr">
        <is>
          <t>план</t>
        </is>
      </c>
      <c r="H7" s="157" t="n"/>
      <c r="I7" s="158" t="n"/>
      <c r="J7" s="418" t="n"/>
      <c r="K7" s="419" t="n">
        <v>32</v>
      </c>
      <c r="L7" s="420" t="n"/>
      <c r="M7" s="418" t="n"/>
      <c r="N7" s="419" t="n"/>
      <c r="O7" s="420" t="n"/>
      <c r="P7" s="418" t="n"/>
      <c r="Q7" s="419" t="n"/>
      <c r="R7" s="420" t="n"/>
      <c r="S7" s="418" t="n"/>
      <c r="T7" s="419" t="n"/>
      <c r="U7" s="421" t="n"/>
      <c r="V7" s="420" t="n"/>
      <c r="W7" s="420" t="n"/>
      <c r="X7" s="422">
        <f>SUM(J7:W7)</f>
        <v/>
      </c>
      <c r="Y7" s="423">
        <f>X8-X7</f>
        <v/>
      </c>
      <c r="Z7" s="209" t="n"/>
    </row>
    <row r="8" ht="14.25" customHeight="1" s="296">
      <c r="A8" s="154">
        <f>-A7</f>
        <v/>
      </c>
      <c r="B8" s="154">
        <f>B7</f>
        <v/>
      </c>
      <c r="C8" s="163" t="n"/>
      <c r="D8" s="424" t="n"/>
      <c r="E8" s="425" t="n"/>
      <c r="F8" s="426" t="n"/>
      <c r="G8" s="164" t="inlineStr">
        <is>
          <t>факт</t>
        </is>
      </c>
      <c r="H8" s="165" t="n"/>
      <c r="I8" s="250" t="n"/>
      <c r="J8" s="427">
        <f>SUMIF('09'!$D$7:$D$159,$C7,'09'!L$7:L$159)+SUMIF('10'!$D$7:$D$159,$C7,'10'!L$7:L$159)+SUMIF('11'!$D$7:$D$159,$C7,'11'!L$7:L$159)+SUMIF('12'!$D$7:$D$159,$C7,'12'!L$7:L$159)+SUMIF('01'!$D$7:$D$159,$C7,'01'!L$7:L$159)</f>
        <v/>
      </c>
      <c r="K8" s="428">
        <f>SUMIF('09'!$D$7:$D$159,$C7,'09'!M$7:M$159)+SUMIF('10'!$D$7:$D$159,$C7,'10'!M$7:M$159)+SUMIF('11'!$D$7:$D$159,$C7,'11'!M$7:M$159)+SUMIF('12'!$D$7:$D$159,$C7,'12'!M$7:M$159)+SUMIF('01'!$D$7:$D$159,$C7,'01'!M$7:M$159)</f>
        <v/>
      </c>
      <c r="L8" s="429">
        <f>SUMIF('09'!$D$7:$D$159,$C7,'09'!N$7:N$159)+SUMIF('10'!$D$7:$D$159,$C7,'10'!N$7:N$159)+SUMIF('11'!$D$7:$D$159,$C7,'11'!N$7:N$159)+SUMIF('12'!$D$7:$D$159,$C7,'12'!N$7:N$159)+SUMIF('01'!$D$7:$D$159,$C7,'01'!N$7:N$159)</f>
        <v/>
      </c>
      <c r="M8" s="427">
        <f>SUMIF('09'!$D$7:$D$159,$C7,'09'!O$7:O$159)+SUMIF('10'!$D$7:$D$159,$C7,'10'!O$7:O$159)+SUMIF('11'!$D$7:$D$159,$C7,'11'!O$7:O$159)+SUMIF('12'!$D$7:$D$159,$C7,'12'!O$7:O$159)+SUMIF('01'!$D$7:$D$159,$C7,'01'!O$7:O$159)</f>
        <v/>
      </c>
      <c r="N8" s="428">
        <f>SUMIF('09'!$D$7:$D$159,$C7,'09'!P$7:P$159)+SUMIF('10'!$D$7:$D$159,$C7,'10'!P$7:P$159)+SUMIF('11'!$D$7:$D$159,$C7,'11'!P$7:P$159)+SUMIF('12'!$D$7:$D$159,$C7,'12'!P$7:P$159)+SUMIF('01'!$D$7:$D$159,$C7,'01'!P$7:P$159)</f>
        <v/>
      </c>
      <c r="O8" s="429">
        <f>SUMIF('09'!$D$7:$D$159,$C7,'09'!Q$7:Q$159)+SUMIF('10'!$D$7:$D$159,$C7,'10'!Q$7:Q$159)+SUMIF('11'!$D$7:$D$159,$C7,'11'!Q$7:Q$159)+SUMIF('12'!$D$7:$D$159,$C7,'12'!Q$7:Q$159)+SUMIF('01'!$D$7:$D$159,$C7,'01'!Q$7:Q$159)</f>
        <v/>
      </c>
      <c r="P8" s="427">
        <f>SUMIF('09'!$D$7:$D$159,$C7,'09'!R$7:R$159)+SUMIF('10'!$D$7:$D$159,$C7,'10'!R$7:R$159)+SUMIF('11'!$D$7:$D$159,$C7,'11'!R$7:R$159)+SUMIF('12'!$D$7:$D$159,$C7,'12'!R$7:R$159)+SUMIF('01'!$D$7:$D$159,$C7,'01'!R$7:R$159)</f>
        <v/>
      </c>
      <c r="Q8" s="428">
        <f>SUMIF('09'!$D$7:$D$159,$C7,'09'!S$7:S$159)+SUMIF('10'!$D$7:$D$159,$C7,'10'!S$7:S$159)+SUMIF('11'!$D$7:$D$159,$C7,'11'!S$7:S$159)+SUMIF('12'!$D$7:$D$159,$C7,'12'!S$7:S$159)+SUMIF('01'!$D$7:$D$159,$C7,'01'!S$7:S$159)</f>
        <v/>
      </c>
      <c r="R8" s="429">
        <f>SUMIF('09'!$D$7:$D$159,$C7,'09'!T$7:T$159)+SUMIF('10'!$D$7:$D$159,$C7,'10'!T$7:T$159)+SUMIF('11'!$D$7:$D$159,$C7,'11'!T$7:T$159)+SUMIF('12'!$D$7:$D$159,$C7,'12'!T$7:T$159)+SUMIF('01'!$D$7:$D$159,$C7,'01'!T$7:T$159)</f>
        <v/>
      </c>
      <c r="S8" s="427">
        <f>SUMIF('09'!$D$7:$D$159,$C7,'09'!U$7:U$159)+SUMIF('10'!$D$7:$D$159,$C7,'10'!U$7:U$159)+SUMIF('11'!$D$7:$D$159,$C7,'11'!U$7:U$159)+SUMIF('12'!$D$7:$D$159,$C7,'12'!U$7:U$159)+SUMIF('01'!$D$7:$D$159,$C7,'01'!U$7:U$159)</f>
        <v/>
      </c>
      <c r="T8" s="428">
        <f>SUMIF('09'!$D$7:$D$159,$C7,'09'!V$7:V$159)+SUMIF('10'!$D$7:$D$159,$C7,'10'!V$7:V$159)+SUMIF('11'!$D$7:$D$159,$C7,'11'!V$7:V$159)+SUMIF('12'!$D$7:$D$159,$C7,'12'!V$7:V$159)+SUMIF('01'!$D$7:$D$159,$C7,'01'!V$7:V$159)</f>
        <v/>
      </c>
      <c r="U8" s="430">
        <f>SUMIF('09'!$D$7:$D$159,$C7,'09'!W$7:W$159)+SUMIF('10'!$D$7:$D$159,$C7,'10'!W$7:W$159)+SUMIF('11'!$D$7:$D$159,$C7,'11'!W$7:W$159)+SUMIF('12'!$D$7:$D$159,$C7,'12'!W$7:W$159)+SUMIF('01'!$D$7:$D$159,$C7,'01'!W$7:W$159)</f>
        <v/>
      </c>
      <c r="V8" s="429">
        <f>SUMIF('09'!$D$7:$D$159,$C7,'09'!X$7:X$159)+SUMIF('10'!$D$7:$D$159,$C7,'10'!X$7:X$159)+SUMIF('11'!$D$7:$D$159,$C7,'11'!X$7:X$159)+SUMIF('12'!$D$7:$D$159,$C7,'12'!X$7:X$159)+SUMIF('01'!$D$7:$D$159,$C7,'01'!X$7:X$159)</f>
        <v/>
      </c>
      <c r="W8" s="429">
        <f>SUMIF('09'!$D$7:$D$159,$C7,'09'!Y$7:Y$159)+SUMIF('10'!$D$7:$D$159,$C7,'10'!Y$7:Y$159)+SUMIF('11'!$D$7:$D$159,$C7,'11'!Y$7:Y$159)+SUMIF('12'!$D$7:$D$159,$C7,'12'!Y$7:Y$159)+SUMIF('01'!$D$7:$D$159,$C7,'01'!Y$7:Y$159)</f>
        <v/>
      </c>
      <c r="X8" s="431">
        <f>SUM(J8:W8)</f>
        <v/>
      </c>
      <c r="Y8" s="413" t="n"/>
      <c r="Z8" s="432" t="n"/>
    </row>
    <row r="9" ht="14.25" customHeight="1" s="296">
      <c r="A9" s="154">
        <f>IF(OR(C9="0",COUNTIF(КлючОсень,C9)&gt;1),0,MATCH(F9,ВидыНагр,0))</f>
        <v/>
      </c>
      <c r="B9" s="154">
        <f>(COUNTA(D9:F10,J9:W9,H9:I10)=0)</f>
        <v/>
      </c>
      <c r="C9" s="155">
        <f>IF(OR(TRIM(D9)="",COUNTIF(ВидыНагр,F9)&lt;&gt;1),"0",CONCATENATE("$",TRIM(D9),"$",TRIM(E9),"$",F9,"$"))</f>
        <v/>
      </c>
      <c r="D9" s="415" t="inlineStr">
        <is>
          <t>Математический анализ</t>
        </is>
      </c>
      <c r="E9" s="416" t="inlineStr">
        <is>
          <t>606-42 (ИИиЭС-24-1)</t>
        </is>
      </c>
      <c r="F9" s="417" t="inlineStr">
        <is>
          <t>совм.</t>
        </is>
      </c>
      <c r="G9" s="156" t="inlineStr">
        <is>
          <t>план</t>
        </is>
      </c>
      <c r="H9" s="157" t="n"/>
      <c r="I9" s="158" t="n"/>
      <c r="J9" s="418" t="n"/>
      <c r="K9" s="419" t="n">
        <v>64</v>
      </c>
      <c r="L9" s="420" t="n"/>
      <c r="M9" s="418" t="n"/>
      <c r="N9" s="419" t="n"/>
      <c r="O9" s="420" t="n"/>
      <c r="P9" s="418" t="n"/>
      <c r="Q9" s="419" t="n"/>
      <c r="R9" s="420" t="n"/>
      <c r="S9" s="418" t="n"/>
      <c r="T9" s="419" t="n"/>
      <c r="U9" s="421" t="n"/>
      <c r="V9" s="420" t="n"/>
      <c r="W9" s="420" t="n"/>
      <c r="X9" s="422">
        <f>SUM(J9:W9)</f>
        <v/>
      </c>
      <c r="Y9" s="423">
        <f>X10-X9</f>
        <v/>
      </c>
      <c r="Z9" s="209" t="n"/>
    </row>
    <row r="10" ht="14.25" customHeight="1" s="296">
      <c r="A10" s="154">
        <f>-A9</f>
        <v/>
      </c>
      <c r="B10" s="154">
        <f>B9</f>
        <v/>
      </c>
      <c r="C10" s="163" t="n"/>
      <c r="D10" s="424" t="n"/>
      <c r="E10" s="425" t="n"/>
      <c r="F10" s="426" t="n"/>
      <c r="G10" s="164" t="inlineStr">
        <is>
          <t>факт</t>
        </is>
      </c>
      <c r="H10" s="165" t="n"/>
      <c r="I10" s="250" t="n"/>
      <c r="J10" s="427">
        <f>SUMIF('09'!$D$7:$D$159,$C9,'09'!L$7:L$159)+SUMIF('10'!$D$7:$D$159,$C9,'10'!L$7:L$159)+SUMIF('11'!$D$7:$D$159,$C9,'11'!L$7:L$159)+SUMIF('12'!$D$7:$D$159,$C9,'12'!L$7:L$159)+SUMIF('01'!$D$7:$D$159,$C9,'01'!L$7:L$159)</f>
        <v/>
      </c>
      <c r="K10" s="428">
        <f>SUMIF('09'!$D$7:$D$159,$C9,'09'!M$7:M$159)+SUMIF('10'!$D$7:$D$159,$C9,'10'!M$7:M$159)+SUMIF('11'!$D$7:$D$159,$C9,'11'!M$7:M$159)+SUMIF('12'!$D$7:$D$159,$C9,'12'!M$7:M$159)+SUMIF('01'!$D$7:$D$159,$C9,'01'!M$7:M$159)</f>
        <v/>
      </c>
      <c r="L10" s="429">
        <f>SUMIF('09'!$D$7:$D$159,$C9,'09'!N$7:N$159)+SUMIF('10'!$D$7:$D$159,$C9,'10'!N$7:N$159)+SUMIF('11'!$D$7:$D$159,$C9,'11'!N$7:N$159)+SUMIF('12'!$D$7:$D$159,$C9,'12'!N$7:N$159)+SUMIF('01'!$D$7:$D$159,$C9,'01'!N$7:N$159)</f>
        <v/>
      </c>
      <c r="M10" s="427">
        <f>SUMIF('09'!$D$7:$D$159,$C9,'09'!O$7:O$159)+SUMIF('10'!$D$7:$D$159,$C9,'10'!O$7:O$159)+SUMIF('11'!$D$7:$D$159,$C9,'11'!O$7:O$159)+SUMIF('12'!$D$7:$D$159,$C9,'12'!O$7:O$159)+SUMIF('01'!$D$7:$D$159,$C9,'01'!O$7:O$159)</f>
        <v/>
      </c>
      <c r="N10" s="428">
        <f>SUMIF('09'!$D$7:$D$159,$C9,'09'!P$7:P$159)+SUMIF('10'!$D$7:$D$159,$C9,'10'!P$7:P$159)+SUMIF('11'!$D$7:$D$159,$C9,'11'!P$7:P$159)+SUMIF('12'!$D$7:$D$159,$C9,'12'!P$7:P$159)+SUMIF('01'!$D$7:$D$159,$C9,'01'!P$7:P$159)</f>
        <v/>
      </c>
      <c r="O10" s="429">
        <f>SUMIF('09'!$D$7:$D$159,$C9,'09'!Q$7:Q$159)+SUMIF('10'!$D$7:$D$159,$C9,'10'!Q$7:Q$159)+SUMIF('11'!$D$7:$D$159,$C9,'11'!Q$7:Q$159)+SUMIF('12'!$D$7:$D$159,$C9,'12'!Q$7:Q$159)+SUMIF('01'!$D$7:$D$159,$C9,'01'!Q$7:Q$159)</f>
        <v/>
      </c>
      <c r="P10" s="427">
        <f>SUMIF('09'!$D$7:$D$159,$C9,'09'!R$7:R$159)+SUMIF('10'!$D$7:$D$159,$C9,'10'!R$7:R$159)+SUMIF('11'!$D$7:$D$159,$C9,'11'!R$7:R$159)+SUMIF('12'!$D$7:$D$159,$C9,'12'!R$7:R$159)+SUMIF('01'!$D$7:$D$159,$C9,'01'!R$7:R$159)</f>
        <v/>
      </c>
      <c r="Q10" s="428">
        <f>SUMIF('09'!$D$7:$D$159,$C9,'09'!S$7:S$159)+SUMIF('10'!$D$7:$D$159,$C9,'10'!S$7:S$159)+SUMIF('11'!$D$7:$D$159,$C9,'11'!S$7:S$159)+SUMIF('12'!$D$7:$D$159,$C9,'12'!S$7:S$159)+SUMIF('01'!$D$7:$D$159,$C9,'01'!S$7:S$159)</f>
        <v/>
      </c>
      <c r="R10" s="429">
        <f>SUMIF('09'!$D$7:$D$159,$C9,'09'!T$7:T$159)+SUMIF('10'!$D$7:$D$159,$C9,'10'!T$7:T$159)+SUMIF('11'!$D$7:$D$159,$C9,'11'!T$7:T$159)+SUMIF('12'!$D$7:$D$159,$C9,'12'!T$7:T$159)+SUMIF('01'!$D$7:$D$159,$C9,'01'!T$7:T$159)</f>
        <v/>
      </c>
      <c r="S10" s="427">
        <f>SUMIF('09'!$D$7:$D$159,$C9,'09'!U$7:U$159)+SUMIF('10'!$D$7:$D$159,$C9,'10'!U$7:U$159)+SUMIF('11'!$D$7:$D$159,$C9,'11'!U$7:U$159)+SUMIF('12'!$D$7:$D$159,$C9,'12'!U$7:U$159)+SUMIF('01'!$D$7:$D$159,$C9,'01'!U$7:U$159)</f>
        <v/>
      </c>
      <c r="T10" s="428">
        <f>SUMIF('09'!$D$7:$D$159,$C9,'09'!V$7:V$159)+SUMIF('10'!$D$7:$D$159,$C9,'10'!V$7:V$159)+SUMIF('11'!$D$7:$D$159,$C9,'11'!V$7:V$159)+SUMIF('12'!$D$7:$D$159,$C9,'12'!V$7:V$159)+SUMIF('01'!$D$7:$D$159,$C9,'01'!V$7:V$159)</f>
        <v/>
      </c>
      <c r="U10" s="430">
        <f>SUMIF('09'!$D$7:$D$159,$C9,'09'!W$7:W$159)+SUMIF('10'!$D$7:$D$159,$C9,'10'!W$7:W$159)+SUMIF('11'!$D$7:$D$159,$C9,'11'!W$7:W$159)+SUMIF('12'!$D$7:$D$159,$C9,'12'!W$7:W$159)+SUMIF('01'!$D$7:$D$159,$C9,'01'!W$7:W$159)</f>
        <v/>
      </c>
      <c r="V10" s="429">
        <f>SUMIF('09'!$D$7:$D$159,$C9,'09'!X$7:X$159)+SUMIF('10'!$D$7:$D$159,$C9,'10'!X$7:X$159)+SUMIF('11'!$D$7:$D$159,$C9,'11'!X$7:X$159)+SUMIF('12'!$D$7:$D$159,$C9,'12'!X$7:X$159)+SUMIF('01'!$D$7:$D$159,$C9,'01'!X$7:X$159)</f>
        <v/>
      </c>
      <c r="W10" s="429">
        <f>SUMIF('09'!$D$7:$D$159,$C9,'09'!Y$7:Y$159)+SUMIF('10'!$D$7:$D$159,$C9,'10'!Y$7:Y$159)+SUMIF('11'!$D$7:$D$159,$C9,'11'!Y$7:Y$159)+SUMIF('12'!$D$7:$D$159,$C9,'12'!Y$7:Y$159)+SUMIF('01'!$D$7:$D$159,$C9,'01'!Y$7:Y$159)</f>
        <v/>
      </c>
      <c r="X10" s="431">
        <f>SUM(J10:W10)</f>
        <v/>
      </c>
      <c r="Y10" s="413" t="n"/>
      <c r="Z10" s="432" t="n"/>
    </row>
    <row r="11" ht="14.25" customHeight="1" s="296">
      <c r="A11" s="154">
        <f>IF(OR(C11="0",COUNTIF(КлючОсень,C11)&gt;1),0,MATCH(F11,ВидыНагр,0))</f>
        <v/>
      </c>
      <c r="B11" s="154">
        <f>(COUNTA(D11:F12,J11:W11,H11:I12)=0)</f>
        <v/>
      </c>
      <c r="C11" s="155">
        <f>IF(OR(TRIM(D11)="",COUNTIF(ВидыНагр,F11)&lt;&gt;1),"0",CONCATENATE("$",TRIM(D11),"$",TRIM(E11),"$",F11,"$"))</f>
        <v/>
      </c>
      <c r="D11" s="415" t="inlineStr">
        <is>
          <t>Математический анализ</t>
        </is>
      </c>
      <c r="E11" s="416" t="inlineStr">
        <is>
          <t>606-41 (АСОИУ-24-1)</t>
        </is>
      </c>
      <c r="F11" s="417" t="inlineStr">
        <is>
          <t>совм.</t>
        </is>
      </c>
      <c r="G11" s="156" t="inlineStr">
        <is>
          <t>план</t>
        </is>
      </c>
      <c r="H11" s="157" t="n"/>
      <c r="I11" s="158" t="n"/>
      <c r="J11" s="418" t="n"/>
      <c r="K11" s="419" t="n">
        <v>64</v>
      </c>
      <c r="L11" s="420" t="n"/>
      <c r="M11" s="418" t="n"/>
      <c r="N11" s="419" t="n"/>
      <c r="O11" s="420" t="n"/>
      <c r="P11" s="418" t="n"/>
      <c r="Q11" s="419" t="n"/>
      <c r="R11" s="420" t="n"/>
      <c r="S11" s="418" t="n"/>
      <c r="T11" s="419" t="n"/>
      <c r="U11" s="421" t="n"/>
      <c r="V11" s="420" t="n"/>
      <c r="W11" s="420" t="n"/>
      <c r="X11" s="422">
        <f>SUM(J11:W11)</f>
        <v/>
      </c>
      <c r="Y11" s="423">
        <f>X12-X11</f>
        <v/>
      </c>
      <c r="Z11" s="209" t="n"/>
    </row>
    <row r="12" ht="14.25" customHeight="1" s="296">
      <c r="A12" s="154">
        <f>-A11</f>
        <v/>
      </c>
      <c r="B12" s="154">
        <f>B11</f>
        <v/>
      </c>
      <c r="C12" s="163" t="n"/>
      <c r="D12" s="424" t="n"/>
      <c r="E12" s="425" t="n"/>
      <c r="F12" s="426" t="n"/>
      <c r="G12" s="164" t="inlineStr">
        <is>
          <t>факт</t>
        </is>
      </c>
      <c r="H12" s="165" t="n"/>
      <c r="I12" s="250" t="n"/>
      <c r="J12" s="427">
        <f>SUMIF('09'!$D$7:$D$159,$C11,'09'!L$7:L$159)+SUMIF('10'!$D$7:$D$159,$C11,'10'!L$7:L$159)+SUMIF('11'!$D$7:$D$159,$C11,'11'!L$7:L$159)+SUMIF('12'!$D$7:$D$159,$C11,'12'!L$7:L$159)+SUMIF('01'!$D$7:$D$159,$C11,'01'!L$7:L$159)</f>
        <v/>
      </c>
      <c r="K12" s="428">
        <f>SUMIF('09'!$D$7:$D$159,$C11,'09'!M$7:M$159)+SUMIF('10'!$D$7:$D$159,$C11,'10'!M$7:M$159)+SUMIF('11'!$D$7:$D$159,$C11,'11'!M$7:M$159)+SUMIF('12'!$D$7:$D$159,$C11,'12'!M$7:M$159)+SUMIF('01'!$D$7:$D$159,$C11,'01'!M$7:M$159)</f>
        <v/>
      </c>
      <c r="L12" s="429">
        <f>SUMIF('09'!$D$7:$D$159,$C11,'09'!N$7:N$159)+SUMIF('10'!$D$7:$D$159,$C11,'10'!N$7:N$159)+SUMIF('11'!$D$7:$D$159,$C11,'11'!N$7:N$159)+SUMIF('12'!$D$7:$D$159,$C11,'12'!N$7:N$159)+SUMIF('01'!$D$7:$D$159,$C11,'01'!N$7:N$159)</f>
        <v/>
      </c>
      <c r="M12" s="427">
        <f>SUMIF('09'!$D$7:$D$159,$C11,'09'!O$7:O$159)+SUMIF('10'!$D$7:$D$159,$C11,'10'!O$7:O$159)+SUMIF('11'!$D$7:$D$159,$C11,'11'!O$7:O$159)+SUMIF('12'!$D$7:$D$159,$C11,'12'!O$7:O$159)+SUMIF('01'!$D$7:$D$159,$C11,'01'!O$7:O$159)</f>
        <v/>
      </c>
      <c r="N12" s="428">
        <f>SUMIF('09'!$D$7:$D$159,$C11,'09'!P$7:P$159)+SUMIF('10'!$D$7:$D$159,$C11,'10'!P$7:P$159)+SUMIF('11'!$D$7:$D$159,$C11,'11'!P$7:P$159)+SUMIF('12'!$D$7:$D$159,$C11,'12'!P$7:P$159)+SUMIF('01'!$D$7:$D$159,$C11,'01'!P$7:P$159)</f>
        <v/>
      </c>
      <c r="O12" s="429">
        <f>SUMIF('09'!$D$7:$D$159,$C11,'09'!Q$7:Q$159)+SUMIF('10'!$D$7:$D$159,$C11,'10'!Q$7:Q$159)+SUMIF('11'!$D$7:$D$159,$C11,'11'!Q$7:Q$159)+SUMIF('12'!$D$7:$D$159,$C11,'12'!Q$7:Q$159)+SUMIF('01'!$D$7:$D$159,$C11,'01'!Q$7:Q$159)</f>
        <v/>
      </c>
      <c r="P12" s="427">
        <f>SUMIF('09'!$D$7:$D$159,$C11,'09'!R$7:R$159)+SUMIF('10'!$D$7:$D$159,$C11,'10'!R$7:R$159)+SUMIF('11'!$D$7:$D$159,$C11,'11'!R$7:R$159)+SUMIF('12'!$D$7:$D$159,$C11,'12'!R$7:R$159)+SUMIF('01'!$D$7:$D$159,$C11,'01'!R$7:R$159)</f>
        <v/>
      </c>
      <c r="Q12" s="428">
        <f>SUMIF('09'!$D$7:$D$159,$C11,'09'!S$7:S$159)+SUMIF('10'!$D$7:$D$159,$C11,'10'!S$7:S$159)+SUMIF('11'!$D$7:$D$159,$C11,'11'!S$7:S$159)+SUMIF('12'!$D$7:$D$159,$C11,'12'!S$7:S$159)+SUMIF('01'!$D$7:$D$159,$C11,'01'!S$7:S$159)</f>
        <v/>
      </c>
      <c r="R12" s="429">
        <f>SUMIF('09'!$D$7:$D$159,$C11,'09'!T$7:T$159)+SUMIF('10'!$D$7:$D$159,$C11,'10'!T$7:T$159)+SUMIF('11'!$D$7:$D$159,$C11,'11'!T$7:T$159)+SUMIF('12'!$D$7:$D$159,$C11,'12'!T$7:T$159)+SUMIF('01'!$D$7:$D$159,$C11,'01'!T$7:T$159)</f>
        <v/>
      </c>
      <c r="S12" s="427">
        <f>SUMIF('09'!$D$7:$D$159,$C11,'09'!U$7:U$159)+SUMIF('10'!$D$7:$D$159,$C11,'10'!U$7:U$159)+SUMIF('11'!$D$7:$D$159,$C11,'11'!U$7:U$159)+SUMIF('12'!$D$7:$D$159,$C11,'12'!U$7:U$159)+SUMIF('01'!$D$7:$D$159,$C11,'01'!U$7:U$159)</f>
        <v/>
      </c>
      <c r="T12" s="428">
        <f>SUMIF('09'!$D$7:$D$159,$C11,'09'!V$7:V$159)+SUMIF('10'!$D$7:$D$159,$C11,'10'!V$7:V$159)+SUMIF('11'!$D$7:$D$159,$C11,'11'!V$7:V$159)+SUMIF('12'!$D$7:$D$159,$C11,'12'!V$7:V$159)+SUMIF('01'!$D$7:$D$159,$C11,'01'!V$7:V$159)</f>
        <v/>
      </c>
      <c r="U12" s="430">
        <f>SUMIF('09'!$D$7:$D$159,$C11,'09'!W$7:W$159)+SUMIF('10'!$D$7:$D$159,$C11,'10'!W$7:W$159)+SUMIF('11'!$D$7:$D$159,$C11,'11'!W$7:W$159)+SUMIF('12'!$D$7:$D$159,$C11,'12'!W$7:W$159)+SUMIF('01'!$D$7:$D$159,$C11,'01'!W$7:W$159)</f>
        <v/>
      </c>
      <c r="V12" s="429">
        <f>SUMIF('09'!$D$7:$D$159,$C11,'09'!X$7:X$159)+SUMIF('10'!$D$7:$D$159,$C11,'10'!X$7:X$159)+SUMIF('11'!$D$7:$D$159,$C11,'11'!X$7:X$159)+SUMIF('12'!$D$7:$D$159,$C11,'12'!X$7:X$159)+SUMIF('01'!$D$7:$D$159,$C11,'01'!X$7:X$159)</f>
        <v/>
      </c>
      <c r="W12" s="429">
        <f>SUMIF('09'!$D$7:$D$159,$C11,'09'!Y$7:Y$159)+SUMIF('10'!$D$7:$D$159,$C11,'10'!Y$7:Y$159)+SUMIF('11'!$D$7:$D$159,$C11,'11'!Y$7:Y$159)+SUMIF('12'!$D$7:$D$159,$C11,'12'!Y$7:Y$159)+SUMIF('01'!$D$7:$D$159,$C11,'01'!Y$7:Y$159)</f>
        <v/>
      </c>
      <c r="X12" s="431">
        <f>SUM(J12:W12)</f>
        <v/>
      </c>
      <c r="Y12" s="413" t="n"/>
      <c r="Z12" s="432" t="n"/>
    </row>
    <row r="13" ht="14.25" customHeight="1" s="296">
      <c r="A13" s="154">
        <f>IF(OR(C13="0",COUNTIF(КлючОсень,C13)&gt;1),0,MATCH(F13,ВидыНагр,0))</f>
        <v/>
      </c>
      <c r="B13" s="154">
        <f>(COUNTA(D13:F14,J13:W13,H13:I14)=0)</f>
        <v/>
      </c>
      <c r="C13" s="155">
        <f>IF(OR(TRIM(D13)="",COUNTIF(ВидыНагр,F13)&lt;&gt;1),"0",CONCATENATE("$",TRIM(D13),"$",TRIM(E13),"$",F13,"$"))</f>
        <v/>
      </c>
      <c r="D13" s="415" t="inlineStr">
        <is>
          <t>Программирование, п/г 3</t>
        </is>
      </c>
      <c r="E13" s="416" t="inlineStr">
        <is>
          <t>601-41 (ТехнолПрог-24-1)</t>
        </is>
      </c>
      <c r="F13" s="417" t="inlineStr">
        <is>
          <t>совм.</t>
        </is>
      </c>
      <c r="G13" s="156" t="inlineStr">
        <is>
          <t>план</t>
        </is>
      </c>
      <c r="H13" s="157" t="n"/>
      <c r="I13" s="158" t="n"/>
      <c r="J13" s="418" t="n"/>
      <c r="K13" s="419" t="n">
        <v>64</v>
      </c>
      <c r="L13" s="420" t="n"/>
      <c r="M13" s="418" t="n"/>
      <c r="N13" s="419" t="n"/>
      <c r="O13" s="420" t="n"/>
      <c r="P13" s="418" t="n"/>
      <c r="Q13" s="419" t="n"/>
      <c r="R13" s="420" t="n"/>
      <c r="S13" s="418" t="n"/>
      <c r="T13" s="419" t="n"/>
      <c r="U13" s="421" t="n"/>
      <c r="V13" s="420" t="n"/>
      <c r="W13" s="420" t="n"/>
      <c r="X13" s="422">
        <f>SUM(J13:W13)</f>
        <v/>
      </c>
      <c r="Y13" s="423">
        <f>X14-X13</f>
        <v/>
      </c>
      <c r="Z13" s="209" t="n"/>
    </row>
    <row r="14" ht="14.25" customHeight="1" s="296">
      <c r="A14" s="154">
        <f>-A13</f>
        <v/>
      </c>
      <c r="B14" s="154">
        <f>B13</f>
        <v/>
      </c>
      <c r="C14" s="163" t="n"/>
      <c r="D14" s="424" t="n"/>
      <c r="E14" s="425" t="n"/>
      <c r="F14" s="426" t="n"/>
      <c r="G14" s="164" t="inlineStr">
        <is>
          <t>факт</t>
        </is>
      </c>
      <c r="H14" s="165" t="n"/>
      <c r="I14" s="250" t="n"/>
      <c r="J14" s="427">
        <f>SUMIF('09'!$D$7:$D$159,$C13,'09'!L$7:L$159)+SUMIF('10'!$D$7:$D$159,$C13,'10'!L$7:L$159)+SUMIF('11'!$D$7:$D$159,$C13,'11'!L$7:L$159)+SUMIF('12'!$D$7:$D$159,$C13,'12'!L$7:L$159)+SUMIF('01'!$D$7:$D$159,$C13,'01'!L$7:L$159)</f>
        <v/>
      </c>
      <c r="K14" s="428">
        <f>SUMIF('09'!$D$7:$D$159,$C13,'09'!M$7:M$159)+SUMIF('10'!$D$7:$D$159,$C13,'10'!M$7:M$159)+SUMIF('11'!$D$7:$D$159,$C13,'11'!M$7:M$159)+SUMIF('12'!$D$7:$D$159,$C13,'12'!M$7:M$159)+SUMIF('01'!$D$7:$D$159,$C13,'01'!M$7:M$159)</f>
        <v/>
      </c>
      <c r="L14" s="429">
        <f>SUMIF('09'!$D$7:$D$159,$C13,'09'!N$7:N$159)+SUMIF('10'!$D$7:$D$159,$C13,'10'!N$7:N$159)+SUMIF('11'!$D$7:$D$159,$C13,'11'!N$7:N$159)+SUMIF('12'!$D$7:$D$159,$C13,'12'!N$7:N$159)+SUMIF('01'!$D$7:$D$159,$C13,'01'!N$7:N$159)</f>
        <v/>
      </c>
      <c r="M14" s="427">
        <f>SUMIF('09'!$D$7:$D$159,$C13,'09'!O$7:O$159)+SUMIF('10'!$D$7:$D$159,$C13,'10'!O$7:O$159)+SUMIF('11'!$D$7:$D$159,$C13,'11'!O$7:O$159)+SUMIF('12'!$D$7:$D$159,$C13,'12'!O$7:O$159)+SUMIF('01'!$D$7:$D$159,$C13,'01'!O$7:O$159)</f>
        <v/>
      </c>
      <c r="N14" s="428">
        <f>SUMIF('09'!$D$7:$D$159,$C13,'09'!P$7:P$159)+SUMIF('10'!$D$7:$D$159,$C13,'10'!P$7:P$159)+SUMIF('11'!$D$7:$D$159,$C13,'11'!P$7:P$159)+SUMIF('12'!$D$7:$D$159,$C13,'12'!P$7:P$159)+SUMIF('01'!$D$7:$D$159,$C13,'01'!P$7:P$159)</f>
        <v/>
      </c>
      <c r="O14" s="429">
        <f>SUMIF('09'!$D$7:$D$159,$C13,'09'!Q$7:Q$159)+SUMIF('10'!$D$7:$D$159,$C13,'10'!Q$7:Q$159)+SUMIF('11'!$D$7:$D$159,$C13,'11'!Q$7:Q$159)+SUMIF('12'!$D$7:$D$159,$C13,'12'!Q$7:Q$159)+SUMIF('01'!$D$7:$D$159,$C13,'01'!Q$7:Q$159)</f>
        <v/>
      </c>
      <c r="P14" s="427">
        <f>SUMIF('09'!$D$7:$D$159,$C13,'09'!R$7:R$159)+SUMIF('10'!$D$7:$D$159,$C13,'10'!R$7:R$159)+SUMIF('11'!$D$7:$D$159,$C13,'11'!R$7:R$159)+SUMIF('12'!$D$7:$D$159,$C13,'12'!R$7:R$159)+SUMIF('01'!$D$7:$D$159,$C13,'01'!R$7:R$159)</f>
        <v/>
      </c>
      <c r="Q14" s="428">
        <f>SUMIF('09'!$D$7:$D$159,$C13,'09'!S$7:S$159)+SUMIF('10'!$D$7:$D$159,$C13,'10'!S$7:S$159)+SUMIF('11'!$D$7:$D$159,$C13,'11'!S$7:S$159)+SUMIF('12'!$D$7:$D$159,$C13,'12'!S$7:S$159)+SUMIF('01'!$D$7:$D$159,$C13,'01'!S$7:S$159)</f>
        <v/>
      </c>
      <c r="R14" s="429">
        <f>SUMIF('09'!$D$7:$D$159,$C13,'09'!T$7:T$159)+SUMIF('10'!$D$7:$D$159,$C13,'10'!T$7:T$159)+SUMIF('11'!$D$7:$D$159,$C13,'11'!T$7:T$159)+SUMIF('12'!$D$7:$D$159,$C13,'12'!T$7:T$159)+SUMIF('01'!$D$7:$D$159,$C13,'01'!T$7:T$159)</f>
        <v/>
      </c>
      <c r="S14" s="427">
        <f>SUMIF('09'!$D$7:$D$159,$C13,'09'!U$7:U$159)+SUMIF('10'!$D$7:$D$159,$C13,'10'!U$7:U$159)+SUMIF('11'!$D$7:$D$159,$C13,'11'!U$7:U$159)+SUMIF('12'!$D$7:$D$159,$C13,'12'!U$7:U$159)+SUMIF('01'!$D$7:$D$159,$C13,'01'!U$7:U$159)</f>
        <v/>
      </c>
      <c r="T14" s="428">
        <f>SUMIF('09'!$D$7:$D$159,$C13,'09'!V$7:V$159)+SUMIF('10'!$D$7:$D$159,$C13,'10'!V$7:V$159)+SUMIF('11'!$D$7:$D$159,$C13,'11'!V$7:V$159)+SUMIF('12'!$D$7:$D$159,$C13,'12'!V$7:V$159)+SUMIF('01'!$D$7:$D$159,$C13,'01'!V$7:V$159)</f>
        <v/>
      </c>
      <c r="U14" s="430">
        <f>SUMIF('09'!$D$7:$D$159,$C13,'09'!W$7:W$159)+SUMIF('10'!$D$7:$D$159,$C13,'10'!W$7:W$159)+SUMIF('11'!$D$7:$D$159,$C13,'11'!W$7:W$159)+SUMIF('12'!$D$7:$D$159,$C13,'12'!W$7:W$159)+SUMIF('01'!$D$7:$D$159,$C13,'01'!W$7:W$159)</f>
        <v/>
      </c>
      <c r="V14" s="429">
        <f>SUMIF('09'!$D$7:$D$159,$C13,'09'!X$7:X$159)+SUMIF('10'!$D$7:$D$159,$C13,'10'!X$7:X$159)+SUMIF('11'!$D$7:$D$159,$C13,'11'!X$7:X$159)+SUMIF('12'!$D$7:$D$159,$C13,'12'!X$7:X$159)+SUMIF('01'!$D$7:$D$159,$C13,'01'!X$7:X$159)</f>
        <v/>
      </c>
      <c r="W14" s="429">
        <f>SUMIF('09'!$D$7:$D$159,$C13,'09'!Y$7:Y$159)+SUMIF('10'!$D$7:$D$159,$C13,'10'!Y$7:Y$159)+SUMIF('11'!$D$7:$D$159,$C13,'11'!Y$7:Y$159)+SUMIF('12'!$D$7:$D$159,$C13,'12'!Y$7:Y$159)+SUMIF('01'!$D$7:$D$159,$C13,'01'!Y$7:Y$159)</f>
        <v/>
      </c>
      <c r="X14" s="431">
        <f>SUM(J14:W14)</f>
        <v/>
      </c>
      <c r="Y14" s="413" t="n"/>
      <c r="Z14" s="432" t="n"/>
    </row>
    <row r="15" ht="14.25" customHeight="1" s="296">
      <c r="A15" s="154">
        <f>IF(OR(C15="0",COUNTIF(КлючОсень,C15)&gt;1),0,MATCH(F15,ВидыНагр,0))</f>
        <v/>
      </c>
      <c r="B15" s="154">
        <f>(COUNTA(D15:F16,J15:W15,H15:I16)=0)</f>
        <v/>
      </c>
      <c r="C15" s="155">
        <f>IF(OR(TRIM(D15)="",COUNTIF(ВидыНагр,F15)&lt;&gt;1),"0",CONCATENATE("$",TRIM(D15),"$",TRIM(E15),"$",F15,"$"))</f>
        <v/>
      </c>
      <c r="D15" s="415" t="n"/>
      <c r="E15" s="416" t="n"/>
      <c r="F15" s="417" t="n"/>
      <c r="G15" s="156" t="inlineStr">
        <is>
          <t>план</t>
        </is>
      </c>
      <c r="H15" s="157" t="n"/>
      <c r="I15" s="158" t="n"/>
      <c r="J15" s="418" t="n"/>
      <c r="K15" s="419" t="n"/>
      <c r="L15" s="420" t="n"/>
      <c r="M15" s="418" t="n"/>
      <c r="N15" s="419" t="n"/>
      <c r="O15" s="420" t="n"/>
      <c r="P15" s="418" t="n"/>
      <c r="Q15" s="419" t="n"/>
      <c r="R15" s="420" t="n"/>
      <c r="S15" s="418" t="n"/>
      <c r="T15" s="419" t="n"/>
      <c r="U15" s="421" t="n"/>
      <c r="V15" s="420" t="n"/>
      <c r="W15" s="420" t="n"/>
      <c r="X15" s="422">
        <f>SUM(J15:W15)</f>
        <v/>
      </c>
      <c r="Y15" s="423">
        <f>X16-X15</f>
        <v/>
      </c>
      <c r="Z15" s="209" t="n"/>
    </row>
    <row r="16" ht="14.25" customHeight="1" s="296">
      <c r="A16" s="154">
        <f>-A15</f>
        <v/>
      </c>
      <c r="B16" s="154">
        <f>B15</f>
        <v/>
      </c>
      <c r="C16" s="163" t="n"/>
      <c r="D16" s="424" t="n"/>
      <c r="E16" s="425" t="n"/>
      <c r="F16" s="426" t="n"/>
      <c r="G16" s="164" t="inlineStr">
        <is>
          <t>факт</t>
        </is>
      </c>
      <c r="H16" s="165" t="n"/>
      <c r="I16" s="250" t="n"/>
      <c r="J16" s="427">
        <f>SUMIF('09'!$D$7:$D$159,$C15,'09'!L$7:L$159)+SUMIF('10'!$D$7:$D$159,$C15,'10'!L$7:L$159)+SUMIF('11'!$D$7:$D$159,$C15,'11'!L$7:L$159)+SUMIF('12'!$D$7:$D$159,$C15,'12'!L$7:L$159)+SUMIF('01'!$D$7:$D$159,$C15,'01'!L$7:L$159)</f>
        <v/>
      </c>
      <c r="K16" s="428">
        <f>SUMIF('09'!$D$7:$D$159,$C15,'09'!M$7:M$159)+SUMIF('10'!$D$7:$D$159,$C15,'10'!M$7:M$159)+SUMIF('11'!$D$7:$D$159,$C15,'11'!M$7:M$159)+SUMIF('12'!$D$7:$D$159,$C15,'12'!M$7:M$159)+SUMIF('01'!$D$7:$D$159,$C15,'01'!M$7:M$159)</f>
        <v/>
      </c>
      <c r="L16" s="429">
        <f>SUMIF('09'!$D$7:$D$159,$C15,'09'!N$7:N$159)+SUMIF('10'!$D$7:$D$159,$C15,'10'!N$7:N$159)+SUMIF('11'!$D$7:$D$159,$C15,'11'!N$7:N$159)+SUMIF('12'!$D$7:$D$159,$C15,'12'!N$7:N$159)+SUMIF('01'!$D$7:$D$159,$C15,'01'!N$7:N$159)</f>
        <v/>
      </c>
      <c r="M16" s="427">
        <f>SUMIF('09'!$D$7:$D$159,$C15,'09'!O$7:O$159)+SUMIF('10'!$D$7:$D$159,$C15,'10'!O$7:O$159)+SUMIF('11'!$D$7:$D$159,$C15,'11'!O$7:O$159)+SUMIF('12'!$D$7:$D$159,$C15,'12'!O$7:O$159)+SUMIF('01'!$D$7:$D$159,$C15,'01'!O$7:O$159)</f>
        <v/>
      </c>
      <c r="N16" s="428">
        <f>SUMIF('09'!$D$7:$D$159,$C15,'09'!P$7:P$159)+SUMIF('10'!$D$7:$D$159,$C15,'10'!P$7:P$159)+SUMIF('11'!$D$7:$D$159,$C15,'11'!P$7:P$159)+SUMIF('12'!$D$7:$D$159,$C15,'12'!P$7:P$159)+SUMIF('01'!$D$7:$D$159,$C15,'01'!P$7:P$159)</f>
        <v/>
      </c>
      <c r="O16" s="429">
        <f>SUMIF('09'!$D$7:$D$159,$C15,'09'!Q$7:Q$159)+SUMIF('10'!$D$7:$D$159,$C15,'10'!Q$7:Q$159)+SUMIF('11'!$D$7:$D$159,$C15,'11'!Q$7:Q$159)+SUMIF('12'!$D$7:$D$159,$C15,'12'!Q$7:Q$159)+SUMIF('01'!$D$7:$D$159,$C15,'01'!Q$7:Q$159)</f>
        <v/>
      </c>
      <c r="P16" s="427">
        <f>SUMIF('09'!$D$7:$D$159,$C15,'09'!R$7:R$159)+SUMIF('10'!$D$7:$D$159,$C15,'10'!R$7:R$159)+SUMIF('11'!$D$7:$D$159,$C15,'11'!R$7:R$159)+SUMIF('12'!$D$7:$D$159,$C15,'12'!R$7:R$159)+SUMIF('01'!$D$7:$D$159,$C15,'01'!R$7:R$159)</f>
        <v/>
      </c>
      <c r="Q16" s="428">
        <f>SUMIF('09'!$D$7:$D$159,$C15,'09'!S$7:S$159)+SUMIF('10'!$D$7:$D$159,$C15,'10'!S$7:S$159)+SUMIF('11'!$D$7:$D$159,$C15,'11'!S$7:S$159)+SUMIF('12'!$D$7:$D$159,$C15,'12'!S$7:S$159)+SUMIF('01'!$D$7:$D$159,$C15,'01'!S$7:S$159)</f>
        <v/>
      </c>
      <c r="R16" s="429">
        <f>SUMIF('09'!$D$7:$D$159,$C15,'09'!T$7:T$159)+SUMIF('10'!$D$7:$D$159,$C15,'10'!T$7:T$159)+SUMIF('11'!$D$7:$D$159,$C15,'11'!T$7:T$159)+SUMIF('12'!$D$7:$D$159,$C15,'12'!T$7:T$159)+SUMIF('01'!$D$7:$D$159,$C15,'01'!T$7:T$159)</f>
        <v/>
      </c>
      <c r="S16" s="427">
        <f>SUMIF('09'!$D$7:$D$159,$C15,'09'!U$7:U$159)+SUMIF('10'!$D$7:$D$159,$C15,'10'!U$7:U$159)+SUMIF('11'!$D$7:$D$159,$C15,'11'!U$7:U$159)+SUMIF('12'!$D$7:$D$159,$C15,'12'!U$7:U$159)+SUMIF('01'!$D$7:$D$159,$C15,'01'!U$7:U$159)</f>
        <v/>
      </c>
      <c r="T16" s="428">
        <f>SUMIF('09'!$D$7:$D$159,$C15,'09'!V$7:V$159)+SUMIF('10'!$D$7:$D$159,$C15,'10'!V$7:V$159)+SUMIF('11'!$D$7:$D$159,$C15,'11'!V$7:V$159)+SUMIF('12'!$D$7:$D$159,$C15,'12'!V$7:V$159)+SUMIF('01'!$D$7:$D$159,$C15,'01'!V$7:V$159)</f>
        <v/>
      </c>
      <c r="U16" s="430">
        <f>SUMIF('09'!$D$7:$D$159,$C15,'09'!W$7:W$159)+SUMIF('10'!$D$7:$D$159,$C15,'10'!W$7:W$159)+SUMIF('11'!$D$7:$D$159,$C15,'11'!W$7:W$159)+SUMIF('12'!$D$7:$D$159,$C15,'12'!W$7:W$159)+SUMIF('01'!$D$7:$D$159,$C15,'01'!W$7:W$159)</f>
        <v/>
      </c>
      <c r="V16" s="429">
        <f>SUMIF('09'!$D$7:$D$159,$C15,'09'!X$7:X$159)+SUMIF('10'!$D$7:$D$159,$C15,'10'!X$7:X$159)+SUMIF('11'!$D$7:$D$159,$C15,'11'!X$7:X$159)+SUMIF('12'!$D$7:$D$159,$C15,'12'!X$7:X$159)+SUMIF('01'!$D$7:$D$159,$C15,'01'!X$7:X$159)</f>
        <v/>
      </c>
      <c r="W16" s="429">
        <f>SUMIF('09'!$D$7:$D$159,$C15,'09'!Y$7:Y$159)+SUMIF('10'!$D$7:$D$159,$C15,'10'!Y$7:Y$159)+SUMIF('11'!$D$7:$D$159,$C15,'11'!Y$7:Y$159)+SUMIF('12'!$D$7:$D$159,$C15,'12'!Y$7:Y$159)+SUMIF('01'!$D$7:$D$159,$C15,'01'!Y$7:Y$159)</f>
        <v/>
      </c>
      <c r="X16" s="431">
        <f>SUM(J16:W16)</f>
        <v/>
      </c>
      <c r="Y16" s="413" t="n"/>
      <c r="Z16" s="432" t="n"/>
    </row>
    <row r="17" ht="14.25" customHeight="1" s="296">
      <c r="A17" s="154">
        <f>IF(OR(C17="0",COUNTIF(КлючОсень,C17)&gt;1),0,MATCH(F17,ВидыНагр,0))</f>
        <v/>
      </c>
      <c r="B17" s="154">
        <f>(COUNTA(D17:F18,J17:W17,H17:I18)=0)</f>
        <v/>
      </c>
      <c r="C17" s="155">
        <f>IF(OR(TRIM(D17)="",COUNTIF(ВидыНагр,F17)&lt;&gt;1),"0",CONCATENATE("$",TRIM(D17),"$",TRIM(E17),"$",F17,"$"))</f>
        <v/>
      </c>
      <c r="D17" s="415" t="n"/>
      <c r="E17" s="416" t="n"/>
      <c r="F17" s="417" t="n"/>
      <c r="G17" s="156" t="inlineStr">
        <is>
          <t>план</t>
        </is>
      </c>
      <c r="H17" s="157" t="n"/>
      <c r="I17" s="158" t="n"/>
      <c r="J17" s="418" t="n"/>
      <c r="K17" s="419" t="n"/>
      <c r="L17" s="420" t="n"/>
      <c r="M17" s="418" t="n"/>
      <c r="N17" s="419" t="n"/>
      <c r="O17" s="420" t="n"/>
      <c r="P17" s="418" t="n"/>
      <c r="Q17" s="419" t="n"/>
      <c r="R17" s="420" t="n"/>
      <c r="S17" s="418" t="n"/>
      <c r="T17" s="419" t="n"/>
      <c r="U17" s="421" t="n"/>
      <c r="V17" s="420" t="n"/>
      <c r="W17" s="420" t="n"/>
      <c r="X17" s="422">
        <f>SUM(J17:W17)</f>
        <v/>
      </c>
      <c r="Y17" s="423">
        <f>X18-X17</f>
        <v/>
      </c>
      <c r="Z17" s="209" t="n"/>
    </row>
    <row r="18" ht="14.25" customHeight="1" s="296">
      <c r="A18" s="154">
        <f>-A17</f>
        <v/>
      </c>
      <c r="B18" s="154">
        <f>B17</f>
        <v/>
      </c>
      <c r="C18" s="163" t="n"/>
      <c r="D18" s="424" t="n"/>
      <c r="E18" s="425" t="n"/>
      <c r="F18" s="426" t="n"/>
      <c r="G18" s="164" t="inlineStr">
        <is>
          <t>факт</t>
        </is>
      </c>
      <c r="H18" s="165" t="n"/>
      <c r="I18" s="250" t="n"/>
      <c r="J18" s="427">
        <f>SUMIF('09'!$D$7:$D$159,$C17,'09'!L$7:L$159)+SUMIF('10'!$D$7:$D$159,$C17,'10'!L$7:L$159)+SUMIF('11'!$D$7:$D$159,$C17,'11'!L$7:L$159)+SUMIF('12'!$D$7:$D$159,$C17,'12'!L$7:L$159)+SUMIF('01'!$D$7:$D$159,$C17,'01'!L$7:L$159)</f>
        <v/>
      </c>
      <c r="K18" s="428">
        <f>SUMIF('09'!$D$7:$D$159,$C17,'09'!M$7:M$159)+SUMIF('10'!$D$7:$D$159,$C17,'10'!M$7:M$159)+SUMIF('11'!$D$7:$D$159,$C17,'11'!M$7:M$159)+SUMIF('12'!$D$7:$D$159,$C17,'12'!M$7:M$159)+SUMIF('01'!$D$7:$D$159,$C17,'01'!M$7:M$159)</f>
        <v/>
      </c>
      <c r="L18" s="429">
        <f>SUMIF('09'!$D$7:$D$159,$C17,'09'!N$7:N$159)+SUMIF('10'!$D$7:$D$159,$C17,'10'!N$7:N$159)+SUMIF('11'!$D$7:$D$159,$C17,'11'!N$7:N$159)+SUMIF('12'!$D$7:$D$159,$C17,'12'!N$7:N$159)+SUMIF('01'!$D$7:$D$159,$C17,'01'!N$7:N$159)</f>
        <v/>
      </c>
      <c r="M18" s="427">
        <f>SUMIF('09'!$D$7:$D$159,$C17,'09'!O$7:O$159)+SUMIF('10'!$D$7:$D$159,$C17,'10'!O$7:O$159)+SUMIF('11'!$D$7:$D$159,$C17,'11'!O$7:O$159)+SUMIF('12'!$D$7:$D$159,$C17,'12'!O$7:O$159)+SUMIF('01'!$D$7:$D$159,$C17,'01'!O$7:O$159)</f>
        <v/>
      </c>
      <c r="N18" s="428">
        <f>SUMIF('09'!$D$7:$D$159,$C17,'09'!P$7:P$159)+SUMIF('10'!$D$7:$D$159,$C17,'10'!P$7:P$159)+SUMIF('11'!$D$7:$D$159,$C17,'11'!P$7:P$159)+SUMIF('12'!$D$7:$D$159,$C17,'12'!P$7:P$159)+SUMIF('01'!$D$7:$D$159,$C17,'01'!P$7:P$159)</f>
        <v/>
      </c>
      <c r="O18" s="429">
        <f>SUMIF('09'!$D$7:$D$159,$C17,'09'!Q$7:Q$159)+SUMIF('10'!$D$7:$D$159,$C17,'10'!Q$7:Q$159)+SUMIF('11'!$D$7:$D$159,$C17,'11'!Q$7:Q$159)+SUMIF('12'!$D$7:$D$159,$C17,'12'!Q$7:Q$159)+SUMIF('01'!$D$7:$D$159,$C17,'01'!Q$7:Q$159)</f>
        <v/>
      </c>
      <c r="P18" s="427">
        <f>SUMIF('09'!$D$7:$D$159,$C17,'09'!R$7:R$159)+SUMIF('10'!$D$7:$D$159,$C17,'10'!R$7:R$159)+SUMIF('11'!$D$7:$D$159,$C17,'11'!R$7:R$159)+SUMIF('12'!$D$7:$D$159,$C17,'12'!R$7:R$159)+SUMIF('01'!$D$7:$D$159,$C17,'01'!R$7:R$159)</f>
        <v/>
      </c>
      <c r="Q18" s="428">
        <f>SUMIF('09'!$D$7:$D$159,$C17,'09'!S$7:S$159)+SUMIF('10'!$D$7:$D$159,$C17,'10'!S$7:S$159)+SUMIF('11'!$D$7:$D$159,$C17,'11'!S$7:S$159)+SUMIF('12'!$D$7:$D$159,$C17,'12'!S$7:S$159)+SUMIF('01'!$D$7:$D$159,$C17,'01'!S$7:S$159)</f>
        <v/>
      </c>
      <c r="R18" s="429">
        <f>SUMIF('09'!$D$7:$D$159,$C17,'09'!T$7:T$159)+SUMIF('10'!$D$7:$D$159,$C17,'10'!T$7:T$159)+SUMIF('11'!$D$7:$D$159,$C17,'11'!T$7:T$159)+SUMIF('12'!$D$7:$D$159,$C17,'12'!T$7:T$159)+SUMIF('01'!$D$7:$D$159,$C17,'01'!T$7:T$159)</f>
        <v/>
      </c>
      <c r="S18" s="427">
        <f>SUMIF('09'!$D$7:$D$159,$C17,'09'!U$7:U$159)+SUMIF('10'!$D$7:$D$159,$C17,'10'!U$7:U$159)+SUMIF('11'!$D$7:$D$159,$C17,'11'!U$7:U$159)+SUMIF('12'!$D$7:$D$159,$C17,'12'!U$7:U$159)+SUMIF('01'!$D$7:$D$159,$C17,'01'!U$7:U$159)</f>
        <v/>
      </c>
      <c r="T18" s="428">
        <f>SUMIF('09'!$D$7:$D$159,$C17,'09'!V$7:V$159)+SUMIF('10'!$D$7:$D$159,$C17,'10'!V$7:V$159)+SUMIF('11'!$D$7:$D$159,$C17,'11'!V$7:V$159)+SUMIF('12'!$D$7:$D$159,$C17,'12'!V$7:V$159)+SUMIF('01'!$D$7:$D$159,$C17,'01'!V$7:V$159)</f>
        <v/>
      </c>
      <c r="U18" s="430">
        <f>SUMIF('09'!$D$7:$D$159,$C17,'09'!W$7:W$159)+SUMIF('10'!$D$7:$D$159,$C17,'10'!W$7:W$159)+SUMIF('11'!$D$7:$D$159,$C17,'11'!W$7:W$159)+SUMIF('12'!$D$7:$D$159,$C17,'12'!W$7:W$159)+SUMIF('01'!$D$7:$D$159,$C17,'01'!W$7:W$159)</f>
        <v/>
      </c>
      <c r="V18" s="429">
        <f>SUMIF('09'!$D$7:$D$159,$C17,'09'!X$7:X$159)+SUMIF('10'!$D$7:$D$159,$C17,'10'!X$7:X$159)+SUMIF('11'!$D$7:$D$159,$C17,'11'!X$7:X$159)+SUMIF('12'!$D$7:$D$159,$C17,'12'!X$7:X$159)+SUMIF('01'!$D$7:$D$159,$C17,'01'!X$7:X$159)</f>
        <v/>
      </c>
      <c r="W18" s="429">
        <f>SUMIF('09'!$D$7:$D$159,$C17,'09'!Y$7:Y$159)+SUMIF('10'!$D$7:$D$159,$C17,'10'!Y$7:Y$159)+SUMIF('11'!$D$7:$D$159,$C17,'11'!Y$7:Y$159)+SUMIF('12'!$D$7:$D$159,$C17,'12'!Y$7:Y$159)+SUMIF('01'!$D$7:$D$159,$C17,'01'!Y$7:Y$159)</f>
        <v/>
      </c>
      <c r="X18" s="431">
        <f>SUM(J18:W18)</f>
        <v/>
      </c>
      <c r="Y18" s="413" t="n"/>
      <c r="Z18" s="432" t="n"/>
    </row>
    <row r="19" ht="14.25" customHeight="1" s="296">
      <c r="A19" s="154">
        <f>IF(OR(C19="0",COUNTIF(КлючОсень,C19)&gt;1),0,MATCH(F19,ВидыНагр,0))</f>
        <v/>
      </c>
      <c r="B19" s="154">
        <f>(COUNTA(D19:F20,J19:W19,H19:I20)=0)</f>
        <v/>
      </c>
      <c r="C19" s="155">
        <f>IF(OR(TRIM(D19)="",COUNTIF(ВидыНагр,F19)&lt;&gt;1),"0",CONCATENATE("$",TRIM(D19),"$",TRIM(E19),"$",F19,"$"))</f>
        <v/>
      </c>
      <c r="D19" s="415" t="n"/>
      <c r="E19" s="416" t="n"/>
      <c r="F19" s="417" t="n"/>
      <c r="G19" s="156" t="inlineStr">
        <is>
          <t>план</t>
        </is>
      </c>
      <c r="H19" s="157" t="n"/>
      <c r="I19" s="158" t="n"/>
      <c r="J19" s="418" t="n"/>
      <c r="K19" s="419" t="n"/>
      <c r="L19" s="420" t="n"/>
      <c r="M19" s="418" t="n"/>
      <c r="N19" s="419" t="n"/>
      <c r="O19" s="420" t="n"/>
      <c r="P19" s="418" t="n"/>
      <c r="Q19" s="419" t="n"/>
      <c r="R19" s="420" t="n"/>
      <c r="S19" s="418" t="n"/>
      <c r="T19" s="419" t="n"/>
      <c r="U19" s="421" t="n"/>
      <c r="V19" s="420" t="n"/>
      <c r="W19" s="420" t="n"/>
      <c r="X19" s="422">
        <f>SUM(J19:W19)</f>
        <v/>
      </c>
      <c r="Y19" s="423">
        <f>X20-X19</f>
        <v/>
      </c>
      <c r="Z19" s="209" t="n"/>
    </row>
    <row r="20" ht="14.25" customHeight="1" s="296">
      <c r="A20" s="154">
        <f>-A19</f>
        <v/>
      </c>
      <c r="B20" s="154">
        <f>B19</f>
        <v/>
      </c>
      <c r="C20" s="163" t="n"/>
      <c r="D20" s="424" t="n"/>
      <c r="E20" s="425" t="n"/>
      <c r="F20" s="426" t="n"/>
      <c r="G20" s="164" t="inlineStr">
        <is>
          <t>факт</t>
        </is>
      </c>
      <c r="H20" s="165" t="n"/>
      <c r="I20" s="250" t="n"/>
      <c r="J20" s="427">
        <f>SUMIF('09'!$D$7:$D$159,$C19,'09'!L$7:L$159)+SUMIF('10'!$D$7:$D$159,$C19,'10'!L$7:L$159)+SUMIF('11'!$D$7:$D$159,$C19,'11'!L$7:L$159)+SUMIF('12'!$D$7:$D$159,$C19,'12'!L$7:L$159)+SUMIF('01'!$D$7:$D$159,$C19,'01'!L$7:L$159)</f>
        <v/>
      </c>
      <c r="K20" s="428">
        <f>SUMIF('09'!$D$7:$D$159,$C19,'09'!M$7:M$159)+SUMIF('10'!$D$7:$D$159,$C19,'10'!M$7:M$159)+SUMIF('11'!$D$7:$D$159,$C19,'11'!M$7:M$159)+SUMIF('12'!$D$7:$D$159,$C19,'12'!M$7:M$159)+SUMIF('01'!$D$7:$D$159,$C19,'01'!M$7:M$159)</f>
        <v/>
      </c>
      <c r="L20" s="429">
        <f>SUMIF('09'!$D$7:$D$159,$C19,'09'!N$7:N$159)+SUMIF('10'!$D$7:$D$159,$C19,'10'!N$7:N$159)+SUMIF('11'!$D$7:$D$159,$C19,'11'!N$7:N$159)+SUMIF('12'!$D$7:$D$159,$C19,'12'!N$7:N$159)+SUMIF('01'!$D$7:$D$159,$C19,'01'!N$7:N$159)</f>
        <v/>
      </c>
      <c r="M20" s="427">
        <f>SUMIF('09'!$D$7:$D$159,$C19,'09'!O$7:O$159)+SUMIF('10'!$D$7:$D$159,$C19,'10'!O$7:O$159)+SUMIF('11'!$D$7:$D$159,$C19,'11'!O$7:O$159)+SUMIF('12'!$D$7:$D$159,$C19,'12'!O$7:O$159)+SUMIF('01'!$D$7:$D$159,$C19,'01'!O$7:O$159)</f>
        <v/>
      </c>
      <c r="N20" s="428">
        <f>SUMIF('09'!$D$7:$D$159,$C19,'09'!P$7:P$159)+SUMIF('10'!$D$7:$D$159,$C19,'10'!P$7:P$159)+SUMIF('11'!$D$7:$D$159,$C19,'11'!P$7:P$159)+SUMIF('12'!$D$7:$D$159,$C19,'12'!P$7:P$159)+SUMIF('01'!$D$7:$D$159,$C19,'01'!P$7:P$159)</f>
        <v/>
      </c>
      <c r="O20" s="429">
        <f>SUMIF('09'!$D$7:$D$159,$C19,'09'!Q$7:Q$159)+SUMIF('10'!$D$7:$D$159,$C19,'10'!Q$7:Q$159)+SUMIF('11'!$D$7:$D$159,$C19,'11'!Q$7:Q$159)+SUMIF('12'!$D$7:$D$159,$C19,'12'!Q$7:Q$159)+SUMIF('01'!$D$7:$D$159,$C19,'01'!Q$7:Q$159)</f>
        <v/>
      </c>
      <c r="P20" s="427">
        <f>SUMIF('09'!$D$7:$D$159,$C19,'09'!R$7:R$159)+SUMIF('10'!$D$7:$D$159,$C19,'10'!R$7:R$159)+SUMIF('11'!$D$7:$D$159,$C19,'11'!R$7:R$159)+SUMIF('12'!$D$7:$D$159,$C19,'12'!R$7:R$159)+SUMIF('01'!$D$7:$D$159,$C19,'01'!R$7:R$159)</f>
        <v/>
      </c>
      <c r="Q20" s="428">
        <f>SUMIF('09'!$D$7:$D$159,$C19,'09'!S$7:S$159)+SUMIF('10'!$D$7:$D$159,$C19,'10'!S$7:S$159)+SUMIF('11'!$D$7:$D$159,$C19,'11'!S$7:S$159)+SUMIF('12'!$D$7:$D$159,$C19,'12'!S$7:S$159)+SUMIF('01'!$D$7:$D$159,$C19,'01'!S$7:S$159)</f>
        <v/>
      </c>
      <c r="R20" s="429">
        <f>SUMIF('09'!$D$7:$D$159,$C19,'09'!T$7:T$159)+SUMIF('10'!$D$7:$D$159,$C19,'10'!T$7:T$159)+SUMIF('11'!$D$7:$D$159,$C19,'11'!T$7:T$159)+SUMIF('12'!$D$7:$D$159,$C19,'12'!T$7:T$159)+SUMIF('01'!$D$7:$D$159,$C19,'01'!T$7:T$159)</f>
        <v/>
      </c>
      <c r="S20" s="427">
        <f>SUMIF('09'!$D$7:$D$159,$C19,'09'!U$7:U$159)+SUMIF('10'!$D$7:$D$159,$C19,'10'!U$7:U$159)+SUMIF('11'!$D$7:$D$159,$C19,'11'!U$7:U$159)+SUMIF('12'!$D$7:$D$159,$C19,'12'!U$7:U$159)+SUMIF('01'!$D$7:$D$159,$C19,'01'!U$7:U$159)</f>
        <v/>
      </c>
      <c r="T20" s="428">
        <f>SUMIF('09'!$D$7:$D$159,$C19,'09'!V$7:V$159)+SUMIF('10'!$D$7:$D$159,$C19,'10'!V$7:V$159)+SUMIF('11'!$D$7:$D$159,$C19,'11'!V$7:V$159)+SUMIF('12'!$D$7:$D$159,$C19,'12'!V$7:V$159)+SUMIF('01'!$D$7:$D$159,$C19,'01'!V$7:V$159)</f>
        <v/>
      </c>
      <c r="U20" s="430">
        <f>SUMIF('09'!$D$7:$D$159,$C19,'09'!W$7:W$159)+SUMIF('10'!$D$7:$D$159,$C19,'10'!W$7:W$159)+SUMIF('11'!$D$7:$D$159,$C19,'11'!W$7:W$159)+SUMIF('12'!$D$7:$D$159,$C19,'12'!W$7:W$159)+SUMIF('01'!$D$7:$D$159,$C19,'01'!W$7:W$159)</f>
        <v/>
      </c>
      <c r="V20" s="429">
        <f>SUMIF('09'!$D$7:$D$159,$C19,'09'!X$7:X$159)+SUMIF('10'!$D$7:$D$159,$C19,'10'!X$7:X$159)+SUMIF('11'!$D$7:$D$159,$C19,'11'!X$7:X$159)+SUMIF('12'!$D$7:$D$159,$C19,'12'!X$7:X$159)+SUMIF('01'!$D$7:$D$159,$C19,'01'!X$7:X$159)</f>
        <v/>
      </c>
      <c r="W20" s="429">
        <f>SUMIF('09'!$D$7:$D$159,$C19,'09'!Y$7:Y$159)+SUMIF('10'!$D$7:$D$159,$C19,'10'!Y$7:Y$159)+SUMIF('11'!$D$7:$D$159,$C19,'11'!Y$7:Y$159)+SUMIF('12'!$D$7:$D$159,$C19,'12'!Y$7:Y$159)+SUMIF('01'!$D$7:$D$159,$C19,'01'!Y$7:Y$159)</f>
        <v/>
      </c>
      <c r="X20" s="431">
        <f>SUM(J20:W20)</f>
        <v/>
      </c>
      <c r="Y20" s="413" t="n"/>
      <c r="Z20" s="432" t="n"/>
    </row>
    <row r="21" ht="14.25" customHeight="1" s="296">
      <c r="A21" s="154">
        <f>IF(OR(C21="0",COUNTIF(КлючОсень,C21)&gt;1),0,MATCH(F21,ВидыНагр,0))</f>
        <v/>
      </c>
      <c r="B21" s="154">
        <f>(COUNTA(D21:F22,J21:W21,H21:I22)=0)</f>
        <v/>
      </c>
      <c r="C21" s="155">
        <f>IF(OR(TRIM(D21)="",COUNTIF(ВидыНагр,F21)&lt;&gt;1),"0",CONCATENATE("$",TRIM(D21),"$",TRIM(E21),"$",F21,"$"))</f>
        <v/>
      </c>
      <c r="D21" s="415" t="n"/>
      <c r="E21" s="416" t="n"/>
      <c r="F21" s="417" t="n"/>
      <c r="G21" s="156" t="inlineStr">
        <is>
          <t>план</t>
        </is>
      </c>
      <c r="H21" s="157" t="n"/>
      <c r="I21" s="158" t="n"/>
      <c r="J21" s="418" t="n"/>
      <c r="K21" s="419" t="n"/>
      <c r="L21" s="420" t="n"/>
      <c r="M21" s="418" t="n"/>
      <c r="N21" s="419" t="n"/>
      <c r="O21" s="420" t="n"/>
      <c r="P21" s="418" t="n"/>
      <c r="Q21" s="419" t="n"/>
      <c r="R21" s="420" t="n"/>
      <c r="S21" s="418" t="n"/>
      <c r="T21" s="419" t="n"/>
      <c r="U21" s="421" t="n"/>
      <c r="V21" s="420" t="n"/>
      <c r="W21" s="420" t="n"/>
      <c r="X21" s="422">
        <f>SUM(J21:W21)</f>
        <v/>
      </c>
      <c r="Y21" s="423">
        <f>X22-X21</f>
        <v/>
      </c>
      <c r="Z21" s="209" t="n"/>
    </row>
    <row r="22" ht="14.25" customHeight="1" s="296">
      <c r="A22" s="154">
        <f>-A21</f>
        <v/>
      </c>
      <c r="B22" s="154">
        <f>B21</f>
        <v/>
      </c>
      <c r="C22" s="163" t="n"/>
      <c r="D22" s="424" t="n"/>
      <c r="E22" s="425" t="n"/>
      <c r="F22" s="426" t="n"/>
      <c r="G22" s="164" t="inlineStr">
        <is>
          <t>факт</t>
        </is>
      </c>
      <c r="H22" s="165" t="n"/>
      <c r="I22" s="250" t="n"/>
      <c r="J22" s="427">
        <f>SUMIF('09'!$D$7:$D$159,$C21,'09'!L$7:L$159)+SUMIF('10'!$D$7:$D$159,$C21,'10'!L$7:L$159)+SUMIF('11'!$D$7:$D$159,$C21,'11'!L$7:L$159)+SUMIF('12'!$D$7:$D$159,$C21,'12'!L$7:L$159)+SUMIF('01'!$D$7:$D$159,$C21,'01'!L$7:L$159)</f>
        <v/>
      </c>
      <c r="K22" s="428">
        <f>SUMIF('09'!$D$7:$D$159,$C21,'09'!M$7:M$159)+SUMIF('10'!$D$7:$D$159,$C21,'10'!M$7:M$159)+SUMIF('11'!$D$7:$D$159,$C21,'11'!M$7:M$159)+SUMIF('12'!$D$7:$D$159,$C21,'12'!M$7:M$159)+SUMIF('01'!$D$7:$D$159,$C21,'01'!M$7:M$159)</f>
        <v/>
      </c>
      <c r="L22" s="429">
        <f>SUMIF('09'!$D$7:$D$159,$C21,'09'!N$7:N$159)+SUMIF('10'!$D$7:$D$159,$C21,'10'!N$7:N$159)+SUMIF('11'!$D$7:$D$159,$C21,'11'!N$7:N$159)+SUMIF('12'!$D$7:$D$159,$C21,'12'!N$7:N$159)+SUMIF('01'!$D$7:$D$159,$C21,'01'!N$7:N$159)</f>
        <v/>
      </c>
      <c r="M22" s="427">
        <f>SUMIF('09'!$D$7:$D$159,$C21,'09'!O$7:O$159)+SUMIF('10'!$D$7:$D$159,$C21,'10'!O$7:O$159)+SUMIF('11'!$D$7:$D$159,$C21,'11'!O$7:O$159)+SUMIF('12'!$D$7:$D$159,$C21,'12'!O$7:O$159)+SUMIF('01'!$D$7:$D$159,$C21,'01'!O$7:O$159)</f>
        <v/>
      </c>
      <c r="N22" s="428">
        <f>SUMIF('09'!$D$7:$D$159,$C21,'09'!P$7:P$159)+SUMIF('10'!$D$7:$D$159,$C21,'10'!P$7:P$159)+SUMIF('11'!$D$7:$D$159,$C21,'11'!P$7:P$159)+SUMIF('12'!$D$7:$D$159,$C21,'12'!P$7:P$159)+SUMIF('01'!$D$7:$D$159,$C21,'01'!P$7:P$159)</f>
        <v/>
      </c>
      <c r="O22" s="429">
        <f>SUMIF('09'!$D$7:$D$159,$C21,'09'!Q$7:Q$159)+SUMIF('10'!$D$7:$D$159,$C21,'10'!Q$7:Q$159)+SUMIF('11'!$D$7:$D$159,$C21,'11'!Q$7:Q$159)+SUMIF('12'!$D$7:$D$159,$C21,'12'!Q$7:Q$159)+SUMIF('01'!$D$7:$D$159,$C21,'01'!Q$7:Q$159)</f>
        <v/>
      </c>
      <c r="P22" s="427">
        <f>SUMIF('09'!$D$7:$D$159,$C21,'09'!R$7:R$159)+SUMIF('10'!$D$7:$D$159,$C21,'10'!R$7:R$159)+SUMIF('11'!$D$7:$D$159,$C21,'11'!R$7:R$159)+SUMIF('12'!$D$7:$D$159,$C21,'12'!R$7:R$159)+SUMIF('01'!$D$7:$D$159,$C21,'01'!R$7:R$159)</f>
        <v/>
      </c>
      <c r="Q22" s="428">
        <f>SUMIF('09'!$D$7:$D$159,$C21,'09'!S$7:S$159)+SUMIF('10'!$D$7:$D$159,$C21,'10'!S$7:S$159)+SUMIF('11'!$D$7:$D$159,$C21,'11'!S$7:S$159)+SUMIF('12'!$D$7:$D$159,$C21,'12'!S$7:S$159)+SUMIF('01'!$D$7:$D$159,$C21,'01'!S$7:S$159)</f>
        <v/>
      </c>
      <c r="R22" s="429">
        <f>SUMIF('09'!$D$7:$D$159,$C21,'09'!T$7:T$159)+SUMIF('10'!$D$7:$D$159,$C21,'10'!T$7:T$159)+SUMIF('11'!$D$7:$D$159,$C21,'11'!T$7:T$159)+SUMIF('12'!$D$7:$D$159,$C21,'12'!T$7:T$159)+SUMIF('01'!$D$7:$D$159,$C21,'01'!T$7:T$159)</f>
        <v/>
      </c>
      <c r="S22" s="427">
        <f>SUMIF('09'!$D$7:$D$159,$C21,'09'!U$7:U$159)+SUMIF('10'!$D$7:$D$159,$C21,'10'!U$7:U$159)+SUMIF('11'!$D$7:$D$159,$C21,'11'!U$7:U$159)+SUMIF('12'!$D$7:$D$159,$C21,'12'!U$7:U$159)+SUMIF('01'!$D$7:$D$159,$C21,'01'!U$7:U$159)</f>
        <v/>
      </c>
      <c r="T22" s="428">
        <f>SUMIF('09'!$D$7:$D$159,$C21,'09'!V$7:V$159)+SUMIF('10'!$D$7:$D$159,$C21,'10'!V$7:V$159)+SUMIF('11'!$D$7:$D$159,$C21,'11'!V$7:V$159)+SUMIF('12'!$D$7:$D$159,$C21,'12'!V$7:V$159)+SUMIF('01'!$D$7:$D$159,$C21,'01'!V$7:V$159)</f>
        <v/>
      </c>
      <c r="U22" s="430">
        <f>SUMIF('09'!$D$7:$D$159,$C21,'09'!W$7:W$159)+SUMIF('10'!$D$7:$D$159,$C21,'10'!W$7:W$159)+SUMIF('11'!$D$7:$D$159,$C21,'11'!W$7:W$159)+SUMIF('12'!$D$7:$D$159,$C21,'12'!W$7:W$159)+SUMIF('01'!$D$7:$D$159,$C21,'01'!W$7:W$159)</f>
        <v/>
      </c>
      <c r="V22" s="429">
        <f>SUMIF('09'!$D$7:$D$159,$C21,'09'!X$7:X$159)+SUMIF('10'!$D$7:$D$159,$C21,'10'!X$7:X$159)+SUMIF('11'!$D$7:$D$159,$C21,'11'!X$7:X$159)+SUMIF('12'!$D$7:$D$159,$C21,'12'!X$7:X$159)+SUMIF('01'!$D$7:$D$159,$C21,'01'!X$7:X$159)</f>
        <v/>
      </c>
      <c r="W22" s="429">
        <f>SUMIF('09'!$D$7:$D$159,$C21,'09'!Y$7:Y$159)+SUMIF('10'!$D$7:$D$159,$C21,'10'!Y$7:Y$159)+SUMIF('11'!$D$7:$D$159,$C21,'11'!Y$7:Y$159)+SUMIF('12'!$D$7:$D$159,$C21,'12'!Y$7:Y$159)+SUMIF('01'!$D$7:$D$159,$C21,'01'!Y$7:Y$159)</f>
        <v/>
      </c>
      <c r="X22" s="431">
        <f>SUM(J22:W22)</f>
        <v/>
      </c>
      <c r="Y22" s="413" t="n"/>
      <c r="Z22" s="432" t="n"/>
    </row>
    <row r="23" ht="14.25" customHeight="1" s="296">
      <c r="A23" s="154">
        <f>IF(OR(C23="0",COUNTIF(КлючОсень,C23)&gt;1),0,MATCH(F23,ВидыНагр,0))</f>
        <v/>
      </c>
      <c r="B23" s="154">
        <f>(COUNTA(D23:F24,J23:W23,H23:I24)=0)</f>
        <v/>
      </c>
      <c r="C23" s="155">
        <f>IF(OR(TRIM(D23)="",COUNTIF(ВидыНагр,F23)&lt;&gt;1),"0",CONCATENATE("$",TRIM(D23),"$",TRIM(E23),"$",F23,"$"))</f>
        <v/>
      </c>
      <c r="D23" s="415" t="n"/>
      <c r="E23" s="416" t="n"/>
      <c r="F23" s="417" t="n"/>
      <c r="G23" s="156" t="inlineStr">
        <is>
          <t>план</t>
        </is>
      </c>
      <c r="H23" s="157" t="n"/>
      <c r="I23" s="158" t="n"/>
      <c r="J23" s="418" t="n"/>
      <c r="K23" s="419" t="n"/>
      <c r="L23" s="420" t="n"/>
      <c r="M23" s="418" t="n"/>
      <c r="N23" s="419" t="n"/>
      <c r="O23" s="420" t="n"/>
      <c r="P23" s="418" t="n"/>
      <c r="Q23" s="419" t="n"/>
      <c r="R23" s="420" t="n"/>
      <c r="S23" s="418" t="n"/>
      <c r="T23" s="419" t="n"/>
      <c r="U23" s="421" t="n"/>
      <c r="V23" s="420" t="n"/>
      <c r="W23" s="420" t="n"/>
      <c r="X23" s="422">
        <f>SUM(J23:W23)</f>
        <v/>
      </c>
      <c r="Y23" s="423">
        <f>X24-X23</f>
        <v/>
      </c>
      <c r="Z23" s="209" t="n"/>
    </row>
    <row r="24" ht="14.25" customHeight="1" s="296">
      <c r="A24" s="154">
        <f>-A23</f>
        <v/>
      </c>
      <c r="B24" s="154">
        <f>B23</f>
        <v/>
      </c>
      <c r="C24" s="163" t="n"/>
      <c r="D24" s="424" t="n"/>
      <c r="E24" s="425" t="n"/>
      <c r="F24" s="426" t="n"/>
      <c r="G24" s="164" t="inlineStr">
        <is>
          <t>факт</t>
        </is>
      </c>
      <c r="H24" s="165" t="n"/>
      <c r="I24" s="250" t="n"/>
      <c r="J24" s="427">
        <f>SUMIF('09'!$D$7:$D$159,$C23,'09'!L$7:L$159)+SUMIF('10'!$D$7:$D$159,$C23,'10'!L$7:L$159)+SUMIF('11'!$D$7:$D$159,$C23,'11'!L$7:L$159)+SUMIF('12'!$D$7:$D$159,$C23,'12'!L$7:L$159)+SUMIF('01'!$D$7:$D$159,$C23,'01'!L$7:L$159)</f>
        <v/>
      </c>
      <c r="K24" s="428">
        <f>SUMIF('09'!$D$7:$D$159,$C23,'09'!M$7:M$159)+SUMIF('10'!$D$7:$D$159,$C23,'10'!M$7:M$159)+SUMIF('11'!$D$7:$D$159,$C23,'11'!M$7:M$159)+SUMIF('12'!$D$7:$D$159,$C23,'12'!M$7:M$159)+SUMIF('01'!$D$7:$D$159,$C23,'01'!M$7:M$159)</f>
        <v/>
      </c>
      <c r="L24" s="429">
        <f>SUMIF('09'!$D$7:$D$159,$C23,'09'!N$7:N$159)+SUMIF('10'!$D$7:$D$159,$C23,'10'!N$7:N$159)+SUMIF('11'!$D$7:$D$159,$C23,'11'!N$7:N$159)+SUMIF('12'!$D$7:$D$159,$C23,'12'!N$7:N$159)+SUMIF('01'!$D$7:$D$159,$C23,'01'!N$7:N$159)</f>
        <v/>
      </c>
      <c r="M24" s="427">
        <f>SUMIF('09'!$D$7:$D$159,$C23,'09'!O$7:O$159)+SUMIF('10'!$D$7:$D$159,$C23,'10'!O$7:O$159)+SUMIF('11'!$D$7:$D$159,$C23,'11'!O$7:O$159)+SUMIF('12'!$D$7:$D$159,$C23,'12'!O$7:O$159)+SUMIF('01'!$D$7:$D$159,$C23,'01'!O$7:O$159)</f>
        <v/>
      </c>
      <c r="N24" s="428">
        <f>SUMIF('09'!$D$7:$D$159,$C23,'09'!P$7:P$159)+SUMIF('10'!$D$7:$D$159,$C23,'10'!P$7:P$159)+SUMIF('11'!$D$7:$D$159,$C23,'11'!P$7:P$159)+SUMIF('12'!$D$7:$D$159,$C23,'12'!P$7:P$159)+SUMIF('01'!$D$7:$D$159,$C23,'01'!P$7:P$159)</f>
        <v/>
      </c>
      <c r="O24" s="429">
        <f>SUMIF('09'!$D$7:$D$159,$C23,'09'!Q$7:Q$159)+SUMIF('10'!$D$7:$D$159,$C23,'10'!Q$7:Q$159)+SUMIF('11'!$D$7:$D$159,$C23,'11'!Q$7:Q$159)+SUMIF('12'!$D$7:$D$159,$C23,'12'!Q$7:Q$159)+SUMIF('01'!$D$7:$D$159,$C23,'01'!Q$7:Q$159)</f>
        <v/>
      </c>
      <c r="P24" s="427">
        <f>SUMIF('09'!$D$7:$D$159,$C23,'09'!R$7:R$159)+SUMIF('10'!$D$7:$D$159,$C23,'10'!R$7:R$159)+SUMIF('11'!$D$7:$D$159,$C23,'11'!R$7:R$159)+SUMIF('12'!$D$7:$D$159,$C23,'12'!R$7:R$159)+SUMIF('01'!$D$7:$D$159,$C23,'01'!R$7:R$159)</f>
        <v/>
      </c>
      <c r="Q24" s="428">
        <f>SUMIF('09'!$D$7:$D$159,$C23,'09'!S$7:S$159)+SUMIF('10'!$D$7:$D$159,$C23,'10'!S$7:S$159)+SUMIF('11'!$D$7:$D$159,$C23,'11'!S$7:S$159)+SUMIF('12'!$D$7:$D$159,$C23,'12'!S$7:S$159)+SUMIF('01'!$D$7:$D$159,$C23,'01'!S$7:S$159)</f>
        <v/>
      </c>
      <c r="R24" s="429">
        <f>SUMIF('09'!$D$7:$D$159,$C23,'09'!T$7:T$159)+SUMIF('10'!$D$7:$D$159,$C23,'10'!T$7:T$159)+SUMIF('11'!$D$7:$D$159,$C23,'11'!T$7:T$159)+SUMIF('12'!$D$7:$D$159,$C23,'12'!T$7:T$159)+SUMIF('01'!$D$7:$D$159,$C23,'01'!T$7:T$159)</f>
        <v/>
      </c>
      <c r="S24" s="427">
        <f>SUMIF('09'!$D$7:$D$159,$C23,'09'!U$7:U$159)+SUMIF('10'!$D$7:$D$159,$C23,'10'!U$7:U$159)+SUMIF('11'!$D$7:$D$159,$C23,'11'!U$7:U$159)+SUMIF('12'!$D$7:$D$159,$C23,'12'!U$7:U$159)+SUMIF('01'!$D$7:$D$159,$C23,'01'!U$7:U$159)</f>
        <v/>
      </c>
      <c r="T24" s="428">
        <f>SUMIF('09'!$D$7:$D$159,$C23,'09'!V$7:V$159)+SUMIF('10'!$D$7:$D$159,$C23,'10'!V$7:V$159)+SUMIF('11'!$D$7:$D$159,$C23,'11'!V$7:V$159)+SUMIF('12'!$D$7:$D$159,$C23,'12'!V$7:V$159)+SUMIF('01'!$D$7:$D$159,$C23,'01'!V$7:V$159)</f>
        <v/>
      </c>
      <c r="U24" s="430">
        <f>SUMIF('09'!$D$7:$D$159,$C23,'09'!W$7:W$159)+SUMIF('10'!$D$7:$D$159,$C23,'10'!W$7:W$159)+SUMIF('11'!$D$7:$D$159,$C23,'11'!W$7:W$159)+SUMIF('12'!$D$7:$D$159,$C23,'12'!W$7:W$159)+SUMIF('01'!$D$7:$D$159,$C23,'01'!W$7:W$159)</f>
        <v/>
      </c>
      <c r="V24" s="429">
        <f>SUMIF('09'!$D$7:$D$159,$C23,'09'!X$7:X$159)+SUMIF('10'!$D$7:$D$159,$C23,'10'!X$7:X$159)+SUMIF('11'!$D$7:$D$159,$C23,'11'!X$7:X$159)+SUMIF('12'!$D$7:$D$159,$C23,'12'!X$7:X$159)+SUMIF('01'!$D$7:$D$159,$C23,'01'!X$7:X$159)</f>
        <v/>
      </c>
      <c r="W24" s="429">
        <f>SUMIF('09'!$D$7:$D$159,$C23,'09'!Y$7:Y$159)+SUMIF('10'!$D$7:$D$159,$C23,'10'!Y$7:Y$159)+SUMIF('11'!$D$7:$D$159,$C23,'11'!Y$7:Y$159)+SUMIF('12'!$D$7:$D$159,$C23,'12'!Y$7:Y$159)+SUMIF('01'!$D$7:$D$159,$C23,'01'!Y$7:Y$159)</f>
        <v/>
      </c>
      <c r="X24" s="431">
        <f>SUM(J24:W24)</f>
        <v/>
      </c>
      <c r="Y24" s="413" t="n"/>
      <c r="Z24" s="432" t="n"/>
    </row>
    <row r="25" ht="14.25" customHeight="1" s="296">
      <c r="A25" s="154">
        <f>IF(OR(C25="0",COUNTIF(КлючОсень,C25)&gt;1),0,MATCH(F25,ВидыНагр,0))</f>
        <v/>
      </c>
      <c r="B25" s="154">
        <f>(COUNTA(D25:F26,J25:W25,H25:I26)=0)</f>
        <v/>
      </c>
      <c r="C25" s="155">
        <f>IF(OR(TRIM(D25)="",COUNTIF(ВидыНагр,F25)&lt;&gt;1),"0",CONCATENATE("$",TRIM(D25),"$",TRIM(E25),"$",F25,"$"))</f>
        <v/>
      </c>
      <c r="D25" s="415" t="n"/>
      <c r="E25" s="416" t="n"/>
      <c r="F25" s="417" t="n"/>
      <c r="G25" s="156" t="inlineStr">
        <is>
          <t>план</t>
        </is>
      </c>
      <c r="H25" s="157" t="n"/>
      <c r="I25" s="158" t="n"/>
      <c r="J25" s="418" t="n"/>
      <c r="K25" s="419" t="n"/>
      <c r="L25" s="420" t="n"/>
      <c r="M25" s="418" t="n"/>
      <c r="N25" s="419" t="n"/>
      <c r="O25" s="420" t="n"/>
      <c r="P25" s="418" t="n"/>
      <c r="Q25" s="419" t="n"/>
      <c r="R25" s="420" t="n"/>
      <c r="S25" s="418" t="n"/>
      <c r="T25" s="419" t="n"/>
      <c r="U25" s="421" t="n"/>
      <c r="V25" s="420" t="n"/>
      <c r="W25" s="420" t="n"/>
      <c r="X25" s="422">
        <f>SUM(J25:W25)</f>
        <v/>
      </c>
      <c r="Y25" s="423">
        <f>X26-X25</f>
        <v/>
      </c>
      <c r="Z25" s="209" t="n"/>
    </row>
    <row r="26" ht="14.25" customHeight="1" s="296">
      <c r="A26" s="154">
        <f>-A25</f>
        <v/>
      </c>
      <c r="B26" s="154">
        <f>B25</f>
        <v/>
      </c>
      <c r="C26" s="163" t="n"/>
      <c r="D26" s="424" t="n"/>
      <c r="E26" s="425" t="n"/>
      <c r="F26" s="426" t="n"/>
      <c r="G26" s="164" t="inlineStr">
        <is>
          <t>факт</t>
        </is>
      </c>
      <c r="H26" s="165" t="n"/>
      <c r="I26" s="250" t="n"/>
      <c r="J26" s="427">
        <f>SUMIF('09'!$D$7:$D$159,$C25,'09'!L$7:L$159)+SUMIF('10'!$D$7:$D$159,$C25,'10'!L$7:L$159)+SUMIF('11'!$D$7:$D$159,$C25,'11'!L$7:L$159)+SUMIF('12'!$D$7:$D$159,$C25,'12'!L$7:L$159)+SUMIF('01'!$D$7:$D$159,$C25,'01'!L$7:L$159)</f>
        <v/>
      </c>
      <c r="K26" s="428">
        <f>SUMIF('09'!$D$7:$D$159,$C25,'09'!M$7:M$159)+SUMIF('10'!$D$7:$D$159,$C25,'10'!M$7:M$159)+SUMIF('11'!$D$7:$D$159,$C25,'11'!M$7:M$159)+SUMIF('12'!$D$7:$D$159,$C25,'12'!M$7:M$159)+SUMIF('01'!$D$7:$D$159,$C25,'01'!M$7:M$159)</f>
        <v/>
      </c>
      <c r="L26" s="429">
        <f>SUMIF('09'!$D$7:$D$159,$C25,'09'!N$7:N$159)+SUMIF('10'!$D$7:$D$159,$C25,'10'!N$7:N$159)+SUMIF('11'!$D$7:$D$159,$C25,'11'!N$7:N$159)+SUMIF('12'!$D$7:$D$159,$C25,'12'!N$7:N$159)+SUMIF('01'!$D$7:$D$159,$C25,'01'!N$7:N$159)</f>
        <v/>
      </c>
      <c r="M26" s="427">
        <f>SUMIF('09'!$D$7:$D$159,$C25,'09'!O$7:O$159)+SUMIF('10'!$D$7:$D$159,$C25,'10'!O$7:O$159)+SUMIF('11'!$D$7:$D$159,$C25,'11'!O$7:O$159)+SUMIF('12'!$D$7:$D$159,$C25,'12'!O$7:O$159)+SUMIF('01'!$D$7:$D$159,$C25,'01'!O$7:O$159)</f>
        <v/>
      </c>
      <c r="N26" s="428">
        <f>SUMIF('09'!$D$7:$D$159,$C25,'09'!P$7:P$159)+SUMIF('10'!$D$7:$D$159,$C25,'10'!P$7:P$159)+SUMIF('11'!$D$7:$D$159,$C25,'11'!P$7:P$159)+SUMIF('12'!$D$7:$D$159,$C25,'12'!P$7:P$159)+SUMIF('01'!$D$7:$D$159,$C25,'01'!P$7:P$159)</f>
        <v/>
      </c>
      <c r="O26" s="429">
        <f>SUMIF('09'!$D$7:$D$159,$C25,'09'!Q$7:Q$159)+SUMIF('10'!$D$7:$D$159,$C25,'10'!Q$7:Q$159)+SUMIF('11'!$D$7:$D$159,$C25,'11'!Q$7:Q$159)+SUMIF('12'!$D$7:$D$159,$C25,'12'!Q$7:Q$159)+SUMIF('01'!$D$7:$D$159,$C25,'01'!Q$7:Q$159)</f>
        <v/>
      </c>
      <c r="P26" s="427">
        <f>SUMIF('09'!$D$7:$D$159,$C25,'09'!R$7:R$159)+SUMIF('10'!$D$7:$D$159,$C25,'10'!R$7:R$159)+SUMIF('11'!$D$7:$D$159,$C25,'11'!R$7:R$159)+SUMIF('12'!$D$7:$D$159,$C25,'12'!R$7:R$159)+SUMIF('01'!$D$7:$D$159,$C25,'01'!R$7:R$159)</f>
        <v/>
      </c>
      <c r="Q26" s="428">
        <f>SUMIF('09'!$D$7:$D$159,$C25,'09'!S$7:S$159)+SUMIF('10'!$D$7:$D$159,$C25,'10'!S$7:S$159)+SUMIF('11'!$D$7:$D$159,$C25,'11'!S$7:S$159)+SUMIF('12'!$D$7:$D$159,$C25,'12'!S$7:S$159)+SUMIF('01'!$D$7:$D$159,$C25,'01'!S$7:S$159)</f>
        <v/>
      </c>
      <c r="R26" s="429">
        <f>SUMIF('09'!$D$7:$D$159,$C25,'09'!T$7:T$159)+SUMIF('10'!$D$7:$D$159,$C25,'10'!T$7:T$159)+SUMIF('11'!$D$7:$D$159,$C25,'11'!T$7:T$159)+SUMIF('12'!$D$7:$D$159,$C25,'12'!T$7:T$159)+SUMIF('01'!$D$7:$D$159,$C25,'01'!T$7:T$159)</f>
        <v/>
      </c>
      <c r="S26" s="427">
        <f>SUMIF('09'!$D$7:$D$159,$C25,'09'!U$7:U$159)+SUMIF('10'!$D$7:$D$159,$C25,'10'!U$7:U$159)+SUMIF('11'!$D$7:$D$159,$C25,'11'!U$7:U$159)+SUMIF('12'!$D$7:$D$159,$C25,'12'!U$7:U$159)+SUMIF('01'!$D$7:$D$159,$C25,'01'!U$7:U$159)</f>
        <v/>
      </c>
      <c r="T26" s="428">
        <f>SUMIF('09'!$D$7:$D$159,$C25,'09'!V$7:V$159)+SUMIF('10'!$D$7:$D$159,$C25,'10'!V$7:V$159)+SUMIF('11'!$D$7:$D$159,$C25,'11'!V$7:V$159)+SUMIF('12'!$D$7:$D$159,$C25,'12'!V$7:V$159)+SUMIF('01'!$D$7:$D$159,$C25,'01'!V$7:V$159)</f>
        <v/>
      </c>
      <c r="U26" s="430">
        <f>SUMIF('09'!$D$7:$D$159,$C25,'09'!W$7:W$159)+SUMIF('10'!$D$7:$D$159,$C25,'10'!W$7:W$159)+SUMIF('11'!$D$7:$D$159,$C25,'11'!W$7:W$159)+SUMIF('12'!$D$7:$D$159,$C25,'12'!W$7:W$159)+SUMIF('01'!$D$7:$D$159,$C25,'01'!W$7:W$159)</f>
        <v/>
      </c>
      <c r="V26" s="429">
        <f>SUMIF('09'!$D$7:$D$159,$C25,'09'!X$7:X$159)+SUMIF('10'!$D$7:$D$159,$C25,'10'!X$7:X$159)+SUMIF('11'!$D$7:$D$159,$C25,'11'!X$7:X$159)+SUMIF('12'!$D$7:$D$159,$C25,'12'!X$7:X$159)+SUMIF('01'!$D$7:$D$159,$C25,'01'!X$7:X$159)</f>
        <v/>
      </c>
      <c r="W26" s="429">
        <f>SUMIF('09'!$D$7:$D$159,$C25,'09'!Y$7:Y$159)+SUMIF('10'!$D$7:$D$159,$C25,'10'!Y$7:Y$159)+SUMIF('11'!$D$7:$D$159,$C25,'11'!Y$7:Y$159)+SUMIF('12'!$D$7:$D$159,$C25,'12'!Y$7:Y$159)+SUMIF('01'!$D$7:$D$159,$C25,'01'!Y$7:Y$159)</f>
        <v/>
      </c>
      <c r="X26" s="431">
        <f>SUM(J26:W26)</f>
        <v/>
      </c>
      <c r="Y26" s="413" t="n"/>
      <c r="Z26" s="432" t="n"/>
    </row>
    <row r="27" ht="14.25" customHeight="1" s="296">
      <c r="A27" s="154">
        <f>IF(OR(C27="0",COUNTIF(КлючОсень,C27)&gt;1),0,MATCH(F27,ВидыНагр,0))</f>
        <v/>
      </c>
      <c r="B27" s="154">
        <f>(COUNTA(D27:F28,J27:W27,H27:I28)=0)</f>
        <v/>
      </c>
      <c r="C27" s="155">
        <f>IF(OR(TRIM(D27)="",COUNTIF(ВидыНагр,F27)&lt;&gt;1),"0",CONCATENATE("$",TRIM(D27),"$",TRIM(E27),"$",F27,"$"))</f>
        <v/>
      </c>
      <c r="D27" s="415" t="n"/>
      <c r="E27" s="416" t="n"/>
      <c r="F27" s="417" t="n"/>
      <c r="G27" s="156" t="inlineStr">
        <is>
          <t>план</t>
        </is>
      </c>
      <c r="H27" s="157" t="n"/>
      <c r="I27" s="158" t="n"/>
      <c r="J27" s="418" t="n"/>
      <c r="K27" s="419" t="n"/>
      <c r="L27" s="420" t="n"/>
      <c r="M27" s="418" t="n"/>
      <c r="N27" s="419" t="n"/>
      <c r="O27" s="420" t="n"/>
      <c r="P27" s="418" t="n"/>
      <c r="Q27" s="419" t="n"/>
      <c r="R27" s="420" t="n"/>
      <c r="S27" s="418" t="n"/>
      <c r="T27" s="419" t="n"/>
      <c r="U27" s="421" t="n"/>
      <c r="V27" s="420" t="n"/>
      <c r="W27" s="420" t="n"/>
      <c r="X27" s="422">
        <f>SUM(J27:W27)</f>
        <v/>
      </c>
      <c r="Y27" s="423">
        <f>X28-X27</f>
        <v/>
      </c>
      <c r="Z27" s="209" t="n"/>
    </row>
    <row r="28" ht="14.25" customHeight="1" s="296">
      <c r="A28" s="154">
        <f>-A27</f>
        <v/>
      </c>
      <c r="B28" s="154">
        <f>B27</f>
        <v/>
      </c>
      <c r="C28" s="163" t="n"/>
      <c r="D28" s="424" t="n"/>
      <c r="E28" s="425" t="n"/>
      <c r="F28" s="426" t="n"/>
      <c r="G28" s="164" t="inlineStr">
        <is>
          <t>факт</t>
        </is>
      </c>
      <c r="H28" s="165" t="n"/>
      <c r="I28" s="250" t="n"/>
      <c r="J28" s="427">
        <f>SUMIF('09'!$D$7:$D$159,$C27,'09'!L$7:L$159)+SUMIF('10'!$D$7:$D$159,$C27,'10'!L$7:L$159)+SUMIF('11'!$D$7:$D$159,$C27,'11'!L$7:L$159)+SUMIF('12'!$D$7:$D$159,$C27,'12'!L$7:L$159)+SUMIF('01'!$D$7:$D$159,$C27,'01'!L$7:L$159)</f>
        <v/>
      </c>
      <c r="K28" s="428">
        <f>SUMIF('09'!$D$7:$D$159,$C27,'09'!M$7:M$159)+SUMIF('10'!$D$7:$D$159,$C27,'10'!M$7:M$159)+SUMIF('11'!$D$7:$D$159,$C27,'11'!M$7:M$159)+SUMIF('12'!$D$7:$D$159,$C27,'12'!M$7:M$159)+SUMIF('01'!$D$7:$D$159,$C27,'01'!M$7:M$159)</f>
        <v/>
      </c>
      <c r="L28" s="429">
        <f>SUMIF('09'!$D$7:$D$159,$C27,'09'!N$7:N$159)+SUMIF('10'!$D$7:$D$159,$C27,'10'!N$7:N$159)+SUMIF('11'!$D$7:$D$159,$C27,'11'!N$7:N$159)+SUMIF('12'!$D$7:$D$159,$C27,'12'!N$7:N$159)+SUMIF('01'!$D$7:$D$159,$C27,'01'!N$7:N$159)</f>
        <v/>
      </c>
      <c r="M28" s="427">
        <f>SUMIF('09'!$D$7:$D$159,$C27,'09'!O$7:O$159)+SUMIF('10'!$D$7:$D$159,$C27,'10'!O$7:O$159)+SUMIF('11'!$D$7:$D$159,$C27,'11'!O$7:O$159)+SUMIF('12'!$D$7:$D$159,$C27,'12'!O$7:O$159)+SUMIF('01'!$D$7:$D$159,$C27,'01'!O$7:O$159)</f>
        <v/>
      </c>
      <c r="N28" s="428">
        <f>SUMIF('09'!$D$7:$D$159,$C27,'09'!P$7:P$159)+SUMIF('10'!$D$7:$D$159,$C27,'10'!P$7:P$159)+SUMIF('11'!$D$7:$D$159,$C27,'11'!P$7:P$159)+SUMIF('12'!$D$7:$D$159,$C27,'12'!P$7:P$159)+SUMIF('01'!$D$7:$D$159,$C27,'01'!P$7:P$159)</f>
        <v/>
      </c>
      <c r="O28" s="429">
        <f>SUMIF('09'!$D$7:$D$159,$C27,'09'!Q$7:Q$159)+SUMIF('10'!$D$7:$D$159,$C27,'10'!Q$7:Q$159)+SUMIF('11'!$D$7:$D$159,$C27,'11'!Q$7:Q$159)+SUMIF('12'!$D$7:$D$159,$C27,'12'!Q$7:Q$159)+SUMIF('01'!$D$7:$D$159,$C27,'01'!Q$7:Q$159)</f>
        <v/>
      </c>
      <c r="P28" s="427">
        <f>SUMIF('09'!$D$7:$D$159,$C27,'09'!R$7:R$159)+SUMIF('10'!$D$7:$D$159,$C27,'10'!R$7:R$159)+SUMIF('11'!$D$7:$D$159,$C27,'11'!R$7:R$159)+SUMIF('12'!$D$7:$D$159,$C27,'12'!R$7:R$159)+SUMIF('01'!$D$7:$D$159,$C27,'01'!R$7:R$159)</f>
        <v/>
      </c>
      <c r="Q28" s="428">
        <f>SUMIF('09'!$D$7:$D$159,$C27,'09'!S$7:S$159)+SUMIF('10'!$D$7:$D$159,$C27,'10'!S$7:S$159)+SUMIF('11'!$D$7:$D$159,$C27,'11'!S$7:S$159)+SUMIF('12'!$D$7:$D$159,$C27,'12'!S$7:S$159)+SUMIF('01'!$D$7:$D$159,$C27,'01'!S$7:S$159)</f>
        <v/>
      </c>
      <c r="R28" s="429">
        <f>SUMIF('09'!$D$7:$D$159,$C27,'09'!T$7:T$159)+SUMIF('10'!$D$7:$D$159,$C27,'10'!T$7:T$159)+SUMIF('11'!$D$7:$D$159,$C27,'11'!T$7:T$159)+SUMIF('12'!$D$7:$D$159,$C27,'12'!T$7:T$159)+SUMIF('01'!$D$7:$D$159,$C27,'01'!T$7:T$159)</f>
        <v/>
      </c>
      <c r="S28" s="427">
        <f>SUMIF('09'!$D$7:$D$159,$C27,'09'!U$7:U$159)+SUMIF('10'!$D$7:$D$159,$C27,'10'!U$7:U$159)+SUMIF('11'!$D$7:$D$159,$C27,'11'!U$7:U$159)+SUMIF('12'!$D$7:$D$159,$C27,'12'!U$7:U$159)+SUMIF('01'!$D$7:$D$159,$C27,'01'!U$7:U$159)</f>
        <v/>
      </c>
      <c r="T28" s="428">
        <f>SUMIF('09'!$D$7:$D$159,$C27,'09'!V$7:V$159)+SUMIF('10'!$D$7:$D$159,$C27,'10'!V$7:V$159)+SUMIF('11'!$D$7:$D$159,$C27,'11'!V$7:V$159)+SUMIF('12'!$D$7:$D$159,$C27,'12'!V$7:V$159)+SUMIF('01'!$D$7:$D$159,$C27,'01'!V$7:V$159)</f>
        <v/>
      </c>
      <c r="U28" s="430">
        <f>SUMIF('09'!$D$7:$D$159,$C27,'09'!W$7:W$159)+SUMIF('10'!$D$7:$D$159,$C27,'10'!W$7:W$159)+SUMIF('11'!$D$7:$D$159,$C27,'11'!W$7:W$159)+SUMIF('12'!$D$7:$D$159,$C27,'12'!W$7:W$159)+SUMIF('01'!$D$7:$D$159,$C27,'01'!W$7:W$159)</f>
        <v/>
      </c>
      <c r="V28" s="429">
        <f>SUMIF('09'!$D$7:$D$159,$C27,'09'!X$7:X$159)+SUMIF('10'!$D$7:$D$159,$C27,'10'!X$7:X$159)+SUMIF('11'!$D$7:$D$159,$C27,'11'!X$7:X$159)+SUMIF('12'!$D$7:$D$159,$C27,'12'!X$7:X$159)+SUMIF('01'!$D$7:$D$159,$C27,'01'!X$7:X$159)</f>
        <v/>
      </c>
      <c r="W28" s="429">
        <f>SUMIF('09'!$D$7:$D$159,$C27,'09'!Y$7:Y$159)+SUMIF('10'!$D$7:$D$159,$C27,'10'!Y$7:Y$159)+SUMIF('11'!$D$7:$D$159,$C27,'11'!Y$7:Y$159)+SUMIF('12'!$D$7:$D$159,$C27,'12'!Y$7:Y$159)+SUMIF('01'!$D$7:$D$159,$C27,'01'!Y$7:Y$159)</f>
        <v/>
      </c>
      <c r="X28" s="431">
        <f>SUM(J28:W28)</f>
        <v/>
      </c>
      <c r="Y28" s="413" t="n"/>
      <c r="Z28" s="432" t="n"/>
    </row>
    <row r="29" ht="14.25" customHeight="1" s="296">
      <c r="A29" s="154">
        <f>IF(OR(C29="0",COUNTIF(КлючОсень,C29)&gt;1),0,MATCH(F29,ВидыНагр,0))</f>
        <v/>
      </c>
      <c r="B29" s="154">
        <f>(COUNTA(D29:F30,J29:W29,H29:I30)=0)</f>
        <v/>
      </c>
      <c r="C29" s="155">
        <f>IF(OR(TRIM(D29)="",COUNTIF(ВидыНагр,F29)&lt;&gt;1),"0",CONCATENATE("$",TRIM(D29),"$",TRIM(E29),"$",F29,"$"))</f>
        <v/>
      </c>
      <c r="D29" s="415" t="n"/>
      <c r="E29" s="416" t="n"/>
      <c r="F29" s="417" t="n"/>
      <c r="G29" s="156" t="inlineStr">
        <is>
          <t>план</t>
        </is>
      </c>
      <c r="H29" s="157" t="n"/>
      <c r="I29" s="158" t="n"/>
      <c r="J29" s="418" t="n"/>
      <c r="K29" s="419" t="n"/>
      <c r="L29" s="420" t="n"/>
      <c r="M29" s="418" t="n"/>
      <c r="N29" s="419" t="n"/>
      <c r="O29" s="420" t="n"/>
      <c r="P29" s="418" t="n"/>
      <c r="Q29" s="419" t="n"/>
      <c r="R29" s="420" t="n"/>
      <c r="S29" s="418" t="n"/>
      <c r="T29" s="419" t="n"/>
      <c r="U29" s="421" t="n"/>
      <c r="V29" s="420" t="n"/>
      <c r="W29" s="420" t="n"/>
      <c r="X29" s="422">
        <f>SUM(J29:W29)</f>
        <v/>
      </c>
      <c r="Y29" s="423">
        <f>X30-X29</f>
        <v/>
      </c>
      <c r="Z29" s="209" t="n"/>
    </row>
    <row r="30" ht="14.25" customHeight="1" s="296">
      <c r="A30" s="154">
        <f>-A29</f>
        <v/>
      </c>
      <c r="B30" s="154">
        <f>B29</f>
        <v/>
      </c>
      <c r="C30" s="163" t="n"/>
      <c r="D30" s="424" t="n"/>
      <c r="E30" s="425" t="n"/>
      <c r="F30" s="426" t="n"/>
      <c r="G30" s="164" t="inlineStr">
        <is>
          <t>факт</t>
        </is>
      </c>
      <c r="H30" s="165" t="n"/>
      <c r="I30" s="250" t="n"/>
      <c r="J30" s="427">
        <f>SUMIF('09'!$D$7:$D$159,$C29,'09'!L$7:L$159)+SUMIF('10'!$D$7:$D$159,$C29,'10'!L$7:L$159)+SUMIF('11'!$D$7:$D$159,$C29,'11'!L$7:L$159)+SUMIF('12'!$D$7:$D$159,$C29,'12'!L$7:L$159)+SUMIF('01'!$D$7:$D$159,$C29,'01'!L$7:L$159)</f>
        <v/>
      </c>
      <c r="K30" s="428">
        <f>SUMIF('09'!$D$7:$D$159,$C29,'09'!M$7:M$159)+SUMIF('10'!$D$7:$D$159,$C29,'10'!M$7:M$159)+SUMIF('11'!$D$7:$D$159,$C29,'11'!M$7:M$159)+SUMIF('12'!$D$7:$D$159,$C29,'12'!M$7:M$159)+SUMIF('01'!$D$7:$D$159,$C29,'01'!M$7:M$159)</f>
        <v/>
      </c>
      <c r="L30" s="429">
        <f>SUMIF('09'!$D$7:$D$159,$C29,'09'!N$7:N$159)+SUMIF('10'!$D$7:$D$159,$C29,'10'!N$7:N$159)+SUMIF('11'!$D$7:$D$159,$C29,'11'!N$7:N$159)+SUMIF('12'!$D$7:$D$159,$C29,'12'!N$7:N$159)+SUMIF('01'!$D$7:$D$159,$C29,'01'!N$7:N$159)</f>
        <v/>
      </c>
      <c r="M30" s="427">
        <f>SUMIF('09'!$D$7:$D$159,$C29,'09'!O$7:O$159)+SUMIF('10'!$D$7:$D$159,$C29,'10'!O$7:O$159)+SUMIF('11'!$D$7:$D$159,$C29,'11'!O$7:O$159)+SUMIF('12'!$D$7:$D$159,$C29,'12'!O$7:O$159)+SUMIF('01'!$D$7:$D$159,$C29,'01'!O$7:O$159)</f>
        <v/>
      </c>
      <c r="N30" s="428">
        <f>SUMIF('09'!$D$7:$D$159,$C29,'09'!P$7:P$159)+SUMIF('10'!$D$7:$D$159,$C29,'10'!P$7:P$159)+SUMIF('11'!$D$7:$D$159,$C29,'11'!P$7:P$159)+SUMIF('12'!$D$7:$D$159,$C29,'12'!P$7:P$159)+SUMIF('01'!$D$7:$D$159,$C29,'01'!P$7:P$159)</f>
        <v/>
      </c>
      <c r="O30" s="429">
        <f>SUMIF('09'!$D$7:$D$159,$C29,'09'!Q$7:Q$159)+SUMIF('10'!$D$7:$D$159,$C29,'10'!Q$7:Q$159)+SUMIF('11'!$D$7:$D$159,$C29,'11'!Q$7:Q$159)+SUMIF('12'!$D$7:$D$159,$C29,'12'!Q$7:Q$159)+SUMIF('01'!$D$7:$D$159,$C29,'01'!Q$7:Q$159)</f>
        <v/>
      </c>
      <c r="P30" s="427">
        <f>SUMIF('09'!$D$7:$D$159,$C29,'09'!R$7:R$159)+SUMIF('10'!$D$7:$D$159,$C29,'10'!R$7:R$159)+SUMIF('11'!$D$7:$D$159,$C29,'11'!R$7:R$159)+SUMIF('12'!$D$7:$D$159,$C29,'12'!R$7:R$159)+SUMIF('01'!$D$7:$D$159,$C29,'01'!R$7:R$159)</f>
        <v/>
      </c>
      <c r="Q30" s="428">
        <f>SUMIF('09'!$D$7:$D$159,$C29,'09'!S$7:S$159)+SUMIF('10'!$D$7:$D$159,$C29,'10'!S$7:S$159)+SUMIF('11'!$D$7:$D$159,$C29,'11'!S$7:S$159)+SUMIF('12'!$D$7:$D$159,$C29,'12'!S$7:S$159)+SUMIF('01'!$D$7:$D$159,$C29,'01'!S$7:S$159)</f>
        <v/>
      </c>
      <c r="R30" s="429">
        <f>SUMIF('09'!$D$7:$D$159,$C29,'09'!T$7:T$159)+SUMIF('10'!$D$7:$D$159,$C29,'10'!T$7:T$159)+SUMIF('11'!$D$7:$D$159,$C29,'11'!T$7:T$159)+SUMIF('12'!$D$7:$D$159,$C29,'12'!T$7:T$159)+SUMIF('01'!$D$7:$D$159,$C29,'01'!T$7:T$159)</f>
        <v/>
      </c>
      <c r="S30" s="427">
        <f>SUMIF('09'!$D$7:$D$159,$C29,'09'!U$7:U$159)+SUMIF('10'!$D$7:$D$159,$C29,'10'!U$7:U$159)+SUMIF('11'!$D$7:$D$159,$C29,'11'!U$7:U$159)+SUMIF('12'!$D$7:$D$159,$C29,'12'!U$7:U$159)+SUMIF('01'!$D$7:$D$159,$C29,'01'!U$7:U$159)</f>
        <v/>
      </c>
      <c r="T30" s="428">
        <f>SUMIF('09'!$D$7:$D$159,$C29,'09'!V$7:V$159)+SUMIF('10'!$D$7:$D$159,$C29,'10'!V$7:V$159)+SUMIF('11'!$D$7:$D$159,$C29,'11'!V$7:V$159)+SUMIF('12'!$D$7:$D$159,$C29,'12'!V$7:V$159)+SUMIF('01'!$D$7:$D$159,$C29,'01'!V$7:V$159)</f>
        <v/>
      </c>
      <c r="U30" s="430">
        <f>SUMIF('09'!$D$7:$D$159,$C29,'09'!W$7:W$159)+SUMIF('10'!$D$7:$D$159,$C29,'10'!W$7:W$159)+SUMIF('11'!$D$7:$D$159,$C29,'11'!W$7:W$159)+SUMIF('12'!$D$7:$D$159,$C29,'12'!W$7:W$159)+SUMIF('01'!$D$7:$D$159,$C29,'01'!W$7:W$159)</f>
        <v/>
      </c>
      <c r="V30" s="429">
        <f>SUMIF('09'!$D$7:$D$159,$C29,'09'!X$7:X$159)+SUMIF('10'!$D$7:$D$159,$C29,'10'!X$7:X$159)+SUMIF('11'!$D$7:$D$159,$C29,'11'!X$7:X$159)+SUMIF('12'!$D$7:$D$159,$C29,'12'!X$7:X$159)+SUMIF('01'!$D$7:$D$159,$C29,'01'!X$7:X$159)</f>
        <v/>
      </c>
      <c r="W30" s="429">
        <f>SUMIF('09'!$D$7:$D$159,$C29,'09'!Y$7:Y$159)+SUMIF('10'!$D$7:$D$159,$C29,'10'!Y$7:Y$159)+SUMIF('11'!$D$7:$D$159,$C29,'11'!Y$7:Y$159)+SUMIF('12'!$D$7:$D$159,$C29,'12'!Y$7:Y$159)+SUMIF('01'!$D$7:$D$159,$C29,'01'!Y$7:Y$159)</f>
        <v/>
      </c>
      <c r="X30" s="431">
        <f>SUM(J30:W30)</f>
        <v/>
      </c>
      <c r="Y30" s="413" t="n"/>
      <c r="Z30" s="432" t="n"/>
    </row>
    <row r="31" ht="14.25" customHeight="1" s="296">
      <c r="A31" s="154">
        <f>IF(OR(C31="0",COUNTIF(КлючОсень,C31)&gt;1),0,MATCH(F31,ВидыНагр,0))</f>
        <v/>
      </c>
      <c r="B31" s="154">
        <f>(COUNTA(D31:F32,J31:W31,H31:I32)=0)</f>
        <v/>
      </c>
      <c r="C31" s="155">
        <f>IF(OR(TRIM(D31)="",COUNTIF(ВидыНагр,F31)&lt;&gt;1),"0",CONCATENATE("$",TRIM(D31),"$",TRIM(E31),"$",F31,"$"))</f>
        <v/>
      </c>
      <c r="D31" s="415" t="n"/>
      <c r="E31" s="416" t="n"/>
      <c r="F31" s="417" t="n"/>
      <c r="G31" s="156" t="inlineStr">
        <is>
          <t>план</t>
        </is>
      </c>
      <c r="H31" s="157" t="n"/>
      <c r="I31" s="158" t="n"/>
      <c r="J31" s="418" t="n"/>
      <c r="K31" s="419" t="n"/>
      <c r="L31" s="420" t="n"/>
      <c r="M31" s="418" t="n"/>
      <c r="N31" s="419" t="n"/>
      <c r="O31" s="420" t="n"/>
      <c r="P31" s="418" t="n"/>
      <c r="Q31" s="419" t="n"/>
      <c r="R31" s="420" t="n"/>
      <c r="S31" s="418" t="n"/>
      <c r="T31" s="419" t="n"/>
      <c r="U31" s="421" t="n"/>
      <c r="V31" s="420" t="n"/>
      <c r="W31" s="420" t="n"/>
      <c r="X31" s="422">
        <f>SUM(J31:W31)</f>
        <v/>
      </c>
      <c r="Y31" s="423">
        <f>X32-X31</f>
        <v/>
      </c>
      <c r="Z31" s="209" t="n"/>
    </row>
    <row r="32" ht="14.25" customHeight="1" s="296">
      <c r="A32" s="154">
        <f>-A31</f>
        <v/>
      </c>
      <c r="B32" s="154">
        <f>B31</f>
        <v/>
      </c>
      <c r="C32" s="163" t="n"/>
      <c r="D32" s="424" t="n"/>
      <c r="E32" s="425" t="n"/>
      <c r="F32" s="426" t="n"/>
      <c r="G32" s="164" t="inlineStr">
        <is>
          <t>факт</t>
        </is>
      </c>
      <c r="H32" s="165" t="n"/>
      <c r="I32" s="250" t="n"/>
      <c r="J32" s="427">
        <f>SUMIF('09'!$D$7:$D$159,$C31,'09'!L$7:L$159)+SUMIF('10'!$D$7:$D$159,$C31,'10'!L$7:L$159)+SUMIF('11'!$D$7:$D$159,$C31,'11'!L$7:L$159)+SUMIF('12'!$D$7:$D$159,$C31,'12'!L$7:L$159)+SUMIF('01'!$D$7:$D$159,$C31,'01'!L$7:L$159)</f>
        <v/>
      </c>
      <c r="K32" s="428">
        <f>SUMIF('09'!$D$7:$D$159,$C31,'09'!M$7:M$159)+SUMIF('10'!$D$7:$D$159,$C31,'10'!M$7:M$159)+SUMIF('11'!$D$7:$D$159,$C31,'11'!M$7:M$159)+SUMIF('12'!$D$7:$D$159,$C31,'12'!M$7:M$159)+SUMIF('01'!$D$7:$D$159,$C31,'01'!M$7:M$159)</f>
        <v/>
      </c>
      <c r="L32" s="429">
        <f>SUMIF('09'!$D$7:$D$159,$C31,'09'!N$7:N$159)+SUMIF('10'!$D$7:$D$159,$C31,'10'!N$7:N$159)+SUMIF('11'!$D$7:$D$159,$C31,'11'!N$7:N$159)+SUMIF('12'!$D$7:$D$159,$C31,'12'!N$7:N$159)+SUMIF('01'!$D$7:$D$159,$C31,'01'!N$7:N$159)</f>
        <v/>
      </c>
      <c r="M32" s="427">
        <f>SUMIF('09'!$D$7:$D$159,$C31,'09'!O$7:O$159)+SUMIF('10'!$D$7:$D$159,$C31,'10'!O$7:O$159)+SUMIF('11'!$D$7:$D$159,$C31,'11'!O$7:O$159)+SUMIF('12'!$D$7:$D$159,$C31,'12'!O$7:O$159)+SUMIF('01'!$D$7:$D$159,$C31,'01'!O$7:O$159)</f>
        <v/>
      </c>
      <c r="N32" s="428">
        <f>SUMIF('09'!$D$7:$D$159,$C31,'09'!P$7:P$159)+SUMIF('10'!$D$7:$D$159,$C31,'10'!P$7:P$159)+SUMIF('11'!$D$7:$D$159,$C31,'11'!P$7:P$159)+SUMIF('12'!$D$7:$D$159,$C31,'12'!P$7:P$159)+SUMIF('01'!$D$7:$D$159,$C31,'01'!P$7:P$159)</f>
        <v/>
      </c>
      <c r="O32" s="429">
        <f>SUMIF('09'!$D$7:$D$159,$C31,'09'!Q$7:Q$159)+SUMIF('10'!$D$7:$D$159,$C31,'10'!Q$7:Q$159)+SUMIF('11'!$D$7:$D$159,$C31,'11'!Q$7:Q$159)+SUMIF('12'!$D$7:$D$159,$C31,'12'!Q$7:Q$159)+SUMIF('01'!$D$7:$D$159,$C31,'01'!Q$7:Q$159)</f>
        <v/>
      </c>
      <c r="P32" s="427">
        <f>SUMIF('09'!$D$7:$D$159,$C31,'09'!R$7:R$159)+SUMIF('10'!$D$7:$D$159,$C31,'10'!R$7:R$159)+SUMIF('11'!$D$7:$D$159,$C31,'11'!R$7:R$159)+SUMIF('12'!$D$7:$D$159,$C31,'12'!R$7:R$159)+SUMIF('01'!$D$7:$D$159,$C31,'01'!R$7:R$159)</f>
        <v/>
      </c>
      <c r="Q32" s="428">
        <f>SUMIF('09'!$D$7:$D$159,$C31,'09'!S$7:S$159)+SUMIF('10'!$D$7:$D$159,$C31,'10'!S$7:S$159)+SUMIF('11'!$D$7:$D$159,$C31,'11'!S$7:S$159)+SUMIF('12'!$D$7:$D$159,$C31,'12'!S$7:S$159)+SUMIF('01'!$D$7:$D$159,$C31,'01'!S$7:S$159)</f>
        <v/>
      </c>
      <c r="R32" s="429">
        <f>SUMIF('09'!$D$7:$D$159,$C31,'09'!T$7:T$159)+SUMIF('10'!$D$7:$D$159,$C31,'10'!T$7:T$159)+SUMIF('11'!$D$7:$D$159,$C31,'11'!T$7:T$159)+SUMIF('12'!$D$7:$D$159,$C31,'12'!T$7:T$159)+SUMIF('01'!$D$7:$D$159,$C31,'01'!T$7:T$159)</f>
        <v/>
      </c>
      <c r="S32" s="427">
        <f>SUMIF('09'!$D$7:$D$159,$C31,'09'!U$7:U$159)+SUMIF('10'!$D$7:$D$159,$C31,'10'!U$7:U$159)+SUMIF('11'!$D$7:$D$159,$C31,'11'!U$7:U$159)+SUMIF('12'!$D$7:$D$159,$C31,'12'!U$7:U$159)+SUMIF('01'!$D$7:$D$159,$C31,'01'!U$7:U$159)</f>
        <v/>
      </c>
      <c r="T32" s="428">
        <f>SUMIF('09'!$D$7:$D$159,$C31,'09'!V$7:V$159)+SUMIF('10'!$D$7:$D$159,$C31,'10'!V$7:V$159)+SUMIF('11'!$D$7:$D$159,$C31,'11'!V$7:V$159)+SUMIF('12'!$D$7:$D$159,$C31,'12'!V$7:V$159)+SUMIF('01'!$D$7:$D$159,$C31,'01'!V$7:V$159)</f>
        <v/>
      </c>
      <c r="U32" s="430">
        <f>SUMIF('09'!$D$7:$D$159,$C31,'09'!W$7:W$159)+SUMIF('10'!$D$7:$D$159,$C31,'10'!W$7:W$159)+SUMIF('11'!$D$7:$D$159,$C31,'11'!W$7:W$159)+SUMIF('12'!$D$7:$D$159,$C31,'12'!W$7:W$159)+SUMIF('01'!$D$7:$D$159,$C31,'01'!W$7:W$159)</f>
        <v/>
      </c>
      <c r="V32" s="429">
        <f>SUMIF('09'!$D$7:$D$159,$C31,'09'!X$7:X$159)+SUMIF('10'!$D$7:$D$159,$C31,'10'!X$7:X$159)+SUMIF('11'!$D$7:$D$159,$C31,'11'!X$7:X$159)+SUMIF('12'!$D$7:$D$159,$C31,'12'!X$7:X$159)+SUMIF('01'!$D$7:$D$159,$C31,'01'!X$7:X$159)</f>
        <v/>
      </c>
      <c r="W32" s="429">
        <f>SUMIF('09'!$D$7:$D$159,$C31,'09'!Y$7:Y$159)+SUMIF('10'!$D$7:$D$159,$C31,'10'!Y$7:Y$159)+SUMIF('11'!$D$7:$D$159,$C31,'11'!Y$7:Y$159)+SUMIF('12'!$D$7:$D$159,$C31,'12'!Y$7:Y$159)+SUMIF('01'!$D$7:$D$159,$C31,'01'!Y$7:Y$159)</f>
        <v/>
      </c>
      <c r="X32" s="431">
        <f>SUM(J32:W32)</f>
        <v/>
      </c>
      <c r="Y32" s="413" t="n"/>
      <c r="Z32" s="432" t="n"/>
    </row>
    <row r="33" ht="14.25" customHeight="1" s="296">
      <c r="A33" s="154">
        <f>IF(OR(C33="0",COUNTIF(КлючОсень,C33)&gt;1),0,MATCH(F33,ВидыНагр,0))</f>
        <v/>
      </c>
      <c r="B33" s="154">
        <f>(COUNTA(D33:F34,J33:W33,H33:I34)=0)</f>
        <v/>
      </c>
      <c r="C33" s="155">
        <f>IF(OR(TRIM(D33)="",COUNTIF(ВидыНагр,F33)&lt;&gt;1),"0",CONCATENATE("$",TRIM(D33),"$",TRIM(E33),"$",F33,"$"))</f>
        <v/>
      </c>
      <c r="D33" s="415" t="n"/>
      <c r="E33" s="416" t="n"/>
      <c r="F33" s="417" t="n"/>
      <c r="G33" s="156" t="inlineStr">
        <is>
          <t>план</t>
        </is>
      </c>
      <c r="H33" s="157" t="n"/>
      <c r="I33" s="158" t="n"/>
      <c r="J33" s="418" t="n"/>
      <c r="K33" s="419" t="n"/>
      <c r="L33" s="420" t="n"/>
      <c r="M33" s="418" t="n"/>
      <c r="N33" s="419" t="n"/>
      <c r="O33" s="420" t="n"/>
      <c r="P33" s="418" t="n"/>
      <c r="Q33" s="419" t="n"/>
      <c r="R33" s="420" t="n"/>
      <c r="S33" s="418" t="n"/>
      <c r="T33" s="419" t="n"/>
      <c r="U33" s="421" t="n"/>
      <c r="V33" s="420" t="n"/>
      <c r="W33" s="420" t="n"/>
      <c r="X33" s="422">
        <f>SUM(J33:W33)</f>
        <v/>
      </c>
      <c r="Y33" s="423">
        <f>X34-X33</f>
        <v/>
      </c>
      <c r="Z33" s="209" t="n"/>
    </row>
    <row r="34" ht="14.25" customHeight="1" s="296">
      <c r="A34" s="154">
        <f>-A33</f>
        <v/>
      </c>
      <c r="B34" s="154">
        <f>B33</f>
        <v/>
      </c>
      <c r="C34" s="163" t="n"/>
      <c r="D34" s="424" t="n"/>
      <c r="E34" s="425" t="n"/>
      <c r="F34" s="426" t="n"/>
      <c r="G34" s="164" t="inlineStr">
        <is>
          <t>факт</t>
        </is>
      </c>
      <c r="H34" s="165" t="n"/>
      <c r="I34" s="250" t="n"/>
      <c r="J34" s="427">
        <f>SUMIF('09'!$D$7:$D$159,$C33,'09'!L$7:L$159)+SUMIF('10'!$D$7:$D$159,$C33,'10'!L$7:L$159)+SUMIF('11'!$D$7:$D$159,$C33,'11'!L$7:L$159)+SUMIF('12'!$D$7:$D$159,$C33,'12'!L$7:L$159)+SUMIF('01'!$D$7:$D$159,$C33,'01'!L$7:L$159)</f>
        <v/>
      </c>
      <c r="K34" s="428">
        <f>SUMIF('09'!$D$7:$D$159,$C33,'09'!M$7:M$159)+SUMIF('10'!$D$7:$D$159,$C33,'10'!M$7:M$159)+SUMIF('11'!$D$7:$D$159,$C33,'11'!M$7:M$159)+SUMIF('12'!$D$7:$D$159,$C33,'12'!M$7:M$159)+SUMIF('01'!$D$7:$D$159,$C33,'01'!M$7:M$159)</f>
        <v/>
      </c>
      <c r="L34" s="429">
        <f>SUMIF('09'!$D$7:$D$159,$C33,'09'!N$7:N$159)+SUMIF('10'!$D$7:$D$159,$C33,'10'!N$7:N$159)+SUMIF('11'!$D$7:$D$159,$C33,'11'!N$7:N$159)+SUMIF('12'!$D$7:$D$159,$C33,'12'!N$7:N$159)+SUMIF('01'!$D$7:$D$159,$C33,'01'!N$7:N$159)</f>
        <v/>
      </c>
      <c r="M34" s="427">
        <f>SUMIF('09'!$D$7:$D$159,$C33,'09'!O$7:O$159)+SUMIF('10'!$D$7:$D$159,$C33,'10'!O$7:O$159)+SUMIF('11'!$D$7:$D$159,$C33,'11'!O$7:O$159)+SUMIF('12'!$D$7:$D$159,$C33,'12'!O$7:O$159)+SUMIF('01'!$D$7:$D$159,$C33,'01'!O$7:O$159)</f>
        <v/>
      </c>
      <c r="N34" s="428">
        <f>SUMIF('09'!$D$7:$D$159,$C33,'09'!P$7:P$159)+SUMIF('10'!$D$7:$D$159,$C33,'10'!P$7:P$159)+SUMIF('11'!$D$7:$D$159,$C33,'11'!P$7:P$159)+SUMIF('12'!$D$7:$D$159,$C33,'12'!P$7:P$159)+SUMIF('01'!$D$7:$D$159,$C33,'01'!P$7:P$159)</f>
        <v/>
      </c>
      <c r="O34" s="429">
        <f>SUMIF('09'!$D$7:$D$159,$C33,'09'!Q$7:Q$159)+SUMIF('10'!$D$7:$D$159,$C33,'10'!Q$7:Q$159)+SUMIF('11'!$D$7:$D$159,$C33,'11'!Q$7:Q$159)+SUMIF('12'!$D$7:$D$159,$C33,'12'!Q$7:Q$159)+SUMIF('01'!$D$7:$D$159,$C33,'01'!Q$7:Q$159)</f>
        <v/>
      </c>
      <c r="P34" s="427">
        <f>SUMIF('09'!$D$7:$D$159,$C33,'09'!R$7:R$159)+SUMIF('10'!$D$7:$D$159,$C33,'10'!R$7:R$159)+SUMIF('11'!$D$7:$D$159,$C33,'11'!R$7:R$159)+SUMIF('12'!$D$7:$D$159,$C33,'12'!R$7:R$159)+SUMIF('01'!$D$7:$D$159,$C33,'01'!R$7:R$159)</f>
        <v/>
      </c>
      <c r="Q34" s="428">
        <f>SUMIF('09'!$D$7:$D$159,$C33,'09'!S$7:S$159)+SUMIF('10'!$D$7:$D$159,$C33,'10'!S$7:S$159)+SUMIF('11'!$D$7:$D$159,$C33,'11'!S$7:S$159)+SUMIF('12'!$D$7:$D$159,$C33,'12'!S$7:S$159)+SUMIF('01'!$D$7:$D$159,$C33,'01'!S$7:S$159)</f>
        <v/>
      </c>
      <c r="R34" s="429">
        <f>SUMIF('09'!$D$7:$D$159,$C33,'09'!T$7:T$159)+SUMIF('10'!$D$7:$D$159,$C33,'10'!T$7:T$159)+SUMIF('11'!$D$7:$D$159,$C33,'11'!T$7:T$159)+SUMIF('12'!$D$7:$D$159,$C33,'12'!T$7:T$159)+SUMIF('01'!$D$7:$D$159,$C33,'01'!T$7:T$159)</f>
        <v/>
      </c>
      <c r="S34" s="427">
        <f>SUMIF('09'!$D$7:$D$159,$C33,'09'!U$7:U$159)+SUMIF('10'!$D$7:$D$159,$C33,'10'!U$7:U$159)+SUMIF('11'!$D$7:$D$159,$C33,'11'!U$7:U$159)+SUMIF('12'!$D$7:$D$159,$C33,'12'!U$7:U$159)+SUMIF('01'!$D$7:$D$159,$C33,'01'!U$7:U$159)</f>
        <v/>
      </c>
      <c r="T34" s="428">
        <f>SUMIF('09'!$D$7:$D$159,$C33,'09'!V$7:V$159)+SUMIF('10'!$D$7:$D$159,$C33,'10'!V$7:V$159)+SUMIF('11'!$D$7:$D$159,$C33,'11'!V$7:V$159)+SUMIF('12'!$D$7:$D$159,$C33,'12'!V$7:V$159)+SUMIF('01'!$D$7:$D$159,$C33,'01'!V$7:V$159)</f>
        <v/>
      </c>
      <c r="U34" s="430">
        <f>SUMIF('09'!$D$7:$D$159,$C33,'09'!W$7:W$159)+SUMIF('10'!$D$7:$D$159,$C33,'10'!W$7:W$159)+SUMIF('11'!$D$7:$D$159,$C33,'11'!W$7:W$159)+SUMIF('12'!$D$7:$D$159,$C33,'12'!W$7:W$159)+SUMIF('01'!$D$7:$D$159,$C33,'01'!W$7:W$159)</f>
        <v/>
      </c>
      <c r="V34" s="429">
        <f>SUMIF('09'!$D$7:$D$159,$C33,'09'!X$7:X$159)+SUMIF('10'!$D$7:$D$159,$C33,'10'!X$7:X$159)+SUMIF('11'!$D$7:$D$159,$C33,'11'!X$7:X$159)+SUMIF('12'!$D$7:$D$159,$C33,'12'!X$7:X$159)+SUMIF('01'!$D$7:$D$159,$C33,'01'!X$7:X$159)</f>
        <v/>
      </c>
      <c r="W34" s="429">
        <f>SUMIF('09'!$D$7:$D$159,$C33,'09'!Y$7:Y$159)+SUMIF('10'!$D$7:$D$159,$C33,'10'!Y$7:Y$159)+SUMIF('11'!$D$7:$D$159,$C33,'11'!Y$7:Y$159)+SUMIF('12'!$D$7:$D$159,$C33,'12'!Y$7:Y$159)+SUMIF('01'!$D$7:$D$159,$C33,'01'!Y$7:Y$159)</f>
        <v/>
      </c>
      <c r="X34" s="431">
        <f>SUM(J34:W34)</f>
        <v/>
      </c>
      <c r="Y34" s="413" t="n"/>
      <c r="Z34" s="432" t="n"/>
    </row>
    <row r="35" ht="14.25" customHeight="1" s="296">
      <c r="A35" s="154">
        <f>IF(OR(C35="0",COUNTIF(КлючОсень,C35)&gt;1),0,MATCH(F35,ВидыНагр,0))</f>
        <v/>
      </c>
      <c r="B35" s="154">
        <f>(COUNTA(D35:F36,J35:W35,H35:I36)=0)</f>
        <v/>
      </c>
      <c r="C35" s="155">
        <f>IF(OR(TRIM(D35)="",COUNTIF(ВидыНагр,F35)&lt;&gt;1),"0",CONCATENATE("$",TRIM(D35),"$",TRIM(E35),"$",F35,"$"))</f>
        <v/>
      </c>
      <c r="D35" s="415" t="n"/>
      <c r="E35" s="416" t="n"/>
      <c r="F35" s="417" t="n"/>
      <c r="G35" s="156" t="inlineStr">
        <is>
          <t>план</t>
        </is>
      </c>
      <c r="H35" s="157" t="n"/>
      <c r="I35" s="158" t="n"/>
      <c r="J35" s="418" t="n"/>
      <c r="K35" s="419" t="n"/>
      <c r="L35" s="420" t="n"/>
      <c r="M35" s="418" t="n"/>
      <c r="N35" s="419" t="n"/>
      <c r="O35" s="420" t="n"/>
      <c r="P35" s="418" t="n"/>
      <c r="Q35" s="419" t="n"/>
      <c r="R35" s="420" t="n"/>
      <c r="S35" s="418" t="n"/>
      <c r="T35" s="419" t="n"/>
      <c r="U35" s="421" t="n"/>
      <c r="V35" s="420" t="n"/>
      <c r="W35" s="420" t="n"/>
      <c r="X35" s="422">
        <f>SUM(J35:W35)</f>
        <v/>
      </c>
      <c r="Y35" s="423">
        <f>X36-X35</f>
        <v/>
      </c>
      <c r="Z35" s="209" t="n"/>
    </row>
    <row r="36" ht="14.25" customHeight="1" s="296">
      <c r="A36" s="154">
        <f>-A35</f>
        <v/>
      </c>
      <c r="B36" s="154">
        <f>B35</f>
        <v/>
      </c>
      <c r="C36" s="163" t="n"/>
      <c r="D36" s="424" t="n"/>
      <c r="E36" s="425" t="n"/>
      <c r="F36" s="426" t="n"/>
      <c r="G36" s="164" t="inlineStr">
        <is>
          <t>факт</t>
        </is>
      </c>
      <c r="H36" s="165" t="n"/>
      <c r="I36" s="250" t="n"/>
      <c r="J36" s="427">
        <f>SUMIF('09'!$D$7:$D$159,$C35,'09'!L$7:L$159)+SUMIF('10'!$D$7:$D$159,$C35,'10'!L$7:L$159)+SUMIF('11'!$D$7:$D$159,$C35,'11'!L$7:L$159)+SUMIF('12'!$D$7:$D$159,$C35,'12'!L$7:L$159)+SUMIF('01'!$D$7:$D$159,$C35,'01'!L$7:L$159)</f>
        <v/>
      </c>
      <c r="K36" s="428">
        <f>SUMIF('09'!$D$7:$D$159,$C35,'09'!M$7:M$159)+SUMIF('10'!$D$7:$D$159,$C35,'10'!M$7:M$159)+SUMIF('11'!$D$7:$D$159,$C35,'11'!M$7:M$159)+SUMIF('12'!$D$7:$D$159,$C35,'12'!M$7:M$159)+SUMIF('01'!$D$7:$D$159,$C35,'01'!M$7:M$159)</f>
        <v/>
      </c>
      <c r="L36" s="429">
        <f>SUMIF('09'!$D$7:$D$159,$C35,'09'!N$7:N$159)+SUMIF('10'!$D$7:$D$159,$C35,'10'!N$7:N$159)+SUMIF('11'!$D$7:$D$159,$C35,'11'!N$7:N$159)+SUMIF('12'!$D$7:$D$159,$C35,'12'!N$7:N$159)+SUMIF('01'!$D$7:$D$159,$C35,'01'!N$7:N$159)</f>
        <v/>
      </c>
      <c r="M36" s="427">
        <f>SUMIF('09'!$D$7:$D$159,$C35,'09'!O$7:O$159)+SUMIF('10'!$D$7:$D$159,$C35,'10'!O$7:O$159)+SUMIF('11'!$D$7:$D$159,$C35,'11'!O$7:O$159)+SUMIF('12'!$D$7:$D$159,$C35,'12'!O$7:O$159)+SUMIF('01'!$D$7:$D$159,$C35,'01'!O$7:O$159)</f>
        <v/>
      </c>
      <c r="N36" s="428">
        <f>SUMIF('09'!$D$7:$D$159,$C35,'09'!P$7:P$159)+SUMIF('10'!$D$7:$D$159,$C35,'10'!P$7:P$159)+SUMIF('11'!$D$7:$D$159,$C35,'11'!P$7:P$159)+SUMIF('12'!$D$7:$D$159,$C35,'12'!P$7:P$159)+SUMIF('01'!$D$7:$D$159,$C35,'01'!P$7:P$159)</f>
        <v/>
      </c>
      <c r="O36" s="429">
        <f>SUMIF('09'!$D$7:$D$159,$C35,'09'!Q$7:Q$159)+SUMIF('10'!$D$7:$D$159,$C35,'10'!Q$7:Q$159)+SUMIF('11'!$D$7:$D$159,$C35,'11'!Q$7:Q$159)+SUMIF('12'!$D$7:$D$159,$C35,'12'!Q$7:Q$159)+SUMIF('01'!$D$7:$D$159,$C35,'01'!Q$7:Q$159)</f>
        <v/>
      </c>
      <c r="P36" s="427">
        <f>SUMIF('09'!$D$7:$D$159,$C35,'09'!R$7:R$159)+SUMIF('10'!$D$7:$D$159,$C35,'10'!R$7:R$159)+SUMIF('11'!$D$7:$D$159,$C35,'11'!R$7:R$159)+SUMIF('12'!$D$7:$D$159,$C35,'12'!R$7:R$159)+SUMIF('01'!$D$7:$D$159,$C35,'01'!R$7:R$159)</f>
        <v/>
      </c>
      <c r="Q36" s="428">
        <f>SUMIF('09'!$D$7:$D$159,$C35,'09'!S$7:S$159)+SUMIF('10'!$D$7:$D$159,$C35,'10'!S$7:S$159)+SUMIF('11'!$D$7:$D$159,$C35,'11'!S$7:S$159)+SUMIF('12'!$D$7:$D$159,$C35,'12'!S$7:S$159)+SUMIF('01'!$D$7:$D$159,$C35,'01'!S$7:S$159)</f>
        <v/>
      </c>
      <c r="R36" s="429">
        <f>SUMIF('09'!$D$7:$D$159,$C35,'09'!T$7:T$159)+SUMIF('10'!$D$7:$D$159,$C35,'10'!T$7:T$159)+SUMIF('11'!$D$7:$D$159,$C35,'11'!T$7:T$159)+SUMIF('12'!$D$7:$D$159,$C35,'12'!T$7:T$159)+SUMIF('01'!$D$7:$D$159,$C35,'01'!T$7:T$159)</f>
        <v/>
      </c>
      <c r="S36" s="427">
        <f>SUMIF('09'!$D$7:$D$159,$C35,'09'!U$7:U$159)+SUMIF('10'!$D$7:$D$159,$C35,'10'!U$7:U$159)+SUMIF('11'!$D$7:$D$159,$C35,'11'!U$7:U$159)+SUMIF('12'!$D$7:$D$159,$C35,'12'!U$7:U$159)+SUMIF('01'!$D$7:$D$159,$C35,'01'!U$7:U$159)</f>
        <v/>
      </c>
      <c r="T36" s="428">
        <f>SUMIF('09'!$D$7:$D$159,$C35,'09'!V$7:V$159)+SUMIF('10'!$D$7:$D$159,$C35,'10'!V$7:V$159)+SUMIF('11'!$D$7:$D$159,$C35,'11'!V$7:V$159)+SUMIF('12'!$D$7:$D$159,$C35,'12'!V$7:V$159)+SUMIF('01'!$D$7:$D$159,$C35,'01'!V$7:V$159)</f>
        <v/>
      </c>
      <c r="U36" s="430">
        <f>SUMIF('09'!$D$7:$D$159,$C35,'09'!W$7:W$159)+SUMIF('10'!$D$7:$D$159,$C35,'10'!W$7:W$159)+SUMIF('11'!$D$7:$D$159,$C35,'11'!W$7:W$159)+SUMIF('12'!$D$7:$D$159,$C35,'12'!W$7:W$159)+SUMIF('01'!$D$7:$D$159,$C35,'01'!W$7:W$159)</f>
        <v/>
      </c>
      <c r="V36" s="429">
        <f>SUMIF('09'!$D$7:$D$159,$C35,'09'!X$7:X$159)+SUMIF('10'!$D$7:$D$159,$C35,'10'!X$7:X$159)+SUMIF('11'!$D$7:$D$159,$C35,'11'!X$7:X$159)+SUMIF('12'!$D$7:$D$159,$C35,'12'!X$7:X$159)+SUMIF('01'!$D$7:$D$159,$C35,'01'!X$7:X$159)</f>
        <v/>
      </c>
      <c r="W36" s="429">
        <f>SUMIF('09'!$D$7:$D$159,$C35,'09'!Y$7:Y$159)+SUMIF('10'!$D$7:$D$159,$C35,'10'!Y$7:Y$159)+SUMIF('11'!$D$7:$D$159,$C35,'11'!Y$7:Y$159)+SUMIF('12'!$D$7:$D$159,$C35,'12'!Y$7:Y$159)+SUMIF('01'!$D$7:$D$159,$C35,'01'!Y$7:Y$159)</f>
        <v/>
      </c>
      <c r="X36" s="431">
        <f>SUM(J36:W36)</f>
        <v/>
      </c>
      <c r="Y36" s="413" t="n"/>
      <c r="Z36" s="432" t="n"/>
    </row>
    <row r="37" ht="14.25" customHeight="1" s="296">
      <c r="A37" s="154">
        <f>IF(OR(C37="0",COUNTIF(КлючОсень,C37)&gt;1),0,MATCH(F37,ВидыНагр,0))</f>
        <v/>
      </c>
      <c r="B37" s="154">
        <f>(COUNTA(D37:F38,J37:W37,H37:I38)=0)</f>
        <v/>
      </c>
      <c r="C37" s="155">
        <f>IF(OR(TRIM(D37)="",COUNTIF(ВидыНагр,F37)&lt;&gt;1),"0",CONCATENATE("$",TRIM(D37),"$",TRIM(E37),"$",F37,"$"))</f>
        <v/>
      </c>
      <c r="D37" s="415" t="n"/>
      <c r="E37" s="416" t="n"/>
      <c r="F37" s="417" t="n"/>
      <c r="G37" s="156" t="inlineStr">
        <is>
          <t>план</t>
        </is>
      </c>
      <c r="H37" s="157" t="n"/>
      <c r="I37" s="158" t="n"/>
      <c r="J37" s="418" t="n"/>
      <c r="K37" s="419" t="n"/>
      <c r="L37" s="420" t="n"/>
      <c r="M37" s="418" t="n"/>
      <c r="N37" s="419" t="n"/>
      <c r="O37" s="420" t="n"/>
      <c r="P37" s="418" t="n"/>
      <c r="Q37" s="419" t="n"/>
      <c r="R37" s="420" t="n"/>
      <c r="S37" s="418" t="n"/>
      <c r="T37" s="419" t="n"/>
      <c r="U37" s="421" t="n"/>
      <c r="V37" s="420" t="n"/>
      <c r="W37" s="420" t="n"/>
      <c r="X37" s="422">
        <f>SUM(J37:W37)</f>
        <v/>
      </c>
      <c r="Y37" s="423">
        <f>X38-X37</f>
        <v/>
      </c>
      <c r="Z37" s="209" t="n"/>
    </row>
    <row r="38" ht="14.25" customHeight="1" s="296">
      <c r="A38" s="154">
        <f>-A37</f>
        <v/>
      </c>
      <c r="B38" s="154">
        <f>B37</f>
        <v/>
      </c>
      <c r="C38" s="163" t="n"/>
      <c r="D38" s="424" t="n"/>
      <c r="E38" s="425" t="n"/>
      <c r="F38" s="426" t="n"/>
      <c r="G38" s="164" t="inlineStr">
        <is>
          <t>факт</t>
        </is>
      </c>
      <c r="H38" s="165" t="n"/>
      <c r="I38" s="250" t="n"/>
      <c r="J38" s="427">
        <f>SUMIF('09'!$D$7:$D$159,$C37,'09'!L$7:L$159)+SUMIF('10'!$D$7:$D$159,$C37,'10'!L$7:L$159)+SUMIF('11'!$D$7:$D$159,$C37,'11'!L$7:L$159)+SUMIF('12'!$D$7:$D$159,$C37,'12'!L$7:L$159)+SUMIF('01'!$D$7:$D$159,$C37,'01'!L$7:L$159)</f>
        <v/>
      </c>
      <c r="K38" s="428">
        <f>SUMIF('09'!$D$7:$D$159,$C37,'09'!M$7:M$159)+SUMIF('10'!$D$7:$D$159,$C37,'10'!M$7:M$159)+SUMIF('11'!$D$7:$D$159,$C37,'11'!M$7:M$159)+SUMIF('12'!$D$7:$D$159,$C37,'12'!M$7:M$159)+SUMIF('01'!$D$7:$D$159,$C37,'01'!M$7:M$159)</f>
        <v/>
      </c>
      <c r="L38" s="429">
        <f>SUMIF('09'!$D$7:$D$159,$C37,'09'!N$7:N$159)+SUMIF('10'!$D$7:$D$159,$C37,'10'!N$7:N$159)+SUMIF('11'!$D$7:$D$159,$C37,'11'!N$7:N$159)+SUMIF('12'!$D$7:$D$159,$C37,'12'!N$7:N$159)+SUMIF('01'!$D$7:$D$159,$C37,'01'!N$7:N$159)</f>
        <v/>
      </c>
      <c r="M38" s="427">
        <f>SUMIF('09'!$D$7:$D$159,$C37,'09'!O$7:O$159)+SUMIF('10'!$D$7:$D$159,$C37,'10'!O$7:O$159)+SUMIF('11'!$D$7:$D$159,$C37,'11'!O$7:O$159)+SUMIF('12'!$D$7:$D$159,$C37,'12'!O$7:O$159)+SUMIF('01'!$D$7:$D$159,$C37,'01'!O$7:O$159)</f>
        <v/>
      </c>
      <c r="N38" s="428">
        <f>SUMIF('09'!$D$7:$D$159,$C37,'09'!P$7:P$159)+SUMIF('10'!$D$7:$D$159,$C37,'10'!P$7:P$159)+SUMIF('11'!$D$7:$D$159,$C37,'11'!P$7:P$159)+SUMIF('12'!$D$7:$D$159,$C37,'12'!P$7:P$159)+SUMIF('01'!$D$7:$D$159,$C37,'01'!P$7:P$159)</f>
        <v/>
      </c>
      <c r="O38" s="429">
        <f>SUMIF('09'!$D$7:$D$159,$C37,'09'!Q$7:Q$159)+SUMIF('10'!$D$7:$D$159,$C37,'10'!Q$7:Q$159)+SUMIF('11'!$D$7:$D$159,$C37,'11'!Q$7:Q$159)+SUMIF('12'!$D$7:$D$159,$C37,'12'!Q$7:Q$159)+SUMIF('01'!$D$7:$D$159,$C37,'01'!Q$7:Q$159)</f>
        <v/>
      </c>
      <c r="P38" s="427">
        <f>SUMIF('09'!$D$7:$D$159,$C37,'09'!R$7:R$159)+SUMIF('10'!$D$7:$D$159,$C37,'10'!R$7:R$159)+SUMIF('11'!$D$7:$D$159,$C37,'11'!R$7:R$159)+SUMIF('12'!$D$7:$D$159,$C37,'12'!R$7:R$159)+SUMIF('01'!$D$7:$D$159,$C37,'01'!R$7:R$159)</f>
        <v/>
      </c>
      <c r="Q38" s="428">
        <f>SUMIF('09'!$D$7:$D$159,$C37,'09'!S$7:S$159)+SUMIF('10'!$D$7:$D$159,$C37,'10'!S$7:S$159)+SUMIF('11'!$D$7:$D$159,$C37,'11'!S$7:S$159)+SUMIF('12'!$D$7:$D$159,$C37,'12'!S$7:S$159)+SUMIF('01'!$D$7:$D$159,$C37,'01'!S$7:S$159)</f>
        <v/>
      </c>
      <c r="R38" s="429">
        <f>SUMIF('09'!$D$7:$D$159,$C37,'09'!T$7:T$159)+SUMIF('10'!$D$7:$D$159,$C37,'10'!T$7:T$159)+SUMIF('11'!$D$7:$D$159,$C37,'11'!T$7:T$159)+SUMIF('12'!$D$7:$D$159,$C37,'12'!T$7:T$159)+SUMIF('01'!$D$7:$D$159,$C37,'01'!T$7:T$159)</f>
        <v/>
      </c>
      <c r="S38" s="427">
        <f>SUMIF('09'!$D$7:$D$159,$C37,'09'!U$7:U$159)+SUMIF('10'!$D$7:$D$159,$C37,'10'!U$7:U$159)+SUMIF('11'!$D$7:$D$159,$C37,'11'!U$7:U$159)+SUMIF('12'!$D$7:$D$159,$C37,'12'!U$7:U$159)+SUMIF('01'!$D$7:$D$159,$C37,'01'!U$7:U$159)</f>
        <v/>
      </c>
      <c r="T38" s="428">
        <f>SUMIF('09'!$D$7:$D$159,$C37,'09'!V$7:V$159)+SUMIF('10'!$D$7:$D$159,$C37,'10'!V$7:V$159)+SUMIF('11'!$D$7:$D$159,$C37,'11'!V$7:V$159)+SUMIF('12'!$D$7:$D$159,$C37,'12'!V$7:V$159)+SUMIF('01'!$D$7:$D$159,$C37,'01'!V$7:V$159)</f>
        <v/>
      </c>
      <c r="U38" s="430">
        <f>SUMIF('09'!$D$7:$D$159,$C37,'09'!W$7:W$159)+SUMIF('10'!$D$7:$D$159,$C37,'10'!W$7:W$159)+SUMIF('11'!$D$7:$D$159,$C37,'11'!W$7:W$159)+SUMIF('12'!$D$7:$D$159,$C37,'12'!W$7:W$159)+SUMIF('01'!$D$7:$D$159,$C37,'01'!W$7:W$159)</f>
        <v/>
      </c>
      <c r="V38" s="429">
        <f>SUMIF('09'!$D$7:$D$159,$C37,'09'!X$7:X$159)+SUMIF('10'!$D$7:$D$159,$C37,'10'!X$7:X$159)+SUMIF('11'!$D$7:$D$159,$C37,'11'!X$7:X$159)+SUMIF('12'!$D$7:$D$159,$C37,'12'!X$7:X$159)+SUMIF('01'!$D$7:$D$159,$C37,'01'!X$7:X$159)</f>
        <v/>
      </c>
      <c r="W38" s="429">
        <f>SUMIF('09'!$D$7:$D$159,$C37,'09'!Y$7:Y$159)+SUMIF('10'!$D$7:$D$159,$C37,'10'!Y$7:Y$159)+SUMIF('11'!$D$7:$D$159,$C37,'11'!Y$7:Y$159)+SUMIF('12'!$D$7:$D$159,$C37,'12'!Y$7:Y$159)+SUMIF('01'!$D$7:$D$159,$C37,'01'!Y$7:Y$159)</f>
        <v/>
      </c>
      <c r="X38" s="431">
        <f>SUM(J38:W38)</f>
        <v/>
      </c>
      <c r="Y38" s="413" t="n"/>
      <c r="Z38" s="432" t="n"/>
    </row>
    <row r="39" ht="14.25" customHeight="1" s="296">
      <c r="A39" s="154">
        <f>IF(OR(C39="0",COUNTIF(КлючОсень,C39)&gt;1),0,MATCH(F39,ВидыНагр,0))</f>
        <v/>
      </c>
      <c r="B39" s="154">
        <f>(COUNTA(D39:F40,J39:W39,H39:I40)=0)</f>
        <v/>
      </c>
      <c r="C39" s="155">
        <f>IF(OR(TRIM(D39)="",COUNTIF(ВидыНагр,F39)&lt;&gt;1),"0",CONCATENATE("$",TRIM(D39),"$",TRIM(E39),"$",F39,"$"))</f>
        <v/>
      </c>
      <c r="D39" s="415" t="n"/>
      <c r="E39" s="416" t="n"/>
      <c r="F39" s="417" t="n"/>
      <c r="G39" s="156" t="inlineStr">
        <is>
          <t>план</t>
        </is>
      </c>
      <c r="H39" s="157" t="n"/>
      <c r="I39" s="158" t="n"/>
      <c r="J39" s="418" t="n"/>
      <c r="K39" s="419" t="n"/>
      <c r="L39" s="420" t="n"/>
      <c r="M39" s="418" t="n"/>
      <c r="N39" s="419" t="n"/>
      <c r="O39" s="420" t="n"/>
      <c r="P39" s="418" t="n"/>
      <c r="Q39" s="419" t="n"/>
      <c r="R39" s="420" t="n"/>
      <c r="S39" s="418" t="n"/>
      <c r="T39" s="419" t="n"/>
      <c r="U39" s="421" t="n"/>
      <c r="V39" s="420" t="n"/>
      <c r="W39" s="420" t="n"/>
      <c r="X39" s="422">
        <f>SUM(J39:W39)</f>
        <v/>
      </c>
      <c r="Y39" s="423">
        <f>X40-X39</f>
        <v/>
      </c>
      <c r="Z39" s="209" t="n"/>
    </row>
    <row r="40" ht="14.25" customHeight="1" s="296">
      <c r="A40" s="154">
        <f>-A39</f>
        <v/>
      </c>
      <c r="B40" s="154">
        <f>B39</f>
        <v/>
      </c>
      <c r="C40" s="163" t="n"/>
      <c r="D40" s="424" t="n"/>
      <c r="E40" s="425" t="n"/>
      <c r="F40" s="426" t="n"/>
      <c r="G40" s="164" t="inlineStr">
        <is>
          <t>факт</t>
        </is>
      </c>
      <c r="H40" s="165" t="n"/>
      <c r="I40" s="250" t="n"/>
      <c r="J40" s="427">
        <f>SUMIF('09'!$D$7:$D$159,$C39,'09'!L$7:L$159)+SUMIF('10'!$D$7:$D$159,$C39,'10'!L$7:L$159)+SUMIF('11'!$D$7:$D$159,$C39,'11'!L$7:L$159)+SUMIF('12'!$D$7:$D$159,$C39,'12'!L$7:L$159)+SUMIF('01'!$D$7:$D$159,$C39,'01'!L$7:L$159)</f>
        <v/>
      </c>
      <c r="K40" s="428">
        <f>SUMIF('09'!$D$7:$D$159,$C39,'09'!M$7:M$159)+SUMIF('10'!$D$7:$D$159,$C39,'10'!M$7:M$159)+SUMIF('11'!$D$7:$D$159,$C39,'11'!M$7:M$159)+SUMIF('12'!$D$7:$D$159,$C39,'12'!M$7:M$159)+SUMIF('01'!$D$7:$D$159,$C39,'01'!M$7:M$159)</f>
        <v/>
      </c>
      <c r="L40" s="429">
        <f>SUMIF('09'!$D$7:$D$159,$C39,'09'!N$7:N$159)+SUMIF('10'!$D$7:$D$159,$C39,'10'!N$7:N$159)+SUMIF('11'!$D$7:$D$159,$C39,'11'!N$7:N$159)+SUMIF('12'!$D$7:$D$159,$C39,'12'!N$7:N$159)+SUMIF('01'!$D$7:$D$159,$C39,'01'!N$7:N$159)</f>
        <v/>
      </c>
      <c r="M40" s="427">
        <f>SUMIF('09'!$D$7:$D$159,$C39,'09'!O$7:O$159)+SUMIF('10'!$D$7:$D$159,$C39,'10'!O$7:O$159)+SUMIF('11'!$D$7:$D$159,$C39,'11'!O$7:O$159)+SUMIF('12'!$D$7:$D$159,$C39,'12'!O$7:O$159)+SUMIF('01'!$D$7:$D$159,$C39,'01'!O$7:O$159)</f>
        <v/>
      </c>
      <c r="N40" s="428">
        <f>SUMIF('09'!$D$7:$D$159,$C39,'09'!P$7:P$159)+SUMIF('10'!$D$7:$D$159,$C39,'10'!P$7:P$159)+SUMIF('11'!$D$7:$D$159,$C39,'11'!P$7:P$159)+SUMIF('12'!$D$7:$D$159,$C39,'12'!P$7:P$159)+SUMIF('01'!$D$7:$D$159,$C39,'01'!P$7:P$159)</f>
        <v/>
      </c>
      <c r="O40" s="429">
        <f>SUMIF('09'!$D$7:$D$159,$C39,'09'!Q$7:Q$159)+SUMIF('10'!$D$7:$D$159,$C39,'10'!Q$7:Q$159)+SUMIF('11'!$D$7:$D$159,$C39,'11'!Q$7:Q$159)+SUMIF('12'!$D$7:$D$159,$C39,'12'!Q$7:Q$159)+SUMIF('01'!$D$7:$D$159,$C39,'01'!Q$7:Q$159)</f>
        <v/>
      </c>
      <c r="P40" s="427">
        <f>SUMIF('09'!$D$7:$D$159,$C39,'09'!R$7:R$159)+SUMIF('10'!$D$7:$D$159,$C39,'10'!R$7:R$159)+SUMIF('11'!$D$7:$D$159,$C39,'11'!R$7:R$159)+SUMIF('12'!$D$7:$D$159,$C39,'12'!R$7:R$159)+SUMIF('01'!$D$7:$D$159,$C39,'01'!R$7:R$159)</f>
        <v/>
      </c>
      <c r="Q40" s="428">
        <f>SUMIF('09'!$D$7:$D$159,$C39,'09'!S$7:S$159)+SUMIF('10'!$D$7:$D$159,$C39,'10'!S$7:S$159)+SUMIF('11'!$D$7:$D$159,$C39,'11'!S$7:S$159)+SUMIF('12'!$D$7:$D$159,$C39,'12'!S$7:S$159)+SUMIF('01'!$D$7:$D$159,$C39,'01'!S$7:S$159)</f>
        <v/>
      </c>
      <c r="R40" s="429">
        <f>SUMIF('09'!$D$7:$D$159,$C39,'09'!T$7:T$159)+SUMIF('10'!$D$7:$D$159,$C39,'10'!T$7:T$159)+SUMIF('11'!$D$7:$D$159,$C39,'11'!T$7:T$159)+SUMIF('12'!$D$7:$D$159,$C39,'12'!T$7:T$159)+SUMIF('01'!$D$7:$D$159,$C39,'01'!T$7:T$159)</f>
        <v/>
      </c>
      <c r="S40" s="427">
        <f>SUMIF('09'!$D$7:$D$159,$C39,'09'!U$7:U$159)+SUMIF('10'!$D$7:$D$159,$C39,'10'!U$7:U$159)+SUMIF('11'!$D$7:$D$159,$C39,'11'!U$7:U$159)+SUMIF('12'!$D$7:$D$159,$C39,'12'!U$7:U$159)+SUMIF('01'!$D$7:$D$159,$C39,'01'!U$7:U$159)</f>
        <v/>
      </c>
      <c r="T40" s="428">
        <f>SUMIF('09'!$D$7:$D$159,$C39,'09'!V$7:V$159)+SUMIF('10'!$D$7:$D$159,$C39,'10'!V$7:V$159)+SUMIF('11'!$D$7:$D$159,$C39,'11'!V$7:V$159)+SUMIF('12'!$D$7:$D$159,$C39,'12'!V$7:V$159)+SUMIF('01'!$D$7:$D$159,$C39,'01'!V$7:V$159)</f>
        <v/>
      </c>
      <c r="U40" s="430">
        <f>SUMIF('09'!$D$7:$D$159,$C39,'09'!W$7:W$159)+SUMIF('10'!$D$7:$D$159,$C39,'10'!W$7:W$159)+SUMIF('11'!$D$7:$D$159,$C39,'11'!W$7:W$159)+SUMIF('12'!$D$7:$D$159,$C39,'12'!W$7:W$159)+SUMIF('01'!$D$7:$D$159,$C39,'01'!W$7:W$159)</f>
        <v/>
      </c>
      <c r="V40" s="429">
        <f>SUMIF('09'!$D$7:$D$159,$C39,'09'!X$7:X$159)+SUMIF('10'!$D$7:$D$159,$C39,'10'!X$7:X$159)+SUMIF('11'!$D$7:$D$159,$C39,'11'!X$7:X$159)+SUMIF('12'!$D$7:$D$159,$C39,'12'!X$7:X$159)+SUMIF('01'!$D$7:$D$159,$C39,'01'!X$7:X$159)</f>
        <v/>
      </c>
      <c r="W40" s="429">
        <f>SUMIF('09'!$D$7:$D$159,$C39,'09'!Y$7:Y$159)+SUMIF('10'!$D$7:$D$159,$C39,'10'!Y$7:Y$159)+SUMIF('11'!$D$7:$D$159,$C39,'11'!Y$7:Y$159)+SUMIF('12'!$D$7:$D$159,$C39,'12'!Y$7:Y$159)+SUMIF('01'!$D$7:$D$159,$C39,'01'!Y$7:Y$159)</f>
        <v/>
      </c>
      <c r="X40" s="431">
        <f>SUM(J40:W40)</f>
        <v/>
      </c>
      <c r="Y40" s="413" t="n"/>
      <c r="Z40" s="432" t="n"/>
    </row>
    <row r="41" ht="14.25" customHeight="1" s="296">
      <c r="A41" s="154">
        <f>IF(OR(C41="0",COUNTIF(КлючОсень,C41)&gt;1),0,MATCH(F41,ВидыНагр,0))</f>
        <v/>
      </c>
      <c r="B41" s="154">
        <f>(COUNTA(D41:F42,J41:W41,H41:I42)=0)</f>
        <v/>
      </c>
      <c r="C41" s="155">
        <f>IF(OR(TRIM(D41)="",COUNTIF(ВидыНагр,F41)&lt;&gt;1),"0",CONCATENATE("$",TRIM(D41),"$",TRIM(E41),"$",F41,"$"))</f>
        <v/>
      </c>
      <c r="D41" s="415" t="n"/>
      <c r="E41" s="416" t="n"/>
      <c r="F41" s="417" t="n"/>
      <c r="G41" s="156" t="inlineStr">
        <is>
          <t>план</t>
        </is>
      </c>
      <c r="H41" s="157" t="n"/>
      <c r="I41" s="158" t="n"/>
      <c r="J41" s="418" t="n"/>
      <c r="K41" s="419" t="n"/>
      <c r="L41" s="420" t="n"/>
      <c r="M41" s="418" t="n"/>
      <c r="N41" s="419" t="n"/>
      <c r="O41" s="420" t="n"/>
      <c r="P41" s="418" t="n"/>
      <c r="Q41" s="419" t="n"/>
      <c r="R41" s="420" t="n"/>
      <c r="S41" s="418" t="n"/>
      <c r="T41" s="419" t="n"/>
      <c r="U41" s="421" t="n"/>
      <c r="V41" s="420" t="n"/>
      <c r="W41" s="420" t="n"/>
      <c r="X41" s="422">
        <f>SUM(J41:W41)</f>
        <v/>
      </c>
      <c r="Y41" s="423">
        <f>X42-X41</f>
        <v/>
      </c>
      <c r="Z41" s="209" t="n"/>
    </row>
    <row r="42" ht="14.25" customHeight="1" s="296">
      <c r="A42" s="154">
        <f>-A41</f>
        <v/>
      </c>
      <c r="B42" s="154">
        <f>B41</f>
        <v/>
      </c>
      <c r="C42" s="163" t="n"/>
      <c r="D42" s="424" t="n"/>
      <c r="E42" s="425" t="n"/>
      <c r="F42" s="426" t="n"/>
      <c r="G42" s="164" t="inlineStr">
        <is>
          <t>факт</t>
        </is>
      </c>
      <c r="H42" s="165" t="n"/>
      <c r="I42" s="250" t="n"/>
      <c r="J42" s="427">
        <f>SUMIF('09'!$D$7:$D$159,$C41,'09'!L$7:L$159)+SUMIF('10'!$D$7:$D$159,$C41,'10'!L$7:L$159)+SUMIF('11'!$D$7:$D$159,$C41,'11'!L$7:L$159)+SUMIF('12'!$D$7:$D$159,$C41,'12'!L$7:L$159)+SUMIF('01'!$D$7:$D$159,$C41,'01'!L$7:L$159)</f>
        <v/>
      </c>
      <c r="K42" s="428">
        <f>SUMIF('09'!$D$7:$D$159,$C41,'09'!M$7:M$159)+SUMIF('10'!$D$7:$D$159,$C41,'10'!M$7:M$159)+SUMIF('11'!$D$7:$D$159,$C41,'11'!M$7:M$159)+SUMIF('12'!$D$7:$D$159,$C41,'12'!M$7:M$159)+SUMIF('01'!$D$7:$D$159,$C41,'01'!M$7:M$159)</f>
        <v/>
      </c>
      <c r="L42" s="429">
        <f>SUMIF('09'!$D$7:$D$159,$C41,'09'!N$7:N$159)+SUMIF('10'!$D$7:$D$159,$C41,'10'!N$7:N$159)+SUMIF('11'!$D$7:$D$159,$C41,'11'!N$7:N$159)+SUMIF('12'!$D$7:$D$159,$C41,'12'!N$7:N$159)+SUMIF('01'!$D$7:$D$159,$C41,'01'!N$7:N$159)</f>
        <v/>
      </c>
      <c r="M42" s="427">
        <f>SUMIF('09'!$D$7:$D$159,$C41,'09'!O$7:O$159)+SUMIF('10'!$D$7:$D$159,$C41,'10'!O$7:O$159)+SUMIF('11'!$D$7:$D$159,$C41,'11'!O$7:O$159)+SUMIF('12'!$D$7:$D$159,$C41,'12'!O$7:O$159)+SUMIF('01'!$D$7:$D$159,$C41,'01'!O$7:O$159)</f>
        <v/>
      </c>
      <c r="N42" s="428">
        <f>SUMIF('09'!$D$7:$D$159,$C41,'09'!P$7:P$159)+SUMIF('10'!$D$7:$D$159,$C41,'10'!P$7:P$159)+SUMIF('11'!$D$7:$D$159,$C41,'11'!P$7:P$159)+SUMIF('12'!$D$7:$D$159,$C41,'12'!P$7:P$159)+SUMIF('01'!$D$7:$D$159,$C41,'01'!P$7:P$159)</f>
        <v/>
      </c>
      <c r="O42" s="429">
        <f>SUMIF('09'!$D$7:$D$159,$C41,'09'!Q$7:Q$159)+SUMIF('10'!$D$7:$D$159,$C41,'10'!Q$7:Q$159)+SUMIF('11'!$D$7:$D$159,$C41,'11'!Q$7:Q$159)+SUMIF('12'!$D$7:$D$159,$C41,'12'!Q$7:Q$159)+SUMIF('01'!$D$7:$D$159,$C41,'01'!Q$7:Q$159)</f>
        <v/>
      </c>
      <c r="P42" s="427">
        <f>SUMIF('09'!$D$7:$D$159,$C41,'09'!R$7:R$159)+SUMIF('10'!$D$7:$D$159,$C41,'10'!R$7:R$159)+SUMIF('11'!$D$7:$D$159,$C41,'11'!R$7:R$159)+SUMIF('12'!$D$7:$D$159,$C41,'12'!R$7:R$159)+SUMIF('01'!$D$7:$D$159,$C41,'01'!R$7:R$159)</f>
        <v/>
      </c>
      <c r="Q42" s="428">
        <f>SUMIF('09'!$D$7:$D$159,$C41,'09'!S$7:S$159)+SUMIF('10'!$D$7:$D$159,$C41,'10'!S$7:S$159)+SUMIF('11'!$D$7:$D$159,$C41,'11'!S$7:S$159)+SUMIF('12'!$D$7:$D$159,$C41,'12'!S$7:S$159)+SUMIF('01'!$D$7:$D$159,$C41,'01'!S$7:S$159)</f>
        <v/>
      </c>
      <c r="R42" s="429">
        <f>SUMIF('09'!$D$7:$D$159,$C41,'09'!T$7:T$159)+SUMIF('10'!$D$7:$D$159,$C41,'10'!T$7:T$159)+SUMIF('11'!$D$7:$D$159,$C41,'11'!T$7:T$159)+SUMIF('12'!$D$7:$D$159,$C41,'12'!T$7:T$159)+SUMIF('01'!$D$7:$D$159,$C41,'01'!T$7:T$159)</f>
        <v/>
      </c>
      <c r="S42" s="427">
        <f>SUMIF('09'!$D$7:$D$159,$C41,'09'!U$7:U$159)+SUMIF('10'!$D$7:$D$159,$C41,'10'!U$7:U$159)+SUMIF('11'!$D$7:$D$159,$C41,'11'!U$7:U$159)+SUMIF('12'!$D$7:$D$159,$C41,'12'!U$7:U$159)+SUMIF('01'!$D$7:$D$159,$C41,'01'!U$7:U$159)</f>
        <v/>
      </c>
      <c r="T42" s="428">
        <f>SUMIF('09'!$D$7:$D$159,$C41,'09'!V$7:V$159)+SUMIF('10'!$D$7:$D$159,$C41,'10'!V$7:V$159)+SUMIF('11'!$D$7:$D$159,$C41,'11'!V$7:V$159)+SUMIF('12'!$D$7:$D$159,$C41,'12'!V$7:V$159)+SUMIF('01'!$D$7:$D$159,$C41,'01'!V$7:V$159)</f>
        <v/>
      </c>
      <c r="U42" s="430">
        <f>SUMIF('09'!$D$7:$D$159,$C41,'09'!W$7:W$159)+SUMIF('10'!$D$7:$D$159,$C41,'10'!W$7:W$159)+SUMIF('11'!$D$7:$D$159,$C41,'11'!W$7:W$159)+SUMIF('12'!$D$7:$D$159,$C41,'12'!W$7:W$159)+SUMIF('01'!$D$7:$D$159,$C41,'01'!W$7:W$159)</f>
        <v/>
      </c>
      <c r="V42" s="429">
        <f>SUMIF('09'!$D$7:$D$159,$C41,'09'!X$7:X$159)+SUMIF('10'!$D$7:$D$159,$C41,'10'!X$7:X$159)+SUMIF('11'!$D$7:$D$159,$C41,'11'!X$7:X$159)+SUMIF('12'!$D$7:$D$159,$C41,'12'!X$7:X$159)+SUMIF('01'!$D$7:$D$159,$C41,'01'!X$7:X$159)</f>
        <v/>
      </c>
      <c r="W42" s="429">
        <f>SUMIF('09'!$D$7:$D$159,$C41,'09'!Y$7:Y$159)+SUMIF('10'!$D$7:$D$159,$C41,'10'!Y$7:Y$159)+SUMIF('11'!$D$7:$D$159,$C41,'11'!Y$7:Y$159)+SUMIF('12'!$D$7:$D$159,$C41,'12'!Y$7:Y$159)+SUMIF('01'!$D$7:$D$159,$C41,'01'!Y$7:Y$159)</f>
        <v/>
      </c>
      <c r="X42" s="431">
        <f>SUM(J42:W42)</f>
        <v/>
      </c>
      <c r="Y42" s="413" t="n"/>
      <c r="Z42" s="432" t="n"/>
    </row>
    <row r="43" ht="14.25" customHeight="1" s="296">
      <c r="A43" s="154">
        <f>IF(OR(C43="0",COUNTIF(КлючОсень,C43)&gt;1),0,MATCH(F43,ВидыНагр,0))</f>
        <v/>
      </c>
      <c r="B43" s="154">
        <f>(COUNTA(D43:F44,J43:W43,H43:I44)=0)</f>
        <v/>
      </c>
      <c r="C43" s="155">
        <f>IF(OR(TRIM(D43)="",COUNTIF(ВидыНагр,F43)&lt;&gt;1),"0",CONCATENATE("$",TRIM(D43),"$",TRIM(E43),"$",F43,"$"))</f>
        <v/>
      </c>
      <c r="D43" s="415" t="n"/>
      <c r="E43" s="416" t="n"/>
      <c r="F43" s="417" t="n"/>
      <c r="G43" s="156" t="inlineStr">
        <is>
          <t>план</t>
        </is>
      </c>
      <c r="H43" s="157" t="n"/>
      <c r="I43" s="158" t="n"/>
      <c r="J43" s="418" t="n"/>
      <c r="K43" s="419" t="n"/>
      <c r="L43" s="420" t="n"/>
      <c r="M43" s="418" t="n"/>
      <c r="N43" s="419" t="n"/>
      <c r="O43" s="420" t="n"/>
      <c r="P43" s="418" t="n"/>
      <c r="Q43" s="419" t="n"/>
      <c r="R43" s="420" t="n"/>
      <c r="S43" s="418" t="n"/>
      <c r="T43" s="419" t="n"/>
      <c r="U43" s="421" t="n"/>
      <c r="V43" s="420" t="n"/>
      <c r="W43" s="420" t="n"/>
      <c r="X43" s="422">
        <f>SUM(J43:W43)</f>
        <v/>
      </c>
      <c r="Y43" s="423">
        <f>X44-X43</f>
        <v/>
      </c>
      <c r="Z43" s="209" t="n"/>
    </row>
    <row r="44" ht="14.25" customHeight="1" s="296">
      <c r="A44" s="154">
        <f>-A43</f>
        <v/>
      </c>
      <c r="B44" s="154">
        <f>B43</f>
        <v/>
      </c>
      <c r="C44" s="163" t="n"/>
      <c r="D44" s="424" t="n"/>
      <c r="E44" s="425" t="n"/>
      <c r="F44" s="426" t="n"/>
      <c r="G44" s="164" t="inlineStr">
        <is>
          <t>факт</t>
        </is>
      </c>
      <c r="H44" s="165" t="n"/>
      <c r="I44" s="250" t="n"/>
      <c r="J44" s="427">
        <f>SUMIF('09'!$D$7:$D$159,$C43,'09'!L$7:L$159)+SUMIF('10'!$D$7:$D$159,$C43,'10'!L$7:L$159)+SUMIF('11'!$D$7:$D$159,$C43,'11'!L$7:L$159)+SUMIF('12'!$D$7:$D$159,$C43,'12'!L$7:L$159)+SUMIF('01'!$D$7:$D$159,$C43,'01'!L$7:L$159)</f>
        <v/>
      </c>
      <c r="K44" s="428">
        <f>SUMIF('09'!$D$7:$D$159,$C43,'09'!M$7:M$159)+SUMIF('10'!$D$7:$D$159,$C43,'10'!M$7:M$159)+SUMIF('11'!$D$7:$D$159,$C43,'11'!M$7:M$159)+SUMIF('12'!$D$7:$D$159,$C43,'12'!M$7:M$159)+SUMIF('01'!$D$7:$D$159,$C43,'01'!M$7:M$159)</f>
        <v/>
      </c>
      <c r="L44" s="429">
        <f>SUMIF('09'!$D$7:$D$159,$C43,'09'!N$7:N$159)+SUMIF('10'!$D$7:$D$159,$C43,'10'!N$7:N$159)+SUMIF('11'!$D$7:$D$159,$C43,'11'!N$7:N$159)+SUMIF('12'!$D$7:$D$159,$C43,'12'!N$7:N$159)+SUMIF('01'!$D$7:$D$159,$C43,'01'!N$7:N$159)</f>
        <v/>
      </c>
      <c r="M44" s="427">
        <f>SUMIF('09'!$D$7:$D$159,$C43,'09'!O$7:O$159)+SUMIF('10'!$D$7:$D$159,$C43,'10'!O$7:O$159)+SUMIF('11'!$D$7:$D$159,$C43,'11'!O$7:O$159)+SUMIF('12'!$D$7:$D$159,$C43,'12'!O$7:O$159)+SUMIF('01'!$D$7:$D$159,$C43,'01'!O$7:O$159)</f>
        <v/>
      </c>
      <c r="N44" s="428">
        <f>SUMIF('09'!$D$7:$D$159,$C43,'09'!P$7:P$159)+SUMIF('10'!$D$7:$D$159,$C43,'10'!P$7:P$159)+SUMIF('11'!$D$7:$D$159,$C43,'11'!P$7:P$159)+SUMIF('12'!$D$7:$D$159,$C43,'12'!P$7:P$159)+SUMIF('01'!$D$7:$D$159,$C43,'01'!P$7:P$159)</f>
        <v/>
      </c>
      <c r="O44" s="429">
        <f>SUMIF('09'!$D$7:$D$159,$C43,'09'!Q$7:Q$159)+SUMIF('10'!$D$7:$D$159,$C43,'10'!Q$7:Q$159)+SUMIF('11'!$D$7:$D$159,$C43,'11'!Q$7:Q$159)+SUMIF('12'!$D$7:$D$159,$C43,'12'!Q$7:Q$159)+SUMIF('01'!$D$7:$D$159,$C43,'01'!Q$7:Q$159)</f>
        <v/>
      </c>
      <c r="P44" s="427">
        <f>SUMIF('09'!$D$7:$D$159,$C43,'09'!R$7:R$159)+SUMIF('10'!$D$7:$D$159,$C43,'10'!R$7:R$159)+SUMIF('11'!$D$7:$D$159,$C43,'11'!R$7:R$159)+SUMIF('12'!$D$7:$D$159,$C43,'12'!R$7:R$159)+SUMIF('01'!$D$7:$D$159,$C43,'01'!R$7:R$159)</f>
        <v/>
      </c>
      <c r="Q44" s="428">
        <f>SUMIF('09'!$D$7:$D$159,$C43,'09'!S$7:S$159)+SUMIF('10'!$D$7:$D$159,$C43,'10'!S$7:S$159)+SUMIF('11'!$D$7:$D$159,$C43,'11'!S$7:S$159)+SUMIF('12'!$D$7:$D$159,$C43,'12'!S$7:S$159)+SUMIF('01'!$D$7:$D$159,$C43,'01'!S$7:S$159)</f>
        <v/>
      </c>
      <c r="R44" s="429">
        <f>SUMIF('09'!$D$7:$D$159,$C43,'09'!T$7:T$159)+SUMIF('10'!$D$7:$D$159,$C43,'10'!T$7:T$159)+SUMIF('11'!$D$7:$D$159,$C43,'11'!T$7:T$159)+SUMIF('12'!$D$7:$D$159,$C43,'12'!T$7:T$159)+SUMIF('01'!$D$7:$D$159,$C43,'01'!T$7:T$159)</f>
        <v/>
      </c>
      <c r="S44" s="427">
        <f>SUMIF('09'!$D$7:$D$159,$C43,'09'!U$7:U$159)+SUMIF('10'!$D$7:$D$159,$C43,'10'!U$7:U$159)+SUMIF('11'!$D$7:$D$159,$C43,'11'!U$7:U$159)+SUMIF('12'!$D$7:$D$159,$C43,'12'!U$7:U$159)+SUMIF('01'!$D$7:$D$159,$C43,'01'!U$7:U$159)</f>
        <v/>
      </c>
      <c r="T44" s="428">
        <f>SUMIF('09'!$D$7:$D$159,$C43,'09'!V$7:V$159)+SUMIF('10'!$D$7:$D$159,$C43,'10'!V$7:V$159)+SUMIF('11'!$D$7:$D$159,$C43,'11'!V$7:V$159)+SUMIF('12'!$D$7:$D$159,$C43,'12'!V$7:V$159)+SUMIF('01'!$D$7:$D$159,$C43,'01'!V$7:V$159)</f>
        <v/>
      </c>
      <c r="U44" s="430">
        <f>SUMIF('09'!$D$7:$D$159,$C43,'09'!W$7:W$159)+SUMIF('10'!$D$7:$D$159,$C43,'10'!W$7:W$159)+SUMIF('11'!$D$7:$D$159,$C43,'11'!W$7:W$159)+SUMIF('12'!$D$7:$D$159,$C43,'12'!W$7:W$159)+SUMIF('01'!$D$7:$D$159,$C43,'01'!W$7:W$159)</f>
        <v/>
      </c>
      <c r="V44" s="429">
        <f>SUMIF('09'!$D$7:$D$159,$C43,'09'!X$7:X$159)+SUMIF('10'!$D$7:$D$159,$C43,'10'!X$7:X$159)+SUMIF('11'!$D$7:$D$159,$C43,'11'!X$7:X$159)+SUMIF('12'!$D$7:$D$159,$C43,'12'!X$7:X$159)+SUMIF('01'!$D$7:$D$159,$C43,'01'!X$7:X$159)</f>
        <v/>
      </c>
      <c r="W44" s="429">
        <f>SUMIF('09'!$D$7:$D$159,$C43,'09'!Y$7:Y$159)+SUMIF('10'!$D$7:$D$159,$C43,'10'!Y$7:Y$159)+SUMIF('11'!$D$7:$D$159,$C43,'11'!Y$7:Y$159)+SUMIF('12'!$D$7:$D$159,$C43,'12'!Y$7:Y$159)+SUMIF('01'!$D$7:$D$159,$C43,'01'!Y$7:Y$159)</f>
        <v/>
      </c>
      <c r="X44" s="431">
        <f>SUM(J44:W44)</f>
        <v/>
      </c>
      <c r="Y44" s="413" t="n"/>
      <c r="Z44" s="432" t="n"/>
    </row>
    <row r="45" ht="14.25" customHeight="1" s="296">
      <c r="A45" s="154">
        <f>IF(OR(C45="0",COUNTIF(КлючОсень,C45)&gt;1),0,MATCH(F45,ВидыНагр,0))</f>
        <v/>
      </c>
      <c r="B45" s="154">
        <f>(COUNTA(D45:F46,J45:W45,H45:I46)=0)</f>
        <v/>
      </c>
      <c r="C45" s="155">
        <f>IF(OR(TRIM(D45)="",COUNTIF(ВидыНагр,F45)&lt;&gt;1),"0",CONCATENATE("$",TRIM(D45),"$",TRIM(E45),"$",F45,"$"))</f>
        <v/>
      </c>
      <c r="D45" s="415" t="n"/>
      <c r="E45" s="416" t="n"/>
      <c r="F45" s="417" t="n"/>
      <c r="G45" s="156" t="inlineStr">
        <is>
          <t>план</t>
        </is>
      </c>
      <c r="H45" s="157" t="n"/>
      <c r="I45" s="158" t="n"/>
      <c r="J45" s="418" t="n"/>
      <c r="K45" s="419" t="n"/>
      <c r="L45" s="420" t="n"/>
      <c r="M45" s="418" t="n"/>
      <c r="N45" s="419" t="n"/>
      <c r="O45" s="420" t="n"/>
      <c r="P45" s="418" t="n"/>
      <c r="Q45" s="419" t="n"/>
      <c r="R45" s="420" t="n"/>
      <c r="S45" s="418" t="n"/>
      <c r="T45" s="419" t="n"/>
      <c r="U45" s="421" t="n"/>
      <c r="V45" s="420" t="n"/>
      <c r="W45" s="420" t="n"/>
      <c r="X45" s="422">
        <f>SUM(J45:W45)</f>
        <v/>
      </c>
      <c r="Y45" s="423">
        <f>X46-X45</f>
        <v/>
      </c>
      <c r="Z45" s="209" t="n"/>
    </row>
    <row r="46" ht="14.25" customHeight="1" s="296">
      <c r="A46" s="154">
        <f>-A45</f>
        <v/>
      </c>
      <c r="B46" s="154">
        <f>B45</f>
        <v/>
      </c>
      <c r="C46" s="163" t="n"/>
      <c r="D46" s="424" t="n"/>
      <c r="E46" s="425" t="n"/>
      <c r="F46" s="426" t="n"/>
      <c r="G46" s="164" t="inlineStr">
        <is>
          <t>факт</t>
        </is>
      </c>
      <c r="H46" s="165" t="n"/>
      <c r="I46" s="250" t="n"/>
      <c r="J46" s="427">
        <f>SUMIF('09'!$D$7:$D$159,$C45,'09'!L$7:L$159)+SUMIF('10'!$D$7:$D$159,$C45,'10'!L$7:L$159)+SUMIF('11'!$D$7:$D$159,$C45,'11'!L$7:L$159)+SUMIF('12'!$D$7:$D$159,$C45,'12'!L$7:L$159)+SUMIF('01'!$D$7:$D$159,$C45,'01'!L$7:L$159)</f>
        <v/>
      </c>
      <c r="K46" s="428">
        <f>SUMIF('09'!$D$7:$D$159,$C45,'09'!M$7:M$159)+SUMIF('10'!$D$7:$D$159,$C45,'10'!M$7:M$159)+SUMIF('11'!$D$7:$D$159,$C45,'11'!M$7:M$159)+SUMIF('12'!$D$7:$D$159,$C45,'12'!M$7:M$159)+SUMIF('01'!$D$7:$D$159,$C45,'01'!M$7:M$159)</f>
        <v/>
      </c>
      <c r="L46" s="429">
        <f>SUMIF('09'!$D$7:$D$159,$C45,'09'!N$7:N$159)+SUMIF('10'!$D$7:$D$159,$C45,'10'!N$7:N$159)+SUMIF('11'!$D$7:$D$159,$C45,'11'!N$7:N$159)+SUMIF('12'!$D$7:$D$159,$C45,'12'!N$7:N$159)+SUMIF('01'!$D$7:$D$159,$C45,'01'!N$7:N$159)</f>
        <v/>
      </c>
      <c r="M46" s="427">
        <f>SUMIF('09'!$D$7:$D$159,$C45,'09'!O$7:O$159)+SUMIF('10'!$D$7:$D$159,$C45,'10'!O$7:O$159)+SUMIF('11'!$D$7:$D$159,$C45,'11'!O$7:O$159)+SUMIF('12'!$D$7:$D$159,$C45,'12'!O$7:O$159)+SUMIF('01'!$D$7:$D$159,$C45,'01'!O$7:O$159)</f>
        <v/>
      </c>
      <c r="N46" s="428">
        <f>SUMIF('09'!$D$7:$D$159,$C45,'09'!P$7:P$159)+SUMIF('10'!$D$7:$D$159,$C45,'10'!P$7:P$159)+SUMIF('11'!$D$7:$D$159,$C45,'11'!P$7:P$159)+SUMIF('12'!$D$7:$D$159,$C45,'12'!P$7:P$159)+SUMIF('01'!$D$7:$D$159,$C45,'01'!P$7:P$159)</f>
        <v/>
      </c>
      <c r="O46" s="429">
        <f>SUMIF('09'!$D$7:$D$159,$C45,'09'!Q$7:Q$159)+SUMIF('10'!$D$7:$D$159,$C45,'10'!Q$7:Q$159)+SUMIF('11'!$D$7:$D$159,$C45,'11'!Q$7:Q$159)+SUMIF('12'!$D$7:$D$159,$C45,'12'!Q$7:Q$159)+SUMIF('01'!$D$7:$D$159,$C45,'01'!Q$7:Q$159)</f>
        <v/>
      </c>
      <c r="P46" s="427">
        <f>SUMIF('09'!$D$7:$D$159,$C45,'09'!R$7:R$159)+SUMIF('10'!$D$7:$D$159,$C45,'10'!R$7:R$159)+SUMIF('11'!$D$7:$D$159,$C45,'11'!R$7:R$159)+SUMIF('12'!$D$7:$D$159,$C45,'12'!R$7:R$159)+SUMIF('01'!$D$7:$D$159,$C45,'01'!R$7:R$159)</f>
        <v/>
      </c>
      <c r="Q46" s="428">
        <f>SUMIF('09'!$D$7:$D$159,$C45,'09'!S$7:S$159)+SUMIF('10'!$D$7:$D$159,$C45,'10'!S$7:S$159)+SUMIF('11'!$D$7:$D$159,$C45,'11'!S$7:S$159)+SUMIF('12'!$D$7:$D$159,$C45,'12'!S$7:S$159)+SUMIF('01'!$D$7:$D$159,$C45,'01'!S$7:S$159)</f>
        <v/>
      </c>
      <c r="R46" s="429">
        <f>SUMIF('09'!$D$7:$D$159,$C45,'09'!T$7:T$159)+SUMIF('10'!$D$7:$D$159,$C45,'10'!T$7:T$159)+SUMIF('11'!$D$7:$D$159,$C45,'11'!T$7:T$159)+SUMIF('12'!$D$7:$D$159,$C45,'12'!T$7:T$159)+SUMIF('01'!$D$7:$D$159,$C45,'01'!T$7:T$159)</f>
        <v/>
      </c>
      <c r="S46" s="427">
        <f>SUMIF('09'!$D$7:$D$159,$C45,'09'!U$7:U$159)+SUMIF('10'!$D$7:$D$159,$C45,'10'!U$7:U$159)+SUMIF('11'!$D$7:$D$159,$C45,'11'!U$7:U$159)+SUMIF('12'!$D$7:$D$159,$C45,'12'!U$7:U$159)+SUMIF('01'!$D$7:$D$159,$C45,'01'!U$7:U$159)</f>
        <v/>
      </c>
      <c r="T46" s="428">
        <f>SUMIF('09'!$D$7:$D$159,$C45,'09'!V$7:V$159)+SUMIF('10'!$D$7:$D$159,$C45,'10'!V$7:V$159)+SUMIF('11'!$D$7:$D$159,$C45,'11'!V$7:V$159)+SUMIF('12'!$D$7:$D$159,$C45,'12'!V$7:V$159)+SUMIF('01'!$D$7:$D$159,$C45,'01'!V$7:V$159)</f>
        <v/>
      </c>
      <c r="U46" s="430">
        <f>SUMIF('09'!$D$7:$D$159,$C45,'09'!W$7:W$159)+SUMIF('10'!$D$7:$D$159,$C45,'10'!W$7:W$159)+SUMIF('11'!$D$7:$D$159,$C45,'11'!W$7:W$159)+SUMIF('12'!$D$7:$D$159,$C45,'12'!W$7:W$159)+SUMIF('01'!$D$7:$D$159,$C45,'01'!W$7:W$159)</f>
        <v/>
      </c>
      <c r="V46" s="429">
        <f>SUMIF('09'!$D$7:$D$159,$C45,'09'!X$7:X$159)+SUMIF('10'!$D$7:$D$159,$C45,'10'!X$7:X$159)+SUMIF('11'!$D$7:$D$159,$C45,'11'!X$7:X$159)+SUMIF('12'!$D$7:$D$159,$C45,'12'!X$7:X$159)+SUMIF('01'!$D$7:$D$159,$C45,'01'!X$7:X$159)</f>
        <v/>
      </c>
      <c r="W46" s="429">
        <f>SUMIF('09'!$D$7:$D$159,$C45,'09'!Y$7:Y$159)+SUMIF('10'!$D$7:$D$159,$C45,'10'!Y$7:Y$159)+SUMIF('11'!$D$7:$D$159,$C45,'11'!Y$7:Y$159)+SUMIF('12'!$D$7:$D$159,$C45,'12'!Y$7:Y$159)+SUMIF('01'!$D$7:$D$159,$C45,'01'!Y$7:Y$159)</f>
        <v/>
      </c>
      <c r="X46" s="431">
        <f>SUM(J46:W46)</f>
        <v/>
      </c>
      <c r="Y46" s="413" t="n"/>
      <c r="Z46" s="432" t="n"/>
    </row>
    <row r="47" ht="14.25" customHeight="1" s="296">
      <c r="A47" s="154">
        <f>IF(OR(C47="0",COUNTIF(КлючОсень,C47)&gt;1),0,MATCH(F47,ВидыНагр,0))</f>
        <v/>
      </c>
      <c r="B47" s="154">
        <f>(COUNTA(D47:F48,J47:W47,H47:I48)=0)</f>
        <v/>
      </c>
      <c r="C47" s="155">
        <f>IF(OR(TRIM(D47)="",COUNTIF(ВидыНагр,F47)&lt;&gt;1),"0",CONCATENATE("$",TRIM(D47),"$",TRIM(E47),"$",F47,"$"))</f>
        <v/>
      </c>
      <c r="D47" s="415" t="n"/>
      <c r="E47" s="416" t="n"/>
      <c r="F47" s="417" t="n"/>
      <c r="G47" s="156" t="inlineStr">
        <is>
          <t>план</t>
        </is>
      </c>
      <c r="H47" s="157" t="n"/>
      <c r="I47" s="158" t="n"/>
      <c r="J47" s="418" t="n"/>
      <c r="K47" s="419" t="n"/>
      <c r="L47" s="420" t="n"/>
      <c r="M47" s="418" t="n"/>
      <c r="N47" s="419" t="n"/>
      <c r="O47" s="420" t="n"/>
      <c r="P47" s="418" t="n"/>
      <c r="Q47" s="419" t="n"/>
      <c r="R47" s="420" t="n"/>
      <c r="S47" s="418" t="n"/>
      <c r="T47" s="419" t="n"/>
      <c r="U47" s="421" t="n"/>
      <c r="V47" s="420" t="n"/>
      <c r="W47" s="420" t="n"/>
      <c r="X47" s="422">
        <f>SUM(J47:W47)</f>
        <v/>
      </c>
      <c r="Y47" s="423">
        <f>X48-X47</f>
        <v/>
      </c>
      <c r="Z47" s="209" t="n"/>
    </row>
    <row r="48" ht="14.25" customHeight="1" s="296">
      <c r="A48" s="154">
        <f>-A47</f>
        <v/>
      </c>
      <c r="B48" s="154">
        <f>B47</f>
        <v/>
      </c>
      <c r="C48" s="163" t="n"/>
      <c r="D48" s="424" t="n"/>
      <c r="E48" s="425" t="n"/>
      <c r="F48" s="426" t="n"/>
      <c r="G48" s="164" t="inlineStr">
        <is>
          <t>факт</t>
        </is>
      </c>
      <c r="H48" s="165" t="n"/>
      <c r="I48" s="250" t="n"/>
      <c r="J48" s="427">
        <f>SUMIF('09'!$D$7:$D$159,$C47,'09'!L$7:L$159)+SUMIF('10'!$D$7:$D$159,$C47,'10'!L$7:L$159)+SUMIF('11'!$D$7:$D$159,$C47,'11'!L$7:L$159)+SUMIF('12'!$D$7:$D$159,$C47,'12'!L$7:L$159)+SUMIF('01'!$D$7:$D$159,$C47,'01'!L$7:L$159)</f>
        <v/>
      </c>
      <c r="K48" s="428">
        <f>SUMIF('09'!$D$7:$D$159,$C47,'09'!M$7:M$159)+SUMIF('10'!$D$7:$D$159,$C47,'10'!M$7:M$159)+SUMIF('11'!$D$7:$D$159,$C47,'11'!M$7:M$159)+SUMIF('12'!$D$7:$D$159,$C47,'12'!M$7:M$159)+SUMIF('01'!$D$7:$D$159,$C47,'01'!M$7:M$159)</f>
        <v/>
      </c>
      <c r="L48" s="429">
        <f>SUMIF('09'!$D$7:$D$159,$C47,'09'!N$7:N$159)+SUMIF('10'!$D$7:$D$159,$C47,'10'!N$7:N$159)+SUMIF('11'!$D$7:$D$159,$C47,'11'!N$7:N$159)+SUMIF('12'!$D$7:$D$159,$C47,'12'!N$7:N$159)+SUMIF('01'!$D$7:$D$159,$C47,'01'!N$7:N$159)</f>
        <v/>
      </c>
      <c r="M48" s="427">
        <f>SUMIF('09'!$D$7:$D$159,$C47,'09'!O$7:O$159)+SUMIF('10'!$D$7:$D$159,$C47,'10'!O$7:O$159)+SUMIF('11'!$D$7:$D$159,$C47,'11'!O$7:O$159)+SUMIF('12'!$D$7:$D$159,$C47,'12'!O$7:O$159)+SUMIF('01'!$D$7:$D$159,$C47,'01'!O$7:O$159)</f>
        <v/>
      </c>
      <c r="N48" s="428">
        <f>SUMIF('09'!$D$7:$D$159,$C47,'09'!P$7:P$159)+SUMIF('10'!$D$7:$D$159,$C47,'10'!P$7:P$159)+SUMIF('11'!$D$7:$D$159,$C47,'11'!P$7:P$159)+SUMIF('12'!$D$7:$D$159,$C47,'12'!P$7:P$159)+SUMIF('01'!$D$7:$D$159,$C47,'01'!P$7:P$159)</f>
        <v/>
      </c>
      <c r="O48" s="429">
        <f>SUMIF('09'!$D$7:$D$159,$C47,'09'!Q$7:Q$159)+SUMIF('10'!$D$7:$D$159,$C47,'10'!Q$7:Q$159)+SUMIF('11'!$D$7:$D$159,$C47,'11'!Q$7:Q$159)+SUMIF('12'!$D$7:$D$159,$C47,'12'!Q$7:Q$159)+SUMIF('01'!$D$7:$D$159,$C47,'01'!Q$7:Q$159)</f>
        <v/>
      </c>
      <c r="P48" s="427">
        <f>SUMIF('09'!$D$7:$D$159,$C47,'09'!R$7:R$159)+SUMIF('10'!$D$7:$D$159,$C47,'10'!R$7:R$159)+SUMIF('11'!$D$7:$D$159,$C47,'11'!R$7:R$159)+SUMIF('12'!$D$7:$D$159,$C47,'12'!R$7:R$159)+SUMIF('01'!$D$7:$D$159,$C47,'01'!R$7:R$159)</f>
        <v/>
      </c>
      <c r="Q48" s="428">
        <f>SUMIF('09'!$D$7:$D$159,$C47,'09'!S$7:S$159)+SUMIF('10'!$D$7:$D$159,$C47,'10'!S$7:S$159)+SUMIF('11'!$D$7:$D$159,$C47,'11'!S$7:S$159)+SUMIF('12'!$D$7:$D$159,$C47,'12'!S$7:S$159)+SUMIF('01'!$D$7:$D$159,$C47,'01'!S$7:S$159)</f>
        <v/>
      </c>
      <c r="R48" s="429">
        <f>SUMIF('09'!$D$7:$D$159,$C47,'09'!T$7:T$159)+SUMIF('10'!$D$7:$D$159,$C47,'10'!T$7:T$159)+SUMIF('11'!$D$7:$D$159,$C47,'11'!T$7:T$159)+SUMIF('12'!$D$7:$D$159,$C47,'12'!T$7:T$159)+SUMIF('01'!$D$7:$D$159,$C47,'01'!T$7:T$159)</f>
        <v/>
      </c>
      <c r="S48" s="427">
        <f>SUMIF('09'!$D$7:$D$159,$C47,'09'!U$7:U$159)+SUMIF('10'!$D$7:$D$159,$C47,'10'!U$7:U$159)+SUMIF('11'!$D$7:$D$159,$C47,'11'!U$7:U$159)+SUMIF('12'!$D$7:$D$159,$C47,'12'!U$7:U$159)+SUMIF('01'!$D$7:$D$159,$C47,'01'!U$7:U$159)</f>
        <v/>
      </c>
      <c r="T48" s="428">
        <f>SUMIF('09'!$D$7:$D$159,$C47,'09'!V$7:V$159)+SUMIF('10'!$D$7:$D$159,$C47,'10'!V$7:V$159)+SUMIF('11'!$D$7:$D$159,$C47,'11'!V$7:V$159)+SUMIF('12'!$D$7:$D$159,$C47,'12'!V$7:V$159)+SUMIF('01'!$D$7:$D$159,$C47,'01'!V$7:V$159)</f>
        <v/>
      </c>
      <c r="U48" s="430">
        <f>SUMIF('09'!$D$7:$D$159,$C47,'09'!W$7:W$159)+SUMIF('10'!$D$7:$D$159,$C47,'10'!W$7:W$159)+SUMIF('11'!$D$7:$D$159,$C47,'11'!W$7:W$159)+SUMIF('12'!$D$7:$D$159,$C47,'12'!W$7:W$159)+SUMIF('01'!$D$7:$D$159,$C47,'01'!W$7:W$159)</f>
        <v/>
      </c>
      <c r="V48" s="429">
        <f>SUMIF('09'!$D$7:$D$159,$C47,'09'!X$7:X$159)+SUMIF('10'!$D$7:$D$159,$C47,'10'!X$7:X$159)+SUMIF('11'!$D$7:$D$159,$C47,'11'!X$7:X$159)+SUMIF('12'!$D$7:$D$159,$C47,'12'!X$7:X$159)+SUMIF('01'!$D$7:$D$159,$C47,'01'!X$7:X$159)</f>
        <v/>
      </c>
      <c r="W48" s="429">
        <f>SUMIF('09'!$D$7:$D$159,$C47,'09'!Y$7:Y$159)+SUMIF('10'!$D$7:$D$159,$C47,'10'!Y$7:Y$159)+SUMIF('11'!$D$7:$D$159,$C47,'11'!Y$7:Y$159)+SUMIF('12'!$D$7:$D$159,$C47,'12'!Y$7:Y$159)+SUMIF('01'!$D$7:$D$159,$C47,'01'!Y$7:Y$159)</f>
        <v/>
      </c>
      <c r="X48" s="431">
        <f>SUM(J48:W48)</f>
        <v/>
      </c>
      <c r="Y48" s="413" t="n"/>
      <c r="Z48" s="432" t="n"/>
    </row>
    <row r="49" ht="14.25" customHeight="1" s="296">
      <c r="A49" s="154">
        <f>IF(OR(C49="0",COUNTIF(КлючОсень,C49)&gt;1),0,MATCH(F49,ВидыНагр,0))</f>
        <v/>
      </c>
      <c r="B49" s="154">
        <f>(COUNTA(D49:F50,J49:W49,H49:I50)=0)</f>
        <v/>
      </c>
      <c r="C49" s="155">
        <f>IF(OR(TRIM(D49)="",COUNTIF(ВидыНагр,F49)&lt;&gt;1),"0",CONCATENATE("$",TRIM(D49),"$",TRIM(E49),"$",F49,"$"))</f>
        <v/>
      </c>
      <c r="D49" s="415" t="n"/>
      <c r="E49" s="416" t="n"/>
      <c r="F49" s="417" t="n"/>
      <c r="G49" s="156" t="inlineStr">
        <is>
          <t>план</t>
        </is>
      </c>
      <c r="H49" s="157" t="n"/>
      <c r="I49" s="158" t="n"/>
      <c r="J49" s="418" t="n"/>
      <c r="K49" s="419" t="n"/>
      <c r="L49" s="420" t="n"/>
      <c r="M49" s="418" t="n"/>
      <c r="N49" s="419" t="n"/>
      <c r="O49" s="420" t="n"/>
      <c r="P49" s="418" t="n"/>
      <c r="Q49" s="419" t="n"/>
      <c r="R49" s="420" t="n"/>
      <c r="S49" s="418" t="n"/>
      <c r="T49" s="419" t="n"/>
      <c r="U49" s="421" t="n"/>
      <c r="V49" s="420" t="n"/>
      <c r="W49" s="420" t="n"/>
      <c r="X49" s="422">
        <f>SUM(J49:W49)</f>
        <v/>
      </c>
      <c r="Y49" s="423">
        <f>X50-X49</f>
        <v/>
      </c>
      <c r="Z49" s="209" t="n"/>
    </row>
    <row r="50" ht="14.25" customHeight="1" s="296">
      <c r="A50" s="154">
        <f>-A49</f>
        <v/>
      </c>
      <c r="B50" s="154">
        <f>B49</f>
        <v/>
      </c>
      <c r="C50" s="163" t="n"/>
      <c r="D50" s="424" t="n"/>
      <c r="E50" s="425" t="n"/>
      <c r="F50" s="426" t="n"/>
      <c r="G50" s="164" t="inlineStr">
        <is>
          <t>факт</t>
        </is>
      </c>
      <c r="H50" s="165" t="n"/>
      <c r="I50" s="250" t="n"/>
      <c r="J50" s="427">
        <f>SUMIF('09'!$D$7:$D$159,$C49,'09'!L$7:L$159)+SUMIF('10'!$D$7:$D$159,$C49,'10'!L$7:L$159)+SUMIF('11'!$D$7:$D$159,$C49,'11'!L$7:L$159)+SUMIF('12'!$D$7:$D$159,$C49,'12'!L$7:L$159)+SUMIF('01'!$D$7:$D$159,$C49,'01'!L$7:L$159)</f>
        <v/>
      </c>
      <c r="K50" s="428">
        <f>SUMIF('09'!$D$7:$D$159,$C49,'09'!M$7:M$159)+SUMIF('10'!$D$7:$D$159,$C49,'10'!M$7:M$159)+SUMIF('11'!$D$7:$D$159,$C49,'11'!M$7:M$159)+SUMIF('12'!$D$7:$D$159,$C49,'12'!M$7:M$159)+SUMIF('01'!$D$7:$D$159,$C49,'01'!M$7:M$159)</f>
        <v/>
      </c>
      <c r="L50" s="429">
        <f>SUMIF('09'!$D$7:$D$159,$C49,'09'!N$7:N$159)+SUMIF('10'!$D$7:$D$159,$C49,'10'!N$7:N$159)+SUMIF('11'!$D$7:$D$159,$C49,'11'!N$7:N$159)+SUMIF('12'!$D$7:$D$159,$C49,'12'!N$7:N$159)+SUMIF('01'!$D$7:$D$159,$C49,'01'!N$7:N$159)</f>
        <v/>
      </c>
      <c r="M50" s="427">
        <f>SUMIF('09'!$D$7:$D$159,$C49,'09'!O$7:O$159)+SUMIF('10'!$D$7:$D$159,$C49,'10'!O$7:O$159)+SUMIF('11'!$D$7:$D$159,$C49,'11'!O$7:O$159)+SUMIF('12'!$D$7:$D$159,$C49,'12'!O$7:O$159)+SUMIF('01'!$D$7:$D$159,$C49,'01'!O$7:O$159)</f>
        <v/>
      </c>
      <c r="N50" s="428">
        <f>SUMIF('09'!$D$7:$D$159,$C49,'09'!P$7:P$159)+SUMIF('10'!$D$7:$D$159,$C49,'10'!P$7:P$159)+SUMIF('11'!$D$7:$D$159,$C49,'11'!P$7:P$159)+SUMIF('12'!$D$7:$D$159,$C49,'12'!P$7:P$159)+SUMIF('01'!$D$7:$D$159,$C49,'01'!P$7:P$159)</f>
        <v/>
      </c>
      <c r="O50" s="429">
        <f>SUMIF('09'!$D$7:$D$159,$C49,'09'!Q$7:Q$159)+SUMIF('10'!$D$7:$D$159,$C49,'10'!Q$7:Q$159)+SUMIF('11'!$D$7:$D$159,$C49,'11'!Q$7:Q$159)+SUMIF('12'!$D$7:$D$159,$C49,'12'!Q$7:Q$159)+SUMIF('01'!$D$7:$D$159,$C49,'01'!Q$7:Q$159)</f>
        <v/>
      </c>
      <c r="P50" s="427">
        <f>SUMIF('09'!$D$7:$D$159,$C49,'09'!R$7:R$159)+SUMIF('10'!$D$7:$D$159,$C49,'10'!R$7:R$159)+SUMIF('11'!$D$7:$D$159,$C49,'11'!R$7:R$159)+SUMIF('12'!$D$7:$D$159,$C49,'12'!R$7:R$159)+SUMIF('01'!$D$7:$D$159,$C49,'01'!R$7:R$159)</f>
        <v/>
      </c>
      <c r="Q50" s="428">
        <f>SUMIF('09'!$D$7:$D$159,$C49,'09'!S$7:S$159)+SUMIF('10'!$D$7:$D$159,$C49,'10'!S$7:S$159)+SUMIF('11'!$D$7:$D$159,$C49,'11'!S$7:S$159)+SUMIF('12'!$D$7:$D$159,$C49,'12'!S$7:S$159)+SUMIF('01'!$D$7:$D$159,$C49,'01'!S$7:S$159)</f>
        <v/>
      </c>
      <c r="R50" s="429">
        <f>SUMIF('09'!$D$7:$D$159,$C49,'09'!T$7:T$159)+SUMIF('10'!$D$7:$D$159,$C49,'10'!T$7:T$159)+SUMIF('11'!$D$7:$D$159,$C49,'11'!T$7:T$159)+SUMIF('12'!$D$7:$D$159,$C49,'12'!T$7:T$159)+SUMIF('01'!$D$7:$D$159,$C49,'01'!T$7:T$159)</f>
        <v/>
      </c>
      <c r="S50" s="427">
        <f>SUMIF('09'!$D$7:$D$159,$C49,'09'!U$7:U$159)+SUMIF('10'!$D$7:$D$159,$C49,'10'!U$7:U$159)+SUMIF('11'!$D$7:$D$159,$C49,'11'!U$7:U$159)+SUMIF('12'!$D$7:$D$159,$C49,'12'!U$7:U$159)+SUMIF('01'!$D$7:$D$159,$C49,'01'!U$7:U$159)</f>
        <v/>
      </c>
      <c r="T50" s="428">
        <f>SUMIF('09'!$D$7:$D$159,$C49,'09'!V$7:V$159)+SUMIF('10'!$D$7:$D$159,$C49,'10'!V$7:V$159)+SUMIF('11'!$D$7:$D$159,$C49,'11'!V$7:V$159)+SUMIF('12'!$D$7:$D$159,$C49,'12'!V$7:V$159)+SUMIF('01'!$D$7:$D$159,$C49,'01'!V$7:V$159)</f>
        <v/>
      </c>
      <c r="U50" s="430">
        <f>SUMIF('09'!$D$7:$D$159,$C49,'09'!W$7:W$159)+SUMIF('10'!$D$7:$D$159,$C49,'10'!W$7:W$159)+SUMIF('11'!$D$7:$D$159,$C49,'11'!W$7:W$159)+SUMIF('12'!$D$7:$D$159,$C49,'12'!W$7:W$159)+SUMIF('01'!$D$7:$D$159,$C49,'01'!W$7:W$159)</f>
        <v/>
      </c>
      <c r="V50" s="429">
        <f>SUMIF('09'!$D$7:$D$159,$C49,'09'!X$7:X$159)+SUMIF('10'!$D$7:$D$159,$C49,'10'!X$7:X$159)+SUMIF('11'!$D$7:$D$159,$C49,'11'!X$7:X$159)+SUMIF('12'!$D$7:$D$159,$C49,'12'!X$7:X$159)+SUMIF('01'!$D$7:$D$159,$C49,'01'!X$7:X$159)</f>
        <v/>
      </c>
      <c r="W50" s="429">
        <f>SUMIF('09'!$D$7:$D$159,$C49,'09'!Y$7:Y$159)+SUMIF('10'!$D$7:$D$159,$C49,'10'!Y$7:Y$159)+SUMIF('11'!$D$7:$D$159,$C49,'11'!Y$7:Y$159)+SUMIF('12'!$D$7:$D$159,$C49,'12'!Y$7:Y$159)+SUMIF('01'!$D$7:$D$159,$C49,'01'!Y$7:Y$159)</f>
        <v/>
      </c>
      <c r="X50" s="431">
        <f>SUM(J50:W50)</f>
        <v/>
      </c>
      <c r="Y50" s="413" t="n"/>
      <c r="Z50" s="432" t="n"/>
    </row>
    <row r="51" ht="14.25" customHeight="1" s="296">
      <c r="A51" s="154">
        <f>IF(OR(C51="0",COUNTIF(КлючОсень,C51)&gt;1),0,MATCH(F51,ВидыНагр,0))</f>
        <v/>
      </c>
      <c r="B51" s="154">
        <f>(COUNTA(D51:F52,J51:W51,H51:I52)=0)</f>
        <v/>
      </c>
      <c r="C51" s="155">
        <f>IF(OR(TRIM(D51)="",COUNTIF(ВидыНагр,F51)&lt;&gt;1),"0",CONCATENATE("$",TRIM(D51),"$",TRIM(E51),"$",F51,"$"))</f>
        <v/>
      </c>
      <c r="D51" s="415" t="n"/>
      <c r="E51" s="416" t="n"/>
      <c r="F51" s="417" t="n"/>
      <c r="G51" s="156" t="inlineStr">
        <is>
          <t>план</t>
        </is>
      </c>
      <c r="H51" s="157" t="n"/>
      <c r="I51" s="158" t="n"/>
      <c r="J51" s="418" t="n"/>
      <c r="K51" s="419" t="n"/>
      <c r="L51" s="420" t="n"/>
      <c r="M51" s="418" t="n"/>
      <c r="N51" s="419" t="n"/>
      <c r="O51" s="420" t="n"/>
      <c r="P51" s="418" t="n"/>
      <c r="Q51" s="419" t="n"/>
      <c r="R51" s="420" t="n"/>
      <c r="S51" s="418" t="n"/>
      <c r="T51" s="419" t="n"/>
      <c r="U51" s="421" t="n"/>
      <c r="V51" s="420" t="n"/>
      <c r="W51" s="420" t="n"/>
      <c r="X51" s="422">
        <f>SUM(J51:W51)</f>
        <v/>
      </c>
      <c r="Y51" s="423">
        <f>X52-X51</f>
        <v/>
      </c>
      <c r="Z51" s="209" t="n"/>
    </row>
    <row r="52" ht="14.25" customHeight="1" s="296">
      <c r="A52" s="154">
        <f>-A51</f>
        <v/>
      </c>
      <c r="B52" s="154">
        <f>B51</f>
        <v/>
      </c>
      <c r="C52" s="163" t="n"/>
      <c r="D52" s="424" t="n"/>
      <c r="E52" s="425" t="n"/>
      <c r="F52" s="426" t="n"/>
      <c r="G52" s="164" t="inlineStr">
        <is>
          <t>факт</t>
        </is>
      </c>
      <c r="H52" s="165" t="n"/>
      <c r="I52" s="250" t="n"/>
      <c r="J52" s="427">
        <f>SUMIF('09'!$D$7:$D$159,$C51,'09'!L$7:L$159)+SUMIF('10'!$D$7:$D$159,$C51,'10'!L$7:L$159)+SUMIF('11'!$D$7:$D$159,$C51,'11'!L$7:L$159)+SUMIF('12'!$D$7:$D$159,$C51,'12'!L$7:L$159)+SUMIF('01'!$D$7:$D$159,$C51,'01'!L$7:L$159)</f>
        <v/>
      </c>
      <c r="K52" s="428">
        <f>SUMIF('09'!$D$7:$D$159,$C51,'09'!M$7:M$159)+SUMIF('10'!$D$7:$D$159,$C51,'10'!M$7:M$159)+SUMIF('11'!$D$7:$D$159,$C51,'11'!M$7:M$159)+SUMIF('12'!$D$7:$D$159,$C51,'12'!M$7:M$159)+SUMIF('01'!$D$7:$D$159,$C51,'01'!M$7:M$159)</f>
        <v/>
      </c>
      <c r="L52" s="429">
        <f>SUMIF('09'!$D$7:$D$159,$C51,'09'!N$7:N$159)+SUMIF('10'!$D$7:$D$159,$C51,'10'!N$7:N$159)+SUMIF('11'!$D$7:$D$159,$C51,'11'!N$7:N$159)+SUMIF('12'!$D$7:$D$159,$C51,'12'!N$7:N$159)+SUMIF('01'!$D$7:$D$159,$C51,'01'!N$7:N$159)</f>
        <v/>
      </c>
      <c r="M52" s="427">
        <f>SUMIF('09'!$D$7:$D$159,$C51,'09'!O$7:O$159)+SUMIF('10'!$D$7:$D$159,$C51,'10'!O$7:O$159)+SUMIF('11'!$D$7:$D$159,$C51,'11'!O$7:O$159)+SUMIF('12'!$D$7:$D$159,$C51,'12'!O$7:O$159)+SUMIF('01'!$D$7:$D$159,$C51,'01'!O$7:O$159)</f>
        <v/>
      </c>
      <c r="N52" s="428">
        <f>SUMIF('09'!$D$7:$D$159,$C51,'09'!P$7:P$159)+SUMIF('10'!$D$7:$D$159,$C51,'10'!P$7:P$159)+SUMIF('11'!$D$7:$D$159,$C51,'11'!P$7:P$159)+SUMIF('12'!$D$7:$D$159,$C51,'12'!P$7:P$159)+SUMIF('01'!$D$7:$D$159,$C51,'01'!P$7:P$159)</f>
        <v/>
      </c>
      <c r="O52" s="429">
        <f>SUMIF('09'!$D$7:$D$159,$C51,'09'!Q$7:Q$159)+SUMIF('10'!$D$7:$D$159,$C51,'10'!Q$7:Q$159)+SUMIF('11'!$D$7:$D$159,$C51,'11'!Q$7:Q$159)+SUMIF('12'!$D$7:$D$159,$C51,'12'!Q$7:Q$159)+SUMIF('01'!$D$7:$D$159,$C51,'01'!Q$7:Q$159)</f>
        <v/>
      </c>
      <c r="P52" s="427">
        <f>SUMIF('09'!$D$7:$D$159,$C51,'09'!R$7:R$159)+SUMIF('10'!$D$7:$D$159,$C51,'10'!R$7:R$159)+SUMIF('11'!$D$7:$D$159,$C51,'11'!R$7:R$159)+SUMIF('12'!$D$7:$D$159,$C51,'12'!R$7:R$159)+SUMIF('01'!$D$7:$D$159,$C51,'01'!R$7:R$159)</f>
        <v/>
      </c>
      <c r="Q52" s="428">
        <f>SUMIF('09'!$D$7:$D$159,$C51,'09'!S$7:S$159)+SUMIF('10'!$D$7:$D$159,$C51,'10'!S$7:S$159)+SUMIF('11'!$D$7:$D$159,$C51,'11'!S$7:S$159)+SUMIF('12'!$D$7:$D$159,$C51,'12'!S$7:S$159)+SUMIF('01'!$D$7:$D$159,$C51,'01'!S$7:S$159)</f>
        <v/>
      </c>
      <c r="R52" s="429">
        <f>SUMIF('09'!$D$7:$D$159,$C51,'09'!T$7:T$159)+SUMIF('10'!$D$7:$D$159,$C51,'10'!T$7:T$159)+SUMIF('11'!$D$7:$D$159,$C51,'11'!T$7:T$159)+SUMIF('12'!$D$7:$D$159,$C51,'12'!T$7:T$159)+SUMIF('01'!$D$7:$D$159,$C51,'01'!T$7:T$159)</f>
        <v/>
      </c>
      <c r="S52" s="427">
        <f>SUMIF('09'!$D$7:$D$159,$C51,'09'!U$7:U$159)+SUMIF('10'!$D$7:$D$159,$C51,'10'!U$7:U$159)+SUMIF('11'!$D$7:$D$159,$C51,'11'!U$7:U$159)+SUMIF('12'!$D$7:$D$159,$C51,'12'!U$7:U$159)+SUMIF('01'!$D$7:$D$159,$C51,'01'!U$7:U$159)</f>
        <v/>
      </c>
      <c r="T52" s="428">
        <f>SUMIF('09'!$D$7:$D$159,$C51,'09'!V$7:V$159)+SUMIF('10'!$D$7:$D$159,$C51,'10'!V$7:V$159)+SUMIF('11'!$D$7:$D$159,$C51,'11'!V$7:V$159)+SUMIF('12'!$D$7:$D$159,$C51,'12'!V$7:V$159)+SUMIF('01'!$D$7:$D$159,$C51,'01'!V$7:V$159)</f>
        <v/>
      </c>
      <c r="U52" s="430">
        <f>SUMIF('09'!$D$7:$D$159,$C51,'09'!W$7:W$159)+SUMIF('10'!$D$7:$D$159,$C51,'10'!W$7:W$159)+SUMIF('11'!$D$7:$D$159,$C51,'11'!W$7:W$159)+SUMIF('12'!$D$7:$D$159,$C51,'12'!W$7:W$159)+SUMIF('01'!$D$7:$D$159,$C51,'01'!W$7:W$159)</f>
        <v/>
      </c>
      <c r="V52" s="429">
        <f>SUMIF('09'!$D$7:$D$159,$C51,'09'!X$7:X$159)+SUMIF('10'!$D$7:$D$159,$C51,'10'!X$7:X$159)+SUMIF('11'!$D$7:$D$159,$C51,'11'!X$7:X$159)+SUMIF('12'!$D$7:$D$159,$C51,'12'!X$7:X$159)+SUMIF('01'!$D$7:$D$159,$C51,'01'!X$7:X$159)</f>
        <v/>
      </c>
      <c r="W52" s="429">
        <f>SUMIF('09'!$D$7:$D$159,$C51,'09'!Y$7:Y$159)+SUMIF('10'!$D$7:$D$159,$C51,'10'!Y$7:Y$159)+SUMIF('11'!$D$7:$D$159,$C51,'11'!Y$7:Y$159)+SUMIF('12'!$D$7:$D$159,$C51,'12'!Y$7:Y$159)+SUMIF('01'!$D$7:$D$159,$C51,'01'!Y$7:Y$159)</f>
        <v/>
      </c>
      <c r="X52" s="431">
        <f>SUM(J52:W52)</f>
        <v/>
      </c>
      <c r="Y52" s="413" t="n"/>
      <c r="Z52" s="432" t="n"/>
    </row>
    <row r="53" ht="14.25" customHeight="1" s="296">
      <c r="A53" s="154">
        <f>IF(OR(C53="0",COUNTIF(КлючОсень,C53)&gt;1),0,MATCH(F53,ВидыНагр,0))</f>
        <v/>
      </c>
      <c r="B53" s="154">
        <f>(COUNTA(D53:F54,J53:W53,H53:I54)=0)</f>
        <v/>
      </c>
      <c r="C53" s="155">
        <f>IF(OR(TRIM(D53)="",COUNTIF(ВидыНагр,F53)&lt;&gt;1),"0",CONCATENATE("$",TRIM(D53),"$",TRIM(E53),"$",F53,"$"))</f>
        <v/>
      </c>
      <c r="D53" s="415" t="n"/>
      <c r="E53" s="416" t="n"/>
      <c r="F53" s="417" t="n"/>
      <c r="G53" s="156" t="inlineStr">
        <is>
          <t>план</t>
        </is>
      </c>
      <c r="H53" s="157" t="n"/>
      <c r="I53" s="158" t="n"/>
      <c r="J53" s="418" t="n"/>
      <c r="K53" s="419" t="n"/>
      <c r="L53" s="420" t="n"/>
      <c r="M53" s="418" t="n"/>
      <c r="N53" s="419" t="n"/>
      <c r="O53" s="420" t="n"/>
      <c r="P53" s="418" t="n"/>
      <c r="Q53" s="419" t="n"/>
      <c r="R53" s="420" t="n"/>
      <c r="S53" s="418" t="n"/>
      <c r="T53" s="419" t="n"/>
      <c r="U53" s="421" t="n"/>
      <c r="V53" s="420" t="n"/>
      <c r="W53" s="420" t="n"/>
      <c r="X53" s="422">
        <f>SUM(J53:W53)</f>
        <v/>
      </c>
      <c r="Y53" s="423">
        <f>X54-X53</f>
        <v/>
      </c>
      <c r="Z53" s="209" t="n"/>
    </row>
    <row r="54" ht="14.25" customHeight="1" s="296">
      <c r="A54" s="154">
        <f>-A53</f>
        <v/>
      </c>
      <c r="B54" s="154">
        <f>B53</f>
        <v/>
      </c>
      <c r="C54" s="163" t="n"/>
      <c r="D54" s="424" t="n"/>
      <c r="E54" s="425" t="n"/>
      <c r="F54" s="426" t="n"/>
      <c r="G54" s="164" t="inlineStr">
        <is>
          <t>факт</t>
        </is>
      </c>
      <c r="H54" s="165" t="n"/>
      <c r="I54" s="250" t="n"/>
      <c r="J54" s="427">
        <f>SUMIF('09'!$D$7:$D$159,$C53,'09'!L$7:L$159)+SUMIF('10'!$D$7:$D$159,$C53,'10'!L$7:L$159)+SUMIF('11'!$D$7:$D$159,$C53,'11'!L$7:L$159)+SUMIF('12'!$D$7:$D$159,$C53,'12'!L$7:L$159)+SUMIF('01'!$D$7:$D$159,$C53,'01'!L$7:L$159)</f>
        <v/>
      </c>
      <c r="K54" s="428">
        <f>SUMIF('09'!$D$7:$D$159,$C53,'09'!M$7:M$159)+SUMIF('10'!$D$7:$D$159,$C53,'10'!M$7:M$159)+SUMIF('11'!$D$7:$D$159,$C53,'11'!M$7:M$159)+SUMIF('12'!$D$7:$D$159,$C53,'12'!M$7:M$159)+SUMIF('01'!$D$7:$D$159,$C53,'01'!M$7:M$159)</f>
        <v/>
      </c>
      <c r="L54" s="429">
        <f>SUMIF('09'!$D$7:$D$159,$C53,'09'!N$7:N$159)+SUMIF('10'!$D$7:$D$159,$C53,'10'!N$7:N$159)+SUMIF('11'!$D$7:$D$159,$C53,'11'!N$7:N$159)+SUMIF('12'!$D$7:$D$159,$C53,'12'!N$7:N$159)+SUMIF('01'!$D$7:$D$159,$C53,'01'!N$7:N$159)</f>
        <v/>
      </c>
      <c r="M54" s="427">
        <f>SUMIF('09'!$D$7:$D$159,$C53,'09'!O$7:O$159)+SUMIF('10'!$D$7:$D$159,$C53,'10'!O$7:O$159)+SUMIF('11'!$D$7:$D$159,$C53,'11'!O$7:O$159)+SUMIF('12'!$D$7:$D$159,$C53,'12'!O$7:O$159)+SUMIF('01'!$D$7:$D$159,$C53,'01'!O$7:O$159)</f>
        <v/>
      </c>
      <c r="N54" s="428">
        <f>SUMIF('09'!$D$7:$D$159,$C53,'09'!P$7:P$159)+SUMIF('10'!$D$7:$D$159,$C53,'10'!P$7:P$159)+SUMIF('11'!$D$7:$D$159,$C53,'11'!P$7:P$159)+SUMIF('12'!$D$7:$D$159,$C53,'12'!P$7:P$159)+SUMIF('01'!$D$7:$D$159,$C53,'01'!P$7:P$159)</f>
        <v/>
      </c>
      <c r="O54" s="429">
        <f>SUMIF('09'!$D$7:$D$159,$C53,'09'!Q$7:Q$159)+SUMIF('10'!$D$7:$D$159,$C53,'10'!Q$7:Q$159)+SUMIF('11'!$D$7:$D$159,$C53,'11'!Q$7:Q$159)+SUMIF('12'!$D$7:$D$159,$C53,'12'!Q$7:Q$159)+SUMIF('01'!$D$7:$D$159,$C53,'01'!Q$7:Q$159)</f>
        <v/>
      </c>
      <c r="P54" s="427">
        <f>SUMIF('09'!$D$7:$D$159,$C53,'09'!R$7:R$159)+SUMIF('10'!$D$7:$D$159,$C53,'10'!R$7:R$159)+SUMIF('11'!$D$7:$D$159,$C53,'11'!R$7:R$159)+SUMIF('12'!$D$7:$D$159,$C53,'12'!R$7:R$159)+SUMIF('01'!$D$7:$D$159,$C53,'01'!R$7:R$159)</f>
        <v/>
      </c>
      <c r="Q54" s="428">
        <f>SUMIF('09'!$D$7:$D$159,$C53,'09'!S$7:S$159)+SUMIF('10'!$D$7:$D$159,$C53,'10'!S$7:S$159)+SUMIF('11'!$D$7:$D$159,$C53,'11'!S$7:S$159)+SUMIF('12'!$D$7:$D$159,$C53,'12'!S$7:S$159)+SUMIF('01'!$D$7:$D$159,$C53,'01'!S$7:S$159)</f>
        <v/>
      </c>
      <c r="R54" s="429">
        <f>SUMIF('09'!$D$7:$D$159,$C53,'09'!T$7:T$159)+SUMIF('10'!$D$7:$D$159,$C53,'10'!T$7:T$159)+SUMIF('11'!$D$7:$D$159,$C53,'11'!T$7:T$159)+SUMIF('12'!$D$7:$D$159,$C53,'12'!T$7:T$159)+SUMIF('01'!$D$7:$D$159,$C53,'01'!T$7:T$159)</f>
        <v/>
      </c>
      <c r="S54" s="427">
        <f>SUMIF('09'!$D$7:$D$159,$C53,'09'!U$7:U$159)+SUMIF('10'!$D$7:$D$159,$C53,'10'!U$7:U$159)+SUMIF('11'!$D$7:$D$159,$C53,'11'!U$7:U$159)+SUMIF('12'!$D$7:$D$159,$C53,'12'!U$7:U$159)+SUMIF('01'!$D$7:$D$159,$C53,'01'!U$7:U$159)</f>
        <v/>
      </c>
      <c r="T54" s="428">
        <f>SUMIF('09'!$D$7:$D$159,$C53,'09'!V$7:V$159)+SUMIF('10'!$D$7:$D$159,$C53,'10'!V$7:V$159)+SUMIF('11'!$D$7:$D$159,$C53,'11'!V$7:V$159)+SUMIF('12'!$D$7:$D$159,$C53,'12'!V$7:V$159)+SUMIF('01'!$D$7:$D$159,$C53,'01'!V$7:V$159)</f>
        <v/>
      </c>
      <c r="U54" s="430">
        <f>SUMIF('09'!$D$7:$D$159,$C53,'09'!W$7:W$159)+SUMIF('10'!$D$7:$D$159,$C53,'10'!W$7:W$159)+SUMIF('11'!$D$7:$D$159,$C53,'11'!W$7:W$159)+SUMIF('12'!$D$7:$D$159,$C53,'12'!W$7:W$159)+SUMIF('01'!$D$7:$D$159,$C53,'01'!W$7:W$159)</f>
        <v/>
      </c>
      <c r="V54" s="429">
        <f>SUMIF('09'!$D$7:$D$159,$C53,'09'!X$7:X$159)+SUMIF('10'!$D$7:$D$159,$C53,'10'!X$7:X$159)+SUMIF('11'!$D$7:$D$159,$C53,'11'!X$7:X$159)+SUMIF('12'!$D$7:$D$159,$C53,'12'!X$7:X$159)+SUMIF('01'!$D$7:$D$159,$C53,'01'!X$7:X$159)</f>
        <v/>
      </c>
      <c r="W54" s="429">
        <f>SUMIF('09'!$D$7:$D$159,$C53,'09'!Y$7:Y$159)+SUMIF('10'!$D$7:$D$159,$C53,'10'!Y$7:Y$159)+SUMIF('11'!$D$7:$D$159,$C53,'11'!Y$7:Y$159)+SUMIF('12'!$D$7:$D$159,$C53,'12'!Y$7:Y$159)+SUMIF('01'!$D$7:$D$159,$C53,'01'!Y$7:Y$159)</f>
        <v/>
      </c>
      <c r="X54" s="431">
        <f>SUM(J54:W54)</f>
        <v/>
      </c>
      <c r="Y54" s="413" t="n"/>
      <c r="Z54" s="432" t="n"/>
    </row>
    <row r="55" ht="14.25" customHeight="1" s="296">
      <c r="A55" s="154">
        <f>IF(OR(C55="0",COUNTIF(КлючОсень,C55)&gt;1),0,MATCH(F55,ВидыНагр,0))</f>
        <v/>
      </c>
      <c r="B55" s="154">
        <f>(COUNTA(D55:F56,J55:W55,H55:I56)=0)</f>
        <v/>
      </c>
      <c r="C55" s="155">
        <f>IF(OR(TRIM(D55)="",COUNTIF(ВидыНагр,F55)&lt;&gt;1),"0",CONCATENATE("$",TRIM(D55),"$",TRIM(E55),"$",F55,"$"))</f>
        <v/>
      </c>
      <c r="D55" s="415" t="n"/>
      <c r="E55" s="416" t="n"/>
      <c r="F55" s="417" t="n"/>
      <c r="G55" s="156" t="inlineStr">
        <is>
          <t>план</t>
        </is>
      </c>
      <c r="H55" s="157" t="n"/>
      <c r="I55" s="158" t="n"/>
      <c r="J55" s="418" t="n"/>
      <c r="K55" s="419" t="n"/>
      <c r="L55" s="420" t="n"/>
      <c r="M55" s="418" t="n"/>
      <c r="N55" s="419" t="n"/>
      <c r="O55" s="420" t="n"/>
      <c r="P55" s="418" t="n"/>
      <c r="Q55" s="419" t="n"/>
      <c r="R55" s="420" t="n"/>
      <c r="S55" s="418" t="n"/>
      <c r="T55" s="419" t="n"/>
      <c r="U55" s="421" t="n"/>
      <c r="V55" s="420" t="n"/>
      <c r="W55" s="420" t="n"/>
      <c r="X55" s="422">
        <f>SUM(J55:W55)</f>
        <v/>
      </c>
      <c r="Y55" s="423">
        <f>X56-X55</f>
        <v/>
      </c>
      <c r="Z55" s="209" t="n"/>
    </row>
    <row r="56" ht="14.25" customHeight="1" s="296">
      <c r="A56" s="154">
        <f>-A55</f>
        <v/>
      </c>
      <c r="B56" s="154">
        <f>B55</f>
        <v/>
      </c>
      <c r="C56" s="163" t="n"/>
      <c r="D56" s="424" t="n"/>
      <c r="E56" s="425" t="n"/>
      <c r="F56" s="426" t="n"/>
      <c r="G56" s="164" t="inlineStr">
        <is>
          <t>факт</t>
        </is>
      </c>
      <c r="H56" s="165" t="n"/>
      <c r="I56" s="250" t="n"/>
      <c r="J56" s="427">
        <f>SUMIF('09'!$D$7:$D$159,$C55,'09'!L$7:L$159)+SUMIF('10'!$D$7:$D$159,$C55,'10'!L$7:L$159)+SUMIF('11'!$D$7:$D$159,$C55,'11'!L$7:L$159)+SUMIF('12'!$D$7:$D$159,$C55,'12'!L$7:L$159)+SUMIF('01'!$D$7:$D$159,$C55,'01'!L$7:L$159)</f>
        <v/>
      </c>
      <c r="K56" s="428">
        <f>SUMIF('09'!$D$7:$D$159,$C55,'09'!M$7:M$159)+SUMIF('10'!$D$7:$D$159,$C55,'10'!M$7:M$159)+SUMIF('11'!$D$7:$D$159,$C55,'11'!M$7:M$159)+SUMIF('12'!$D$7:$D$159,$C55,'12'!M$7:M$159)+SUMIF('01'!$D$7:$D$159,$C55,'01'!M$7:M$159)</f>
        <v/>
      </c>
      <c r="L56" s="429">
        <f>SUMIF('09'!$D$7:$D$159,$C55,'09'!N$7:N$159)+SUMIF('10'!$D$7:$D$159,$C55,'10'!N$7:N$159)+SUMIF('11'!$D$7:$D$159,$C55,'11'!N$7:N$159)+SUMIF('12'!$D$7:$D$159,$C55,'12'!N$7:N$159)+SUMIF('01'!$D$7:$D$159,$C55,'01'!N$7:N$159)</f>
        <v/>
      </c>
      <c r="M56" s="427">
        <f>SUMIF('09'!$D$7:$D$159,$C55,'09'!O$7:O$159)+SUMIF('10'!$D$7:$D$159,$C55,'10'!O$7:O$159)+SUMIF('11'!$D$7:$D$159,$C55,'11'!O$7:O$159)+SUMIF('12'!$D$7:$D$159,$C55,'12'!O$7:O$159)+SUMIF('01'!$D$7:$D$159,$C55,'01'!O$7:O$159)</f>
        <v/>
      </c>
      <c r="N56" s="428">
        <f>SUMIF('09'!$D$7:$D$159,$C55,'09'!P$7:P$159)+SUMIF('10'!$D$7:$D$159,$C55,'10'!P$7:P$159)+SUMIF('11'!$D$7:$D$159,$C55,'11'!P$7:P$159)+SUMIF('12'!$D$7:$D$159,$C55,'12'!P$7:P$159)+SUMIF('01'!$D$7:$D$159,$C55,'01'!P$7:P$159)</f>
        <v/>
      </c>
      <c r="O56" s="429">
        <f>SUMIF('09'!$D$7:$D$159,$C55,'09'!Q$7:Q$159)+SUMIF('10'!$D$7:$D$159,$C55,'10'!Q$7:Q$159)+SUMIF('11'!$D$7:$D$159,$C55,'11'!Q$7:Q$159)+SUMIF('12'!$D$7:$D$159,$C55,'12'!Q$7:Q$159)+SUMIF('01'!$D$7:$D$159,$C55,'01'!Q$7:Q$159)</f>
        <v/>
      </c>
      <c r="P56" s="427">
        <f>SUMIF('09'!$D$7:$D$159,$C55,'09'!R$7:R$159)+SUMIF('10'!$D$7:$D$159,$C55,'10'!R$7:R$159)+SUMIF('11'!$D$7:$D$159,$C55,'11'!R$7:R$159)+SUMIF('12'!$D$7:$D$159,$C55,'12'!R$7:R$159)+SUMIF('01'!$D$7:$D$159,$C55,'01'!R$7:R$159)</f>
        <v/>
      </c>
      <c r="Q56" s="428">
        <f>SUMIF('09'!$D$7:$D$159,$C55,'09'!S$7:S$159)+SUMIF('10'!$D$7:$D$159,$C55,'10'!S$7:S$159)+SUMIF('11'!$D$7:$D$159,$C55,'11'!S$7:S$159)+SUMIF('12'!$D$7:$D$159,$C55,'12'!S$7:S$159)+SUMIF('01'!$D$7:$D$159,$C55,'01'!S$7:S$159)</f>
        <v/>
      </c>
      <c r="R56" s="429">
        <f>SUMIF('09'!$D$7:$D$159,$C55,'09'!T$7:T$159)+SUMIF('10'!$D$7:$D$159,$C55,'10'!T$7:T$159)+SUMIF('11'!$D$7:$D$159,$C55,'11'!T$7:T$159)+SUMIF('12'!$D$7:$D$159,$C55,'12'!T$7:T$159)+SUMIF('01'!$D$7:$D$159,$C55,'01'!T$7:T$159)</f>
        <v/>
      </c>
      <c r="S56" s="427">
        <f>SUMIF('09'!$D$7:$D$159,$C55,'09'!U$7:U$159)+SUMIF('10'!$D$7:$D$159,$C55,'10'!U$7:U$159)+SUMIF('11'!$D$7:$D$159,$C55,'11'!U$7:U$159)+SUMIF('12'!$D$7:$D$159,$C55,'12'!U$7:U$159)+SUMIF('01'!$D$7:$D$159,$C55,'01'!U$7:U$159)</f>
        <v/>
      </c>
      <c r="T56" s="428">
        <f>SUMIF('09'!$D$7:$D$159,$C55,'09'!V$7:V$159)+SUMIF('10'!$D$7:$D$159,$C55,'10'!V$7:V$159)+SUMIF('11'!$D$7:$D$159,$C55,'11'!V$7:V$159)+SUMIF('12'!$D$7:$D$159,$C55,'12'!V$7:V$159)+SUMIF('01'!$D$7:$D$159,$C55,'01'!V$7:V$159)</f>
        <v/>
      </c>
      <c r="U56" s="430">
        <f>SUMIF('09'!$D$7:$D$159,$C55,'09'!W$7:W$159)+SUMIF('10'!$D$7:$D$159,$C55,'10'!W$7:W$159)+SUMIF('11'!$D$7:$D$159,$C55,'11'!W$7:W$159)+SUMIF('12'!$D$7:$D$159,$C55,'12'!W$7:W$159)+SUMIF('01'!$D$7:$D$159,$C55,'01'!W$7:W$159)</f>
        <v/>
      </c>
      <c r="V56" s="429">
        <f>SUMIF('09'!$D$7:$D$159,$C55,'09'!X$7:X$159)+SUMIF('10'!$D$7:$D$159,$C55,'10'!X$7:X$159)+SUMIF('11'!$D$7:$D$159,$C55,'11'!X$7:X$159)+SUMIF('12'!$D$7:$D$159,$C55,'12'!X$7:X$159)+SUMIF('01'!$D$7:$D$159,$C55,'01'!X$7:X$159)</f>
        <v/>
      </c>
      <c r="W56" s="429">
        <f>SUMIF('09'!$D$7:$D$159,$C55,'09'!Y$7:Y$159)+SUMIF('10'!$D$7:$D$159,$C55,'10'!Y$7:Y$159)+SUMIF('11'!$D$7:$D$159,$C55,'11'!Y$7:Y$159)+SUMIF('12'!$D$7:$D$159,$C55,'12'!Y$7:Y$159)+SUMIF('01'!$D$7:$D$159,$C55,'01'!Y$7:Y$159)</f>
        <v/>
      </c>
      <c r="X56" s="431">
        <f>SUM(J56:W56)</f>
        <v/>
      </c>
      <c r="Y56" s="413" t="n"/>
      <c r="Z56" s="432" t="n"/>
    </row>
    <row r="57" ht="14.25" customHeight="1" s="296">
      <c r="A57" s="154">
        <f>IF(OR(C57="0",COUNTIF(КлючОсень,C57)&gt;1),0,MATCH(F57,ВидыНагр,0))</f>
        <v/>
      </c>
      <c r="B57" s="154">
        <f>(COUNTA(D57:F58,J57:W57,H57:I58)=0)</f>
        <v/>
      </c>
      <c r="C57" s="155">
        <f>IF(OR(TRIM(D57)="",COUNTIF(ВидыНагр,F57)&lt;&gt;1),"0",CONCATENATE("$",TRIM(D57),"$",TRIM(E57),"$",F57,"$"))</f>
        <v/>
      </c>
      <c r="D57" s="415" t="n"/>
      <c r="E57" s="416" t="n"/>
      <c r="F57" s="417" t="n"/>
      <c r="G57" s="156" t="inlineStr">
        <is>
          <t>план</t>
        </is>
      </c>
      <c r="H57" s="157" t="n"/>
      <c r="I57" s="158" t="n"/>
      <c r="J57" s="418" t="n"/>
      <c r="K57" s="419" t="n"/>
      <c r="L57" s="420" t="n"/>
      <c r="M57" s="418" t="n"/>
      <c r="N57" s="419" t="n"/>
      <c r="O57" s="420" t="n"/>
      <c r="P57" s="418" t="n"/>
      <c r="Q57" s="419" t="n"/>
      <c r="R57" s="420" t="n"/>
      <c r="S57" s="418" t="n"/>
      <c r="T57" s="419" t="n"/>
      <c r="U57" s="421" t="n"/>
      <c r="V57" s="420" t="n"/>
      <c r="W57" s="420" t="n"/>
      <c r="X57" s="422">
        <f>SUM(J57:W57)</f>
        <v/>
      </c>
      <c r="Y57" s="423">
        <f>X58-X57</f>
        <v/>
      </c>
      <c r="Z57" s="209" t="n"/>
    </row>
    <row r="58" ht="14.25" customHeight="1" s="296">
      <c r="A58" s="154">
        <f>-A57</f>
        <v/>
      </c>
      <c r="B58" s="154">
        <f>B57</f>
        <v/>
      </c>
      <c r="C58" s="163" t="n"/>
      <c r="D58" s="424" t="n"/>
      <c r="E58" s="425" t="n"/>
      <c r="F58" s="426" t="n"/>
      <c r="G58" s="164" t="inlineStr">
        <is>
          <t>факт</t>
        </is>
      </c>
      <c r="H58" s="165" t="n"/>
      <c r="I58" s="250" t="n"/>
      <c r="J58" s="427">
        <f>SUMIF('09'!$D$7:$D$159,$C57,'09'!L$7:L$159)+SUMIF('10'!$D$7:$D$159,$C57,'10'!L$7:L$159)+SUMIF('11'!$D$7:$D$159,$C57,'11'!L$7:L$159)+SUMIF('12'!$D$7:$D$159,$C57,'12'!L$7:L$159)+SUMIF('01'!$D$7:$D$159,$C57,'01'!L$7:L$159)</f>
        <v/>
      </c>
      <c r="K58" s="428">
        <f>SUMIF('09'!$D$7:$D$159,$C57,'09'!M$7:M$159)+SUMIF('10'!$D$7:$D$159,$C57,'10'!M$7:M$159)+SUMIF('11'!$D$7:$D$159,$C57,'11'!M$7:M$159)+SUMIF('12'!$D$7:$D$159,$C57,'12'!M$7:M$159)+SUMIF('01'!$D$7:$D$159,$C57,'01'!M$7:M$159)</f>
        <v/>
      </c>
      <c r="L58" s="429">
        <f>SUMIF('09'!$D$7:$D$159,$C57,'09'!N$7:N$159)+SUMIF('10'!$D$7:$D$159,$C57,'10'!N$7:N$159)+SUMIF('11'!$D$7:$D$159,$C57,'11'!N$7:N$159)+SUMIF('12'!$D$7:$D$159,$C57,'12'!N$7:N$159)+SUMIF('01'!$D$7:$D$159,$C57,'01'!N$7:N$159)</f>
        <v/>
      </c>
      <c r="M58" s="427">
        <f>SUMIF('09'!$D$7:$D$159,$C57,'09'!O$7:O$159)+SUMIF('10'!$D$7:$D$159,$C57,'10'!O$7:O$159)+SUMIF('11'!$D$7:$D$159,$C57,'11'!O$7:O$159)+SUMIF('12'!$D$7:$D$159,$C57,'12'!O$7:O$159)+SUMIF('01'!$D$7:$D$159,$C57,'01'!O$7:O$159)</f>
        <v/>
      </c>
      <c r="N58" s="428">
        <f>SUMIF('09'!$D$7:$D$159,$C57,'09'!P$7:P$159)+SUMIF('10'!$D$7:$D$159,$C57,'10'!P$7:P$159)+SUMIF('11'!$D$7:$D$159,$C57,'11'!P$7:P$159)+SUMIF('12'!$D$7:$D$159,$C57,'12'!P$7:P$159)+SUMIF('01'!$D$7:$D$159,$C57,'01'!P$7:P$159)</f>
        <v/>
      </c>
      <c r="O58" s="429">
        <f>SUMIF('09'!$D$7:$D$159,$C57,'09'!Q$7:Q$159)+SUMIF('10'!$D$7:$D$159,$C57,'10'!Q$7:Q$159)+SUMIF('11'!$D$7:$D$159,$C57,'11'!Q$7:Q$159)+SUMIF('12'!$D$7:$D$159,$C57,'12'!Q$7:Q$159)+SUMIF('01'!$D$7:$D$159,$C57,'01'!Q$7:Q$159)</f>
        <v/>
      </c>
      <c r="P58" s="427">
        <f>SUMIF('09'!$D$7:$D$159,$C57,'09'!R$7:R$159)+SUMIF('10'!$D$7:$D$159,$C57,'10'!R$7:R$159)+SUMIF('11'!$D$7:$D$159,$C57,'11'!R$7:R$159)+SUMIF('12'!$D$7:$D$159,$C57,'12'!R$7:R$159)+SUMIF('01'!$D$7:$D$159,$C57,'01'!R$7:R$159)</f>
        <v/>
      </c>
      <c r="Q58" s="428">
        <f>SUMIF('09'!$D$7:$D$159,$C57,'09'!S$7:S$159)+SUMIF('10'!$D$7:$D$159,$C57,'10'!S$7:S$159)+SUMIF('11'!$D$7:$D$159,$C57,'11'!S$7:S$159)+SUMIF('12'!$D$7:$D$159,$C57,'12'!S$7:S$159)+SUMIF('01'!$D$7:$D$159,$C57,'01'!S$7:S$159)</f>
        <v/>
      </c>
      <c r="R58" s="429">
        <f>SUMIF('09'!$D$7:$D$159,$C57,'09'!T$7:T$159)+SUMIF('10'!$D$7:$D$159,$C57,'10'!T$7:T$159)+SUMIF('11'!$D$7:$D$159,$C57,'11'!T$7:T$159)+SUMIF('12'!$D$7:$D$159,$C57,'12'!T$7:T$159)+SUMIF('01'!$D$7:$D$159,$C57,'01'!T$7:T$159)</f>
        <v/>
      </c>
      <c r="S58" s="427">
        <f>SUMIF('09'!$D$7:$D$159,$C57,'09'!U$7:U$159)+SUMIF('10'!$D$7:$D$159,$C57,'10'!U$7:U$159)+SUMIF('11'!$D$7:$D$159,$C57,'11'!U$7:U$159)+SUMIF('12'!$D$7:$D$159,$C57,'12'!U$7:U$159)+SUMIF('01'!$D$7:$D$159,$C57,'01'!U$7:U$159)</f>
        <v/>
      </c>
      <c r="T58" s="428">
        <f>SUMIF('09'!$D$7:$D$159,$C57,'09'!V$7:V$159)+SUMIF('10'!$D$7:$D$159,$C57,'10'!V$7:V$159)+SUMIF('11'!$D$7:$D$159,$C57,'11'!V$7:V$159)+SUMIF('12'!$D$7:$D$159,$C57,'12'!V$7:V$159)+SUMIF('01'!$D$7:$D$159,$C57,'01'!V$7:V$159)</f>
        <v/>
      </c>
      <c r="U58" s="430">
        <f>SUMIF('09'!$D$7:$D$159,$C57,'09'!W$7:W$159)+SUMIF('10'!$D$7:$D$159,$C57,'10'!W$7:W$159)+SUMIF('11'!$D$7:$D$159,$C57,'11'!W$7:W$159)+SUMIF('12'!$D$7:$D$159,$C57,'12'!W$7:W$159)+SUMIF('01'!$D$7:$D$159,$C57,'01'!W$7:W$159)</f>
        <v/>
      </c>
      <c r="V58" s="429">
        <f>SUMIF('09'!$D$7:$D$159,$C57,'09'!X$7:X$159)+SUMIF('10'!$D$7:$D$159,$C57,'10'!X$7:X$159)+SUMIF('11'!$D$7:$D$159,$C57,'11'!X$7:X$159)+SUMIF('12'!$D$7:$D$159,$C57,'12'!X$7:X$159)+SUMIF('01'!$D$7:$D$159,$C57,'01'!X$7:X$159)</f>
        <v/>
      </c>
      <c r="W58" s="429">
        <f>SUMIF('09'!$D$7:$D$159,$C57,'09'!Y$7:Y$159)+SUMIF('10'!$D$7:$D$159,$C57,'10'!Y$7:Y$159)+SUMIF('11'!$D$7:$D$159,$C57,'11'!Y$7:Y$159)+SUMIF('12'!$D$7:$D$159,$C57,'12'!Y$7:Y$159)+SUMIF('01'!$D$7:$D$159,$C57,'01'!Y$7:Y$159)</f>
        <v/>
      </c>
      <c r="X58" s="431">
        <f>SUM(J58:W58)</f>
        <v/>
      </c>
      <c r="Y58" s="413" t="n"/>
      <c r="Z58" s="432" t="n"/>
    </row>
    <row r="59" ht="14.25" customHeight="1" s="296">
      <c r="A59" s="154">
        <f>IF(OR(C59="0",COUNTIF(КлючОсень,C59)&gt;1),0,MATCH(F59,ВидыНагр,0))</f>
        <v/>
      </c>
      <c r="B59" s="154">
        <f>(COUNTA(D59:F60,J59:W59,H59:I60)=0)</f>
        <v/>
      </c>
      <c r="C59" s="155">
        <f>IF(OR(TRIM(D59)="",COUNTIF(ВидыНагр,F59)&lt;&gt;1),"0",CONCATENATE("$",TRIM(D59),"$",TRIM(E59),"$",F59,"$"))</f>
        <v/>
      </c>
      <c r="D59" s="415" t="n"/>
      <c r="E59" s="416" t="n"/>
      <c r="F59" s="417" t="n"/>
      <c r="G59" s="156" t="inlineStr">
        <is>
          <t>план</t>
        </is>
      </c>
      <c r="H59" s="157" t="n"/>
      <c r="I59" s="158" t="n"/>
      <c r="J59" s="418" t="n"/>
      <c r="K59" s="419" t="n"/>
      <c r="L59" s="420" t="n"/>
      <c r="M59" s="418" t="n"/>
      <c r="N59" s="419" t="n"/>
      <c r="O59" s="420" t="n"/>
      <c r="P59" s="418" t="n"/>
      <c r="Q59" s="419" t="n"/>
      <c r="R59" s="420" t="n"/>
      <c r="S59" s="418" t="n"/>
      <c r="T59" s="419" t="n"/>
      <c r="U59" s="421" t="n"/>
      <c r="V59" s="420" t="n"/>
      <c r="W59" s="420" t="n"/>
      <c r="X59" s="422">
        <f>SUM(J59:W59)</f>
        <v/>
      </c>
      <c r="Y59" s="423">
        <f>X60-X59</f>
        <v/>
      </c>
      <c r="Z59" s="209" t="n"/>
    </row>
    <row r="60" ht="14.25" customHeight="1" s="296">
      <c r="A60" s="154">
        <f>-A59</f>
        <v/>
      </c>
      <c r="B60" s="154">
        <f>B59</f>
        <v/>
      </c>
      <c r="C60" s="163" t="n"/>
      <c r="D60" s="424" t="n"/>
      <c r="E60" s="425" t="n"/>
      <c r="F60" s="426" t="n"/>
      <c r="G60" s="164" t="inlineStr">
        <is>
          <t>факт</t>
        </is>
      </c>
      <c r="H60" s="165" t="n"/>
      <c r="I60" s="250" t="n"/>
      <c r="J60" s="427">
        <f>SUMIF('09'!$D$7:$D$159,$C59,'09'!L$7:L$159)+SUMIF('10'!$D$7:$D$159,$C59,'10'!L$7:L$159)+SUMIF('11'!$D$7:$D$159,$C59,'11'!L$7:L$159)+SUMIF('12'!$D$7:$D$159,$C59,'12'!L$7:L$159)+SUMIF('01'!$D$7:$D$159,$C59,'01'!L$7:L$159)</f>
        <v/>
      </c>
      <c r="K60" s="428">
        <f>SUMIF('09'!$D$7:$D$159,$C59,'09'!M$7:M$159)+SUMIF('10'!$D$7:$D$159,$C59,'10'!M$7:M$159)+SUMIF('11'!$D$7:$D$159,$C59,'11'!M$7:M$159)+SUMIF('12'!$D$7:$D$159,$C59,'12'!M$7:M$159)+SUMIF('01'!$D$7:$D$159,$C59,'01'!M$7:M$159)</f>
        <v/>
      </c>
      <c r="L60" s="429">
        <f>SUMIF('09'!$D$7:$D$159,$C59,'09'!N$7:N$159)+SUMIF('10'!$D$7:$D$159,$C59,'10'!N$7:N$159)+SUMIF('11'!$D$7:$D$159,$C59,'11'!N$7:N$159)+SUMIF('12'!$D$7:$D$159,$C59,'12'!N$7:N$159)+SUMIF('01'!$D$7:$D$159,$C59,'01'!N$7:N$159)</f>
        <v/>
      </c>
      <c r="M60" s="427">
        <f>SUMIF('09'!$D$7:$D$159,$C59,'09'!O$7:O$159)+SUMIF('10'!$D$7:$D$159,$C59,'10'!O$7:O$159)+SUMIF('11'!$D$7:$D$159,$C59,'11'!O$7:O$159)+SUMIF('12'!$D$7:$D$159,$C59,'12'!O$7:O$159)+SUMIF('01'!$D$7:$D$159,$C59,'01'!O$7:O$159)</f>
        <v/>
      </c>
      <c r="N60" s="428">
        <f>SUMIF('09'!$D$7:$D$159,$C59,'09'!P$7:P$159)+SUMIF('10'!$D$7:$D$159,$C59,'10'!P$7:P$159)+SUMIF('11'!$D$7:$D$159,$C59,'11'!P$7:P$159)+SUMIF('12'!$D$7:$D$159,$C59,'12'!P$7:P$159)+SUMIF('01'!$D$7:$D$159,$C59,'01'!P$7:P$159)</f>
        <v/>
      </c>
      <c r="O60" s="429">
        <f>SUMIF('09'!$D$7:$D$159,$C59,'09'!Q$7:Q$159)+SUMIF('10'!$D$7:$D$159,$C59,'10'!Q$7:Q$159)+SUMIF('11'!$D$7:$D$159,$C59,'11'!Q$7:Q$159)+SUMIF('12'!$D$7:$D$159,$C59,'12'!Q$7:Q$159)+SUMIF('01'!$D$7:$D$159,$C59,'01'!Q$7:Q$159)</f>
        <v/>
      </c>
      <c r="P60" s="427">
        <f>SUMIF('09'!$D$7:$D$159,$C59,'09'!R$7:R$159)+SUMIF('10'!$D$7:$D$159,$C59,'10'!R$7:R$159)+SUMIF('11'!$D$7:$D$159,$C59,'11'!R$7:R$159)+SUMIF('12'!$D$7:$D$159,$C59,'12'!R$7:R$159)+SUMIF('01'!$D$7:$D$159,$C59,'01'!R$7:R$159)</f>
        <v/>
      </c>
      <c r="Q60" s="428">
        <f>SUMIF('09'!$D$7:$D$159,$C59,'09'!S$7:S$159)+SUMIF('10'!$D$7:$D$159,$C59,'10'!S$7:S$159)+SUMIF('11'!$D$7:$D$159,$C59,'11'!S$7:S$159)+SUMIF('12'!$D$7:$D$159,$C59,'12'!S$7:S$159)+SUMIF('01'!$D$7:$D$159,$C59,'01'!S$7:S$159)</f>
        <v/>
      </c>
      <c r="R60" s="429">
        <f>SUMIF('09'!$D$7:$D$159,$C59,'09'!T$7:T$159)+SUMIF('10'!$D$7:$D$159,$C59,'10'!T$7:T$159)+SUMIF('11'!$D$7:$D$159,$C59,'11'!T$7:T$159)+SUMIF('12'!$D$7:$D$159,$C59,'12'!T$7:T$159)+SUMIF('01'!$D$7:$D$159,$C59,'01'!T$7:T$159)</f>
        <v/>
      </c>
      <c r="S60" s="427">
        <f>SUMIF('09'!$D$7:$D$159,$C59,'09'!U$7:U$159)+SUMIF('10'!$D$7:$D$159,$C59,'10'!U$7:U$159)+SUMIF('11'!$D$7:$D$159,$C59,'11'!U$7:U$159)+SUMIF('12'!$D$7:$D$159,$C59,'12'!U$7:U$159)+SUMIF('01'!$D$7:$D$159,$C59,'01'!U$7:U$159)</f>
        <v/>
      </c>
      <c r="T60" s="428">
        <f>SUMIF('09'!$D$7:$D$159,$C59,'09'!V$7:V$159)+SUMIF('10'!$D$7:$D$159,$C59,'10'!V$7:V$159)+SUMIF('11'!$D$7:$D$159,$C59,'11'!V$7:V$159)+SUMIF('12'!$D$7:$D$159,$C59,'12'!V$7:V$159)+SUMIF('01'!$D$7:$D$159,$C59,'01'!V$7:V$159)</f>
        <v/>
      </c>
      <c r="U60" s="430">
        <f>SUMIF('09'!$D$7:$D$159,$C59,'09'!W$7:W$159)+SUMIF('10'!$D$7:$D$159,$C59,'10'!W$7:W$159)+SUMIF('11'!$D$7:$D$159,$C59,'11'!W$7:W$159)+SUMIF('12'!$D$7:$D$159,$C59,'12'!W$7:W$159)+SUMIF('01'!$D$7:$D$159,$C59,'01'!W$7:W$159)</f>
        <v/>
      </c>
      <c r="V60" s="429">
        <f>SUMIF('09'!$D$7:$D$159,$C59,'09'!X$7:X$159)+SUMIF('10'!$D$7:$D$159,$C59,'10'!X$7:X$159)+SUMIF('11'!$D$7:$D$159,$C59,'11'!X$7:X$159)+SUMIF('12'!$D$7:$D$159,$C59,'12'!X$7:X$159)+SUMIF('01'!$D$7:$D$159,$C59,'01'!X$7:X$159)</f>
        <v/>
      </c>
      <c r="W60" s="429">
        <f>SUMIF('09'!$D$7:$D$159,$C59,'09'!Y$7:Y$159)+SUMIF('10'!$D$7:$D$159,$C59,'10'!Y$7:Y$159)+SUMIF('11'!$D$7:$D$159,$C59,'11'!Y$7:Y$159)+SUMIF('12'!$D$7:$D$159,$C59,'12'!Y$7:Y$159)+SUMIF('01'!$D$7:$D$159,$C59,'01'!Y$7:Y$159)</f>
        <v/>
      </c>
      <c r="X60" s="431">
        <f>SUM(J60:W60)</f>
        <v/>
      </c>
      <c r="Y60" s="413" t="n"/>
      <c r="Z60" s="432" t="n"/>
    </row>
    <row r="61" ht="14.25" customHeight="1" s="296">
      <c r="A61" s="154">
        <f>IF(OR(C61="0",COUNTIF(КлючОсень,C61)&gt;1),0,MATCH(F61,ВидыНагр,0))</f>
        <v/>
      </c>
      <c r="B61" s="154">
        <f>(COUNTA(D61:F62,J61:W61,H61:I62)=0)</f>
        <v/>
      </c>
      <c r="C61" s="155">
        <f>IF(OR(TRIM(D61)="",COUNTIF(ВидыНагр,F61)&lt;&gt;1),"0",CONCATENATE("$",TRIM(D61),"$",TRIM(E61),"$",F61,"$"))</f>
        <v/>
      </c>
      <c r="D61" s="415" t="n"/>
      <c r="E61" s="416" t="n"/>
      <c r="F61" s="417" t="n"/>
      <c r="G61" s="156" t="inlineStr">
        <is>
          <t>план</t>
        </is>
      </c>
      <c r="H61" s="157" t="n"/>
      <c r="I61" s="158" t="n"/>
      <c r="J61" s="418" t="n"/>
      <c r="K61" s="419" t="n"/>
      <c r="L61" s="420" t="n"/>
      <c r="M61" s="418" t="n"/>
      <c r="N61" s="419" t="n"/>
      <c r="O61" s="420" t="n"/>
      <c r="P61" s="418" t="n"/>
      <c r="Q61" s="419" t="n"/>
      <c r="R61" s="420" t="n"/>
      <c r="S61" s="418" t="n"/>
      <c r="T61" s="419" t="n"/>
      <c r="U61" s="421" t="n"/>
      <c r="V61" s="420" t="n"/>
      <c r="W61" s="420" t="n"/>
      <c r="X61" s="422">
        <f>SUM(J61:W61)</f>
        <v/>
      </c>
      <c r="Y61" s="423">
        <f>X62-X61</f>
        <v/>
      </c>
      <c r="Z61" s="209" t="n"/>
    </row>
    <row r="62" ht="14.25" customHeight="1" s="296">
      <c r="A62" s="154">
        <f>-A61</f>
        <v/>
      </c>
      <c r="B62" s="154">
        <f>B61</f>
        <v/>
      </c>
      <c r="C62" s="163" t="n"/>
      <c r="D62" s="424" t="n"/>
      <c r="E62" s="425" t="n"/>
      <c r="F62" s="426" t="n"/>
      <c r="G62" s="164" t="inlineStr">
        <is>
          <t>факт</t>
        </is>
      </c>
      <c r="H62" s="165" t="n"/>
      <c r="I62" s="250" t="n"/>
      <c r="J62" s="427">
        <f>SUMIF('09'!$D$7:$D$159,$C61,'09'!L$7:L$159)+SUMIF('10'!$D$7:$D$159,$C61,'10'!L$7:L$159)+SUMIF('11'!$D$7:$D$159,$C61,'11'!L$7:L$159)+SUMIF('12'!$D$7:$D$159,$C61,'12'!L$7:L$159)+SUMIF('01'!$D$7:$D$159,$C61,'01'!L$7:L$159)</f>
        <v/>
      </c>
      <c r="K62" s="428">
        <f>SUMIF('09'!$D$7:$D$159,$C61,'09'!M$7:M$159)+SUMIF('10'!$D$7:$D$159,$C61,'10'!M$7:M$159)+SUMIF('11'!$D$7:$D$159,$C61,'11'!M$7:M$159)+SUMIF('12'!$D$7:$D$159,$C61,'12'!M$7:M$159)+SUMIF('01'!$D$7:$D$159,$C61,'01'!M$7:M$159)</f>
        <v/>
      </c>
      <c r="L62" s="429">
        <f>SUMIF('09'!$D$7:$D$159,$C61,'09'!N$7:N$159)+SUMIF('10'!$D$7:$D$159,$C61,'10'!N$7:N$159)+SUMIF('11'!$D$7:$D$159,$C61,'11'!N$7:N$159)+SUMIF('12'!$D$7:$D$159,$C61,'12'!N$7:N$159)+SUMIF('01'!$D$7:$D$159,$C61,'01'!N$7:N$159)</f>
        <v/>
      </c>
      <c r="M62" s="427">
        <f>SUMIF('09'!$D$7:$D$159,$C61,'09'!O$7:O$159)+SUMIF('10'!$D$7:$D$159,$C61,'10'!O$7:O$159)+SUMIF('11'!$D$7:$D$159,$C61,'11'!O$7:O$159)+SUMIF('12'!$D$7:$D$159,$C61,'12'!O$7:O$159)+SUMIF('01'!$D$7:$D$159,$C61,'01'!O$7:O$159)</f>
        <v/>
      </c>
      <c r="N62" s="428">
        <f>SUMIF('09'!$D$7:$D$159,$C61,'09'!P$7:P$159)+SUMIF('10'!$D$7:$D$159,$C61,'10'!P$7:P$159)+SUMIF('11'!$D$7:$D$159,$C61,'11'!P$7:P$159)+SUMIF('12'!$D$7:$D$159,$C61,'12'!P$7:P$159)+SUMIF('01'!$D$7:$D$159,$C61,'01'!P$7:P$159)</f>
        <v/>
      </c>
      <c r="O62" s="429">
        <f>SUMIF('09'!$D$7:$D$159,$C61,'09'!Q$7:Q$159)+SUMIF('10'!$D$7:$D$159,$C61,'10'!Q$7:Q$159)+SUMIF('11'!$D$7:$D$159,$C61,'11'!Q$7:Q$159)+SUMIF('12'!$D$7:$D$159,$C61,'12'!Q$7:Q$159)+SUMIF('01'!$D$7:$D$159,$C61,'01'!Q$7:Q$159)</f>
        <v/>
      </c>
      <c r="P62" s="427">
        <f>SUMIF('09'!$D$7:$D$159,$C61,'09'!R$7:R$159)+SUMIF('10'!$D$7:$D$159,$C61,'10'!R$7:R$159)+SUMIF('11'!$D$7:$D$159,$C61,'11'!R$7:R$159)+SUMIF('12'!$D$7:$D$159,$C61,'12'!R$7:R$159)+SUMIF('01'!$D$7:$D$159,$C61,'01'!R$7:R$159)</f>
        <v/>
      </c>
      <c r="Q62" s="428">
        <f>SUMIF('09'!$D$7:$D$159,$C61,'09'!S$7:S$159)+SUMIF('10'!$D$7:$D$159,$C61,'10'!S$7:S$159)+SUMIF('11'!$D$7:$D$159,$C61,'11'!S$7:S$159)+SUMIF('12'!$D$7:$D$159,$C61,'12'!S$7:S$159)+SUMIF('01'!$D$7:$D$159,$C61,'01'!S$7:S$159)</f>
        <v/>
      </c>
      <c r="R62" s="429">
        <f>SUMIF('09'!$D$7:$D$159,$C61,'09'!T$7:T$159)+SUMIF('10'!$D$7:$D$159,$C61,'10'!T$7:T$159)+SUMIF('11'!$D$7:$D$159,$C61,'11'!T$7:T$159)+SUMIF('12'!$D$7:$D$159,$C61,'12'!T$7:T$159)+SUMIF('01'!$D$7:$D$159,$C61,'01'!T$7:T$159)</f>
        <v/>
      </c>
      <c r="S62" s="427">
        <f>SUMIF('09'!$D$7:$D$159,$C61,'09'!U$7:U$159)+SUMIF('10'!$D$7:$D$159,$C61,'10'!U$7:U$159)+SUMIF('11'!$D$7:$D$159,$C61,'11'!U$7:U$159)+SUMIF('12'!$D$7:$D$159,$C61,'12'!U$7:U$159)+SUMIF('01'!$D$7:$D$159,$C61,'01'!U$7:U$159)</f>
        <v/>
      </c>
      <c r="T62" s="428">
        <f>SUMIF('09'!$D$7:$D$159,$C61,'09'!V$7:V$159)+SUMIF('10'!$D$7:$D$159,$C61,'10'!V$7:V$159)+SUMIF('11'!$D$7:$D$159,$C61,'11'!V$7:V$159)+SUMIF('12'!$D$7:$D$159,$C61,'12'!V$7:V$159)+SUMIF('01'!$D$7:$D$159,$C61,'01'!V$7:V$159)</f>
        <v/>
      </c>
      <c r="U62" s="430">
        <f>SUMIF('09'!$D$7:$D$159,$C61,'09'!W$7:W$159)+SUMIF('10'!$D$7:$D$159,$C61,'10'!W$7:W$159)+SUMIF('11'!$D$7:$D$159,$C61,'11'!W$7:W$159)+SUMIF('12'!$D$7:$D$159,$C61,'12'!W$7:W$159)+SUMIF('01'!$D$7:$D$159,$C61,'01'!W$7:W$159)</f>
        <v/>
      </c>
      <c r="V62" s="429">
        <f>SUMIF('09'!$D$7:$D$159,$C61,'09'!X$7:X$159)+SUMIF('10'!$D$7:$D$159,$C61,'10'!X$7:X$159)+SUMIF('11'!$D$7:$D$159,$C61,'11'!X$7:X$159)+SUMIF('12'!$D$7:$D$159,$C61,'12'!X$7:X$159)+SUMIF('01'!$D$7:$D$159,$C61,'01'!X$7:X$159)</f>
        <v/>
      </c>
      <c r="W62" s="429">
        <f>SUMIF('09'!$D$7:$D$159,$C61,'09'!Y$7:Y$159)+SUMIF('10'!$D$7:$D$159,$C61,'10'!Y$7:Y$159)+SUMIF('11'!$D$7:$D$159,$C61,'11'!Y$7:Y$159)+SUMIF('12'!$D$7:$D$159,$C61,'12'!Y$7:Y$159)+SUMIF('01'!$D$7:$D$159,$C61,'01'!Y$7:Y$159)</f>
        <v/>
      </c>
      <c r="X62" s="431">
        <f>SUM(J62:W62)</f>
        <v/>
      </c>
      <c r="Y62" s="413" t="n"/>
      <c r="Z62" s="432" t="n"/>
    </row>
    <row r="63" ht="14.25" customHeight="1" s="296">
      <c r="A63" s="154">
        <f>IF(OR(C63="0",COUNTIF(КлючОсень,C63)&gt;1),0,MATCH(F63,ВидыНагр,0))</f>
        <v/>
      </c>
      <c r="B63" s="154">
        <f>(COUNTA(D63:F64,J63:W63,H63:I64)=0)</f>
        <v/>
      </c>
      <c r="C63" s="155">
        <f>IF(OR(TRIM(D63)="",COUNTIF(ВидыНагр,F63)&lt;&gt;1),"0",CONCATENATE("$",TRIM(D63),"$",TRIM(E63),"$",F63,"$"))</f>
        <v/>
      </c>
      <c r="D63" s="415" t="n"/>
      <c r="E63" s="416" t="n"/>
      <c r="F63" s="417" t="n"/>
      <c r="G63" s="156" t="inlineStr">
        <is>
          <t>план</t>
        </is>
      </c>
      <c r="H63" s="157" t="n"/>
      <c r="I63" s="158" t="n"/>
      <c r="J63" s="418" t="n"/>
      <c r="K63" s="419" t="n"/>
      <c r="L63" s="420" t="n"/>
      <c r="M63" s="418" t="n"/>
      <c r="N63" s="419" t="n"/>
      <c r="O63" s="420" t="n"/>
      <c r="P63" s="418" t="n"/>
      <c r="Q63" s="419" t="n"/>
      <c r="R63" s="420" t="n"/>
      <c r="S63" s="418" t="n"/>
      <c r="T63" s="419" t="n"/>
      <c r="U63" s="421" t="n"/>
      <c r="V63" s="420" t="n"/>
      <c r="W63" s="420" t="n"/>
      <c r="X63" s="422">
        <f>SUM(J63:W63)</f>
        <v/>
      </c>
      <c r="Y63" s="423">
        <f>X64-X63</f>
        <v/>
      </c>
      <c r="Z63" s="209" t="n"/>
    </row>
    <row r="64" ht="14.25" customHeight="1" s="296">
      <c r="A64" s="154">
        <f>-A63</f>
        <v/>
      </c>
      <c r="B64" s="154">
        <f>B63</f>
        <v/>
      </c>
      <c r="C64" s="163" t="n"/>
      <c r="D64" s="424" t="n"/>
      <c r="E64" s="425" t="n"/>
      <c r="F64" s="426" t="n"/>
      <c r="G64" s="164" t="inlineStr">
        <is>
          <t>факт</t>
        </is>
      </c>
      <c r="H64" s="165" t="n"/>
      <c r="I64" s="250" t="n"/>
      <c r="J64" s="427">
        <f>SUMIF('09'!$D$7:$D$159,$C63,'09'!L$7:L$159)+SUMIF('10'!$D$7:$D$159,$C63,'10'!L$7:L$159)+SUMIF('11'!$D$7:$D$159,$C63,'11'!L$7:L$159)+SUMIF('12'!$D$7:$D$159,$C63,'12'!L$7:L$159)+SUMIF('01'!$D$7:$D$159,$C63,'01'!L$7:L$159)</f>
        <v/>
      </c>
      <c r="K64" s="428">
        <f>SUMIF('09'!$D$7:$D$159,$C63,'09'!M$7:M$159)+SUMIF('10'!$D$7:$D$159,$C63,'10'!M$7:M$159)+SUMIF('11'!$D$7:$D$159,$C63,'11'!M$7:M$159)+SUMIF('12'!$D$7:$D$159,$C63,'12'!M$7:M$159)+SUMIF('01'!$D$7:$D$159,$C63,'01'!M$7:M$159)</f>
        <v/>
      </c>
      <c r="L64" s="429">
        <f>SUMIF('09'!$D$7:$D$159,$C63,'09'!N$7:N$159)+SUMIF('10'!$D$7:$D$159,$C63,'10'!N$7:N$159)+SUMIF('11'!$D$7:$D$159,$C63,'11'!N$7:N$159)+SUMIF('12'!$D$7:$D$159,$C63,'12'!N$7:N$159)+SUMIF('01'!$D$7:$D$159,$C63,'01'!N$7:N$159)</f>
        <v/>
      </c>
      <c r="M64" s="427">
        <f>SUMIF('09'!$D$7:$D$159,$C63,'09'!O$7:O$159)+SUMIF('10'!$D$7:$D$159,$C63,'10'!O$7:O$159)+SUMIF('11'!$D$7:$D$159,$C63,'11'!O$7:O$159)+SUMIF('12'!$D$7:$D$159,$C63,'12'!O$7:O$159)+SUMIF('01'!$D$7:$D$159,$C63,'01'!O$7:O$159)</f>
        <v/>
      </c>
      <c r="N64" s="428">
        <f>SUMIF('09'!$D$7:$D$159,$C63,'09'!P$7:P$159)+SUMIF('10'!$D$7:$D$159,$C63,'10'!P$7:P$159)+SUMIF('11'!$D$7:$D$159,$C63,'11'!P$7:P$159)+SUMIF('12'!$D$7:$D$159,$C63,'12'!P$7:P$159)+SUMIF('01'!$D$7:$D$159,$C63,'01'!P$7:P$159)</f>
        <v/>
      </c>
      <c r="O64" s="429">
        <f>SUMIF('09'!$D$7:$D$159,$C63,'09'!Q$7:Q$159)+SUMIF('10'!$D$7:$D$159,$C63,'10'!Q$7:Q$159)+SUMIF('11'!$D$7:$D$159,$C63,'11'!Q$7:Q$159)+SUMIF('12'!$D$7:$D$159,$C63,'12'!Q$7:Q$159)+SUMIF('01'!$D$7:$D$159,$C63,'01'!Q$7:Q$159)</f>
        <v/>
      </c>
      <c r="P64" s="427">
        <f>SUMIF('09'!$D$7:$D$159,$C63,'09'!R$7:R$159)+SUMIF('10'!$D$7:$D$159,$C63,'10'!R$7:R$159)+SUMIF('11'!$D$7:$D$159,$C63,'11'!R$7:R$159)+SUMIF('12'!$D$7:$D$159,$C63,'12'!R$7:R$159)+SUMIF('01'!$D$7:$D$159,$C63,'01'!R$7:R$159)</f>
        <v/>
      </c>
      <c r="Q64" s="428">
        <f>SUMIF('09'!$D$7:$D$159,$C63,'09'!S$7:S$159)+SUMIF('10'!$D$7:$D$159,$C63,'10'!S$7:S$159)+SUMIF('11'!$D$7:$D$159,$C63,'11'!S$7:S$159)+SUMIF('12'!$D$7:$D$159,$C63,'12'!S$7:S$159)+SUMIF('01'!$D$7:$D$159,$C63,'01'!S$7:S$159)</f>
        <v/>
      </c>
      <c r="R64" s="429">
        <f>SUMIF('09'!$D$7:$D$159,$C63,'09'!T$7:T$159)+SUMIF('10'!$D$7:$D$159,$C63,'10'!T$7:T$159)+SUMIF('11'!$D$7:$D$159,$C63,'11'!T$7:T$159)+SUMIF('12'!$D$7:$D$159,$C63,'12'!T$7:T$159)+SUMIF('01'!$D$7:$D$159,$C63,'01'!T$7:T$159)</f>
        <v/>
      </c>
      <c r="S64" s="427">
        <f>SUMIF('09'!$D$7:$D$159,$C63,'09'!U$7:U$159)+SUMIF('10'!$D$7:$D$159,$C63,'10'!U$7:U$159)+SUMIF('11'!$D$7:$D$159,$C63,'11'!U$7:U$159)+SUMIF('12'!$D$7:$D$159,$C63,'12'!U$7:U$159)+SUMIF('01'!$D$7:$D$159,$C63,'01'!U$7:U$159)</f>
        <v/>
      </c>
      <c r="T64" s="428">
        <f>SUMIF('09'!$D$7:$D$159,$C63,'09'!V$7:V$159)+SUMIF('10'!$D$7:$D$159,$C63,'10'!V$7:V$159)+SUMIF('11'!$D$7:$D$159,$C63,'11'!V$7:V$159)+SUMIF('12'!$D$7:$D$159,$C63,'12'!V$7:V$159)+SUMIF('01'!$D$7:$D$159,$C63,'01'!V$7:V$159)</f>
        <v/>
      </c>
      <c r="U64" s="430">
        <f>SUMIF('09'!$D$7:$D$159,$C63,'09'!W$7:W$159)+SUMIF('10'!$D$7:$D$159,$C63,'10'!W$7:W$159)+SUMIF('11'!$D$7:$D$159,$C63,'11'!W$7:W$159)+SUMIF('12'!$D$7:$D$159,$C63,'12'!W$7:W$159)+SUMIF('01'!$D$7:$D$159,$C63,'01'!W$7:W$159)</f>
        <v/>
      </c>
      <c r="V64" s="429">
        <f>SUMIF('09'!$D$7:$D$159,$C63,'09'!X$7:X$159)+SUMIF('10'!$D$7:$D$159,$C63,'10'!X$7:X$159)+SUMIF('11'!$D$7:$D$159,$C63,'11'!X$7:X$159)+SUMIF('12'!$D$7:$D$159,$C63,'12'!X$7:X$159)+SUMIF('01'!$D$7:$D$159,$C63,'01'!X$7:X$159)</f>
        <v/>
      </c>
      <c r="W64" s="429">
        <f>SUMIF('09'!$D$7:$D$159,$C63,'09'!Y$7:Y$159)+SUMIF('10'!$D$7:$D$159,$C63,'10'!Y$7:Y$159)+SUMIF('11'!$D$7:$D$159,$C63,'11'!Y$7:Y$159)+SUMIF('12'!$D$7:$D$159,$C63,'12'!Y$7:Y$159)+SUMIF('01'!$D$7:$D$159,$C63,'01'!Y$7:Y$159)</f>
        <v/>
      </c>
      <c r="X64" s="431">
        <f>SUM(J64:W64)</f>
        <v/>
      </c>
      <c r="Y64" s="413" t="n"/>
      <c r="Z64" s="432" t="n"/>
    </row>
    <row r="65" ht="14.25" customHeight="1" s="296">
      <c r="A65" s="154">
        <f>IF(OR(C65="0",COUNTIF(КлючОсень,C65)&gt;1),0,MATCH(F65,ВидыНагр,0))</f>
        <v/>
      </c>
      <c r="B65" s="154">
        <f>(COUNTA(D65:F66,J65:W65,H65:I66)=0)</f>
        <v/>
      </c>
      <c r="C65" s="155">
        <f>IF(OR(TRIM(D65)="",COUNTIF(ВидыНагр,F65)&lt;&gt;1),"0",CONCATENATE("$",TRIM(D65),"$",TRIM(E65),"$",F65,"$"))</f>
        <v/>
      </c>
      <c r="D65" s="415" t="n"/>
      <c r="E65" s="416" t="n"/>
      <c r="F65" s="417" t="n"/>
      <c r="G65" s="156" t="inlineStr">
        <is>
          <t>план</t>
        </is>
      </c>
      <c r="H65" s="157" t="n"/>
      <c r="I65" s="158" t="n"/>
      <c r="J65" s="418" t="n"/>
      <c r="K65" s="419" t="n"/>
      <c r="L65" s="420" t="n"/>
      <c r="M65" s="418" t="n"/>
      <c r="N65" s="419" t="n"/>
      <c r="O65" s="420" t="n"/>
      <c r="P65" s="418" t="n"/>
      <c r="Q65" s="419" t="n"/>
      <c r="R65" s="420" t="n"/>
      <c r="S65" s="418" t="n"/>
      <c r="T65" s="419" t="n"/>
      <c r="U65" s="421" t="n"/>
      <c r="V65" s="420" t="n"/>
      <c r="W65" s="420" t="n"/>
      <c r="X65" s="422">
        <f>SUM(J65:W65)</f>
        <v/>
      </c>
      <c r="Y65" s="423">
        <f>X66-X65</f>
        <v/>
      </c>
      <c r="Z65" s="209" t="n"/>
    </row>
    <row r="66" ht="14.25" customHeight="1" s="296">
      <c r="A66" s="154">
        <f>-A65</f>
        <v/>
      </c>
      <c r="B66" s="154">
        <f>B65</f>
        <v/>
      </c>
      <c r="C66" s="163" t="n"/>
      <c r="D66" s="424" t="n"/>
      <c r="E66" s="425" t="n"/>
      <c r="F66" s="426" t="n"/>
      <c r="G66" s="164" t="inlineStr">
        <is>
          <t>факт</t>
        </is>
      </c>
      <c r="H66" s="165" t="n"/>
      <c r="I66" s="250" t="n"/>
      <c r="J66" s="427">
        <f>SUMIF('09'!$D$7:$D$159,$C65,'09'!L$7:L$159)+SUMIF('10'!$D$7:$D$159,$C65,'10'!L$7:L$159)+SUMIF('11'!$D$7:$D$159,$C65,'11'!L$7:L$159)+SUMIF('12'!$D$7:$D$159,$C65,'12'!L$7:L$159)+SUMIF('01'!$D$7:$D$159,$C65,'01'!L$7:L$159)</f>
        <v/>
      </c>
      <c r="K66" s="428">
        <f>SUMIF('09'!$D$7:$D$159,$C65,'09'!M$7:M$159)+SUMIF('10'!$D$7:$D$159,$C65,'10'!M$7:M$159)+SUMIF('11'!$D$7:$D$159,$C65,'11'!M$7:M$159)+SUMIF('12'!$D$7:$D$159,$C65,'12'!M$7:M$159)+SUMIF('01'!$D$7:$D$159,$C65,'01'!M$7:M$159)</f>
        <v/>
      </c>
      <c r="L66" s="429">
        <f>SUMIF('09'!$D$7:$D$159,$C65,'09'!N$7:N$159)+SUMIF('10'!$D$7:$D$159,$C65,'10'!N$7:N$159)+SUMIF('11'!$D$7:$D$159,$C65,'11'!N$7:N$159)+SUMIF('12'!$D$7:$D$159,$C65,'12'!N$7:N$159)+SUMIF('01'!$D$7:$D$159,$C65,'01'!N$7:N$159)</f>
        <v/>
      </c>
      <c r="M66" s="427">
        <f>SUMIF('09'!$D$7:$D$159,$C65,'09'!O$7:O$159)+SUMIF('10'!$D$7:$D$159,$C65,'10'!O$7:O$159)+SUMIF('11'!$D$7:$D$159,$C65,'11'!O$7:O$159)+SUMIF('12'!$D$7:$D$159,$C65,'12'!O$7:O$159)+SUMIF('01'!$D$7:$D$159,$C65,'01'!O$7:O$159)</f>
        <v/>
      </c>
      <c r="N66" s="428">
        <f>SUMIF('09'!$D$7:$D$159,$C65,'09'!P$7:P$159)+SUMIF('10'!$D$7:$D$159,$C65,'10'!P$7:P$159)+SUMIF('11'!$D$7:$D$159,$C65,'11'!P$7:P$159)+SUMIF('12'!$D$7:$D$159,$C65,'12'!P$7:P$159)+SUMIF('01'!$D$7:$D$159,$C65,'01'!P$7:P$159)</f>
        <v/>
      </c>
      <c r="O66" s="429">
        <f>SUMIF('09'!$D$7:$D$159,$C65,'09'!Q$7:Q$159)+SUMIF('10'!$D$7:$D$159,$C65,'10'!Q$7:Q$159)+SUMIF('11'!$D$7:$D$159,$C65,'11'!Q$7:Q$159)+SUMIF('12'!$D$7:$D$159,$C65,'12'!Q$7:Q$159)+SUMIF('01'!$D$7:$D$159,$C65,'01'!Q$7:Q$159)</f>
        <v/>
      </c>
      <c r="P66" s="427">
        <f>SUMIF('09'!$D$7:$D$159,$C65,'09'!R$7:R$159)+SUMIF('10'!$D$7:$D$159,$C65,'10'!R$7:R$159)+SUMIF('11'!$D$7:$D$159,$C65,'11'!R$7:R$159)+SUMIF('12'!$D$7:$D$159,$C65,'12'!R$7:R$159)+SUMIF('01'!$D$7:$D$159,$C65,'01'!R$7:R$159)</f>
        <v/>
      </c>
      <c r="Q66" s="428">
        <f>SUMIF('09'!$D$7:$D$159,$C65,'09'!S$7:S$159)+SUMIF('10'!$D$7:$D$159,$C65,'10'!S$7:S$159)+SUMIF('11'!$D$7:$D$159,$C65,'11'!S$7:S$159)+SUMIF('12'!$D$7:$D$159,$C65,'12'!S$7:S$159)+SUMIF('01'!$D$7:$D$159,$C65,'01'!S$7:S$159)</f>
        <v/>
      </c>
      <c r="R66" s="429">
        <f>SUMIF('09'!$D$7:$D$159,$C65,'09'!T$7:T$159)+SUMIF('10'!$D$7:$D$159,$C65,'10'!T$7:T$159)+SUMIF('11'!$D$7:$D$159,$C65,'11'!T$7:T$159)+SUMIF('12'!$D$7:$D$159,$C65,'12'!T$7:T$159)+SUMIF('01'!$D$7:$D$159,$C65,'01'!T$7:T$159)</f>
        <v/>
      </c>
      <c r="S66" s="427">
        <f>SUMIF('09'!$D$7:$D$159,$C65,'09'!U$7:U$159)+SUMIF('10'!$D$7:$D$159,$C65,'10'!U$7:U$159)+SUMIF('11'!$D$7:$D$159,$C65,'11'!U$7:U$159)+SUMIF('12'!$D$7:$D$159,$C65,'12'!U$7:U$159)+SUMIF('01'!$D$7:$D$159,$C65,'01'!U$7:U$159)</f>
        <v/>
      </c>
      <c r="T66" s="428">
        <f>SUMIF('09'!$D$7:$D$159,$C65,'09'!V$7:V$159)+SUMIF('10'!$D$7:$D$159,$C65,'10'!V$7:V$159)+SUMIF('11'!$D$7:$D$159,$C65,'11'!V$7:V$159)+SUMIF('12'!$D$7:$D$159,$C65,'12'!V$7:V$159)+SUMIF('01'!$D$7:$D$159,$C65,'01'!V$7:V$159)</f>
        <v/>
      </c>
      <c r="U66" s="430">
        <f>SUMIF('09'!$D$7:$D$159,$C65,'09'!W$7:W$159)+SUMIF('10'!$D$7:$D$159,$C65,'10'!W$7:W$159)+SUMIF('11'!$D$7:$D$159,$C65,'11'!W$7:W$159)+SUMIF('12'!$D$7:$D$159,$C65,'12'!W$7:W$159)+SUMIF('01'!$D$7:$D$159,$C65,'01'!W$7:W$159)</f>
        <v/>
      </c>
      <c r="V66" s="429">
        <f>SUMIF('09'!$D$7:$D$159,$C65,'09'!X$7:X$159)+SUMIF('10'!$D$7:$D$159,$C65,'10'!X$7:X$159)+SUMIF('11'!$D$7:$D$159,$C65,'11'!X$7:X$159)+SUMIF('12'!$D$7:$D$159,$C65,'12'!X$7:X$159)+SUMIF('01'!$D$7:$D$159,$C65,'01'!X$7:X$159)</f>
        <v/>
      </c>
      <c r="W66" s="429">
        <f>SUMIF('09'!$D$7:$D$159,$C65,'09'!Y$7:Y$159)+SUMIF('10'!$D$7:$D$159,$C65,'10'!Y$7:Y$159)+SUMIF('11'!$D$7:$D$159,$C65,'11'!Y$7:Y$159)+SUMIF('12'!$D$7:$D$159,$C65,'12'!Y$7:Y$159)+SUMIF('01'!$D$7:$D$159,$C65,'01'!Y$7:Y$159)</f>
        <v/>
      </c>
      <c r="X66" s="431">
        <f>SUM(J66:W66)</f>
        <v/>
      </c>
      <c r="Y66" s="413" t="n"/>
      <c r="Z66" s="432" t="n"/>
    </row>
    <row r="67" ht="14.25" customHeight="1" s="296">
      <c r="A67" s="154">
        <f>IF(OR(C67="0",COUNTIF(КлючОсень,C67)&gt;1),0,MATCH(F67,ВидыНагр,0))</f>
        <v/>
      </c>
      <c r="B67" s="154">
        <f>(COUNTA(D67:F68,J67:W67,H67:I68)=0)</f>
        <v/>
      </c>
      <c r="C67" s="155">
        <f>IF(OR(TRIM(D67)="",COUNTIF(ВидыНагр,F67)&lt;&gt;1),"0",CONCATENATE("$",TRIM(D67),"$",TRIM(E67),"$",F67,"$"))</f>
        <v/>
      </c>
      <c r="D67" s="415" t="n"/>
      <c r="E67" s="416" t="n"/>
      <c r="F67" s="417" t="n"/>
      <c r="G67" s="156" t="inlineStr">
        <is>
          <t>план</t>
        </is>
      </c>
      <c r="H67" s="157" t="n"/>
      <c r="I67" s="158" t="n"/>
      <c r="J67" s="418" t="n"/>
      <c r="K67" s="419" t="n"/>
      <c r="L67" s="420" t="n"/>
      <c r="M67" s="418" t="n"/>
      <c r="N67" s="419" t="n"/>
      <c r="O67" s="420" t="n"/>
      <c r="P67" s="418" t="n"/>
      <c r="Q67" s="419" t="n"/>
      <c r="R67" s="420" t="n"/>
      <c r="S67" s="418" t="n"/>
      <c r="T67" s="419" t="n"/>
      <c r="U67" s="421" t="n"/>
      <c r="V67" s="420" t="n"/>
      <c r="W67" s="420" t="n"/>
      <c r="X67" s="422">
        <f>SUM(J67:W67)</f>
        <v/>
      </c>
      <c r="Y67" s="423">
        <f>X68-X67</f>
        <v/>
      </c>
      <c r="Z67" s="209" t="n"/>
    </row>
    <row r="68" ht="14.25" customHeight="1" s="296">
      <c r="A68" s="154">
        <f>-A67</f>
        <v/>
      </c>
      <c r="B68" s="154">
        <f>B67</f>
        <v/>
      </c>
      <c r="C68" s="163" t="n"/>
      <c r="D68" s="424" t="n"/>
      <c r="E68" s="425" t="n"/>
      <c r="F68" s="426" t="n"/>
      <c r="G68" s="164" t="inlineStr">
        <is>
          <t>факт</t>
        </is>
      </c>
      <c r="H68" s="165" t="n"/>
      <c r="I68" s="250" t="n"/>
      <c r="J68" s="427">
        <f>SUMIF('09'!$D$7:$D$159,$C67,'09'!L$7:L$159)+SUMIF('10'!$D$7:$D$159,$C67,'10'!L$7:L$159)+SUMIF('11'!$D$7:$D$159,$C67,'11'!L$7:L$159)+SUMIF('12'!$D$7:$D$159,$C67,'12'!L$7:L$159)+SUMIF('01'!$D$7:$D$159,$C67,'01'!L$7:L$159)</f>
        <v/>
      </c>
      <c r="K68" s="428">
        <f>SUMIF('09'!$D$7:$D$159,$C67,'09'!M$7:M$159)+SUMIF('10'!$D$7:$D$159,$C67,'10'!M$7:M$159)+SUMIF('11'!$D$7:$D$159,$C67,'11'!M$7:M$159)+SUMIF('12'!$D$7:$D$159,$C67,'12'!M$7:M$159)+SUMIF('01'!$D$7:$D$159,$C67,'01'!M$7:M$159)</f>
        <v/>
      </c>
      <c r="L68" s="429">
        <f>SUMIF('09'!$D$7:$D$159,$C67,'09'!N$7:N$159)+SUMIF('10'!$D$7:$D$159,$C67,'10'!N$7:N$159)+SUMIF('11'!$D$7:$D$159,$C67,'11'!N$7:N$159)+SUMIF('12'!$D$7:$D$159,$C67,'12'!N$7:N$159)+SUMIF('01'!$D$7:$D$159,$C67,'01'!N$7:N$159)</f>
        <v/>
      </c>
      <c r="M68" s="427">
        <f>SUMIF('09'!$D$7:$D$159,$C67,'09'!O$7:O$159)+SUMIF('10'!$D$7:$D$159,$C67,'10'!O$7:O$159)+SUMIF('11'!$D$7:$D$159,$C67,'11'!O$7:O$159)+SUMIF('12'!$D$7:$D$159,$C67,'12'!O$7:O$159)+SUMIF('01'!$D$7:$D$159,$C67,'01'!O$7:O$159)</f>
        <v/>
      </c>
      <c r="N68" s="428">
        <f>SUMIF('09'!$D$7:$D$159,$C67,'09'!P$7:P$159)+SUMIF('10'!$D$7:$D$159,$C67,'10'!P$7:P$159)+SUMIF('11'!$D$7:$D$159,$C67,'11'!P$7:P$159)+SUMIF('12'!$D$7:$D$159,$C67,'12'!P$7:P$159)+SUMIF('01'!$D$7:$D$159,$C67,'01'!P$7:P$159)</f>
        <v/>
      </c>
      <c r="O68" s="429">
        <f>SUMIF('09'!$D$7:$D$159,$C67,'09'!Q$7:Q$159)+SUMIF('10'!$D$7:$D$159,$C67,'10'!Q$7:Q$159)+SUMIF('11'!$D$7:$D$159,$C67,'11'!Q$7:Q$159)+SUMIF('12'!$D$7:$D$159,$C67,'12'!Q$7:Q$159)+SUMIF('01'!$D$7:$D$159,$C67,'01'!Q$7:Q$159)</f>
        <v/>
      </c>
      <c r="P68" s="427">
        <f>SUMIF('09'!$D$7:$D$159,$C67,'09'!R$7:R$159)+SUMIF('10'!$D$7:$D$159,$C67,'10'!R$7:R$159)+SUMIF('11'!$D$7:$D$159,$C67,'11'!R$7:R$159)+SUMIF('12'!$D$7:$D$159,$C67,'12'!R$7:R$159)+SUMIF('01'!$D$7:$D$159,$C67,'01'!R$7:R$159)</f>
        <v/>
      </c>
      <c r="Q68" s="428">
        <f>SUMIF('09'!$D$7:$D$159,$C67,'09'!S$7:S$159)+SUMIF('10'!$D$7:$D$159,$C67,'10'!S$7:S$159)+SUMIF('11'!$D$7:$D$159,$C67,'11'!S$7:S$159)+SUMIF('12'!$D$7:$D$159,$C67,'12'!S$7:S$159)+SUMIF('01'!$D$7:$D$159,$C67,'01'!S$7:S$159)</f>
        <v/>
      </c>
      <c r="R68" s="429">
        <f>SUMIF('09'!$D$7:$D$159,$C67,'09'!T$7:T$159)+SUMIF('10'!$D$7:$D$159,$C67,'10'!T$7:T$159)+SUMIF('11'!$D$7:$D$159,$C67,'11'!T$7:T$159)+SUMIF('12'!$D$7:$D$159,$C67,'12'!T$7:T$159)+SUMIF('01'!$D$7:$D$159,$C67,'01'!T$7:T$159)</f>
        <v/>
      </c>
      <c r="S68" s="427">
        <f>SUMIF('09'!$D$7:$D$159,$C67,'09'!U$7:U$159)+SUMIF('10'!$D$7:$D$159,$C67,'10'!U$7:U$159)+SUMIF('11'!$D$7:$D$159,$C67,'11'!U$7:U$159)+SUMIF('12'!$D$7:$D$159,$C67,'12'!U$7:U$159)+SUMIF('01'!$D$7:$D$159,$C67,'01'!U$7:U$159)</f>
        <v/>
      </c>
      <c r="T68" s="428">
        <f>SUMIF('09'!$D$7:$D$159,$C67,'09'!V$7:V$159)+SUMIF('10'!$D$7:$D$159,$C67,'10'!V$7:V$159)+SUMIF('11'!$D$7:$D$159,$C67,'11'!V$7:V$159)+SUMIF('12'!$D$7:$D$159,$C67,'12'!V$7:V$159)+SUMIF('01'!$D$7:$D$159,$C67,'01'!V$7:V$159)</f>
        <v/>
      </c>
      <c r="U68" s="430">
        <f>SUMIF('09'!$D$7:$D$159,$C67,'09'!W$7:W$159)+SUMIF('10'!$D$7:$D$159,$C67,'10'!W$7:W$159)+SUMIF('11'!$D$7:$D$159,$C67,'11'!W$7:W$159)+SUMIF('12'!$D$7:$D$159,$C67,'12'!W$7:W$159)+SUMIF('01'!$D$7:$D$159,$C67,'01'!W$7:W$159)</f>
        <v/>
      </c>
      <c r="V68" s="429">
        <f>SUMIF('09'!$D$7:$D$159,$C67,'09'!X$7:X$159)+SUMIF('10'!$D$7:$D$159,$C67,'10'!X$7:X$159)+SUMIF('11'!$D$7:$D$159,$C67,'11'!X$7:X$159)+SUMIF('12'!$D$7:$D$159,$C67,'12'!X$7:X$159)+SUMIF('01'!$D$7:$D$159,$C67,'01'!X$7:X$159)</f>
        <v/>
      </c>
      <c r="W68" s="429">
        <f>SUMIF('09'!$D$7:$D$159,$C67,'09'!Y$7:Y$159)+SUMIF('10'!$D$7:$D$159,$C67,'10'!Y$7:Y$159)+SUMIF('11'!$D$7:$D$159,$C67,'11'!Y$7:Y$159)+SUMIF('12'!$D$7:$D$159,$C67,'12'!Y$7:Y$159)+SUMIF('01'!$D$7:$D$159,$C67,'01'!Y$7:Y$159)</f>
        <v/>
      </c>
      <c r="X68" s="431">
        <f>SUM(J68:W68)</f>
        <v/>
      </c>
      <c r="Y68" s="413" t="n"/>
      <c r="Z68" s="432" t="n"/>
    </row>
    <row r="69" ht="14.25" customHeight="1" s="296">
      <c r="A69" s="154">
        <f>IF(OR(C69="0",COUNTIF(КлючОсень,C69)&gt;1),0,MATCH(F69,ВидыНагр,0))</f>
        <v/>
      </c>
      <c r="B69" s="154">
        <f>(COUNTA(D69:F70,J69:W69,H69:I70)=0)</f>
        <v/>
      </c>
      <c r="C69" s="155">
        <f>IF(OR(TRIM(D69)="",COUNTIF(ВидыНагр,F69)&lt;&gt;1),"0",CONCATENATE("$",TRIM(D69),"$",TRIM(E69),"$",F69,"$"))</f>
        <v/>
      </c>
      <c r="D69" s="415" t="n"/>
      <c r="E69" s="416" t="n"/>
      <c r="F69" s="417" t="n"/>
      <c r="G69" s="156" t="inlineStr">
        <is>
          <t>план</t>
        </is>
      </c>
      <c r="H69" s="157" t="n"/>
      <c r="I69" s="158" t="n"/>
      <c r="J69" s="418" t="n"/>
      <c r="K69" s="419" t="n"/>
      <c r="L69" s="420" t="n"/>
      <c r="M69" s="418" t="n"/>
      <c r="N69" s="419" t="n"/>
      <c r="O69" s="420" t="n"/>
      <c r="P69" s="418" t="n"/>
      <c r="Q69" s="419" t="n"/>
      <c r="R69" s="420" t="n"/>
      <c r="S69" s="418" t="n"/>
      <c r="T69" s="419" t="n"/>
      <c r="U69" s="421" t="n"/>
      <c r="V69" s="420" t="n"/>
      <c r="W69" s="420" t="n"/>
      <c r="X69" s="422">
        <f>SUM(J69:W69)</f>
        <v/>
      </c>
      <c r="Y69" s="423">
        <f>X70-X69</f>
        <v/>
      </c>
      <c r="Z69" s="209" t="n"/>
    </row>
    <row r="70" ht="14.25" customHeight="1" s="296">
      <c r="A70" s="154">
        <f>-A69</f>
        <v/>
      </c>
      <c r="B70" s="154">
        <f>B69</f>
        <v/>
      </c>
      <c r="C70" s="163" t="n"/>
      <c r="D70" s="424" t="n"/>
      <c r="E70" s="425" t="n"/>
      <c r="F70" s="426" t="n"/>
      <c r="G70" s="164" t="inlineStr">
        <is>
          <t>факт</t>
        </is>
      </c>
      <c r="H70" s="165" t="n"/>
      <c r="I70" s="250" t="n"/>
      <c r="J70" s="427">
        <f>SUMIF('09'!$D$7:$D$159,$C69,'09'!L$7:L$159)+SUMIF('10'!$D$7:$D$159,$C69,'10'!L$7:L$159)+SUMIF('11'!$D$7:$D$159,$C69,'11'!L$7:L$159)+SUMIF('12'!$D$7:$D$159,$C69,'12'!L$7:L$159)+SUMIF('01'!$D$7:$D$159,$C69,'01'!L$7:L$159)</f>
        <v/>
      </c>
      <c r="K70" s="428">
        <f>SUMIF('09'!$D$7:$D$159,$C69,'09'!M$7:M$159)+SUMIF('10'!$D$7:$D$159,$C69,'10'!M$7:M$159)+SUMIF('11'!$D$7:$D$159,$C69,'11'!M$7:M$159)+SUMIF('12'!$D$7:$D$159,$C69,'12'!M$7:M$159)+SUMIF('01'!$D$7:$D$159,$C69,'01'!M$7:M$159)</f>
        <v/>
      </c>
      <c r="L70" s="429">
        <f>SUMIF('09'!$D$7:$D$159,$C69,'09'!N$7:N$159)+SUMIF('10'!$D$7:$D$159,$C69,'10'!N$7:N$159)+SUMIF('11'!$D$7:$D$159,$C69,'11'!N$7:N$159)+SUMIF('12'!$D$7:$D$159,$C69,'12'!N$7:N$159)+SUMIF('01'!$D$7:$D$159,$C69,'01'!N$7:N$159)</f>
        <v/>
      </c>
      <c r="M70" s="427">
        <f>SUMIF('09'!$D$7:$D$159,$C69,'09'!O$7:O$159)+SUMIF('10'!$D$7:$D$159,$C69,'10'!O$7:O$159)+SUMIF('11'!$D$7:$D$159,$C69,'11'!O$7:O$159)+SUMIF('12'!$D$7:$D$159,$C69,'12'!O$7:O$159)+SUMIF('01'!$D$7:$D$159,$C69,'01'!O$7:O$159)</f>
        <v/>
      </c>
      <c r="N70" s="428">
        <f>SUMIF('09'!$D$7:$D$159,$C69,'09'!P$7:P$159)+SUMIF('10'!$D$7:$D$159,$C69,'10'!P$7:P$159)+SUMIF('11'!$D$7:$D$159,$C69,'11'!P$7:P$159)+SUMIF('12'!$D$7:$D$159,$C69,'12'!P$7:P$159)+SUMIF('01'!$D$7:$D$159,$C69,'01'!P$7:P$159)</f>
        <v/>
      </c>
      <c r="O70" s="429">
        <f>SUMIF('09'!$D$7:$D$159,$C69,'09'!Q$7:Q$159)+SUMIF('10'!$D$7:$D$159,$C69,'10'!Q$7:Q$159)+SUMIF('11'!$D$7:$D$159,$C69,'11'!Q$7:Q$159)+SUMIF('12'!$D$7:$D$159,$C69,'12'!Q$7:Q$159)+SUMIF('01'!$D$7:$D$159,$C69,'01'!Q$7:Q$159)</f>
        <v/>
      </c>
      <c r="P70" s="427">
        <f>SUMIF('09'!$D$7:$D$159,$C69,'09'!R$7:R$159)+SUMIF('10'!$D$7:$D$159,$C69,'10'!R$7:R$159)+SUMIF('11'!$D$7:$D$159,$C69,'11'!R$7:R$159)+SUMIF('12'!$D$7:$D$159,$C69,'12'!R$7:R$159)+SUMIF('01'!$D$7:$D$159,$C69,'01'!R$7:R$159)</f>
        <v/>
      </c>
      <c r="Q70" s="428">
        <f>SUMIF('09'!$D$7:$D$159,$C69,'09'!S$7:S$159)+SUMIF('10'!$D$7:$D$159,$C69,'10'!S$7:S$159)+SUMIF('11'!$D$7:$D$159,$C69,'11'!S$7:S$159)+SUMIF('12'!$D$7:$D$159,$C69,'12'!S$7:S$159)+SUMIF('01'!$D$7:$D$159,$C69,'01'!S$7:S$159)</f>
        <v/>
      </c>
      <c r="R70" s="429">
        <f>SUMIF('09'!$D$7:$D$159,$C69,'09'!T$7:T$159)+SUMIF('10'!$D$7:$D$159,$C69,'10'!T$7:T$159)+SUMIF('11'!$D$7:$D$159,$C69,'11'!T$7:T$159)+SUMIF('12'!$D$7:$D$159,$C69,'12'!T$7:T$159)+SUMIF('01'!$D$7:$D$159,$C69,'01'!T$7:T$159)</f>
        <v/>
      </c>
      <c r="S70" s="427">
        <f>SUMIF('09'!$D$7:$D$159,$C69,'09'!U$7:U$159)+SUMIF('10'!$D$7:$D$159,$C69,'10'!U$7:U$159)+SUMIF('11'!$D$7:$D$159,$C69,'11'!U$7:U$159)+SUMIF('12'!$D$7:$D$159,$C69,'12'!U$7:U$159)+SUMIF('01'!$D$7:$D$159,$C69,'01'!U$7:U$159)</f>
        <v/>
      </c>
      <c r="T70" s="428">
        <f>SUMIF('09'!$D$7:$D$159,$C69,'09'!V$7:V$159)+SUMIF('10'!$D$7:$D$159,$C69,'10'!V$7:V$159)+SUMIF('11'!$D$7:$D$159,$C69,'11'!V$7:V$159)+SUMIF('12'!$D$7:$D$159,$C69,'12'!V$7:V$159)+SUMIF('01'!$D$7:$D$159,$C69,'01'!V$7:V$159)</f>
        <v/>
      </c>
      <c r="U70" s="430">
        <f>SUMIF('09'!$D$7:$D$159,$C69,'09'!W$7:W$159)+SUMIF('10'!$D$7:$D$159,$C69,'10'!W$7:W$159)+SUMIF('11'!$D$7:$D$159,$C69,'11'!W$7:W$159)+SUMIF('12'!$D$7:$D$159,$C69,'12'!W$7:W$159)+SUMIF('01'!$D$7:$D$159,$C69,'01'!W$7:W$159)</f>
        <v/>
      </c>
      <c r="V70" s="429">
        <f>SUMIF('09'!$D$7:$D$159,$C69,'09'!X$7:X$159)+SUMIF('10'!$D$7:$D$159,$C69,'10'!X$7:X$159)+SUMIF('11'!$D$7:$D$159,$C69,'11'!X$7:X$159)+SUMIF('12'!$D$7:$D$159,$C69,'12'!X$7:X$159)+SUMIF('01'!$D$7:$D$159,$C69,'01'!X$7:X$159)</f>
        <v/>
      </c>
      <c r="W70" s="429">
        <f>SUMIF('09'!$D$7:$D$159,$C69,'09'!Y$7:Y$159)+SUMIF('10'!$D$7:$D$159,$C69,'10'!Y$7:Y$159)+SUMIF('11'!$D$7:$D$159,$C69,'11'!Y$7:Y$159)+SUMIF('12'!$D$7:$D$159,$C69,'12'!Y$7:Y$159)+SUMIF('01'!$D$7:$D$159,$C69,'01'!Y$7:Y$159)</f>
        <v/>
      </c>
      <c r="X70" s="431">
        <f>SUM(J70:W70)</f>
        <v/>
      </c>
      <c r="Y70" s="413" t="n"/>
      <c r="Z70" s="432" t="n"/>
    </row>
    <row r="71" ht="14.25" customHeight="1" s="296">
      <c r="A71" s="154">
        <f>IF(OR(C71="0",COUNTIF(КлючОсень,C71)&gt;1),0,MATCH(F71,ВидыНагр,0))</f>
        <v/>
      </c>
      <c r="B71" s="154">
        <f>(COUNTA(D71:F72,J71:W71,H71:I72)=0)</f>
        <v/>
      </c>
      <c r="C71" s="155">
        <f>IF(OR(TRIM(D71)="",COUNTIF(ВидыНагр,F71)&lt;&gt;1),"0",CONCATENATE("$",TRIM(D71),"$",TRIM(E71),"$",F71,"$"))</f>
        <v/>
      </c>
      <c r="D71" s="415" t="n"/>
      <c r="E71" s="416" t="n"/>
      <c r="F71" s="417" t="n"/>
      <c r="G71" s="156" t="inlineStr">
        <is>
          <t>план</t>
        </is>
      </c>
      <c r="H71" s="157" t="n"/>
      <c r="I71" s="158" t="n"/>
      <c r="J71" s="418" t="n"/>
      <c r="K71" s="419" t="n"/>
      <c r="L71" s="420" t="n"/>
      <c r="M71" s="418" t="n"/>
      <c r="N71" s="419" t="n"/>
      <c r="O71" s="420" t="n"/>
      <c r="P71" s="418" t="n"/>
      <c r="Q71" s="419" t="n"/>
      <c r="R71" s="420" t="n"/>
      <c r="S71" s="418" t="n"/>
      <c r="T71" s="419" t="n"/>
      <c r="U71" s="421" t="n"/>
      <c r="V71" s="420" t="n"/>
      <c r="W71" s="420" t="n"/>
      <c r="X71" s="422">
        <f>SUM(J71:W71)</f>
        <v/>
      </c>
      <c r="Y71" s="423">
        <f>X72-X71</f>
        <v/>
      </c>
      <c r="Z71" s="209" t="n"/>
    </row>
    <row r="72" ht="14.25" customHeight="1" s="296">
      <c r="A72" s="154">
        <f>-A71</f>
        <v/>
      </c>
      <c r="B72" s="154">
        <f>B71</f>
        <v/>
      </c>
      <c r="C72" s="163" t="n"/>
      <c r="D72" s="424" t="n"/>
      <c r="E72" s="425" t="n"/>
      <c r="F72" s="426" t="n"/>
      <c r="G72" s="164" t="inlineStr">
        <is>
          <t>факт</t>
        </is>
      </c>
      <c r="H72" s="165" t="n"/>
      <c r="I72" s="250" t="n"/>
      <c r="J72" s="427">
        <f>SUMIF('09'!$D$7:$D$159,$C71,'09'!L$7:L$159)+SUMIF('10'!$D$7:$D$159,$C71,'10'!L$7:L$159)+SUMIF('11'!$D$7:$D$159,$C71,'11'!L$7:L$159)+SUMIF('12'!$D$7:$D$159,$C71,'12'!L$7:L$159)+SUMIF('01'!$D$7:$D$159,$C71,'01'!L$7:L$159)</f>
        <v/>
      </c>
      <c r="K72" s="428">
        <f>SUMIF('09'!$D$7:$D$159,$C71,'09'!M$7:M$159)+SUMIF('10'!$D$7:$D$159,$C71,'10'!M$7:M$159)+SUMIF('11'!$D$7:$D$159,$C71,'11'!M$7:M$159)+SUMIF('12'!$D$7:$D$159,$C71,'12'!M$7:M$159)+SUMIF('01'!$D$7:$D$159,$C71,'01'!M$7:M$159)</f>
        <v/>
      </c>
      <c r="L72" s="429">
        <f>SUMIF('09'!$D$7:$D$159,$C71,'09'!N$7:N$159)+SUMIF('10'!$D$7:$D$159,$C71,'10'!N$7:N$159)+SUMIF('11'!$D$7:$D$159,$C71,'11'!N$7:N$159)+SUMIF('12'!$D$7:$D$159,$C71,'12'!N$7:N$159)+SUMIF('01'!$D$7:$D$159,$C71,'01'!N$7:N$159)</f>
        <v/>
      </c>
      <c r="M72" s="427">
        <f>SUMIF('09'!$D$7:$D$159,$C71,'09'!O$7:O$159)+SUMIF('10'!$D$7:$D$159,$C71,'10'!O$7:O$159)+SUMIF('11'!$D$7:$D$159,$C71,'11'!O$7:O$159)+SUMIF('12'!$D$7:$D$159,$C71,'12'!O$7:O$159)+SUMIF('01'!$D$7:$D$159,$C71,'01'!O$7:O$159)</f>
        <v/>
      </c>
      <c r="N72" s="428">
        <f>SUMIF('09'!$D$7:$D$159,$C71,'09'!P$7:P$159)+SUMIF('10'!$D$7:$D$159,$C71,'10'!P$7:P$159)+SUMIF('11'!$D$7:$D$159,$C71,'11'!P$7:P$159)+SUMIF('12'!$D$7:$D$159,$C71,'12'!P$7:P$159)+SUMIF('01'!$D$7:$D$159,$C71,'01'!P$7:P$159)</f>
        <v/>
      </c>
      <c r="O72" s="429">
        <f>SUMIF('09'!$D$7:$D$159,$C71,'09'!Q$7:Q$159)+SUMIF('10'!$D$7:$D$159,$C71,'10'!Q$7:Q$159)+SUMIF('11'!$D$7:$D$159,$C71,'11'!Q$7:Q$159)+SUMIF('12'!$D$7:$D$159,$C71,'12'!Q$7:Q$159)+SUMIF('01'!$D$7:$D$159,$C71,'01'!Q$7:Q$159)</f>
        <v/>
      </c>
      <c r="P72" s="427">
        <f>SUMIF('09'!$D$7:$D$159,$C71,'09'!R$7:R$159)+SUMIF('10'!$D$7:$D$159,$C71,'10'!R$7:R$159)+SUMIF('11'!$D$7:$D$159,$C71,'11'!R$7:R$159)+SUMIF('12'!$D$7:$D$159,$C71,'12'!R$7:R$159)+SUMIF('01'!$D$7:$D$159,$C71,'01'!R$7:R$159)</f>
        <v/>
      </c>
      <c r="Q72" s="428">
        <f>SUMIF('09'!$D$7:$D$159,$C71,'09'!S$7:S$159)+SUMIF('10'!$D$7:$D$159,$C71,'10'!S$7:S$159)+SUMIF('11'!$D$7:$D$159,$C71,'11'!S$7:S$159)+SUMIF('12'!$D$7:$D$159,$C71,'12'!S$7:S$159)+SUMIF('01'!$D$7:$D$159,$C71,'01'!S$7:S$159)</f>
        <v/>
      </c>
      <c r="R72" s="429">
        <f>SUMIF('09'!$D$7:$D$159,$C71,'09'!T$7:T$159)+SUMIF('10'!$D$7:$D$159,$C71,'10'!T$7:T$159)+SUMIF('11'!$D$7:$D$159,$C71,'11'!T$7:T$159)+SUMIF('12'!$D$7:$D$159,$C71,'12'!T$7:T$159)+SUMIF('01'!$D$7:$D$159,$C71,'01'!T$7:T$159)</f>
        <v/>
      </c>
      <c r="S72" s="427">
        <f>SUMIF('09'!$D$7:$D$159,$C71,'09'!U$7:U$159)+SUMIF('10'!$D$7:$D$159,$C71,'10'!U$7:U$159)+SUMIF('11'!$D$7:$D$159,$C71,'11'!U$7:U$159)+SUMIF('12'!$D$7:$D$159,$C71,'12'!U$7:U$159)+SUMIF('01'!$D$7:$D$159,$C71,'01'!U$7:U$159)</f>
        <v/>
      </c>
      <c r="T72" s="428">
        <f>SUMIF('09'!$D$7:$D$159,$C71,'09'!V$7:V$159)+SUMIF('10'!$D$7:$D$159,$C71,'10'!V$7:V$159)+SUMIF('11'!$D$7:$D$159,$C71,'11'!V$7:V$159)+SUMIF('12'!$D$7:$D$159,$C71,'12'!V$7:V$159)+SUMIF('01'!$D$7:$D$159,$C71,'01'!V$7:V$159)</f>
        <v/>
      </c>
      <c r="U72" s="430">
        <f>SUMIF('09'!$D$7:$D$159,$C71,'09'!W$7:W$159)+SUMIF('10'!$D$7:$D$159,$C71,'10'!W$7:W$159)+SUMIF('11'!$D$7:$D$159,$C71,'11'!W$7:W$159)+SUMIF('12'!$D$7:$D$159,$C71,'12'!W$7:W$159)+SUMIF('01'!$D$7:$D$159,$C71,'01'!W$7:W$159)</f>
        <v/>
      </c>
      <c r="V72" s="429">
        <f>SUMIF('09'!$D$7:$D$159,$C71,'09'!X$7:X$159)+SUMIF('10'!$D$7:$D$159,$C71,'10'!X$7:X$159)+SUMIF('11'!$D$7:$D$159,$C71,'11'!X$7:X$159)+SUMIF('12'!$D$7:$D$159,$C71,'12'!X$7:X$159)+SUMIF('01'!$D$7:$D$159,$C71,'01'!X$7:X$159)</f>
        <v/>
      </c>
      <c r="W72" s="429">
        <f>SUMIF('09'!$D$7:$D$159,$C71,'09'!Y$7:Y$159)+SUMIF('10'!$D$7:$D$159,$C71,'10'!Y$7:Y$159)+SUMIF('11'!$D$7:$D$159,$C71,'11'!Y$7:Y$159)+SUMIF('12'!$D$7:$D$159,$C71,'12'!Y$7:Y$159)+SUMIF('01'!$D$7:$D$159,$C71,'01'!Y$7:Y$159)</f>
        <v/>
      </c>
      <c r="X72" s="431">
        <f>SUM(J72:W72)</f>
        <v/>
      </c>
      <c r="Y72" s="413" t="n"/>
      <c r="Z72" s="432" t="n"/>
    </row>
    <row r="73" ht="14.25" customHeight="1" s="296">
      <c r="A73" s="154">
        <f>IF(OR(C73="0",COUNTIF(КлючОсень,C73)&gt;1),0,MATCH(F73,ВидыНагр,0))</f>
        <v/>
      </c>
      <c r="B73" s="154">
        <f>(COUNTA(D73:F74,J73:W73,H73:I74)=0)</f>
        <v/>
      </c>
      <c r="C73" s="155">
        <f>IF(OR(TRIM(D73)="",COUNTIF(ВидыНагр,F73)&lt;&gt;1),"0",CONCATENATE("$",TRIM(D73),"$",TRIM(E73),"$",F73,"$"))</f>
        <v/>
      </c>
      <c r="D73" s="415" t="n"/>
      <c r="E73" s="416" t="n"/>
      <c r="F73" s="417" t="n"/>
      <c r="G73" s="156" t="inlineStr">
        <is>
          <t>план</t>
        </is>
      </c>
      <c r="H73" s="157" t="n"/>
      <c r="I73" s="158" t="n"/>
      <c r="J73" s="418" t="n"/>
      <c r="K73" s="419" t="n"/>
      <c r="L73" s="420" t="n"/>
      <c r="M73" s="418" t="n"/>
      <c r="N73" s="419" t="n"/>
      <c r="O73" s="420" t="n"/>
      <c r="P73" s="418" t="n"/>
      <c r="Q73" s="419" t="n"/>
      <c r="R73" s="420" t="n"/>
      <c r="S73" s="418" t="n"/>
      <c r="T73" s="419" t="n"/>
      <c r="U73" s="421" t="n"/>
      <c r="V73" s="420" t="n"/>
      <c r="W73" s="420" t="n"/>
      <c r="X73" s="422">
        <f>SUM(J73:W73)</f>
        <v/>
      </c>
      <c r="Y73" s="423">
        <f>X74-X73</f>
        <v/>
      </c>
      <c r="Z73" s="209" t="n"/>
    </row>
    <row r="74" ht="14.25" customHeight="1" s="296">
      <c r="A74" s="154">
        <f>-A73</f>
        <v/>
      </c>
      <c r="B74" s="154">
        <f>B73</f>
        <v/>
      </c>
      <c r="C74" s="163" t="n"/>
      <c r="D74" s="424" t="n"/>
      <c r="E74" s="425" t="n"/>
      <c r="F74" s="426" t="n"/>
      <c r="G74" s="164" t="inlineStr">
        <is>
          <t>факт</t>
        </is>
      </c>
      <c r="H74" s="165" t="n"/>
      <c r="I74" s="250" t="n"/>
      <c r="J74" s="427">
        <f>SUMIF('09'!$D$7:$D$159,$C73,'09'!L$7:L$159)+SUMIF('10'!$D$7:$D$159,$C73,'10'!L$7:L$159)+SUMIF('11'!$D$7:$D$159,$C73,'11'!L$7:L$159)+SUMIF('12'!$D$7:$D$159,$C73,'12'!L$7:L$159)+SUMIF('01'!$D$7:$D$159,$C73,'01'!L$7:L$159)</f>
        <v/>
      </c>
      <c r="K74" s="428">
        <f>SUMIF('09'!$D$7:$D$159,$C73,'09'!M$7:M$159)+SUMIF('10'!$D$7:$D$159,$C73,'10'!M$7:M$159)+SUMIF('11'!$D$7:$D$159,$C73,'11'!M$7:M$159)+SUMIF('12'!$D$7:$D$159,$C73,'12'!M$7:M$159)+SUMIF('01'!$D$7:$D$159,$C73,'01'!M$7:M$159)</f>
        <v/>
      </c>
      <c r="L74" s="429">
        <f>SUMIF('09'!$D$7:$D$159,$C73,'09'!N$7:N$159)+SUMIF('10'!$D$7:$D$159,$C73,'10'!N$7:N$159)+SUMIF('11'!$D$7:$D$159,$C73,'11'!N$7:N$159)+SUMIF('12'!$D$7:$D$159,$C73,'12'!N$7:N$159)+SUMIF('01'!$D$7:$D$159,$C73,'01'!N$7:N$159)</f>
        <v/>
      </c>
      <c r="M74" s="427">
        <f>SUMIF('09'!$D$7:$D$159,$C73,'09'!O$7:O$159)+SUMIF('10'!$D$7:$D$159,$C73,'10'!O$7:O$159)+SUMIF('11'!$D$7:$D$159,$C73,'11'!O$7:O$159)+SUMIF('12'!$D$7:$D$159,$C73,'12'!O$7:O$159)+SUMIF('01'!$D$7:$D$159,$C73,'01'!O$7:O$159)</f>
        <v/>
      </c>
      <c r="N74" s="428">
        <f>SUMIF('09'!$D$7:$D$159,$C73,'09'!P$7:P$159)+SUMIF('10'!$D$7:$D$159,$C73,'10'!P$7:P$159)+SUMIF('11'!$D$7:$D$159,$C73,'11'!P$7:P$159)+SUMIF('12'!$D$7:$D$159,$C73,'12'!P$7:P$159)+SUMIF('01'!$D$7:$D$159,$C73,'01'!P$7:P$159)</f>
        <v/>
      </c>
      <c r="O74" s="429">
        <f>SUMIF('09'!$D$7:$D$159,$C73,'09'!Q$7:Q$159)+SUMIF('10'!$D$7:$D$159,$C73,'10'!Q$7:Q$159)+SUMIF('11'!$D$7:$D$159,$C73,'11'!Q$7:Q$159)+SUMIF('12'!$D$7:$D$159,$C73,'12'!Q$7:Q$159)+SUMIF('01'!$D$7:$D$159,$C73,'01'!Q$7:Q$159)</f>
        <v/>
      </c>
      <c r="P74" s="427">
        <f>SUMIF('09'!$D$7:$D$159,$C73,'09'!R$7:R$159)+SUMIF('10'!$D$7:$D$159,$C73,'10'!R$7:R$159)+SUMIF('11'!$D$7:$D$159,$C73,'11'!R$7:R$159)+SUMIF('12'!$D$7:$D$159,$C73,'12'!R$7:R$159)+SUMIF('01'!$D$7:$D$159,$C73,'01'!R$7:R$159)</f>
        <v/>
      </c>
      <c r="Q74" s="428">
        <f>SUMIF('09'!$D$7:$D$159,$C73,'09'!S$7:S$159)+SUMIF('10'!$D$7:$D$159,$C73,'10'!S$7:S$159)+SUMIF('11'!$D$7:$D$159,$C73,'11'!S$7:S$159)+SUMIF('12'!$D$7:$D$159,$C73,'12'!S$7:S$159)+SUMIF('01'!$D$7:$D$159,$C73,'01'!S$7:S$159)</f>
        <v/>
      </c>
      <c r="R74" s="429">
        <f>SUMIF('09'!$D$7:$D$159,$C73,'09'!T$7:T$159)+SUMIF('10'!$D$7:$D$159,$C73,'10'!T$7:T$159)+SUMIF('11'!$D$7:$D$159,$C73,'11'!T$7:T$159)+SUMIF('12'!$D$7:$D$159,$C73,'12'!T$7:T$159)+SUMIF('01'!$D$7:$D$159,$C73,'01'!T$7:T$159)</f>
        <v/>
      </c>
      <c r="S74" s="427">
        <f>SUMIF('09'!$D$7:$D$159,$C73,'09'!U$7:U$159)+SUMIF('10'!$D$7:$D$159,$C73,'10'!U$7:U$159)+SUMIF('11'!$D$7:$D$159,$C73,'11'!U$7:U$159)+SUMIF('12'!$D$7:$D$159,$C73,'12'!U$7:U$159)+SUMIF('01'!$D$7:$D$159,$C73,'01'!U$7:U$159)</f>
        <v/>
      </c>
      <c r="T74" s="428">
        <f>SUMIF('09'!$D$7:$D$159,$C73,'09'!V$7:V$159)+SUMIF('10'!$D$7:$D$159,$C73,'10'!V$7:V$159)+SUMIF('11'!$D$7:$D$159,$C73,'11'!V$7:V$159)+SUMIF('12'!$D$7:$D$159,$C73,'12'!V$7:V$159)+SUMIF('01'!$D$7:$D$159,$C73,'01'!V$7:V$159)</f>
        <v/>
      </c>
      <c r="U74" s="430">
        <f>SUMIF('09'!$D$7:$D$159,$C73,'09'!W$7:W$159)+SUMIF('10'!$D$7:$D$159,$C73,'10'!W$7:W$159)+SUMIF('11'!$D$7:$D$159,$C73,'11'!W$7:W$159)+SUMIF('12'!$D$7:$D$159,$C73,'12'!W$7:W$159)+SUMIF('01'!$D$7:$D$159,$C73,'01'!W$7:W$159)</f>
        <v/>
      </c>
      <c r="V74" s="429">
        <f>SUMIF('09'!$D$7:$D$159,$C73,'09'!X$7:X$159)+SUMIF('10'!$D$7:$D$159,$C73,'10'!X$7:X$159)+SUMIF('11'!$D$7:$D$159,$C73,'11'!X$7:X$159)+SUMIF('12'!$D$7:$D$159,$C73,'12'!X$7:X$159)+SUMIF('01'!$D$7:$D$159,$C73,'01'!X$7:X$159)</f>
        <v/>
      </c>
      <c r="W74" s="429">
        <f>SUMIF('09'!$D$7:$D$159,$C73,'09'!Y$7:Y$159)+SUMIF('10'!$D$7:$D$159,$C73,'10'!Y$7:Y$159)+SUMIF('11'!$D$7:$D$159,$C73,'11'!Y$7:Y$159)+SUMIF('12'!$D$7:$D$159,$C73,'12'!Y$7:Y$159)+SUMIF('01'!$D$7:$D$159,$C73,'01'!Y$7:Y$159)</f>
        <v/>
      </c>
      <c r="X74" s="431">
        <f>SUM(J74:W74)</f>
        <v/>
      </c>
      <c r="Y74" s="413" t="n"/>
      <c r="Z74" s="432" t="n"/>
    </row>
    <row r="75" ht="14.25" customHeight="1" s="296">
      <c r="A75" s="154">
        <f>IF(OR(C75="0",COUNTIF(КлючОсень,C75)&gt;1),0,MATCH(F75,ВидыНагр,0))</f>
        <v/>
      </c>
      <c r="B75" s="154">
        <f>(COUNTA(D75:F76,J75:W75,H75:I76)=0)</f>
        <v/>
      </c>
      <c r="C75" s="155">
        <f>IF(OR(TRIM(D75)="",COUNTIF(ВидыНагр,F75)&lt;&gt;1),"0",CONCATENATE("$",TRIM(D75),"$",TRIM(E75),"$",F75,"$"))</f>
        <v/>
      </c>
      <c r="D75" s="415" t="n"/>
      <c r="E75" s="416" t="n"/>
      <c r="F75" s="417" t="n"/>
      <c r="G75" s="156" t="inlineStr">
        <is>
          <t>план</t>
        </is>
      </c>
      <c r="H75" s="157" t="n"/>
      <c r="I75" s="158" t="n"/>
      <c r="J75" s="418" t="n"/>
      <c r="K75" s="419" t="n"/>
      <c r="L75" s="420" t="n"/>
      <c r="M75" s="418" t="n"/>
      <c r="N75" s="419" t="n"/>
      <c r="O75" s="420" t="n"/>
      <c r="P75" s="418" t="n"/>
      <c r="Q75" s="419" t="n"/>
      <c r="R75" s="420" t="n"/>
      <c r="S75" s="418" t="n"/>
      <c r="T75" s="419" t="n"/>
      <c r="U75" s="421" t="n"/>
      <c r="V75" s="420" t="n"/>
      <c r="W75" s="420" t="n"/>
      <c r="X75" s="422">
        <f>SUM(J75:W75)</f>
        <v/>
      </c>
      <c r="Y75" s="423">
        <f>X76-X75</f>
        <v/>
      </c>
      <c r="Z75" s="209" t="n"/>
    </row>
    <row r="76" ht="14.25" customHeight="1" s="296">
      <c r="A76" s="154">
        <f>-A75</f>
        <v/>
      </c>
      <c r="B76" s="154">
        <f>B75</f>
        <v/>
      </c>
      <c r="C76" s="163" t="n"/>
      <c r="D76" s="424" t="n"/>
      <c r="E76" s="425" t="n"/>
      <c r="F76" s="426" t="n"/>
      <c r="G76" s="164" t="inlineStr">
        <is>
          <t>факт</t>
        </is>
      </c>
      <c r="H76" s="165" t="n"/>
      <c r="I76" s="250" t="n"/>
      <c r="J76" s="427">
        <f>SUMIF('09'!$D$7:$D$159,$C75,'09'!L$7:L$159)+SUMIF('10'!$D$7:$D$159,$C75,'10'!L$7:L$159)+SUMIF('11'!$D$7:$D$159,$C75,'11'!L$7:L$159)+SUMIF('12'!$D$7:$D$159,$C75,'12'!L$7:L$159)+SUMIF('01'!$D$7:$D$159,$C75,'01'!L$7:L$159)</f>
        <v/>
      </c>
      <c r="K76" s="428">
        <f>SUMIF('09'!$D$7:$D$159,$C75,'09'!M$7:M$159)+SUMIF('10'!$D$7:$D$159,$C75,'10'!M$7:M$159)+SUMIF('11'!$D$7:$D$159,$C75,'11'!M$7:M$159)+SUMIF('12'!$D$7:$D$159,$C75,'12'!M$7:M$159)+SUMIF('01'!$D$7:$D$159,$C75,'01'!M$7:M$159)</f>
        <v/>
      </c>
      <c r="L76" s="429">
        <f>SUMIF('09'!$D$7:$D$159,$C75,'09'!N$7:N$159)+SUMIF('10'!$D$7:$D$159,$C75,'10'!N$7:N$159)+SUMIF('11'!$D$7:$D$159,$C75,'11'!N$7:N$159)+SUMIF('12'!$D$7:$D$159,$C75,'12'!N$7:N$159)+SUMIF('01'!$D$7:$D$159,$C75,'01'!N$7:N$159)</f>
        <v/>
      </c>
      <c r="M76" s="427">
        <f>SUMIF('09'!$D$7:$D$159,$C75,'09'!O$7:O$159)+SUMIF('10'!$D$7:$D$159,$C75,'10'!O$7:O$159)+SUMIF('11'!$D$7:$D$159,$C75,'11'!O$7:O$159)+SUMIF('12'!$D$7:$D$159,$C75,'12'!O$7:O$159)+SUMIF('01'!$D$7:$D$159,$C75,'01'!O$7:O$159)</f>
        <v/>
      </c>
      <c r="N76" s="428">
        <f>SUMIF('09'!$D$7:$D$159,$C75,'09'!P$7:P$159)+SUMIF('10'!$D$7:$D$159,$C75,'10'!P$7:P$159)+SUMIF('11'!$D$7:$D$159,$C75,'11'!P$7:P$159)+SUMIF('12'!$D$7:$D$159,$C75,'12'!P$7:P$159)+SUMIF('01'!$D$7:$D$159,$C75,'01'!P$7:P$159)</f>
        <v/>
      </c>
      <c r="O76" s="429">
        <f>SUMIF('09'!$D$7:$D$159,$C75,'09'!Q$7:Q$159)+SUMIF('10'!$D$7:$D$159,$C75,'10'!Q$7:Q$159)+SUMIF('11'!$D$7:$D$159,$C75,'11'!Q$7:Q$159)+SUMIF('12'!$D$7:$D$159,$C75,'12'!Q$7:Q$159)+SUMIF('01'!$D$7:$D$159,$C75,'01'!Q$7:Q$159)</f>
        <v/>
      </c>
      <c r="P76" s="427">
        <f>SUMIF('09'!$D$7:$D$159,$C75,'09'!R$7:R$159)+SUMIF('10'!$D$7:$D$159,$C75,'10'!R$7:R$159)+SUMIF('11'!$D$7:$D$159,$C75,'11'!R$7:R$159)+SUMIF('12'!$D$7:$D$159,$C75,'12'!R$7:R$159)+SUMIF('01'!$D$7:$D$159,$C75,'01'!R$7:R$159)</f>
        <v/>
      </c>
      <c r="Q76" s="428">
        <f>SUMIF('09'!$D$7:$D$159,$C75,'09'!S$7:S$159)+SUMIF('10'!$D$7:$D$159,$C75,'10'!S$7:S$159)+SUMIF('11'!$D$7:$D$159,$C75,'11'!S$7:S$159)+SUMIF('12'!$D$7:$D$159,$C75,'12'!S$7:S$159)+SUMIF('01'!$D$7:$D$159,$C75,'01'!S$7:S$159)</f>
        <v/>
      </c>
      <c r="R76" s="429">
        <f>SUMIF('09'!$D$7:$D$159,$C75,'09'!T$7:T$159)+SUMIF('10'!$D$7:$D$159,$C75,'10'!T$7:T$159)+SUMIF('11'!$D$7:$D$159,$C75,'11'!T$7:T$159)+SUMIF('12'!$D$7:$D$159,$C75,'12'!T$7:T$159)+SUMIF('01'!$D$7:$D$159,$C75,'01'!T$7:T$159)</f>
        <v/>
      </c>
      <c r="S76" s="427">
        <f>SUMIF('09'!$D$7:$D$159,$C75,'09'!U$7:U$159)+SUMIF('10'!$D$7:$D$159,$C75,'10'!U$7:U$159)+SUMIF('11'!$D$7:$D$159,$C75,'11'!U$7:U$159)+SUMIF('12'!$D$7:$D$159,$C75,'12'!U$7:U$159)+SUMIF('01'!$D$7:$D$159,$C75,'01'!U$7:U$159)</f>
        <v/>
      </c>
      <c r="T76" s="428">
        <f>SUMIF('09'!$D$7:$D$159,$C75,'09'!V$7:V$159)+SUMIF('10'!$D$7:$D$159,$C75,'10'!V$7:V$159)+SUMIF('11'!$D$7:$D$159,$C75,'11'!V$7:V$159)+SUMIF('12'!$D$7:$D$159,$C75,'12'!V$7:V$159)+SUMIF('01'!$D$7:$D$159,$C75,'01'!V$7:V$159)</f>
        <v/>
      </c>
      <c r="U76" s="430">
        <f>SUMIF('09'!$D$7:$D$159,$C75,'09'!W$7:W$159)+SUMIF('10'!$D$7:$D$159,$C75,'10'!W$7:W$159)+SUMIF('11'!$D$7:$D$159,$C75,'11'!W$7:W$159)+SUMIF('12'!$D$7:$D$159,$C75,'12'!W$7:W$159)+SUMIF('01'!$D$7:$D$159,$C75,'01'!W$7:W$159)</f>
        <v/>
      </c>
      <c r="V76" s="429">
        <f>SUMIF('09'!$D$7:$D$159,$C75,'09'!X$7:X$159)+SUMIF('10'!$D$7:$D$159,$C75,'10'!X$7:X$159)+SUMIF('11'!$D$7:$D$159,$C75,'11'!X$7:X$159)+SUMIF('12'!$D$7:$D$159,$C75,'12'!X$7:X$159)+SUMIF('01'!$D$7:$D$159,$C75,'01'!X$7:X$159)</f>
        <v/>
      </c>
      <c r="W76" s="429">
        <f>SUMIF('09'!$D$7:$D$159,$C75,'09'!Y$7:Y$159)+SUMIF('10'!$D$7:$D$159,$C75,'10'!Y$7:Y$159)+SUMIF('11'!$D$7:$D$159,$C75,'11'!Y$7:Y$159)+SUMIF('12'!$D$7:$D$159,$C75,'12'!Y$7:Y$159)+SUMIF('01'!$D$7:$D$159,$C75,'01'!Y$7:Y$159)</f>
        <v/>
      </c>
      <c r="X76" s="431">
        <f>SUM(J76:W76)</f>
        <v/>
      </c>
      <c r="Y76" s="413" t="n"/>
      <c r="Z76" s="432" t="n"/>
    </row>
    <row r="77" ht="14.25" customHeight="1" s="296">
      <c r="A77" s="154">
        <f>IF(OR(C77="0",COUNTIF(КлючОсень,C77)&gt;1),0,MATCH(F77,ВидыНагр,0))</f>
        <v/>
      </c>
      <c r="B77" s="154">
        <f>(COUNTA(D77:F78,J77:W77,H77:I78)=0)</f>
        <v/>
      </c>
      <c r="C77" s="155">
        <f>IF(OR(TRIM(D77)="",COUNTIF(ВидыНагр,F77)&lt;&gt;1),"0",CONCATENATE("$",TRIM(D77),"$",TRIM(E77),"$",F77,"$"))</f>
        <v/>
      </c>
      <c r="D77" s="415" t="n"/>
      <c r="E77" s="416" t="n"/>
      <c r="F77" s="417" t="n"/>
      <c r="G77" s="156" t="inlineStr">
        <is>
          <t>план</t>
        </is>
      </c>
      <c r="H77" s="157" t="n"/>
      <c r="I77" s="158" t="n"/>
      <c r="J77" s="418" t="n"/>
      <c r="K77" s="419" t="n"/>
      <c r="L77" s="420" t="n"/>
      <c r="M77" s="418" t="n"/>
      <c r="N77" s="419" t="n"/>
      <c r="O77" s="420" t="n"/>
      <c r="P77" s="418" t="n"/>
      <c r="Q77" s="419" t="n"/>
      <c r="R77" s="420" t="n"/>
      <c r="S77" s="418" t="n"/>
      <c r="T77" s="419" t="n"/>
      <c r="U77" s="421" t="n"/>
      <c r="V77" s="420" t="n"/>
      <c r="W77" s="420" t="n"/>
      <c r="X77" s="422">
        <f>SUM(J77:W77)</f>
        <v/>
      </c>
      <c r="Y77" s="423">
        <f>X78-X77</f>
        <v/>
      </c>
      <c r="Z77" s="209" t="n"/>
    </row>
    <row r="78" ht="14.25" customHeight="1" s="296">
      <c r="A78" s="154">
        <f>-A77</f>
        <v/>
      </c>
      <c r="B78" s="154">
        <f>B77</f>
        <v/>
      </c>
      <c r="C78" s="163" t="n"/>
      <c r="D78" s="424" t="n"/>
      <c r="E78" s="425" t="n"/>
      <c r="F78" s="426" t="n"/>
      <c r="G78" s="164" t="inlineStr">
        <is>
          <t>факт</t>
        </is>
      </c>
      <c r="H78" s="165" t="n"/>
      <c r="I78" s="250" t="n"/>
      <c r="J78" s="427">
        <f>SUMIF('09'!$D$7:$D$159,$C77,'09'!L$7:L$159)+SUMIF('10'!$D$7:$D$159,$C77,'10'!L$7:L$159)+SUMIF('11'!$D$7:$D$159,$C77,'11'!L$7:L$159)+SUMIF('12'!$D$7:$D$159,$C77,'12'!L$7:L$159)+SUMIF('01'!$D$7:$D$159,$C77,'01'!L$7:L$159)</f>
        <v/>
      </c>
      <c r="K78" s="428">
        <f>SUMIF('09'!$D$7:$D$159,$C77,'09'!M$7:M$159)+SUMIF('10'!$D$7:$D$159,$C77,'10'!M$7:M$159)+SUMIF('11'!$D$7:$D$159,$C77,'11'!M$7:M$159)+SUMIF('12'!$D$7:$D$159,$C77,'12'!M$7:M$159)+SUMIF('01'!$D$7:$D$159,$C77,'01'!M$7:M$159)</f>
        <v/>
      </c>
      <c r="L78" s="429">
        <f>SUMIF('09'!$D$7:$D$159,$C77,'09'!N$7:N$159)+SUMIF('10'!$D$7:$D$159,$C77,'10'!N$7:N$159)+SUMIF('11'!$D$7:$D$159,$C77,'11'!N$7:N$159)+SUMIF('12'!$D$7:$D$159,$C77,'12'!N$7:N$159)+SUMIF('01'!$D$7:$D$159,$C77,'01'!N$7:N$159)</f>
        <v/>
      </c>
      <c r="M78" s="427">
        <f>SUMIF('09'!$D$7:$D$159,$C77,'09'!O$7:O$159)+SUMIF('10'!$D$7:$D$159,$C77,'10'!O$7:O$159)+SUMIF('11'!$D$7:$D$159,$C77,'11'!O$7:O$159)+SUMIF('12'!$D$7:$D$159,$C77,'12'!O$7:O$159)+SUMIF('01'!$D$7:$D$159,$C77,'01'!O$7:O$159)</f>
        <v/>
      </c>
      <c r="N78" s="428">
        <f>SUMIF('09'!$D$7:$D$159,$C77,'09'!P$7:P$159)+SUMIF('10'!$D$7:$D$159,$C77,'10'!P$7:P$159)+SUMIF('11'!$D$7:$D$159,$C77,'11'!P$7:P$159)+SUMIF('12'!$D$7:$D$159,$C77,'12'!P$7:P$159)+SUMIF('01'!$D$7:$D$159,$C77,'01'!P$7:P$159)</f>
        <v/>
      </c>
      <c r="O78" s="429">
        <f>SUMIF('09'!$D$7:$D$159,$C77,'09'!Q$7:Q$159)+SUMIF('10'!$D$7:$D$159,$C77,'10'!Q$7:Q$159)+SUMIF('11'!$D$7:$D$159,$C77,'11'!Q$7:Q$159)+SUMIF('12'!$D$7:$D$159,$C77,'12'!Q$7:Q$159)+SUMIF('01'!$D$7:$D$159,$C77,'01'!Q$7:Q$159)</f>
        <v/>
      </c>
      <c r="P78" s="427">
        <f>SUMIF('09'!$D$7:$D$159,$C77,'09'!R$7:R$159)+SUMIF('10'!$D$7:$D$159,$C77,'10'!R$7:R$159)+SUMIF('11'!$D$7:$D$159,$C77,'11'!R$7:R$159)+SUMIF('12'!$D$7:$D$159,$C77,'12'!R$7:R$159)+SUMIF('01'!$D$7:$D$159,$C77,'01'!R$7:R$159)</f>
        <v/>
      </c>
      <c r="Q78" s="428">
        <f>SUMIF('09'!$D$7:$D$159,$C77,'09'!S$7:S$159)+SUMIF('10'!$D$7:$D$159,$C77,'10'!S$7:S$159)+SUMIF('11'!$D$7:$D$159,$C77,'11'!S$7:S$159)+SUMIF('12'!$D$7:$D$159,$C77,'12'!S$7:S$159)+SUMIF('01'!$D$7:$D$159,$C77,'01'!S$7:S$159)</f>
        <v/>
      </c>
      <c r="R78" s="429">
        <f>SUMIF('09'!$D$7:$D$159,$C77,'09'!T$7:T$159)+SUMIF('10'!$D$7:$D$159,$C77,'10'!T$7:T$159)+SUMIF('11'!$D$7:$D$159,$C77,'11'!T$7:T$159)+SUMIF('12'!$D$7:$D$159,$C77,'12'!T$7:T$159)+SUMIF('01'!$D$7:$D$159,$C77,'01'!T$7:T$159)</f>
        <v/>
      </c>
      <c r="S78" s="427">
        <f>SUMIF('09'!$D$7:$D$159,$C77,'09'!U$7:U$159)+SUMIF('10'!$D$7:$D$159,$C77,'10'!U$7:U$159)+SUMIF('11'!$D$7:$D$159,$C77,'11'!U$7:U$159)+SUMIF('12'!$D$7:$D$159,$C77,'12'!U$7:U$159)+SUMIF('01'!$D$7:$D$159,$C77,'01'!U$7:U$159)</f>
        <v/>
      </c>
      <c r="T78" s="428">
        <f>SUMIF('09'!$D$7:$D$159,$C77,'09'!V$7:V$159)+SUMIF('10'!$D$7:$D$159,$C77,'10'!V$7:V$159)+SUMIF('11'!$D$7:$D$159,$C77,'11'!V$7:V$159)+SUMIF('12'!$D$7:$D$159,$C77,'12'!V$7:V$159)+SUMIF('01'!$D$7:$D$159,$C77,'01'!V$7:V$159)</f>
        <v/>
      </c>
      <c r="U78" s="430">
        <f>SUMIF('09'!$D$7:$D$159,$C77,'09'!W$7:W$159)+SUMIF('10'!$D$7:$D$159,$C77,'10'!W$7:W$159)+SUMIF('11'!$D$7:$D$159,$C77,'11'!W$7:W$159)+SUMIF('12'!$D$7:$D$159,$C77,'12'!W$7:W$159)+SUMIF('01'!$D$7:$D$159,$C77,'01'!W$7:W$159)</f>
        <v/>
      </c>
      <c r="V78" s="429">
        <f>SUMIF('09'!$D$7:$D$159,$C77,'09'!X$7:X$159)+SUMIF('10'!$D$7:$D$159,$C77,'10'!X$7:X$159)+SUMIF('11'!$D$7:$D$159,$C77,'11'!X$7:X$159)+SUMIF('12'!$D$7:$D$159,$C77,'12'!X$7:X$159)+SUMIF('01'!$D$7:$D$159,$C77,'01'!X$7:X$159)</f>
        <v/>
      </c>
      <c r="W78" s="429">
        <f>SUMIF('09'!$D$7:$D$159,$C77,'09'!Y$7:Y$159)+SUMIF('10'!$D$7:$D$159,$C77,'10'!Y$7:Y$159)+SUMIF('11'!$D$7:$D$159,$C77,'11'!Y$7:Y$159)+SUMIF('12'!$D$7:$D$159,$C77,'12'!Y$7:Y$159)+SUMIF('01'!$D$7:$D$159,$C77,'01'!Y$7:Y$159)</f>
        <v/>
      </c>
      <c r="X78" s="431">
        <f>SUM(J78:W78)</f>
        <v/>
      </c>
      <c r="Y78" s="413" t="n"/>
      <c r="Z78" s="432" t="n"/>
    </row>
    <row r="79" ht="14.25" customHeight="1" s="296">
      <c r="A79" s="154">
        <f>IF(OR(C79="0",COUNTIF(КлючОсень,C79)&gt;1),0,MATCH(F79,ВидыНагр,0))</f>
        <v/>
      </c>
      <c r="B79" s="154">
        <f>(COUNTA(D79:F80,J79:W79,H79:I80)=0)</f>
        <v/>
      </c>
      <c r="C79" s="155">
        <f>IF(OR(TRIM(D79)="",COUNTIF(ВидыНагр,F79)&lt;&gt;1),"0",CONCATENATE("$",TRIM(D79),"$",TRIM(E79),"$",F79,"$"))</f>
        <v/>
      </c>
      <c r="D79" s="415" t="n"/>
      <c r="E79" s="416" t="n"/>
      <c r="F79" s="417" t="n"/>
      <c r="G79" s="156" t="inlineStr">
        <is>
          <t>план</t>
        </is>
      </c>
      <c r="H79" s="157" t="n"/>
      <c r="I79" s="158" t="n"/>
      <c r="J79" s="418" t="n"/>
      <c r="K79" s="419" t="n"/>
      <c r="L79" s="420" t="n"/>
      <c r="M79" s="418" t="n"/>
      <c r="N79" s="419" t="n"/>
      <c r="O79" s="420" t="n"/>
      <c r="P79" s="418" t="n"/>
      <c r="Q79" s="419" t="n"/>
      <c r="R79" s="420" t="n"/>
      <c r="S79" s="418" t="n"/>
      <c r="T79" s="419" t="n"/>
      <c r="U79" s="421" t="n"/>
      <c r="V79" s="420" t="n"/>
      <c r="W79" s="420" t="n"/>
      <c r="X79" s="422">
        <f>SUM(J79:W79)</f>
        <v/>
      </c>
      <c r="Y79" s="423">
        <f>X80-X79</f>
        <v/>
      </c>
      <c r="Z79" s="209" t="n"/>
    </row>
    <row r="80" ht="14.25" customHeight="1" s="296">
      <c r="A80" s="154">
        <f>-A79</f>
        <v/>
      </c>
      <c r="B80" s="154">
        <f>B79</f>
        <v/>
      </c>
      <c r="C80" s="163" t="n"/>
      <c r="D80" s="424" t="n"/>
      <c r="E80" s="425" t="n"/>
      <c r="F80" s="426" t="n"/>
      <c r="G80" s="164" t="inlineStr">
        <is>
          <t>факт</t>
        </is>
      </c>
      <c r="H80" s="165" t="n"/>
      <c r="I80" s="250" t="n"/>
      <c r="J80" s="427">
        <f>SUMIF('09'!$D$7:$D$159,$C79,'09'!L$7:L$159)+SUMIF('10'!$D$7:$D$159,$C79,'10'!L$7:L$159)+SUMIF('11'!$D$7:$D$159,$C79,'11'!L$7:L$159)+SUMIF('12'!$D$7:$D$159,$C79,'12'!L$7:L$159)+SUMIF('01'!$D$7:$D$159,$C79,'01'!L$7:L$159)</f>
        <v/>
      </c>
      <c r="K80" s="428">
        <f>SUMIF('09'!$D$7:$D$159,$C79,'09'!M$7:M$159)+SUMIF('10'!$D$7:$D$159,$C79,'10'!M$7:M$159)+SUMIF('11'!$D$7:$D$159,$C79,'11'!M$7:M$159)+SUMIF('12'!$D$7:$D$159,$C79,'12'!M$7:M$159)+SUMIF('01'!$D$7:$D$159,$C79,'01'!M$7:M$159)</f>
        <v/>
      </c>
      <c r="L80" s="429">
        <f>SUMIF('09'!$D$7:$D$159,$C79,'09'!N$7:N$159)+SUMIF('10'!$D$7:$D$159,$C79,'10'!N$7:N$159)+SUMIF('11'!$D$7:$D$159,$C79,'11'!N$7:N$159)+SUMIF('12'!$D$7:$D$159,$C79,'12'!N$7:N$159)+SUMIF('01'!$D$7:$D$159,$C79,'01'!N$7:N$159)</f>
        <v/>
      </c>
      <c r="M80" s="427">
        <f>SUMIF('09'!$D$7:$D$159,$C79,'09'!O$7:O$159)+SUMIF('10'!$D$7:$D$159,$C79,'10'!O$7:O$159)+SUMIF('11'!$D$7:$D$159,$C79,'11'!O$7:O$159)+SUMIF('12'!$D$7:$D$159,$C79,'12'!O$7:O$159)+SUMIF('01'!$D$7:$D$159,$C79,'01'!O$7:O$159)</f>
        <v/>
      </c>
      <c r="N80" s="428">
        <f>SUMIF('09'!$D$7:$D$159,$C79,'09'!P$7:P$159)+SUMIF('10'!$D$7:$D$159,$C79,'10'!P$7:P$159)+SUMIF('11'!$D$7:$D$159,$C79,'11'!P$7:P$159)+SUMIF('12'!$D$7:$D$159,$C79,'12'!P$7:P$159)+SUMIF('01'!$D$7:$D$159,$C79,'01'!P$7:P$159)</f>
        <v/>
      </c>
      <c r="O80" s="429">
        <f>SUMIF('09'!$D$7:$D$159,$C79,'09'!Q$7:Q$159)+SUMIF('10'!$D$7:$D$159,$C79,'10'!Q$7:Q$159)+SUMIF('11'!$D$7:$D$159,$C79,'11'!Q$7:Q$159)+SUMIF('12'!$D$7:$D$159,$C79,'12'!Q$7:Q$159)+SUMIF('01'!$D$7:$D$159,$C79,'01'!Q$7:Q$159)</f>
        <v/>
      </c>
      <c r="P80" s="427">
        <f>SUMIF('09'!$D$7:$D$159,$C79,'09'!R$7:R$159)+SUMIF('10'!$D$7:$D$159,$C79,'10'!R$7:R$159)+SUMIF('11'!$D$7:$D$159,$C79,'11'!R$7:R$159)+SUMIF('12'!$D$7:$D$159,$C79,'12'!R$7:R$159)+SUMIF('01'!$D$7:$D$159,$C79,'01'!R$7:R$159)</f>
        <v/>
      </c>
      <c r="Q80" s="428">
        <f>SUMIF('09'!$D$7:$D$159,$C79,'09'!S$7:S$159)+SUMIF('10'!$D$7:$D$159,$C79,'10'!S$7:S$159)+SUMIF('11'!$D$7:$D$159,$C79,'11'!S$7:S$159)+SUMIF('12'!$D$7:$D$159,$C79,'12'!S$7:S$159)+SUMIF('01'!$D$7:$D$159,$C79,'01'!S$7:S$159)</f>
        <v/>
      </c>
      <c r="R80" s="429">
        <f>SUMIF('09'!$D$7:$D$159,$C79,'09'!T$7:T$159)+SUMIF('10'!$D$7:$D$159,$C79,'10'!T$7:T$159)+SUMIF('11'!$D$7:$D$159,$C79,'11'!T$7:T$159)+SUMIF('12'!$D$7:$D$159,$C79,'12'!T$7:T$159)+SUMIF('01'!$D$7:$D$159,$C79,'01'!T$7:T$159)</f>
        <v/>
      </c>
      <c r="S80" s="427">
        <f>SUMIF('09'!$D$7:$D$159,$C79,'09'!U$7:U$159)+SUMIF('10'!$D$7:$D$159,$C79,'10'!U$7:U$159)+SUMIF('11'!$D$7:$D$159,$C79,'11'!U$7:U$159)+SUMIF('12'!$D$7:$D$159,$C79,'12'!U$7:U$159)+SUMIF('01'!$D$7:$D$159,$C79,'01'!U$7:U$159)</f>
        <v/>
      </c>
      <c r="T80" s="428">
        <f>SUMIF('09'!$D$7:$D$159,$C79,'09'!V$7:V$159)+SUMIF('10'!$D$7:$D$159,$C79,'10'!V$7:V$159)+SUMIF('11'!$D$7:$D$159,$C79,'11'!V$7:V$159)+SUMIF('12'!$D$7:$D$159,$C79,'12'!V$7:V$159)+SUMIF('01'!$D$7:$D$159,$C79,'01'!V$7:V$159)</f>
        <v/>
      </c>
      <c r="U80" s="430">
        <f>SUMIF('09'!$D$7:$D$159,$C79,'09'!W$7:W$159)+SUMIF('10'!$D$7:$D$159,$C79,'10'!W$7:W$159)+SUMIF('11'!$D$7:$D$159,$C79,'11'!W$7:W$159)+SUMIF('12'!$D$7:$D$159,$C79,'12'!W$7:W$159)+SUMIF('01'!$D$7:$D$159,$C79,'01'!W$7:W$159)</f>
        <v/>
      </c>
      <c r="V80" s="429">
        <f>SUMIF('09'!$D$7:$D$159,$C79,'09'!X$7:X$159)+SUMIF('10'!$D$7:$D$159,$C79,'10'!X$7:X$159)+SUMIF('11'!$D$7:$D$159,$C79,'11'!X$7:X$159)+SUMIF('12'!$D$7:$D$159,$C79,'12'!X$7:X$159)+SUMIF('01'!$D$7:$D$159,$C79,'01'!X$7:X$159)</f>
        <v/>
      </c>
      <c r="W80" s="429">
        <f>SUMIF('09'!$D$7:$D$159,$C79,'09'!Y$7:Y$159)+SUMIF('10'!$D$7:$D$159,$C79,'10'!Y$7:Y$159)+SUMIF('11'!$D$7:$D$159,$C79,'11'!Y$7:Y$159)+SUMIF('12'!$D$7:$D$159,$C79,'12'!Y$7:Y$159)+SUMIF('01'!$D$7:$D$159,$C79,'01'!Y$7:Y$159)</f>
        <v/>
      </c>
      <c r="X80" s="431">
        <f>SUM(J80:W80)</f>
        <v/>
      </c>
      <c r="Y80" s="413" t="n"/>
      <c r="Z80" s="432" t="n"/>
    </row>
    <row r="81" ht="14.25" customHeight="1" s="296">
      <c r="A81" s="154">
        <f>IF(OR(C81="0",COUNTIF(КлючОсень,C81)&gt;1),0,MATCH(F81,ВидыНагр,0))</f>
        <v/>
      </c>
      <c r="B81" s="154">
        <f>(COUNTA(D81:F82,J81:W81,H81:I82)=0)</f>
        <v/>
      </c>
      <c r="C81" s="155">
        <f>IF(OR(TRIM(D81)="",COUNTIF(ВидыНагр,F81)&lt;&gt;1),"0",CONCATENATE("$",TRIM(D81),"$",TRIM(E81),"$",F81,"$"))</f>
        <v/>
      </c>
      <c r="D81" s="415" t="n"/>
      <c r="E81" s="416" t="n"/>
      <c r="F81" s="417" t="n"/>
      <c r="G81" s="156" t="inlineStr">
        <is>
          <t>план</t>
        </is>
      </c>
      <c r="H81" s="157" t="n"/>
      <c r="I81" s="158" t="n"/>
      <c r="J81" s="418" t="n"/>
      <c r="K81" s="419" t="n"/>
      <c r="L81" s="420" t="n"/>
      <c r="M81" s="418" t="n"/>
      <c r="N81" s="419" t="n"/>
      <c r="O81" s="420" t="n"/>
      <c r="P81" s="418" t="n"/>
      <c r="Q81" s="419" t="n"/>
      <c r="R81" s="420" t="n"/>
      <c r="S81" s="418" t="n"/>
      <c r="T81" s="419" t="n"/>
      <c r="U81" s="421" t="n"/>
      <c r="V81" s="420" t="n"/>
      <c r="W81" s="420" t="n"/>
      <c r="X81" s="422">
        <f>SUM(J81:W81)</f>
        <v/>
      </c>
      <c r="Y81" s="423">
        <f>X82-X81</f>
        <v/>
      </c>
      <c r="Z81" s="209" t="n"/>
    </row>
    <row r="82" ht="14.25" customHeight="1" s="296">
      <c r="A82" s="154">
        <f>-A81</f>
        <v/>
      </c>
      <c r="B82" s="154">
        <f>B81</f>
        <v/>
      </c>
      <c r="C82" s="163" t="n"/>
      <c r="D82" s="424" t="n"/>
      <c r="E82" s="425" t="n"/>
      <c r="F82" s="426" t="n"/>
      <c r="G82" s="164" t="inlineStr">
        <is>
          <t>факт</t>
        </is>
      </c>
      <c r="H82" s="165" t="n"/>
      <c r="I82" s="250" t="n"/>
      <c r="J82" s="427">
        <f>SUMIF('09'!$D$7:$D$159,$C81,'09'!L$7:L$159)+SUMIF('10'!$D$7:$D$159,$C81,'10'!L$7:L$159)+SUMIF('11'!$D$7:$D$159,$C81,'11'!L$7:L$159)+SUMIF('12'!$D$7:$D$159,$C81,'12'!L$7:L$159)+SUMIF('01'!$D$7:$D$159,$C81,'01'!L$7:L$159)</f>
        <v/>
      </c>
      <c r="K82" s="428">
        <f>SUMIF('09'!$D$7:$D$159,$C81,'09'!M$7:M$159)+SUMIF('10'!$D$7:$D$159,$C81,'10'!M$7:M$159)+SUMIF('11'!$D$7:$D$159,$C81,'11'!M$7:M$159)+SUMIF('12'!$D$7:$D$159,$C81,'12'!M$7:M$159)+SUMIF('01'!$D$7:$D$159,$C81,'01'!M$7:M$159)</f>
        <v/>
      </c>
      <c r="L82" s="429">
        <f>SUMIF('09'!$D$7:$D$159,$C81,'09'!N$7:N$159)+SUMIF('10'!$D$7:$D$159,$C81,'10'!N$7:N$159)+SUMIF('11'!$D$7:$D$159,$C81,'11'!N$7:N$159)+SUMIF('12'!$D$7:$D$159,$C81,'12'!N$7:N$159)+SUMIF('01'!$D$7:$D$159,$C81,'01'!N$7:N$159)</f>
        <v/>
      </c>
      <c r="M82" s="427">
        <f>SUMIF('09'!$D$7:$D$159,$C81,'09'!O$7:O$159)+SUMIF('10'!$D$7:$D$159,$C81,'10'!O$7:O$159)+SUMIF('11'!$D$7:$D$159,$C81,'11'!O$7:O$159)+SUMIF('12'!$D$7:$D$159,$C81,'12'!O$7:O$159)+SUMIF('01'!$D$7:$D$159,$C81,'01'!O$7:O$159)</f>
        <v/>
      </c>
      <c r="N82" s="428">
        <f>SUMIF('09'!$D$7:$D$159,$C81,'09'!P$7:P$159)+SUMIF('10'!$D$7:$D$159,$C81,'10'!P$7:P$159)+SUMIF('11'!$D$7:$D$159,$C81,'11'!P$7:P$159)+SUMIF('12'!$D$7:$D$159,$C81,'12'!P$7:P$159)+SUMIF('01'!$D$7:$D$159,$C81,'01'!P$7:P$159)</f>
        <v/>
      </c>
      <c r="O82" s="429">
        <f>SUMIF('09'!$D$7:$D$159,$C81,'09'!Q$7:Q$159)+SUMIF('10'!$D$7:$D$159,$C81,'10'!Q$7:Q$159)+SUMIF('11'!$D$7:$D$159,$C81,'11'!Q$7:Q$159)+SUMIF('12'!$D$7:$D$159,$C81,'12'!Q$7:Q$159)+SUMIF('01'!$D$7:$D$159,$C81,'01'!Q$7:Q$159)</f>
        <v/>
      </c>
      <c r="P82" s="427">
        <f>SUMIF('09'!$D$7:$D$159,$C81,'09'!R$7:R$159)+SUMIF('10'!$D$7:$D$159,$C81,'10'!R$7:R$159)+SUMIF('11'!$D$7:$D$159,$C81,'11'!R$7:R$159)+SUMIF('12'!$D$7:$D$159,$C81,'12'!R$7:R$159)+SUMIF('01'!$D$7:$D$159,$C81,'01'!R$7:R$159)</f>
        <v/>
      </c>
      <c r="Q82" s="428">
        <f>SUMIF('09'!$D$7:$D$159,$C81,'09'!S$7:S$159)+SUMIF('10'!$D$7:$D$159,$C81,'10'!S$7:S$159)+SUMIF('11'!$D$7:$D$159,$C81,'11'!S$7:S$159)+SUMIF('12'!$D$7:$D$159,$C81,'12'!S$7:S$159)+SUMIF('01'!$D$7:$D$159,$C81,'01'!S$7:S$159)</f>
        <v/>
      </c>
      <c r="R82" s="429">
        <f>SUMIF('09'!$D$7:$D$159,$C81,'09'!T$7:T$159)+SUMIF('10'!$D$7:$D$159,$C81,'10'!T$7:T$159)+SUMIF('11'!$D$7:$D$159,$C81,'11'!T$7:T$159)+SUMIF('12'!$D$7:$D$159,$C81,'12'!T$7:T$159)+SUMIF('01'!$D$7:$D$159,$C81,'01'!T$7:T$159)</f>
        <v/>
      </c>
      <c r="S82" s="427">
        <f>SUMIF('09'!$D$7:$D$159,$C81,'09'!U$7:U$159)+SUMIF('10'!$D$7:$D$159,$C81,'10'!U$7:U$159)+SUMIF('11'!$D$7:$D$159,$C81,'11'!U$7:U$159)+SUMIF('12'!$D$7:$D$159,$C81,'12'!U$7:U$159)+SUMIF('01'!$D$7:$D$159,$C81,'01'!U$7:U$159)</f>
        <v/>
      </c>
      <c r="T82" s="428">
        <f>SUMIF('09'!$D$7:$D$159,$C81,'09'!V$7:V$159)+SUMIF('10'!$D$7:$D$159,$C81,'10'!V$7:V$159)+SUMIF('11'!$D$7:$D$159,$C81,'11'!V$7:V$159)+SUMIF('12'!$D$7:$D$159,$C81,'12'!V$7:V$159)+SUMIF('01'!$D$7:$D$159,$C81,'01'!V$7:V$159)</f>
        <v/>
      </c>
      <c r="U82" s="430">
        <f>SUMIF('09'!$D$7:$D$159,$C81,'09'!W$7:W$159)+SUMIF('10'!$D$7:$D$159,$C81,'10'!W$7:W$159)+SUMIF('11'!$D$7:$D$159,$C81,'11'!W$7:W$159)+SUMIF('12'!$D$7:$D$159,$C81,'12'!W$7:W$159)+SUMIF('01'!$D$7:$D$159,$C81,'01'!W$7:W$159)</f>
        <v/>
      </c>
      <c r="V82" s="429">
        <f>SUMIF('09'!$D$7:$D$159,$C81,'09'!X$7:X$159)+SUMIF('10'!$D$7:$D$159,$C81,'10'!X$7:X$159)+SUMIF('11'!$D$7:$D$159,$C81,'11'!X$7:X$159)+SUMIF('12'!$D$7:$D$159,$C81,'12'!X$7:X$159)+SUMIF('01'!$D$7:$D$159,$C81,'01'!X$7:X$159)</f>
        <v/>
      </c>
      <c r="W82" s="429">
        <f>SUMIF('09'!$D$7:$D$159,$C81,'09'!Y$7:Y$159)+SUMIF('10'!$D$7:$D$159,$C81,'10'!Y$7:Y$159)+SUMIF('11'!$D$7:$D$159,$C81,'11'!Y$7:Y$159)+SUMIF('12'!$D$7:$D$159,$C81,'12'!Y$7:Y$159)+SUMIF('01'!$D$7:$D$159,$C81,'01'!Y$7:Y$159)</f>
        <v/>
      </c>
      <c r="X82" s="431">
        <f>SUM(J82:W82)</f>
        <v/>
      </c>
      <c r="Y82" s="413" t="n"/>
      <c r="Z82" s="432" t="n"/>
    </row>
    <row r="83" ht="14.25" customHeight="1" s="296">
      <c r="A83" s="154">
        <f>IF(OR(C83="0",COUNTIF(КлючОсень,C83)&gt;1),0,MATCH(F83,ВидыНагр,0))</f>
        <v/>
      </c>
      <c r="B83" s="154">
        <f>(COUNTA(D83:F84,J83:W83,H83:I84)=0)</f>
        <v/>
      </c>
      <c r="C83" s="155">
        <f>IF(OR(TRIM(D83)="",COUNTIF(ВидыНагр,F83)&lt;&gt;1),"0",CONCATENATE("$",TRIM(D83),"$",TRIM(E83),"$",F83,"$"))</f>
        <v/>
      </c>
      <c r="D83" s="415" t="n"/>
      <c r="E83" s="416" t="n"/>
      <c r="F83" s="417" t="n"/>
      <c r="G83" s="156" t="inlineStr">
        <is>
          <t>план</t>
        </is>
      </c>
      <c r="H83" s="157" t="n"/>
      <c r="I83" s="158" t="n"/>
      <c r="J83" s="418" t="n"/>
      <c r="K83" s="419" t="n"/>
      <c r="L83" s="420" t="n"/>
      <c r="M83" s="418" t="n"/>
      <c r="N83" s="419" t="n"/>
      <c r="O83" s="420" t="n"/>
      <c r="P83" s="418" t="n"/>
      <c r="Q83" s="419" t="n"/>
      <c r="R83" s="420" t="n"/>
      <c r="S83" s="418" t="n"/>
      <c r="T83" s="419" t="n"/>
      <c r="U83" s="421" t="n"/>
      <c r="V83" s="420" t="n"/>
      <c r="W83" s="420" t="n"/>
      <c r="X83" s="422">
        <f>SUM(J83:W83)</f>
        <v/>
      </c>
      <c r="Y83" s="423">
        <f>X84-X83</f>
        <v/>
      </c>
      <c r="Z83" s="209" t="n"/>
    </row>
    <row r="84" ht="14.25" customHeight="1" s="296">
      <c r="A84" s="154">
        <f>-A83</f>
        <v/>
      </c>
      <c r="B84" s="154">
        <f>B83</f>
        <v/>
      </c>
      <c r="C84" s="163" t="n"/>
      <c r="D84" s="424" t="n"/>
      <c r="E84" s="425" t="n"/>
      <c r="F84" s="426" t="n"/>
      <c r="G84" s="164" t="inlineStr">
        <is>
          <t>факт</t>
        </is>
      </c>
      <c r="H84" s="165" t="n"/>
      <c r="I84" s="250" t="n"/>
      <c r="J84" s="427">
        <f>SUMIF('09'!$D$7:$D$159,$C83,'09'!L$7:L$159)+SUMIF('10'!$D$7:$D$159,$C83,'10'!L$7:L$159)+SUMIF('11'!$D$7:$D$159,$C83,'11'!L$7:L$159)+SUMIF('12'!$D$7:$D$159,$C83,'12'!L$7:L$159)+SUMIF('01'!$D$7:$D$159,$C83,'01'!L$7:L$159)</f>
        <v/>
      </c>
      <c r="K84" s="428">
        <f>SUMIF('09'!$D$7:$D$159,$C83,'09'!M$7:M$159)+SUMIF('10'!$D$7:$D$159,$C83,'10'!M$7:M$159)+SUMIF('11'!$D$7:$D$159,$C83,'11'!M$7:M$159)+SUMIF('12'!$D$7:$D$159,$C83,'12'!M$7:M$159)+SUMIF('01'!$D$7:$D$159,$C83,'01'!M$7:M$159)</f>
        <v/>
      </c>
      <c r="L84" s="429">
        <f>SUMIF('09'!$D$7:$D$159,$C83,'09'!N$7:N$159)+SUMIF('10'!$D$7:$D$159,$C83,'10'!N$7:N$159)+SUMIF('11'!$D$7:$D$159,$C83,'11'!N$7:N$159)+SUMIF('12'!$D$7:$D$159,$C83,'12'!N$7:N$159)+SUMIF('01'!$D$7:$D$159,$C83,'01'!N$7:N$159)</f>
        <v/>
      </c>
      <c r="M84" s="427">
        <f>SUMIF('09'!$D$7:$D$159,$C83,'09'!O$7:O$159)+SUMIF('10'!$D$7:$D$159,$C83,'10'!O$7:O$159)+SUMIF('11'!$D$7:$D$159,$C83,'11'!O$7:O$159)+SUMIF('12'!$D$7:$D$159,$C83,'12'!O$7:O$159)+SUMIF('01'!$D$7:$D$159,$C83,'01'!O$7:O$159)</f>
        <v/>
      </c>
      <c r="N84" s="428">
        <f>SUMIF('09'!$D$7:$D$159,$C83,'09'!P$7:P$159)+SUMIF('10'!$D$7:$D$159,$C83,'10'!P$7:P$159)+SUMIF('11'!$D$7:$D$159,$C83,'11'!P$7:P$159)+SUMIF('12'!$D$7:$D$159,$C83,'12'!P$7:P$159)+SUMIF('01'!$D$7:$D$159,$C83,'01'!P$7:P$159)</f>
        <v/>
      </c>
      <c r="O84" s="429">
        <f>SUMIF('09'!$D$7:$D$159,$C83,'09'!Q$7:Q$159)+SUMIF('10'!$D$7:$D$159,$C83,'10'!Q$7:Q$159)+SUMIF('11'!$D$7:$D$159,$C83,'11'!Q$7:Q$159)+SUMIF('12'!$D$7:$D$159,$C83,'12'!Q$7:Q$159)+SUMIF('01'!$D$7:$D$159,$C83,'01'!Q$7:Q$159)</f>
        <v/>
      </c>
      <c r="P84" s="427">
        <f>SUMIF('09'!$D$7:$D$159,$C83,'09'!R$7:R$159)+SUMIF('10'!$D$7:$D$159,$C83,'10'!R$7:R$159)+SUMIF('11'!$D$7:$D$159,$C83,'11'!R$7:R$159)+SUMIF('12'!$D$7:$D$159,$C83,'12'!R$7:R$159)+SUMIF('01'!$D$7:$D$159,$C83,'01'!R$7:R$159)</f>
        <v/>
      </c>
      <c r="Q84" s="428">
        <f>SUMIF('09'!$D$7:$D$159,$C83,'09'!S$7:S$159)+SUMIF('10'!$D$7:$D$159,$C83,'10'!S$7:S$159)+SUMIF('11'!$D$7:$D$159,$C83,'11'!S$7:S$159)+SUMIF('12'!$D$7:$D$159,$C83,'12'!S$7:S$159)+SUMIF('01'!$D$7:$D$159,$C83,'01'!S$7:S$159)</f>
        <v/>
      </c>
      <c r="R84" s="429">
        <f>SUMIF('09'!$D$7:$D$159,$C83,'09'!T$7:T$159)+SUMIF('10'!$D$7:$D$159,$C83,'10'!T$7:T$159)+SUMIF('11'!$D$7:$D$159,$C83,'11'!T$7:T$159)+SUMIF('12'!$D$7:$D$159,$C83,'12'!T$7:T$159)+SUMIF('01'!$D$7:$D$159,$C83,'01'!T$7:T$159)</f>
        <v/>
      </c>
      <c r="S84" s="427">
        <f>SUMIF('09'!$D$7:$D$159,$C83,'09'!U$7:U$159)+SUMIF('10'!$D$7:$D$159,$C83,'10'!U$7:U$159)+SUMIF('11'!$D$7:$D$159,$C83,'11'!U$7:U$159)+SUMIF('12'!$D$7:$D$159,$C83,'12'!U$7:U$159)+SUMIF('01'!$D$7:$D$159,$C83,'01'!U$7:U$159)</f>
        <v/>
      </c>
      <c r="T84" s="428">
        <f>SUMIF('09'!$D$7:$D$159,$C83,'09'!V$7:V$159)+SUMIF('10'!$D$7:$D$159,$C83,'10'!V$7:V$159)+SUMIF('11'!$D$7:$D$159,$C83,'11'!V$7:V$159)+SUMIF('12'!$D$7:$D$159,$C83,'12'!V$7:V$159)+SUMIF('01'!$D$7:$D$159,$C83,'01'!V$7:V$159)</f>
        <v/>
      </c>
      <c r="U84" s="430">
        <f>SUMIF('09'!$D$7:$D$159,$C83,'09'!W$7:W$159)+SUMIF('10'!$D$7:$D$159,$C83,'10'!W$7:W$159)+SUMIF('11'!$D$7:$D$159,$C83,'11'!W$7:W$159)+SUMIF('12'!$D$7:$D$159,$C83,'12'!W$7:W$159)+SUMIF('01'!$D$7:$D$159,$C83,'01'!W$7:W$159)</f>
        <v/>
      </c>
      <c r="V84" s="429">
        <f>SUMIF('09'!$D$7:$D$159,$C83,'09'!X$7:X$159)+SUMIF('10'!$D$7:$D$159,$C83,'10'!X$7:X$159)+SUMIF('11'!$D$7:$D$159,$C83,'11'!X$7:X$159)+SUMIF('12'!$D$7:$D$159,$C83,'12'!X$7:X$159)+SUMIF('01'!$D$7:$D$159,$C83,'01'!X$7:X$159)</f>
        <v/>
      </c>
      <c r="W84" s="429">
        <f>SUMIF('09'!$D$7:$D$159,$C83,'09'!Y$7:Y$159)+SUMIF('10'!$D$7:$D$159,$C83,'10'!Y$7:Y$159)+SUMIF('11'!$D$7:$D$159,$C83,'11'!Y$7:Y$159)+SUMIF('12'!$D$7:$D$159,$C83,'12'!Y$7:Y$159)+SUMIF('01'!$D$7:$D$159,$C83,'01'!Y$7:Y$159)</f>
        <v/>
      </c>
      <c r="X84" s="431">
        <f>SUM(J84:W84)</f>
        <v/>
      </c>
      <c r="Y84" s="413" t="n"/>
      <c r="Z84" s="432" t="n"/>
    </row>
    <row r="85" ht="14.25" customHeight="1" s="296">
      <c r="A85" s="154">
        <f>IF(OR(C85="0",COUNTIF(КлючОсень,C85)&gt;1),0,MATCH(F85,ВидыНагр,0))</f>
        <v/>
      </c>
      <c r="B85" s="154">
        <f>(COUNTA(D85:F86,J85:W85,H85:I86)=0)</f>
        <v/>
      </c>
      <c r="C85" s="155">
        <f>IF(OR(TRIM(D85)="",COUNTIF(ВидыНагр,F85)&lt;&gt;1),"0",CONCATENATE("$",TRIM(D85),"$",TRIM(E85),"$",F85,"$"))</f>
        <v/>
      </c>
      <c r="D85" s="415" t="n"/>
      <c r="E85" s="416" t="n"/>
      <c r="F85" s="417" t="n"/>
      <c r="G85" s="156" t="inlineStr">
        <is>
          <t>план</t>
        </is>
      </c>
      <c r="H85" s="157" t="n"/>
      <c r="I85" s="158" t="n"/>
      <c r="J85" s="418" t="n"/>
      <c r="K85" s="419" t="n"/>
      <c r="L85" s="420" t="n"/>
      <c r="M85" s="418" t="n"/>
      <c r="N85" s="419" t="n"/>
      <c r="O85" s="420" t="n"/>
      <c r="P85" s="418" t="n"/>
      <c r="Q85" s="419" t="n"/>
      <c r="R85" s="420" t="n"/>
      <c r="S85" s="418" t="n"/>
      <c r="T85" s="419" t="n"/>
      <c r="U85" s="421" t="n"/>
      <c r="V85" s="420" t="n"/>
      <c r="W85" s="420" t="n"/>
      <c r="X85" s="422">
        <f>SUM(J85:W85)</f>
        <v/>
      </c>
      <c r="Y85" s="423">
        <f>X86-X85</f>
        <v/>
      </c>
      <c r="Z85" s="209" t="n"/>
    </row>
    <row r="86" ht="14.25" customHeight="1" s="296">
      <c r="A86" s="154">
        <f>-A85</f>
        <v/>
      </c>
      <c r="B86" s="154">
        <f>B85</f>
        <v/>
      </c>
      <c r="C86" s="163" t="n"/>
      <c r="D86" s="424" t="n"/>
      <c r="E86" s="425" t="n"/>
      <c r="F86" s="426" t="n"/>
      <c r="G86" s="164" t="inlineStr">
        <is>
          <t>факт</t>
        </is>
      </c>
      <c r="H86" s="165" t="n"/>
      <c r="I86" s="250" t="n"/>
      <c r="J86" s="427">
        <f>SUMIF('09'!$D$7:$D$159,$C85,'09'!L$7:L$159)+SUMIF('10'!$D$7:$D$159,$C85,'10'!L$7:L$159)+SUMIF('11'!$D$7:$D$159,$C85,'11'!L$7:L$159)+SUMIF('12'!$D$7:$D$159,$C85,'12'!L$7:L$159)+SUMIF('01'!$D$7:$D$159,$C85,'01'!L$7:L$159)</f>
        <v/>
      </c>
      <c r="K86" s="428">
        <f>SUMIF('09'!$D$7:$D$159,$C85,'09'!M$7:M$159)+SUMIF('10'!$D$7:$D$159,$C85,'10'!M$7:M$159)+SUMIF('11'!$D$7:$D$159,$C85,'11'!M$7:M$159)+SUMIF('12'!$D$7:$D$159,$C85,'12'!M$7:M$159)+SUMIF('01'!$D$7:$D$159,$C85,'01'!M$7:M$159)</f>
        <v/>
      </c>
      <c r="L86" s="429">
        <f>SUMIF('09'!$D$7:$D$159,$C85,'09'!N$7:N$159)+SUMIF('10'!$D$7:$D$159,$C85,'10'!N$7:N$159)+SUMIF('11'!$D$7:$D$159,$C85,'11'!N$7:N$159)+SUMIF('12'!$D$7:$D$159,$C85,'12'!N$7:N$159)+SUMIF('01'!$D$7:$D$159,$C85,'01'!N$7:N$159)</f>
        <v/>
      </c>
      <c r="M86" s="427">
        <f>SUMIF('09'!$D$7:$D$159,$C85,'09'!O$7:O$159)+SUMIF('10'!$D$7:$D$159,$C85,'10'!O$7:O$159)+SUMIF('11'!$D$7:$D$159,$C85,'11'!O$7:O$159)+SUMIF('12'!$D$7:$D$159,$C85,'12'!O$7:O$159)+SUMIF('01'!$D$7:$D$159,$C85,'01'!O$7:O$159)</f>
        <v/>
      </c>
      <c r="N86" s="428">
        <f>SUMIF('09'!$D$7:$D$159,$C85,'09'!P$7:P$159)+SUMIF('10'!$D$7:$D$159,$C85,'10'!P$7:P$159)+SUMIF('11'!$D$7:$D$159,$C85,'11'!P$7:P$159)+SUMIF('12'!$D$7:$D$159,$C85,'12'!P$7:P$159)+SUMIF('01'!$D$7:$D$159,$C85,'01'!P$7:P$159)</f>
        <v/>
      </c>
      <c r="O86" s="429">
        <f>SUMIF('09'!$D$7:$D$159,$C85,'09'!Q$7:Q$159)+SUMIF('10'!$D$7:$D$159,$C85,'10'!Q$7:Q$159)+SUMIF('11'!$D$7:$D$159,$C85,'11'!Q$7:Q$159)+SUMIF('12'!$D$7:$D$159,$C85,'12'!Q$7:Q$159)+SUMIF('01'!$D$7:$D$159,$C85,'01'!Q$7:Q$159)</f>
        <v/>
      </c>
      <c r="P86" s="427">
        <f>SUMIF('09'!$D$7:$D$159,$C85,'09'!R$7:R$159)+SUMIF('10'!$D$7:$D$159,$C85,'10'!R$7:R$159)+SUMIF('11'!$D$7:$D$159,$C85,'11'!R$7:R$159)+SUMIF('12'!$D$7:$D$159,$C85,'12'!R$7:R$159)+SUMIF('01'!$D$7:$D$159,$C85,'01'!R$7:R$159)</f>
        <v/>
      </c>
      <c r="Q86" s="428">
        <f>SUMIF('09'!$D$7:$D$159,$C85,'09'!S$7:S$159)+SUMIF('10'!$D$7:$D$159,$C85,'10'!S$7:S$159)+SUMIF('11'!$D$7:$D$159,$C85,'11'!S$7:S$159)+SUMIF('12'!$D$7:$D$159,$C85,'12'!S$7:S$159)+SUMIF('01'!$D$7:$D$159,$C85,'01'!S$7:S$159)</f>
        <v/>
      </c>
      <c r="R86" s="429">
        <f>SUMIF('09'!$D$7:$D$159,$C85,'09'!T$7:T$159)+SUMIF('10'!$D$7:$D$159,$C85,'10'!T$7:T$159)+SUMIF('11'!$D$7:$D$159,$C85,'11'!T$7:T$159)+SUMIF('12'!$D$7:$D$159,$C85,'12'!T$7:T$159)+SUMIF('01'!$D$7:$D$159,$C85,'01'!T$7:T$159)</f>
        <v/>
      </c>
      <c r="S86" s="427">
        <f>SUMIF('09'!$D$7:$D$159,$C85,'09'!U$7:U$159)+SUMIF('10'!$D$7:$D$159,$C85,'10'!U$7:U$159)+SUMIF('11'!$D$7:$D$159,$C85,'11'!U$7:U$159)+SUMIF('12'!$D$7:$D$159,$C85,'12'!U$7:U$159)+SUMIF('01'!$D$7:$D$159,$C85,'01'!U$7:U$159)</f>
        <v/>
      </c>
      <c r="T86" s="428">
        <f>SUMIF('09'!$D$7:$D$159,$C85,'09'!V$7:V$159)+SUMIF('10'!$D$7:$D$159,$C85,'10'!V$7:V$159)+SUMIF('11'!$D$7:$D$159,$C85,'11'!V$7:V$159)+SUMIF('12'!$D$7:$D$159,$C85,'12'!V$7:V$159)+SUMIF('01'!$D$7:$D$159,$C85,'01'!V$7:V$159)</f>
        <v/>
      </c>
      <c r="U86" s="430">
        <f>SUMIF('09'!$D$7:$D$159,$C85,'09'!W$7:W$159)+SUMIF('10'!$D$7:$D$159,$C85,'10'!W$7:W$159)+SUMIF('11'!$D$7:$D$159,$C85,'11'!W$7:W$159)+SUMIF('12'!$D$7:$D$159,$C85,'12'!W$7:W$159)+SUMIF('01'!$D$7:$D$159,$C85,'01'!W$7:W$159)</f>
        <v/>
      </c>
      <c r="V86" s="429">
        <f>SUMIF('09'!$D$7:$D$159,$C85,'09'!X$7:X$159)+SUMIF('10'!$D$7:$D$159,$C85,'10'!X$7:X$159)+SUMIF('11'!$D$7:$D$159,$C85,'11'!X$7:X$159)+SUMIF('12'!$D$7:$D$159,$C85,'12'!X$7:X$159)+SUMIF('01'!$D$7:$D$159,$C85,'01'!X$7:X$159)</f>
        <v/>
      </c>
      <c r="W86" s="429">
        <f>SUMIF('09'!$D$7:$D$159,$C85,'09'!Y$7:Y$159)+SUMIF('10'!$D$7:$D$159,$C85,'10'!Y$7:Y$159)+SUMIF('11'!$D$7:$D$159,$C85,'11'!Y$7:Y$159)+SUMIF('12'!$D$7:$D$159,$C85,'12'!Y$7:Y$159)+SUMIF('01'!$D$7:$D$159,$C85,'01'!Y$7:Y$159)</f>
        <v/>
      </c>
      <c r="X86" s="431">
        <f>SUM(J86:W86)</f>
        <v/>
      </c>
      <c r="Y86" s="413" t="n"/>
      <c r="Z86" s="432" t="n"/>
    </row>
    <row r="87" ht="14.25" customHeight="1" s="296">
      <c r="A87" s="154">
        <f>IF(OR(C87="0",COUNTIF(КлючОсень,C87)&gt;1),0,MATCH(F87,ВидыНагр,0))</f>
        <v/>
      </c>
      <c r="B87" s="154">
        <f>(COUNTA(D87:F88,J87:W87,H87:I88)=0)</f>
        <v/>
      </c>
      <c r="C87" s="155">
        <f>IF(OR(TRIM(D87)="",COUNTIF(ВидыНагр,F87)&lt;&gt;1),"0",CONCATENATE("$",TRIM(D87),"$",TRIM(E87),"$",F87,"$"))</f>
        <v/>
      </c>
      <c r="D87" s="415" t="n"/>
      <c r="E87" s="416" t="n"/>
      <c r="F87" s="417" t="n"/>
      <c r="G87" s="156" t="inlineStr">
        <is>
          <t>план</t>
        </is>
      </c>
      <c r="H87" s="157" t="n"/>
      <c r="I87" s="158" t="n"/>
      <c r="J87" s="418" t="n"/>
      <c r="K87" s="419" t="n"/>
      <c r="L87" s="420" t="n"/>
      <c r="M87" s="418" t="n"/>
      <c r="N87" s="419" t="n"/>
      <c r="O87" s="420" t="n"/>
      <c r="P87" s="418" t="n"/>
      <c r="Q87" s="419" t="n"/>
      <c r="R87" s="420" t="n"/>
      <c r="S87" s="418" t="n"/>
      <c r="T87" s="419" t="n"/>
      <c r="U87" s="421" t="n"/>
      <c r="V87" s="420" t="n"/>
      <c r="W87" s="420" t="n"/>
      <c r="X87" s="422">
        <f>SUM(J87:W87)</f>
        <v/>
      </c>
      <c r="Y87" s="423">
        <f>X88-X87</f>
        <v/>
      </c>
      <c r="Z87" s="209" t="n"/>
    </row>
    <row r="88" ht="14.25" customHeight="1" s="296">
      <c r="A88" s="154">
        <f>-A87</f>
        <v/>
      </c>
      <c r="B88" s="154">
        <f>B87</f>
        <v/>
      </c>
      <c r="C88" s="163" t="n"/>
      <c r="D88" s="424" t="n"/>
      <c r="E88" s="425" t="n"/>
      <c r="F88" s="426" t="n"/>
      <c r="G88" s="164" t="inlineStr">
        <is>
          <t>факт</t>
        </is>
      </c>
      <c r="H88" s="165" t="n"/>
      <c r="I88" s="250" t="n"/>
      <c r="J88" s="427">
        <f>SUMIF('09'!$D$7:$D$159,$C87,'09'!L$7:L$159)+SUMIF('10'!$D$7:$D$159,$C87,'10'!L$7:L$159)+SUMIF('11'!$D$7:$D$159,$C87,'11'!L$7:L$159)+SUMIF('12'!$D$7:$D$159,$C87,'12'!L$7:L$159)+SUMIF('01'!$D$7:$D$159,$C87,'01'!L$7:L$159)</f>
        <v/>
      </c>
      <c r="K88" s="428">
        <f>SUMIF('09'!$D$7:$D$159,$C87,'09'!M$7:M$159)+SUMIF('10'!$D$7:$D$159,$C87,'10'!M$7:M$159)+SUMIF('11'!$D$7:$D$159,$C87,'11'!M$7:M$159)+SUMIF('12'!$D$7:$D$159,$C87,'12'!M$7:M$159)+SUMIF('01'!$D$7:$D$159,$C87,'01'!M$7:M$159)</f>
        <v/>
      </c>
      <c r="L88" s="429">
        <f>SUMIF('09'!$D$7:$D$159,$C87,'09'!N$7:N$159)+SUMIF('10'!$D$7:$D$159,$C87,'10'!N$7:N$159)+SUMIF('11'!$D$7:$D$159,$C87,'11'!N$7:N$159)+SUMIF('12'!$D$7:$D$159,$C87,'12'!N$7:N$159)+SUMIF('01'!$D$7:$D$159,$C87,'01'!N$7:N$159)</f>
        <v/>
      </c>
      <c r="M88" s="427">
        <f>SUMIF('09'!$D$7:$D$159,$C87,'09'!O$7:O$159)+SUMIF('10'!$D$7:$D$159,$C87,'10'!O$7:O$159)+SUMIF('11'!$D$7:$D$159,$C87,'11'!O$7:O$159)+SUMIF('12'!$D$7:$D$159,$C87,'12'!O$7:O$159)+SUMIF('01'!$D$7:$D$159,$C87,'01'!O$7:O$159)</f>
        <v/>
      </c>
      <c r="N88" s="428">
        <f>SUMIF('09'!$D$7:$D$159,$C87,'09'!P$7:P$159)+SUMIF('10'!$D$7:$D$159,$C87,'10'!P$7:P$159)+SUMIF('11'!$D$7:$D$159,$C87,'11'!P$7:P$159)+SUMIF('12'!$D$7:$D$159,$C87,'12'!P$7:P$159)+SUMIF('01'!$D$7:$D$159,$C87,'01'!P$7:P$159)</f>
        <v/>
      </c>
      <c r="O88" s="429">
        <f>SUMIF('09'!$D$7:$D$159,$C87,'09'!Q$7:Q$159)+SUMIF('10'!$D$7:$D$159,$C87,'10'!Q$7:Q$159)+SUMIF('11'!$D$7:$D$159,$C87,'11'!Q$7:Q$159)+SUMIF('12'!$D$7:$D$159,$C87,'12'!Q$7:Q$159)+SUMIF('01'!$D$7:$D$159,$C87,'01'!Q$7:Q$159)</f>
        <v/>
      </c>
      <c r="P88" s="427">
        <f>SUMIF('09'!$D$7:$D$159,$C87,'09'!R$7:R$159)+SUMIF('10'!$D$7:$D$159,$C87,'10'!R$7:R$159)+SUMIF('11'!$D$7:$D$159,$C87,'11'!R$7:R$159)+SUMIF('12'!$D$7:$D$159,$C87,'12'!R$7:R$159)+SUMIF('01'!$D$7:$D$159,$C87,'01'!R$7:R$159)</f>
        <v/>
      </c>
      <c r="Q88" s="428">
        <f>SUMIF('09'!$D$7:$D$159,$C87,'09'!S$7:S$159)+SUMIF('10'!$D$7:$D$159,$C87,'10'!S$7:S$159)+SUMIF('11'!$D$7:$D$159,$C87,'11'!S$7:S$159)+SUMIF('12'!$D$7:$D$159,$C87,'12'!S$7:S$159)+SUMIF('01'!$D$7:$D$159,$C87,'01'!S$7:S$159)</f>
        <v/>
      </c>
      <c r="R88" s="429">
        <f>SUMIF('09'!$D$7:$D$159,$C87,'09'!T$7:T$159)+SUMIF('10'!$D$7:$D$159,$C87,'10'!T$7:T$159)+SUMIF('11'!$D$7:$D$159,$C87,'11'!T$7:T$159)+SUMIF('12'!$D$7:$D$159,$C87,'12'!T$7:T$159)+SUMIF('01'!$D$7:$D$159,$C87,'01'!T$7:T$159)</f>
        <v/>
      </c>
      <c r="S88" s="427">
        <f>SUMIF('09'!$D$7:$D$159,$C87,'09'!U$7:U$159)+SUMIF('10'!$D$7:$D$159,$C87,'10'!U$7:U$159)+SUMIF('11'!$D$7:$D$159,$C87,'11'!U$7:U$159)+SUMIF('12'!$D$7:$D$159,$C87,'12'!U$7:U$159)+SUMIF('01'!$D$7:$D$159,$C87,'01'!U$7:U$159)</f>
        <v/>
      </c>
      <c r="T88" s="428">
        <f>SUMIF('09'!$D$7:$D$159,$C87,'09'!V$7:V$159)+SUMIF('10'!$D$7:$D$159,$C87,'10'!V$7:V$159)+SUMIF('11'!$D$7:$D$159,$C87,'11'!V$7:V$159)+SUMIF('12'!$D$7:$D$159,$C87,'12'!V$7:V$159)+SUMIF('01'!$D$7:$D$159,$C87,'01'!V$7:V$159)</f>
        <v/>
      </c>
      <c r="U88" s="430">
        <f>SUMIF('09'!$D$7:$D$159,$C87,'09'!W$7:W$159)+SUMIF('10'!$D$7:$D$159,$C87,'10'!W$7:W$159)+SUMIF('11'!$D$7:$D$159,$C87,'11'!W$7:W$159)+SUMIF('12'!$D$7:$D$159,$C87,'12'!W$7:W$159)+SUMIF('01'!$D$7:$D$159,$C87,'01'!W$7:W$159)</f>
        <v/>
      </c>
      <c r="V88" s="429">
        <f>SUMIF('09'!$D$7:$D$159,$C87,'09'!X$7:X$159)+SUMIF('10'!$D$7:$D$159,$C87,'10'!X$7:X$159)+SUMIF('11'!$D$7:$D$159,$C87,'11'!X$7:X$159)+SUMIF('12'!$D$7:$D$159,$C87,'12'!X$7:X$159)+SUMIF('01'!$D$7:$D$159,$C87,'01'!X$7:X$159)</f>
        <v/>
      </c>
      <c r="W88" s="429">
        <f>SUMIF('09'!$D$7:$D$159,$C87,'09'!Y$7:Y$159)+SUMIF('10'!$D$7:$D$159,$C87,'10'!Y$7:Y$159)+SUMIF('11'!$D$7:$D$159,$C87,'11'!Y$7:Y$159)+SUMIF('12'!$D$7:$D$159,$C87,'12'!Y$7:Y$159)+SUMIF('01'!$D$7:$D$159,$C87,'01'!Y$7:Y$159)</f>
        <v/>
      </c>
      <c r="X88" s="431">
        <f>SUM(J88:W88)</f>
        <v/>
      </c>
      <c r="Y88" s="413" t="n"/>
      <c r="Z88" s="432" t="n"/>
    </row>
    <row r="89" ht="14.25" customHeight="1" s="296">
      <c r="A89" s="154">
        <f>IF(OR(C89="0",COUNTIF(КлючОсень,C89)&gt;1),0,MATCH(F89,ВидыНагр,0))</f>
        <v/>
      </c>
      <c r="B89" s="154">
        <f>(COUNTA(D89:F90,J89:W89,H89:I90)=0)</f>
        <v/>
      </c>
      <c r="C89" s="155">
        <f>IF(OR(TRIM(D89)="",COUNTIF(ВидыНагр,F89)&lt;&gt;1),"0",CONCATENATE("$",TRIM(D89),"$",TRIM(E89),"$",F89,"$"))</f>
        <v/>
      </c>
      <c r="D89" s="415" t="n"/>
      <c r="E89" s="416" t="n"/>
      <c r="F89" s="417" t="n"/>
      <c r="G89" s="156" t="inlineStr">
        <is>
          <t>план</t>
        </is>
      </c>
      <c r="H89" s="157" t="n"/>
      <c r="I89" s="158" t="n"/>
      <c r="J89" s="418" t="n"/>
      <c r="K89" s="419" t="n"/>
      <c r="L89" s="420" t="n"/>
      <c r="M89" s="418" t="n"/>
      <c r="N89" s="419" t="n"/>
      <c r="O89" s="420" t="n"/>
      <c r="P89" s="418" t="n"/>
      <c r="Q89" s="419" t="n"/>
      <c r="R89" s="420" t="n"/>
      <c r="S89" s="418" t="n"/>
      <c r="T89" s="419" t="n"/>
      <c r="U89" s="421" t="n"/>
      <c r="V89" s="420" t="n"/>
      <c r="W89" s="420" t="n"/>
      <c r="X89" s="422">
        <f>SUM(J89:W89)</f>
        <v/>
      </c>
      <c r="Y89" s="423">
        <f>X90-X89</f>
        <v/>
      </c>
      <c r="Z89" s="209" t="n"/>
    </row>
    <row r="90" ht="14.25" customHeight="1" s="296">
      <c r="A90" s="154">
        <f>-A89</f>
        <v/>
      </c>
      <c r="B90" s="154">
        <f>B89</f>
        <v/>
      </c>
      <c r="C90" s="163" t="n"/>
      <c r="D90" s="424" t="n"/>
      <c r="E90" s="425" t="n"/>
      <c r="F90" s="426" t="n"/>
      <c r="G90" s="164" t="inlineStr">
        <is>
          <t>факт</t>
        </is>
      </c>
      <c r="H90" s="165" t="n"/>
      <c r="I90" s="250" t="n"/>
      <c r="J90" s="427">
        <f>SUMIF('09'!$D$7:$D$159,$C89,'09'!L$7:L$159)+SUMIF('10'!$D$7:$D$159,$C89,'10'!L$7:L$159)+SUMIF('11'!$D$7:$D$159,$C89,'11'!L$7:L$159)+SUMIF('12'!$D$7:$D$159,$C89,'12'!L$7:L$159)+SUMIF('01'!$D$7:$D$159,$C89,'01'!L$7:L$159)</f>
        <v/>
      </c>
      <c r="K90" s="428">
        <f>SUMIF('09'!$D$7:$D$159,$C89,'09'!M$7:M$159)+SUMIF('10'!$D$7:$D$159,$C89,'10'!M$7:M$159)+SUMIF('11'!$D$7:$D$159,$C89,'11'!M$7:M$159)+SUMIF('12'!$D$7:$D$159,$C89,'12'!M$7:M$159)+SUMIF('01'!$D$7:$D$159,$C89,'01'!M$7:M$159)</f>
        <v/>
      </c>
      <c r="L90" s="429">
        <f>SUMIF('09'!$D$7:$D$159,$C89,'09'!N$7:N$159)+SUMIF('10'!$D$7:$D$159,$C89,'10'!N$7:N$159)+SUMIF('11'!$D$7:$D$159,$C89,'11'!N$7:N$159)+SUMIF('12'!$D$7:$D$159,$C89,'12'!N$7:N$159)+SUMIF('01'!$D$7:$D$159,$C89,'01'!N$7:N$159)</f>
        <v/>
      </c>
      <c r="M90" s="427">
        <f>SUMIF('09'!$D$7:$D$159,$C89,'09'!O$7:O$159)+SUMIF('10'!$D$7:$D$159,$C89,'10'!O$7:O$159)+SUMIF('11'!$D$7:$D$159,$C89,'11'!O$7:O$159)+SUMIF('12'!$D$7:$D$159,$C89,'12'!O$7:O$159)+SUMIF('01'!$D$7:$D$159,$C89,'01'!O$7:O$159)</f>
        <v/>
      </c>
      <c r="N90" s="428">
        <f>SUMIF('09'!$D$7:$D$159,$C89,'09'!P$7:P$159)+SUMIF('10'!$D$7:$D$159,$C89,'10'!P$7:P$159)+SUMIF('11'!$D$7:$D$159,$C89,'11'!P$7:P$159)+SUMIF('12'!$D$7:$D$159,$C89,'12'!P$7:P$159)+SUMIF('01'!$D$7:$D$159,$C89,'01'!P$7:P$159)</f>
        <v/>
      </c>
      <c r="O90" s="429">
        <f>SUMIF('09'!$D$7:$D$159,$C89,'09'!Q$7:Q$159)+SUMIF('10'!$D$7:$D$159,$C89,'10'!Q$7:Q$159)+SUMIF('11'!$D$7:$D$159,$C89,'11'!Q$7:Q$159)+SUMIF('12'!$D$7:$D$159,$C89,'12'!Q$7:Q$159)+SUMIF('01'!$D$7:$D$159,$C89,'01'!Q$7:Q$159)</f>
        <v/>
      </c>
      <c r="P90" s="427">
        <f>SUMIF('09'!$D$7:$D$159,$C89,'09'!R$7:R$159)+SUMIF('10'!$D$7:$D$159,$C89,'10'!R$7:R$159)+SUMIF('11'!$D$7:$D$159,$C89,'11'!R$7:R$159)+SUMIF('12'!$D$7:$D$159,$C89,'12'!R$7:R$159)+SUMIF('01'!$D$7:$D$159,$C89,'01'!R$7:R$159)</f>
        <v/>
      </c>
      <c r="Q90" s="428">
        <f>SUMIF('09'!$D$7:$D$159,$C89,'09'!S$7:S$159)+SUMIF('10'!$D$7:$D$159,$C89,'10'!S$7:S$159)+SUMIF('11'!$D$7:$D$159,$C89,'11'!S$7:S$159)+SUMIF('12'!$D$7:$D$159,$C89,'12'!S$7:S$159)+SUMIF('01'!$D$7:$D$159,$C89,'01'!S$7:S$159)</f>
        <v/>
      </c>
      <c r="R90" s="429">
        <f>SUMIF('09'!$D$7:$D$159,$C89,'09'!T$7:T$159)+SUMIF('10'!$D$7:$D$159,$C89,'10'!T$7:T$159)+SUMIF('11'!$D$7:$D$159,$C89,'11'!T$7:T$159)+SUMIF('12'!$D$7:$D$159,$C89,'12'!T$7:T$159)+SUMIF('01'!$D$7:$D$159,$C89,'01'!T$7:T$159)</f>
        <v/>
      </c>
      <c r="S90" s="427">
        <f>SUMIF('09'!$D$7:$D$159,$C89,'09'!U$7:U$159)+SUMIF('10'!$D$7:$D$159,$C89,'10'!U$7:U$159)+SUMIF('11'!$D$7:$D$159,$C89,'11'!U$7:U$159)+SUMIF('12'!$D$7:$D$159,$C89,'12'!U$7:U$159)+SUMIF('01'!$D$7:$D$159,$C89,'01'!U$7:U$159)</f>
        <v/>
      </c>
      <c r="T90" s="428">
        <f>SUMIF('09'!$D$7:$D$159,$C89,'09'!V$7:V$159)+SUMIF('10'!$D$7:$D$159,$C89,'10'!V$7:V$159)+SUMIF('11'!$D$7:$D$159,$C89,'11'!V$7:V$159)+SUMIF('12'!$D$7:$D$159,$C89,'12'!V$7:V$159)+SUMIF('01'!$D$7:$D$159,$C89,'01'!V$7:V$159)</f>
        <v/>
      </c>
      <c r="U90" s="430">
        <f>SUMIF('09'!$D$7:$D$159,$C89,'09'!W$7:W$159)+SUMIF('10'!$D$7:$D$159,$C89,'10'!W$7:W$159)+SUMIF('11'!$D$7:$D$159,$C89,'11'!W$7:W$159)+SUMIF('12'!$D$7:$D$159,$C89,'12'!W$7:W$159)+SUMIF('01'!$D$7:$D$159,$C89,'01'!W$7:W$159)</f>
        <v/>
      </c>
      <c r="V90" s="429">
        <f>SUMIF('09'!$D$7:$D$159,$C89,'09'!X$7:X$159)+SUMIF('10'!$D$7:$D$159,$C89,'10'!X$7:X$159)+SUMIF('11'!$D$7:$D$159,$C89,'11'!X$7:X$159)+SUMIF('12'!$D$7:$D$159,$C89,'12'!X$7:X$159)+SUMIF('01'!$D$7:$D$159,$C89,'01'!X$7:X$159)</f>
        <v/>
      </c>
      <c r="W90" s="429">
        <f>SUMIF('09'!$D$7:$D$159,$C89,'09'!Y$7:Y$159)+SUMIF('10'!$D$7:$D$159,$C89,'10'!Y$7:Y$159)+SUMIF('11'!$D$7:$D$159,$C89,'11'!Y$7:Y$159)+SUMIF('12'!$D$7:$D$159,$C89,'12'!Y$7:Y$159)+SUMIF('01'!$D$7:$D$159,$C89,'01'!Y$7:Y$159)</f>
        <v/>
      </c>
      <c r="X90" s="431">
        <f>SUM(J90:W90)</f>
        <v/>
      </c>
      <c r="Y90" s="413" t="n"/>
      <c r="Z90" s="432" t="n"/>
    </row>
    <row r="91" ht="14.25" customHeight="1" s="296">
      <c r="A91" s="154">
        <f>IF(OR(C91="0",COUNTIF(КлючОсень,C91)&gt;1),0,MATCH(F91,ВидыНагр,0))</f>
        <v/>
      </c>
      <c r="B91" s="154">
        <f>(COUNTA(D91:F92,J91:W91,H91:I92)=0)</f>
        <v/>
      </c>
      <c r="C91" s="155">
        <f>IF(OR(TRIM(D91)="",COUNTIF(ВидыНагр,F91)&lt;&gt;1),"0",CONCATENATE("$",TRIM(D91),"$",TRIM(E91),"$",F91,"$"))</f>
        <v/>
      </c>
      <c r="D91" s="415" t="n"/>
      <c r="E91" s="416" t="n"/>
      <c r="F91" s="417" t="n"/>
      <c r="G91" s="156" t="inlineStr">
        <is>
          <t>план</t>
        </is>
      </c>
      <c r="H91" s="157" t="n"/>
      <c r="I91" s="158" t="n"/>
      <c r="J91" s="418" t="n"/>
      <c r="K91" s="419" t="n"/>
      <c r="L91" s="420" t="n"/>
      <c r="M91" s="418" t="n"/>
      <c r="N91" s="419" t="n"/>
      <c r="O91" s="420" t="n"/>
      <c r="P91" s="418" t="n"/>
      <c r="Q91" s="419" t="n"/>
      <c r="R91" s="420" t="n"/>
      <c r="S91" s="418" t="n"/>
      <c r="T91" s="419" t="n"/>
      <c r="U91" s="421" t="n"/>
      <c r="V91" s="420" t="n"/>
      <c r="W91" s="420" t="n"/>
      <c r="X91" s="422">
        <f>SUM(J91:W91)</f>
        <v/>
      </c>
      <c r="Y91" s="423">
        <f>X92-X91</f>
        <v/>
      </c>
      <c r="Z91" s="209" t="n"/>
    </row>
    <row r="92" ht="14.25" customHeight="1" s="296">
      <c r="A92" s="154">
        <f>-A91</f>
        <v/>
      </c>
      <c r="B92" s="154">
        <f>B91</f>
        <v/>
      </c>
      <c r="C92" s="163" t="n"/>
      <c r="D92" s="424" t="n"/>
      <c r="E92" s="425" t="n"/>
      <c r="F92" s="426" t="n"/>
      <c r="G92" s="164" t="inlineStr">
        <is>
          <t>факт</t>
        </is>
      </c>
      <c r="H92" s="165" t="n"/>
      <c r="I92" s="250" t="n"/>
      <c r="J92" s="427">
        <f>SUMIF('09'!$D$7:$D$159,$C91,'09'!L$7:L$159)+SUMIF('10'!$D$7:$D$159,$C91,'10'!L$7:L$159)+SUMIF('11'!$D$7:$D$159,$C91,'11'!L$7:L$159)+SUMIF('12'!$D$7:$D$159,$C91,'12'!L$7:L$159)+SUMIF('01'!$D$7:$D$159,$C91,'01'!L$7:L$159)</f>
        <v/>
      </c>
      <c r="K92" s="428">
        <f>SUMIF('09'!$D$7:$D$159,$C91,'09'!M$7:M$159)+SUMIF('10'!$D$7:$D$159,$C91,'10'!M$7:M$159)+SUMIF('11'!$D$7:$D$159,$C91,'11'!M$7:M$159)+SUMIF('12'!$D$7:$D$159,$C91,'12'!M$7:M$159)+SUMIF('01'!$D$7:$D$159,$C91,'01'!M$7:M$159)</f>
        <v/>
      </c>
      <c r="L92" s="429">
        <f>SUMIF('09'!$D$7:$D$159,$C91,'09'!N$7:N$159)+SUMIF('10'!$D$7:$D$159,$C91,'10'!N$7:N$159)+SUMIF('11'!$D$7:$D$159,$C91,'11'!N$7:N$159)+SUMIF('12'!$D$7:$D$159,$C91,'12'!N$7:N$159)+SUMIF('01'!$D$7:$D$159,$C91,'01'!N$7:N$159)</f>
        <v/>
      </c>
      <c r="M92" s="427">
        <f>SUMIF('09'!$D$7:$D$159,$C91,'09'!O$7:O$159)+SUMIF('10'!$D$7:$D$159,$C91,'10'!O$7:O$159)+SUMIF('11'!$D$7:$D$159,$C91,'11'!O$7:O$159)+SUMIF('12'!$D$7:$D$159,$C91,'12'!O$7:O$159)+SUMIF('01'!$D$7:$D$159,$C91,'01'!O$7:O$159)</f>
        <v/>
      </c>
      <c r="N92" s="428">
        <f>SUMIF('09'!$D$7:$D$159,$C91,'09'!P$7:P$159)+SUMIF('10'!$D$7:$D$159,$C91,'10'!P$7:P$159)+SUMIF('11'!$D$7:$D$159,$C91,'11'!P$7:P$159)+SUMIF('12'!$D$7:$D$159,$C91,'12'!P$7:P$159)+SUMIF('01'!$D$7:$D$159,$C91,'01'!P$7:P$159)</f>
        <v/>
      </c>
      <c r="O92" s="429">
        <f>SUMIF('09'!$D$7:$D$159,$C91,'09'!Q$7:Q$159)+SUMIF('10'!$D$7:$D$159,$C91,'10'!Q$7:Q$159)+SUMIF('11'!$D$7:$D$159,$C91,'11'!Q$7:Q$159)+SUMIF('12'!$D$7:$D$159,$C91,'12'!Q$7:Q$159)+SUMIF('01'!$D$7:$D$159,$C91,'01'!Q$7:Q$159)</f>
        <v/>
      </c>
      <c r="P92" s="427">
        <f>SUMIF('09'!$D$7:$D$159,$C91,'09'!R$7:R$159)+SUMIF('10'!$D$7:$D$159,$C91,'10'!R$7:R$159)+SUMIF('11'!$D$7:$D$159,$C91,'11'!R$7:R$159)+SUMIF('12'!$D$7:$D$159,$C91,'12'!R$7:R$159)+SUMIF('01'!$D$7:$D$159,$C91,'01'!R$7:R$159)</f>
        <v/>
      </c>
      <c r="Q92" s="428">
        <f>SUMIF('09'!$D$7:$D$159,$C91,'09'!S$7:S$159)+SUMIF('10'!$D$7:$D$159,$C91,'10'!S$7:S$159)+SUMIF('11'!$D$7:$D$159,$C91,'11'!S$7:S$159)+SUMIF('12'!$D$7:$D$159,$C91,'12'!S$7:S$159)+SUMIF('01'!$D$7:$D$159,$C91,'01'!S$7:S$159)</f>
        <v/>
      </c>
      <c r="R92" s="429">
        <f>SUMIF('09'!$D$7:$D$159,$C91,'09'!T$7:T$159)+SUMIF('10'!$D$7:$D$159,$C91,'10'!T$7:T$159)+SUMIF('11'!$D$7:$D$159,$C91,'11'!T$7:T$159)+SUMIF('12'!$D$7:$D$159,$C91,'12'!T$7:T$159)+SUMIF('01'!$D$7:$D$159,$C91,'01'!T$7:T$159)</f>
        <v/>
      </c>
      <c r="S92" s="427">
        <f>SUMIF('09'!$D$7:$D$159,$C91,'09'!U$7:U$159)+SUMIF('10'!$D$7:$D$159,$C91,'10'!U$7:U$159)+SUMIF('11'!$D$7:$D$159,$C91,'11'!U$7:U$159)+SUMIF('12'!$D$7:$D$159,$C91,'12'!U$7:U$159)+SUMIF('01'!$D$7:$D$159,$C91,'01'!U$7:U$159)</f>
        <v/>
      </c>
      <c r="T92" s="428">
        <f>SUMIF('09'!$D$7:$D$159,$C91,'09'!V$7:V$159)+SUMIF('10'!$D$7:$D$159,$C91,'10'!V$7:V$159)+SUMIF('11'!$D$7:$D$159,$C91,'11'!V$7:V$159)+SUMIF('12'!$D$7:$D$159,$C91,'12'!V$7:V$159)+SUMIF('01'!$D$7:$D$159,$C91,'01'!V$7:V$159)</f>
        <v/>
      </c>
      <c r="U92" s="430">
        <f>SUMIF('09'!$D$7:$D$159,$C91,'09'!W$7:W$159)+SUMIF('10'!$D$7:$D$159,$C91,'10'!W$7:W$159)+SUMIF('11'!$D$7:$D$159,$C91,'11'!W$7:W$159)+SUMIF('12'!$D$7:$D$159,$C91,'12'!W$7:W$159)+SUMIF('01'!$D$7:$D$159,$C91,'01'!W$7:W$159)</f>
        <v/>
      </c>
      <c r="V92" s="429">
        <f>SUMIF('09'!$D$7:$D$159,$C91,'09'!X$7:X$159)+SUMIF('10'!$D$7:$D$159,$C91,'10'!X$7:X$159)+SUMIF('11'!$D$7:$D$159,$C91,'11'!X$7:X$159)+SUMIF('12'!$D$7:$D$159,$C91,'12'!X$7:X$159)+SUMIF('01'!$D$7:$D$159,$C91,'01'!X$7:X$159)</f>
        <v/>
      </c>
      <c r="W92" s="429">
        <f>SUMIF('09'!$D$7:$D$159,$C91,'09'!Y$7:Y$159)+SUMIF('10'!$D$7:$D$159,$C91,'10'!Y$7:Y$159)+SUMIF('11'!$D$7:$D$159,$C91,'11'!Y$7:Y$159)+SUMIF('12'!$D$7:$D$159,$C91,'12'!Y$7:Y$159)+SUMIF('01'!$D$7:$D$159,$C91,'01'!Y$7:Y$159)</f>
        <v/>
      </c>
      <c r="X92" s="431">
        <f>SUM(J92:W92)</f>
        <v/>
      </c>
      <c r="Y92" s="413" t="n"/>
      <c r="Z92" s="432" t="n"/>
    </row>
    <row r="93" ht="14.25" customHeight="1" s="296">
      <c r="A93" s="154">
        <f>IF(OR(C93="0",COUNTIF(КлючОсень,C93)&gt;1),0,MATCH(F93,ВидыНагр,0))</f>
        <v/>
      </c>
      <c r="B93" s="154">
        <f>(COUNTA(D93:F94,J93:W93,H93:I94)=0)</f>
        <v/>
      </c>
      <c r="C93" s="155">
        <f>IF(OR(TRIM(D93)="",COUNTIF(ВидыНагр,F93)&lt;&gt;1),"0",CONCATENATE("$",TRIM(D93),"$",TRIM(E93),"$",F93,"$"))</f>
        <v/>
      </c>
      <c r="D93" s="415" t="n"/>
      <c r="E93" s="416" t="n"/>
      <c r="F93" s="417" t="n"/>
      <c r="G93" s="156" t="inlineStr">
        <is>
          <t>план</t>
        </is>
      </c>
      <c r="H93" s="157" t="n"/>
      <c r="I93" s="158" t="n"/>
      <c r="J93" s="418" t="n"/>
      <c r="K93" s="419" t="n"/>
      <c r="L93" s="420" t="n"/>
      <c r="M93" s="418" t="n"/>
      <c r="N93" s="419" t="n"/>
      <c r="O93" s="420" t="n"/>
      <c r="P93" s="418" t="n"/>
      <c r="Q93" s="419" t="n"/>
      <c r="R93" s="420" t="n"/>
      <c r="S93" s="418" t="n"/>
      <c r="T93" s="419" t="n"/>
      <c r="U93" s="421" t="n"/>
      <c r="V93" s="420" t="n"/>
      <c r="W93" s="420" t="n"/>
      <c r="X93" s="422">
        <f>SUM(J93:W93)</f>
        <v/>
      </c>
      <c r="Y93" s="423">
        <f>X94-X93</f>
        <v/>
      </c>
      <c r="Z93" s="209" t="n"/>
    </row>
    <row r="94" ht="14.25" customHeight="1" s="296">
      <c r="A94" s="154">
        <f>-A93</f>
        <v/>
      </c>
      <c r="B94" s="154">
        <f>B93</f>
        <v/>
      </c>
      <c r="C94" s="163" t="n"/>
      <c r="D94" s="424" t="n"/>
      <c r="E94" s="425" t="n"/>
      <c r="F94" s="426" t="n"/>
      <c r="G94" s="164" t="inlineStr">
        <is>
          <t>факт</t>
        </is>
      </c>
      <c r="H94" s="165" t="n"/>
      <c r="I94" s="250" t="n"/>
      <c r="J94" s="427">
        <f>SUMIF('09'!$D$7:$D$159,$C93,'09'!L$7:L$159)+SUMIF('10'!$D$7:$D$159,$C93,'10'!L$7:L$159)+SUMIF('11'!$D$7:$D$159,$C93,'11'!L$7:L$159)+SUMIF('12'!$D$7:$D$159,$C93,'12'!L$7:L$159)+SUMIF('01'!$D$7:$D$159,$C93,'01'!L$7:L$159)</f>
        <v/>
      </c>
      <c r="K94" s="428">
        <f>SUMIF('09'!$D$7:$D$159,$C93,'09'!M$7:M$159)+SUMIF('10'!$D$7:$D$159,$C93,'10'!M$7:M$159)+SUMIF('11'!$D$7:$D$159,$C93,'11'!M$7:M$159)+SUMIF('12'!$D$7:$D$159,$C93,'12'!M$7:M$159)+SUMIF('01'!$D$7:$D$159,$C93,'01'!M$7:M$159)</f>
        <v/>
      </c>
      <c r="L94" s="429">
        <f>SUMIF('09'!$D$7:$D$159,$C93,'09'!N$7:N$159)+SUMIF('10'!$D$7:$D$159,$C93,'10'!N$7:N$159)+SUMIF('11'!$D$7:$D$159,$C93,'11'!N$7:N$159)+SUMIF('12'!$D$7:$D$159,$C93,'12'!N$7:N$159)+SUMIF('01'!$D$7:$D$159,$C93,'01'!N$7:N$159)</f>
        <v/>
      </c>
      <c r="M94" s="427">
        <f>SUMIF('09'!$D$7:$D$159,$C93,'09'!O$7:O$159)+SUMIF('10'!$D$7:$D$159,$C93,'10'!O$7:O$159)+SUMIF('11'!$D$7:$D$159,$C93,'11'!O$7:O$159)+SUMIF('12'!$D$7:$D$159,$C93,'12'!O$7:O$159)+SUMIF('01'!$D$7:$D$159,$C93,'01'!O$7:O$159)</f>
        <v/>
      </c>
      <c r="N94" s="428">
        <f>SUMIF('09'!$D$7:$D$159,$C93,'09'!P$7:P$159)+SUMIF('10'!$D$7:$D$159,$C93,'10'!P$7:P$159)+SUMIF('11'!$D$7:$D$159,$C93,'11'!P$7:P$159)+SUMIF('12'!$D$7:$D$159,$C93,'12'!P$7:P$159)+SUMIF('01'!$D$7:$D$159,$C93,'01'!P$7:P$159)</f>
        <v/>
      </c>
      <c r="O94" s="429">
        <f>SUMIF('09'!$D$7:$D$159,$C93,'09'!Q$7:Q$159)+SUMIF('10'!$D$7:$D$159,$C93,'10'!Q$7:Q$159)+SUMIF('11'!$D$7:$D$159,$C93,'11'!Q$7:Q$159)+SUMIF('12'!$D$7:$D$159,$C93,'12'!Q$7:Q$159)+SUMIF('01'!$D$7:$D$159,$C93,'01'!Q$7:Q$159)</f>
        <v/>
      </c>
      <c r="P94" s="427">
        <f>SUMIF('09'!$D$7:$D$159,$C93,'09'!R$7:R$159)+SUMIF('10'!$D$7:$D$159,$C93,'10'!R$7:R$159)+SUMIF('11'!$D$7:$D$159,$C93,'11'!R$7:R$159)+SUMIF('12'!$D$7:$D$159,$C93,'12'!R$7:R$159)+SUMIF('01'!$D$7:$D$159,$C93,'01'!R$7:R$159)</f>
        <v/>
      </c>
      <c r="Q94" s="428">
        <f>SUMIF('09'!$D$7:$D$159,$C93,'09'!S$7:S$159)+SUMIF('10'!$D$7:$D$159,$C93,'10'!S$7:S$159)+SUMIF('11'!$D$7:$D$159,$C93,'11'!S$7:S$159)+SUMIF('12'!$D$7:$D$159,$C93,'12'!S$7:S$159)+SUMIF('01'!$D$7:$D$159,$C93,'01'!S$7:S$159)</f>
        <v/>
      </c>
      <c r="R94" s="429">
        <f>SUMIF('09'!$D$7:$D$159,$C93,'09'!T$7:T$159)+SUMIF('10'!$D$7:$D$159,$C93,'10'!T$7:T$159)+SUMIF('11'!$D$7:$D$159,$C93,'11'!T$7:T$159)+SUMIF('12'!$D$7:$D$159,$C93,'12'!T$7:T$159)+SUMIF('01'!$D$7:$D$159,$C93,'01'!T$7:T$159)</f>
        <v/>
      </c>
      <c r="S94" s="427">
        <f>SUMIF('09'!$D$7:$D$159,$C93,'09'!U$7:U$159)+SUMIF('10'!$D$7:$D$159,$C93,'10'!U$7:U$159)+SUMIF('11'!$D$7:$D$159,$C93,'11'!U$7:U$159)+SUMIF('12'!$D$7:$D$159,$C93,'12'!U$7:U$159)+SUMIF('01'!$D$7:$D$159,$C93,'01'!U$7:U$159)</f>
        <v/>
      </c>
      <c r="T94" s="428">
        <f>SUMIF('09'!$D$7:$D$159,$C93,'09'!V$7:V$159)+SUMIF('10'!$D$7:$D$159,$C93,'10'!V$7:V$159)+SUMIF('11'!$D$7:$D$159,$C93,'11'!V$7:V$159)+SUMIF('12'!$D$7:$D$159,$C93,'12'!V$7:V$159)+SUMIF('01'!$D$7:$D$159,$C93,'01'!V$7:V$159)</f>
        <v/>
      </c>
      <c r="U94" s="430">
        <f>SUMIF('09'!$D$7:$D$159,$C93,'09'!W$7:W$159)+SUMIF('10'!$D$7:$D$159,$C93,'10'!W$7:W$159)+SUMIF('11'!$D$7:$D$159,$C93,'11'!W$7:W$159)+SUMIF('12'!$D$7:$D$159,$C93,'12'!W$7:W$159)+SUMIF('01'!$D$7:$D$159,$C93,'01'!W$7:W$159)</f>
        <v/>
      </c>
      <c r="V94" s="429">
        <f>SUMIF('09'!$D$7:$D$159,$C93,'09'!X$7:X$159)+SUMIF('10'!$D$7:$D$159,$C93,'10'!X$7:X$159)+SUMIF('11'!$D$7:$D$159,$C93,'11'!X$7:X$159)+SUMIF('12'!$D$7:$D$159,$C93,'12'!X$7:X$159)+SUMIF('01'!$D$7:$D$159,$C93,'01'!X$7:X$159)</f>
        <v/>
      </c>
      <c r="W94" s="429">
        <f>SUMIF('09'!$D$7:$D$159,$C93,'09'!Y$7:Y$159)+SUMIF('10'!$D$7:$D$159,$C93,'10'!Y$7:Y$159)+SUMIF('11'!$D$7:$D$159,$C93,'11'!Y$7:Y$159)+SUMIF('12'!$D$7:$D$159,$C93,'12'!Y$7:Y$159)+SUMIF('01'!$D$7:$D$159,$C93,'01'!Y$7:Y$159)</f>
        <v/>
      </c>
      <c r="X94" s="431">
        <f>SUM(J94:W94)</f>
        <v/>
      </c>
      <c r="Y94" s="413" t="n"/>
      <c r="Z94" s="432" t="n"/>
    </row>
    <row r="95" ht="14.25" customHeight="1" s="296">
      <c r="A95" s="154">
        <f>IF(OR(C95="0",COUNTIF(КлючОсень,C95)&gt;1),0,MATCH(F95,ВидыНагр,0))</f>
        <v/>
      </c>
      <c r="B95" s="154">
        <f>(COUNTA(D95:F96,J95:W95,H95:I96)=0)</f>
        <v/>
      </c>
      <c r="C95" s="155">
        <f>IF(OR(TRIM(D95)="",COUNTIF(ВидыНагр,F95)&lt;&gt;1),"0",CONCATENATE("$",TRIM(D95),"$",TRIM(E95),"$",F95,"$"))</f>
        <v/>
      </c>
      <c r="D95" s="415" t="n"/>
      <c r="E95" s="416" t="n"/>
      <c r="F95" s="417" t="n"/>
      <c r="G95" s="156" t="inlineStr">
        <is>
          <t>план</t>
        </is>
      </c>
      <c r="H95" s="157" t="n"/>
      <c r="I95" s="158" t="n"/>
      <c r="J95" s="418" t="n"/>
      <c r="K95" s="419" t="n"/>
      <c r="L95" s="420" t="n"/>
      <c r="M95" s="418" t="n"/>
      <c r="N95" s="419" t="n"/>
      <c r="O95" s="420" t="n"/>
      <c r="P95" s="418" t="n"/>
      <c r="Q95" s="419" t="n"/>
      <c r="R95" s="420" t="n"/>
      <c r="S95" s="418" t="n"/>
      <c r="T95" s="419" t="n"/>
      <c r="U95" s="421" t="n"/>
      <c r="V95" s="420" t="n"/>
      <c r="W95" s="420" t="n"/>
      <c r="X95" s="422">
        <f>SUM(J95:W95)</f>
        <v/>
      </c>
      <c r="Y95" s="423">
        <f>X96-X95</f>
        <v/>
      </c>
      <c r="Z95" s="209" t="n"/>
    </row>
    <row r="96" ht="14.25" customHeight="1" s="296">
      <c r="A96" s="154">
        <f>-A95</f>
        <v/>
      </c>
      <c r="B96" s="154">
        <f>B95</f>
        <v/>
      </c>
      <c r="C96" s="163" t="n"/>
      <c r="D96" s="424" t="n"/>
      <c r="E96" s="425" t="n"/>
      <c r="F96" s="426" t="n"/>
      <c r="G96" s="164" t="inlineStr">
        <is>
          <t>факт</t>
        </is>
      </c>
      <c r="H96" s="165" t="n"/>
      <c r="I96" s="250" t="n"/>
      <c r="J96" s="427">
        <f>SUMIF('09'!$D$7:$D$159,$C95,'09'!L$7:L$159)+SUMIF('10'!$D$7:$D$159,$C95,'10'!L$7:L$159)+SUMIF('11'!$D$7:$D$159,$C95,'11'!L$7:L$159)+SUMIF('12'!$D$7:$D$159,$C95,'12'!L$7:L$159)+SUMIF('01'!$D$7:$D$159,$C95,'01'!L$7:L$159)</f>
        <v/>
      </c>
      <c r="K96" s="428">
        <f>SUMIF('09'!$D$7:$D$159,$C95,'09'!M$7:M$159)+SUMIF('10'!$D$7:$D$159,$C95,'10'!M$7:M$159)+SUMIF('11'!$D$7:$D$159,$C95,'11'!M$7:M$159)+SUMIF('12'!$D$7:$D$159,$C95,'12'!M$7:M$159)+SUMIF('01'!$D$7:$D$159,$C95,'01'!M$7:M$159)</f>
        <v/>
      </c>
      <c r="L96" s="429">
        <f>SUMIF('09'!$D$7:$D$159,$C95,'09'!N$7:N$159)+SUMIF('10'!$D$7:$D$159,$C95,'10'!N$7:N$159)+SUMIF('11'!$D$7:$D$159,$C95,'11'!N$7:N$159)+SUMIF('12'!$D$7:$D$159,$C95,'12'!N$7:N$159)+SUMIF('01'!$D$7:$D$159,$C95,'01'!N$7:N$159)</f>
        <v/>
      </c>
      <c r="M96" s="427">
        <f>SUMIF('09'!$D$7:$D$159,$C95,'09'!O$7:O$159)+SUMIF('10'!$D$7:$D$159,$C95,'10'!O$7:O$159)+SUMIF('11'!$D$7:$D$159,$C95,'11'!O$7:O$159)+SUMIF('12'!$D$7:$D$159,$C95,'12'!O$7:O$159)+SUMIF('01'!$D$7:$D$159,$C95,'01'!O$7:O$159)</f>
        <v/>
      </c>
      <c r="N96" s="428">
        <f>SUMIF('09'!$D$7:$D$159,$C95,'09'!P$7:P$159)+SUMIF('10'!$D$7:$D$159,$C95,'10'!P$7:P$159)+SUMIF('11'!$D$7:$D$159,$C95,'11'!P$7:P$159)+SUMIF('12'!$D$7:$D$159,$C95,'12'!P$7:P$159)+SUMIF('01'!$D$7:$D$159,$C95,'01'!P$7:P$159)</f>
        <v/>
      </c>
      <c r="O96" s="429">
        <f>SUMIF('09'!$D$7:$D$159,$C95,'09'!Q$7:Q$159)+SUMIF('10'!$D$7:$D$159,$C95,'10'!Q$7:Q$159)+SUMIF('11'!$D$7:$D$159,$C95,'11'!Q$7:Q$159)+SUMIF('12'!$D$7:$D$159,$C95,'12'!Q$7:Q$159)+SUMIF('01'!$D$7:$D$159,$C95,'01'!Q$7:Q$159)</f>
        <v/>
      </c>
      <c r="P96" s="427">
        <f>SUMIF('09'!$D$7:$D$159,$C95,'09'!R$7:R$159)+SUMIF('10'!$D$7:$D$159,$C95,'10'!R$7:R$159)+SUMIF('11'!$D$7:$D$159,$C95,'11'!R$7:R$159)+SUMIF('12'!$D$7:$D$159,$C95,'12'!R$7:R$159)+SUMIF('01'!$D$7:$D$159,$C95,'01'!R$7:R$159)</f>
        <v/>
      </c>
      <c r="Q96" s="428">
        <f>SUMIF('09'!$D$7:$D$159,$C95,'09'!S$7:S$159)+SUMIF('10'!$D$7:$D$159,$C95,'10'!S$7:S$159)+SUMIF('11'!$D$7:$D$159,$C95,'11'!S$7:S$159)+SUMIF('12'!$D$7:$D$159,$C95,'12'!S$7:S$159)+SUMIF('01'!$D$7:$D$159,$C95,'01'!S$7:S$159)</f>
        <v/>
      </c>
      <c r="R96" s="429">
        <f>SUMIF('09'!$D$7:$D$159,$C95,'09'!T$7:T$159)+SUMIF('10'!$D$7:$D$159,$C95,'10'!T$7:T$159)+SUMIF('11'!$D$7:$D$159,$C95,'11'!T$7:T$159)+SUMIF('12'!$D$7:$D$159,$C95,'12'!T$7:T$159)+SUMIF('01'!$D$7:$D$159,$C95,'01'!T$7:T$159)</f>
        <v/>
      </c>
      <c r="S96" s="427">
        <f>SUMIF('09'!$D$7:$D$159,$C95,'09'!U$7:U$159)+SUMIF('10'!$D$7:$D$159,$C95,'10'!U$7:U$159)+SUMIF('11'!$D$7:$D$159,$C95,'11'!U$7:U$159)+SUMIF('12'!$D$7:$D$159,$C95,'12'!U$7:U$159)+SUMIF('01'!$D$7:$D$159,$C95,'01'!U$7:U$159)</f>
        <v/>
      </c>
      <c r="T96" s="428">
        <f>SUMIF('09'!$D$7:$D$159,$C95,'09'!V$7:V$159)+SUMIF('10'!$D$7:$D$159,$C95,'10'!V$7:V$159)+SUMIF('11'!$D$7:$D$159,$C95,'11'!V$7:V$159)+SUMIF('12'!$D$7:$D$159,$C95,'12'!V$7:V$159)+SUMIF('01'!$D$7:$D$159,$C95,'01'!V$7:V$159)</f>
        <v/>
      </c>
      <c r="U96" s="430">
        <f>SUMIF('09'!$D$7:$D$159,$C95,'09'!W$7:W$159)+SUMIF('10'!$D$7:$D$159,$C95,'10'!W$7:W$159)+SUMIF('11'!$D$7:$D$159,$C95,'11'!W$7:W$159)+SUMIF('12'!$D$7:$D$159,$C95,'12'!W$7:W$159)+SUMIF('01'!$D$7:$D$159,$C95,'01'!W$7:W$159)</f>
        <v/>
      </c>
      <c r="V96" s="429">
        <f>SUMIF('09'!$D$7:$D$159,$C95,'09'!X$7:X$159)+SUMIF('10'!$D$7:$D$159,$C95,'10'!X$7:X$159)+SUMIF('11'!$D$7:$D$159,$C95,'11'!X$7:X$159)+SUMIF('12'!$D$7:$D$159,$C95,'12'!X$7:X$159)+SUMIF('01'!$D$7:$D$159,$C95,'01'!X$7:X$159)</f>
        <v/>
      </c>
      <c r="W96" s="429">
        <f>SUMIF('09'!$D$7:$D$159,$C95,'09'!Y$7:Y$159)+SUMIF('10'!$D$7:$D$159,$C95,'10'!Y$7:Y$159)+SUMIF('11'!$D$7:$D$159,$C95,'11'!Y$7:Y$159)+SUMIF('12'!$D$7:$D$159,$C95,'12'!Y$7:Y$159)+SUMIF('01'!$D$7:$D$159,$C95,'01'!Y$7:Y$159)</f>
        <v/>
      </c>
      <c r="X96" s="431">
        <f>SUM(J96:W96)</f>
        <v/>
      </c>
      <c r="Y96" s="413" t="n"/>
      <c r="Z96" s="432" t="n"/>
    </row>
    <row r="97" ht="14.25" customHeight="1" s="296">
      <c r="A97" s="154">
        <f>IF(OR(C97="0",COUNTIF(КлючОсень,C97)&gt;1),0,MATCH(F97,ВидыНагр,0))</f>
        <v/>
      </c>
      <c r="B97" s="154">
        <f>(COUNTA(D97:F98,J97:W97,H97:I98)=0)</f>
        <v/>
      </c>
      <c r="C97" s="155">
        <f>IF(OR(TRIM(D97)="",COUNTIF(ВидыНагр,F97)&lt;&gt;1),"0",CONCATENATE("$",TRIM(D97),"$",TRIM(E97),"$",F97,"$"))</f>
        <v/>
      </c>
      <c r="D97" s="415" t="n"/>
      <c r="E97" s="416" t="n"/>
      <c r="F97" s="417" t="n"/>
      <c r="G97" s="156" t="inlineStr">
        <is>
          <t>план</t>
        </is>
      </c>
      <c r="H97" s="157" t="n"/>
      <c r="I97" s="158" t="n"/>
      <c r="J97" s="418" t="n"/>
      <c r="K97" s="419" t="n"/>
      <c r="L97" s="420" t="n"/>
      <c r="M97" s="418" t="n"/>
      <c r="N97" s="419" t="n"/>
      <c r="O97" s="420" t="n"/>
      <c r="P97" s="418" t="n"/>
      <c r="Q97" s="419" t="n"/>
      <c r="R97" s="420" t="n"/>
      <c r="S97" s="418" t="n"/>
      <c r="T97" s="419" t="n"/>
      <c r="U97" s="421" t="n"/>
      <c r="V97" s="420" t="n"/>
      <c r="W97" s="420" t="n"/>
      <c r="X97" s="422">
        <f>SUM(J97:W97)</f>
        <v/>
      </c>
      <c r="Y97" s="423">
        <f>X98-X97</f>
        <v/>
      </c>
      <c r="Z97" s="209" t="n"/>
    </row>
    <row r="98" ht="14.25" customHeight="1" s="296">
      <c r="A98" s="154">
        <f>-A97</f>
        <v/>
      </c>
      <c r="B98" s="154">
        <f>B97</f>
        <v/>
      </c>
      <c r="C98" s="163" t="n"/>
      <c r="D98" s="424" t="n"/>
      <c r="E98" s="425" t="n"/>
      <c r="F98" s="426" t="n"/>
      <c r="G98" s="164" t="inlineStr">
        <is>
          <t>факт</t>
        </is>
      </c>
      <c r="H98" s="165" t="n"/>
      <c r="I98" s="250" t="n"/>
      <c r="J98" s="427">
        <f>SUMIF('09'!$D$7:$D$159,$C97,'09'!L$7:L$159)+SUMIF('10'!$D$7:$D$159,$C97,'10'!L$7:L$159)+SUMIF('11'!$D$7:$D$159,$C97,'11'!L$7:L$159)+SUMIF('12'!$D$7:$D$159,$C97,'12'!L$7:L$159)+SUMIF('01'!$D$7:$D$159,$C97,'01'!L$7:L$159)</f>
        <v/>
      </c>
      <c r="K98" s="428">
        <f>SUMIF('09'!$D$7:$D$159,$C97,'09'!M$7:M$159)+SUMIF('10'!$D$7:$D$159,$C97,'10'!M$7:M$159)+SUMIF('11'!$D$7:$D$159,$C97,'11'!M$7:M$159)+SUMIF('12'!$D$7:$D$159,$C97,'12'!M$7:M$159)+SUMIF('01'!$D$7:$D$159,$C97,'01'!M$7:M$159)</f>
        <v/>
      </c>
      <c r="L98" s="429">
        <f>SUMIF('09'!$D$7:$D$159,$C97,'09'!N$7:N$159)+SUMIF('10'!$D$7:$D$159,$C97,'10'!N$7:N$159)+SUMIF('11'!$D$7:$D$159,$C97,'11'!N$7:N$159)+SUMIF('12'!$D$7:$D$159,$C97,'12'!N$7:N$159)+SUMIF('01'!$D$7:$D$159,$C97,'01'!N$7:N$159)</f>
        <v/>
      </c>
      <c r="M98" s="427">
        <f>SUMIF('09'!$D$7:$D$159,$C97,'09'!O$7:O$159)+SUMIF('10'!$D$7:$D$159,$C97,'10'!O$7:O$159)+SUMIF('11'!$D$7:$D$159,$C97,'11'!O$7:O$159)+SUMIF('12'!$D$7:$D$159,$C97,'12'!O$7:O$159)+SUMIF('01'!$D$7:$D$159,$C97,'01'!O$7:O$159)</f>
        <v/>
      </c>
      <c r="N98" s="428">
        <f>SUMIF('09'!$D$7:$D$159,$C97,'09'!P$7:P$159)+SUMIF('10'!$D$7:$D$159,$C97,'10'!P$7:P$159)+SUMIF('11'!$D$7:$D$159,$C97,'11'!P$7:P$159)+SUMIF('12'!$D$7:$D$159,$C97,'12'!P$7:P$159)+SUMIF('01'!$D$7:$D$159,$C97,'01'!P$7:P$159)</f>
        <v/>
      </c>
      <c r="O98" s="429">
        <f>SUMIF('09'!$D$7:$D$159,$C97,'09'!Q$7:Q$159)+SUMIF('10'!$D$7:$D$159,$C97,'10'!Q$7:Q$159)+SUMIF('11'!$D$7:$D$159,$C97,'11'!Q$7:Q$159)+SUMIF('12'!$D$7:$D$159,$C97,'12'!Q$7:Q$159)+SUMIF('01'!$D$7:$D$159,$C97,'01'!Q$7:Q$159)</f>
        <v/>
      </c>
      <c r="P98" s="427">
        <f>SUMIF('09'!$D$7:$D$159,$C97,'09'!R$7:R$159)+SUMIF('10'!$D$7:$D$159,$C97,'10'!R$7:R$159)+SUMIF('11'!$D$7:$D$159,$C97,'11'!R$7:R$159)+SUMIF('12'!$D$7:$D$159,$C97,'12'!R$7:R$159)+SUMIF('01'!$D$7:$D$159,$C97,'01'!R$7:R$159)</f>
        <v/>
      </c>
      <c r="Q98" s="428">
        <f>SUMIF('09'!$D$7:$D$159,$C97,'09'!S$7:S$159)+SUMIF('10'!$D$7:$D$159,$C97,'10'!S$7:S$159)+SUMIF('11'!$D$7:$D$159,$C97,'11'!S$7:S$159)+SUMIF('12'!$D$7:$D$159,$C97,'12'!S$7:S$159)+SUMIF('01'!$D$7:$D$159,$C97,'01'!S$7:S$159)</f>
        <v/>
      </c>
      <c r="R98" s="429">
        <f>SUMIF('09'!$D$7:$D$159,$C97,'09'!T$7:T$159)+SUMIF('10'!$D$7:$D$159,$C97,'10'!T$7:T$159)+SUMIF('11'!$D$7:$D$159,$C97,'11'!T$7:T$159)+SUMIF('12'!$D$7:$D$159,$C97,'12'!T$7:T$159)+SUMIF('01'!$D$7:$D$159,$C97,'01'!T$7:T$159)</f>
        <v/>
      </c>
      <c r="S98" s="427">
        <f>SUMIF('09'!$D$7:$D$159,$C97,'09'!U$7:U$159)+SUMIF('10'!$D$7:$D$159,$C97,'10'!U$7:U$159)+SUMIF('11'!$D$7:$D$159,$C97,'11'!U$7:U$159)+SUMIF('12'!$D$7:$D$159,$C97,'12'!U$7:U$159)+SUMIF('01'!$D$7:$D$159,$C97,'01'!U$7:U$159)</f>
        <v/>
      </c>
      <c r="T98" s="428">
        <f>SUMIF('09'!$D$7:$D$159,$C97,'09'!V$7:V$159)+SUMIF('10'!$D$7:$D$159,$C97,'10'!V$7:V$159)+SUMIF('11'!$D$7:$D$159,$C97,'11'!V$7:V$159)+SUMIF('12'!$D$7:$D$159,$C97,'12'!V$7:V$159)+SUMIF('01'!$D$7:$D$159,$C97,'01'!V$7:V$159)</f>
        <v/>
      </c>
      <c r="U98" s="430">
        <f>SUMIF('09'!$D$7:$D$159,$C97,'09'!W$7:W$159)+SUMIF('10'!$D$7:$D$159,$C97,'10'!W$7:W$159)+SUMIF('11'!$D$7:$D$159,$C97,'11'!W$7:W$159)+SUMIF('12'!$D$7:$D$159,$C97,'12'!W$7:W$159)+SUMIF('01'!$D$7:$D$159,$C97,'01'!W$7:W$159)</f>
        <v/>
      </c>
      <c r="V98" s="429">
        <f>SUMIF('09'!$D$7:$D$159,$C97,'09'!X$7:X$159)+SUMIF('10'!$D$7:$D$159,$C97,'10'!X$7:X$159)+SUMIF('11'!$D$7:$D$159,$C97,'11'!X$7:X$159)+SUMIF('12'!$D$7:$D$159,$C97,'12'!X$7:X$159)+SUMIF('01'!$D$7:$D$159,$C97,'01'!X$7:X$159)</f>
        <v/>
      </c>
      <c r="W98" s="429">
        <f>SUMIF('09'!$D$7:$D$159,$C97,'09'!Y$7:Y$159)+SUMIF('10'!$D$7:$D$159,$C97,'10'!Y$7:Y$159)+SUMIF('11'!$D$7:$D$159,$C97,'11'!Y$7:Y$159)+SUMIF('12'!$D$7:$D$159,$C97,'12'!Y$7:Y$159)+SUMIF('01'!$D$7:$D$159,$C97,'01'!Y$7:Y$159)</f>
        <v/>
      </c>
      <c r="X98" s="431">
        <f>SUM(J98:W98)</f>
        <v/>
      </c>
      <c r="Y98" s="413" t="n"/>
      <c r="Z98" s="432" t="n"/>
    </row>
    <row r="99" ht="14.25" customHeight="1" s="296">
      <c r="A99" s="154">
        <f>IF(OR(C99="0",COUNTIF(КлючОсень,C99)&gt;1),0,MATCH(F99,ВидыНагр,0))</f>
        <v/>
      </c>
      <c r="B99" s="154">
        <f>(COUNTA(D99:F100,J99:W99,H99:I100)=0)</f>
        <v/>
      </c>
      <c r="C99" s="155">
        <f>IF(OR(TRIM(D99)="",COUNTIF(ВидыНагр,F99)&lt;&gt;1),"0",CONCATENATE("$",TRIM(D99),"$",TRIM(E99),"$",F99,"$"))</f>
        <v/>
      </c>
      <c r="D99" s="415" t="n"/>
      <c r="E99" s="416" t="n"/>
      <c r="F99" s="417" t="n"/>
      <c r="G99" s="156" t="inlineStr">
        <is>
          <t>план</t>
        </is>
      </c>
      <c r="H99" s="157" t="n"/>
      <c r="I99" s="158" t="n"/>
      <c r="J99" s="418" t="n"/>
      <c r="K99" s="419" t="n"/>
      <c r="L99" s="420" t="n"/>
      <c r="M99" s="418" t="n"/>
      <c r="N99" s="419" t="n"/>
      <c r="O99" s="420" t="n"/>
      <c r="P99" s="418" t="n"/>
      <c r="Q99" s="419" t="n"/>
      <c r="R99" s="420" t="n"/>
      <c r="S99" s="418" t="n"/>
      <c r="T99" s="419" t="n"/>
      <c r="U99" s="421" t="n"/>
      <c r="V99" s="420" t="n"/>
      <c r="W99" s="420" t="n"/>
      <c r="X99" s="422">
        <f>SUM(J99:W99)</f>
        <v/>
      </c>
      <c r="Y99" s="423">
        <f>X100-X99</f>
        <v/>
      </c>
      <c r="Z99" s="209" t="n"/>
    </row>
    <row r="100" ht="14.25" customHeight="1" s="296">
      <c r="A100" s="154">
        <f>-A99</f>
        <v/>
      </c>
      <c r="B100" s="154">
        <f>B99</f>
        <v/>
      </c>
      <c r="C100" s="163" t="n"/>
      <c r="D100" s="424" t="n"/>
      <c r="E100" s="425" t="n"/>
      <c r="F100" s="426" t="n"/>
      <c r="G100" s="164" t="inlineStr">
        <is>
          <t>факт</t>
        </is>
      </c>
      <c r="H100" s="165" t="n"/>
      <c r="I100" s="250" t="n"/>
      <c r="J100" s="427">
        <f>SUMIF('09'!$D$7:$D$159,$C99,'09'!L$7:L$159)+SUMIF('10'!$D$7:$D$159,$C99,'10'!L$7:L$159)+SUMIF('11'!$D$7:$D$159,$C99,'11'!L$7:L$159)+SUMIF('12'!$D$7:$D$159,$C99,'12'!L$7:L$159)+SUMIF('01'!$D$7:$D$159,$C99,'01'!L$7:L$159)</f>
        <v/>
      </c>
      <c r="K100" s="428">
        <f>SUMIF('09'!$D$7:$D$159,$C99,'09'!M$7:M$159)+SUMIF('10'!$D$7:$D$159,$C99,'10'!M$7:M$159)+SUMIF('11'!$D$7:$D$159,$C99,'11'!M$7:M$159)+SUMIF('12'!$D$7:$D$159,$C99,'12'!M$7:M$159)+SUMIF('01'!$D$7:$D$159,$C99,'01'!M$7:M$159)</f>
        <v/>
      </c>
      <c r="L100" s="429">
        <f>SUMIF('09'!$D$7:$D$159,$C99,'09'!N$7:N$159)+SUMIF('10'!$D$7:$D$159,$C99,'10'!N$7:N$159)+SUMIF('11'!$D$7:$D$159,$C99,'11'!N$7:N$159)+SUMIF('12'!$D$7:$D$159,$C99,'12'!N$7:N$159)+SUMIF('01'!$D$7:$D$159,$C99,'01'!N$7:N$159)</f>
        <v/>
      </c>
      <c r="M100" s="427">
        <f>SUMIF('09'!$D$7:$D$159,$C99,'09'!O$7:O$159)+SUMIF('10'!$D$7:$D$159,$C99,'10'!O$7:O$159)+SUMIF('11'!$D$7:$D$159,$C99,'11'!O$7:O$159)+SUMIF('12'!$D$7:$D$159,$C99,'12'!O$7:O$159)+SUMIF('01'!$D$7:$D$159,$C99,'01'!O$7:O$159)</f>
        <v/>
      </c>
      <c r="N100" s="428">
        <f>SUMIF('09'!$D$7:$D$159,$C99,'09'!P$7:P$159)+SUMIF('10'!$D$7:$D$159,$C99,'10'!P$7:P$159)+SUMIF('11'!$D$7:$D$159,$C99,'11'!P$7:P$159)+SUMIF('12'!$D$7:$D$159,$C99,'12'!P$7:P$159)+SUMIF('01'!$D$7:$D$159,$C99,'01'!P$7:P$159)</f>
        <v/>
      </c>
      <c r="O100" s="429">
        <f>SUMIF('09'!$D$7:$D$159,$C99,'09'!Q$7:Q$159)+SUMIF('10'!$D$7:$D$159,$C99,'10'!Q$7:Q$159)+SUMIF('11'!$D$7:$D$159,$C99,'11'!Q$7:Q$159)+SUMIF('12'!$D$7:$D$159,$C99,'12'!Q$7:Q$159)+SUMIF('01'!$D$7:$D$159,$C99,'01'!Q$7:Q$159)</f>
        <v/>
      </c>
      <c r="P100" s="427">
        <f>SUMIF('09'!$D$7:$D$159,$C99,'09'!R$7:R$159)+SUMIF('10'!$D$7:$D$159,$C99,'10'!R$7:R$159)+SUMIF('11'!$D$7:$D$159,$C99,'11'!R$7:R$159)+SUMIF('12'!$D$7:$D$159,$C99,'12'!R$7:R$159)+SUMIF('01'!$D$7:$D$159,$C99,'01'!R$7:R$159)</f>
        <v/>
      </c>
      <c r="Q100" s="428">
        <f>SUMIF('09'!$D$7:$D$159,$C99,'09'!S$7:S$159)+SUMIF('10'!$D$7:$D$159,$C99,'10'!S$7:S$159)+SUMIF('11'!$D$7:$D$159,$C99,'11'!S$7:S$159)+SUMIF('12'!$D$7:$D$159,$C99,'12'!S$7:S$159)+SUMIF('01'!$D$7:$D$159,$C99,'01'!S$7:S$159)</f>
        <v/>
      </c>
      <c r="R100" s="429">
        <f>SUMIF('09'!$D$7:$D$159,$C99,'09'!T$7:T$159)+SUMIF('10'!$D$7:$D$159,$C99,'10'!T$7:T$159)+SUMIF('11'!$D$7:$D$159,$C99,'11'!T$7:T$159)+SUMIF('12'!$D$7:$D$159,$C99,'12'!T$7:T$159)+SUMIF('01'!$D$7:$D$159,$C99,'01'!T$7:T$159)</f>
        <v/>
      </c>
      <c r="S100" s="427">
        <f>SUMIF('09'!$D$7:$D$159,$C99,'09'!U$7:U$159)+SUMIF('10'!$D$7:$D$159,$C99,'10'!U$7:U$159)+SUMIF('11'!$D$7:$D$159,$C99,'11'!U$7:U$159)+SUMIF('12'!$D$7:$D$159,$C99,'12'!U$7:U$159)+SUMIF('01'!$D$7:$D$159,$C99,'01'!U$7:U$159)</f>
        <v/>
      </c>
      <c r="T100" s="428">
        <f>SUMIF('09'!$D$7:$D$159,$C99,'09'!V$7:V$159)+SUMIF('10'!$D$7:$D$159,$C99,'10'!V$7:V$159)+SUMIF('11'!$D$7:$D$159,$C99,'11'!V$7:V$159)+SUMIF('12'!$D$7:$D$159,$C99,'12'!V$7:V$159)+SUMIF('01'!$D$7:$D$159,$C99,'01'!V$7:V$159)</f>
        <v/>
      </c>
      <c r="U100" s="430">
        <f>SUMIF('09'!$D$7:$D$159,$C99,'09'!W$7:W$159)+SUMIF('10'!$D$7:$D$159,$C99,'10'!W$7:W$159)+SUMIF('11'!$D$7:$D$159,$C99,'11'!W$7:W$159)+SUMIF('12'!$D$7:$D$159,$C99,'12'!W$7:W$159)+SUMIF('01'!$D$7:$D$159,$C99,'01'!W$7:W$159)</f>
        <v/>
      </c>
      <c r="V100" s="429">
        <f>SUMIF('09'!$D$7:$D$159,$C99,'09'!X$7:X$159)+SUMIF('10'!$D$7:$D$159,$C99,'10'!X$7:X$159)+SUMIF('11'!$D$7:$D$159,$C99,'11'!X$7:X$159)+SUMIF('12'!$D$7:$D$159,$C99,'12'!X$7:X$159)+SUMIF('01'!$D$7:$D$159,$C99,'01'!X$7:X$159)</f>
        <v/>
      </c>
      <c r="W100" s="429">
        <f>SUMIF('09'!$D$7:$D$159,$C99,'09'!Y$7:Y$159)+SUMIF('10'!$D$7:$D$159,$C99,'10'!Y$7:Y$159)+SUMIF('11'!$D$7:$D$159,$C99,'11'!Y$7:Y$159)+SUMIF('12'!$D$7:$D$159,$C99,'12'!Y$7:Y$159)+SUMIF('01'!$D$7:$D$159,$C99,'01'!Y$7:Y$159)</f>
        <v/>
      </c>
      <c r="X100" s="431">
        <f>SUM(J100:W100)</f>
        <v/>
      </c>
      <c r="Y100" s="413" t="n"/>
      <c r="Z100" s="432" t="n"/>
    </row>
    <row r="101" ht="14.25" customHeight="1" s="296">
      <c r="A101" s="154">
        <f>IF(OR(C101="0",COUNTIF(КлючОсень,C101)&gt;1),0,MATCH(F101,ВидыНагр,0))</f>
        <v/>
      </c>
      <c r="B101" s="154">
        <f>(COUNTA(D101:F102,J101:W101,H101:I102)=0)</f>
        <v/>
      </c>
      <c r="C101" s="155">
        <f>IF(OR(TRIM(D101)="",COUNTIF(ВидыНагр,F101)&lt;&gt;1),"0",CONCATENATE("$",TRIM(D101),"$",TRIM(E101),"$",F101,"$"))</f>
        <v/>
      </c>
      <c r="D101" s="415" t="n"/>
      <c r="E101" s="416" t="n"/>
      <c r="F101" s="417" t="n"/>
      <c r="G101" s="156" t="inlineStr">
        <is>
          <t>план</t>
        </is>
      </c>
      <c r="H101" s="157" t="n"/>
      <c r="I101" s="158" t="n"/>
      <c r="J101" s="418" t="n"/>
      <c r="K101" s="419" t="n"/>
      <c r="L101" s="420" t="n"/>
      <c r="M101" s="418" t="n"/>
      <c r="N101" s="419" t="n"/>
      <c r="O101" s="420" t="n"/>
      <c r="P101" s="418" t="n"/>
      <c r="Q101" s="419" t="n"/>
      <c r="R101" s="420" t="n"/>
      <c r="S101" s="418" t="n"/>
      <c r="T101" s="419" t="n"/>
      <c r="U101" s="421" t="n"/>
      <c r="V101" s="420" t="n"/>
      <c r="W101" s="420" t="n"/>
      <c r="X101" s="422">
        <f>SUM(J101:W101)</f>
        <v/>
      </c>
      <c r="Y101" s="423">
        <f>X102-X101</f>
        <v/>
      </c>
      <c r="Z101" s="209" t="n"/>
    </row>
    <row r="102" ht="14.25" customHeight="1" s="296">
      <c r="A102" s="154">
        <f>-A101</f>
        <v/>
      </c>
      <c r="B102" s="154">
        <f>B101</f>
        <v/>
      </c>
      <c r="C102" s="163" t="n"/>
      <c r="D102" s="424" t="n"/>
      <c r="E102" s="425" t="n"/>
      <c r="F102" s="426" t="n"/>
      <c r="G102" s="164" t="inlineStr">
        <is>
          <t>факт</t>
        </is>
      </c>
      <c r="H102" s="165" t="n"/>
      <c r="I102" s="250" t="n"/>
      <c r="J102" s="427">
        <f>SUMIF('09'!$D$7:$D$159,$C101,'09'!L$7:L$159)+SUMIF('10'!$D$7:$D$159,$C101,'10'!L$7:L$159)+SUMIF('11'!$D$7:$D$159,$C101,'11'!L$7:L$159)+SUMIF('12'!$D$7:$D$159,$C101,'12'!L$7:L$159)+SUMIF('01'!$D$7:$D$159,$C101,'01'!L$7:L$159)</f>
        <v/>
      </c>
      <c r="K102" s="428">
        <f>SUMIF('09'!$D$7:$D$159,$C101,'09'!M$7:M$159)+SUMIF('10'!$D$7:$D$159,$C101,'10'!M$7:M$159)+SUMIF('11'!$D$7:$D$159,$C101,'11'!M$7:M$159)+SUMIF('12'!$D$7:$D$159,$C101,'12'!M$7:M$159)+SUMIF('01'!$D$7:$D$159,$C101,'01'!M$7:M$159)</f>
        <v/>
      </c>
      <c r="L102" s="429">
        <f>SUMIF('09'!$D$7:$D$159,$C101,'09'!N$7:N$159)+SUMIF('10'!$D$7:$D$159,$C101,'10'!N$7:N$159)+SUMIF('11'!$D$7:$D$159,$C101,'11'!N$7:N$159)+SUMIF('12'!$D$7:$D$159,$C101,'12'!N$7:N$159)+SUMIF('01'!$D$7:$D$159,$C101,'01'!N$7:N$159)</f>
        <v/>
      </c>
      <c r="M102" s="427">
        <f>SUMIF('09'!$D$7:$D$159,$C101,'09'!O$7:O$159)+SUMIF('10'!$D$7:$D$159,$C101,'10'!O$7:O$159)+SUMIF('11'!$D$7:$D$159,$C101,'11'!O$7:O$159)+SUMIF('12'!$D$7:$D$159,$C101,'12'!O$7:O$159)+SUMIF('01'!$D$7:$D$159,$C101,'01'!O$7:O$159)</f>
        <v/>
      </c>
      <c r="N102" s="428">
        <f>SUMIF('09'!$D$7:$D$159,$C101,'09'!P$7:P$159)+SUMIF('10'!$D$7:$D$159,$C101,'10'!P$7:P$159)+SUMIF('11'!$D$7:$D$159,$C101,'11'!P$7:P$159)+SUMIF('12'!$D$7:$D$159,$C101,'12'!P$7:P$159)+SUMIF('01'!$D$7:$D$159,$C101,'01'!P$7:P$159)</f>
        <v/>
      </c>
      <c r="O102" s="429">
        <f>SUMIF('09'!$D$7:$D$159,$C101,'09'!Q$7:Q$159)+SUMIF('10'!$D$7:$D$159,$C101,'10'!Q$7:Q$159)+SUMIF('11'!$D$7:$D$159,$C101,'11'!Q$7:Q$159)+SUMIF('12'!$D$7:$D$159,$C101,'12'!Q$7:Q$159)+SUMIF('01'!$D$7:$D$159,$C101,'01'!Q$7:Q$159)</f>
        <v/>
      </c>
      <c r="P102" s="427">
        <f>SUMIF('09'!$D$7:$D$159,$C101,'09'!R$7:R$159)+SUMIF('10'!$D$7:$D$159,$C101,'10'!R$7:R$159)+SUMIF('11'!$D$7:$D$159,$C101,'11'!R$7:R$159)+SUMIF('12'!$D$7:$D$159,$C101,'12'!R$7:R$159)+SUMIF('01'!$D$7:$D$159,$C101,'01'!R$7:R$159)</f>
        <v/>
      </c>
      <c r="Q102" s="428">
        <f>SUMIF('09'!$D$7:$D$159,$C101,'09'!S$7:S$159)+SUMIF('10'!$D$7:$D$159,$C101,'10'!S$7:S$159)+SUMIF('11'!$D$7:$D$159,$C101,'11'!S$7:S$159)+SUMIF('12'!$D$7:$D$159,$C101,'12'!S$7:S$159)+SUMIF('01'!$D$7:$D$159,$C101,'01'!S$7:S$159)</f>
        <v/>
      </c>
      <c r="R102" s="429">
        <f>SUMIF('09'!$D$7:$D$159,$C101,'09'!T$7:T$159)+SUMIF('10'!$D$7:$D$159,$C101,'10'!T$7:T$159)+SUMIF('11'!$D$7:$D$159,$C101,'11'!T$7:T$159)+SUMIF('12'!$D$7:$D$159,$C101,'12'!T$7:T$159)+SUMIF('01'!$D$7:$D$159,$C101,'01'!T$7:T$159)</f>
        <v/>
      </c>
      <c r="S102" s="427">
        <f>SUMIF('09'!$D$7:$D$159,$C101,'09'!U$7:U$159)+SUMIF('10'!$D$7:$D$159,$C101,'10'!U$7:U$159)+SUMIF('11'!$D$7:$D$159,$C101,'11'!U$7:U$159)+SUMIF('12'!$D$7:$D$159,$C101,'12'!U$7:U$159)+SUMIF('01'!$D$7:$D$159,$C101,'01'!U$7:U$159)</f>
        <v/>
      </c>
      <c r="T102" s="428">
        <f>SUMIF('09'!$D$7:$D$159,$C101,'09'!V$7:V$159)+SUMIF('10'!$D$7:$D$159,$C101,'10'!V$7:V$159)+SUMIF('11'!$D$7:$D$159,$C101,'11'!V$7:V$159)+SUMIF('12'!$D$7:$D$159,$C101,'12'!V$7:V$159)+SUMIF('01'!$D$7:$D$159,$C101,'01'!V$7:V$159)</f>
        <v/>
      </c>
      <c r="U102" s="430">
        <f>SUMIF('09'!$D$7:$D$159,$C101,'09'!W$7:W$159)+SUMIF('10'!$D$7:$D$159,$C101,'10'!W$7:W$159)+SUMIF('11'!$D$7:$D$159,$C101,'11'!W$7:W$159)+SUMIF('12'!$D$7:$D$159,$C101,'12'!W$7:W$159)+SUMIF('01'!$D$7:$D$159,$C101,'01'!W$7:W$159)</f>
        <v/>
      </c>
      <c r="V102" s="429">
        <f>SUMIF('09'!$D$7:$D$159,$C101,'09'!X$7:X$159)+SUMIF('10'!$D$7:$D$159,$C101,'10'!X$7:X$159)+SUMIF('11'!$D$7:$D$159,$C101,'11'!X$7:X$159)+SUMIF('12'!$D$7:$D$159,$C101,'12'!X$7:X$159)+SUMIF('01'!$D$7:$D$159,$C101,'01'!X$7:X$159)</f>
        <v/>
      </c>
      <c r="W102" s="429">
        <f>SUMIF('09'!$D$7:$D$159,$C101,'09'!Y$7:Y$159)+SUMIF('10'!$D$7:$D$159,$C101,'10'!Y$7:Y$159)+SUMIF('11'!$D$7:$D$159,$C101,'11'!Y$7:Y$159)+SUMIF('12'!$D$7:$D$159,$C101,'12'!Y$7:Y$159)+SUMIF('01'!$D$7:$D$159,$C101,'01'!Y$7:Y$159)</f>
        <v/>
      </c>
      <c r="X102" s="431">
        <f>SUM(J102:W102)</f>
        <v/>
      </c>
      <c r="Y102" s="413" t="n"/>
      <c r="Z102" s="432" t="n"/>
    </row>
    <row r="103" ht="14.25" customHeight="1" s="296">
      <c r="A103" s="154">
        <f>IF(OR(C103="0",COUNTIF(КлючОсень,C103)&gt;1),0,MATCH(F103,ВидыНагр,0))</f>
        <v/>
      </c>
      <c r="B103" s="154">
        <f>(COUNTA(D103:F104,J103:W103,H103:I104)=0)</f>
        <v/>
      </c>
      <c r="C103" s="155">
        <f>IF(OR(TRIM(D103)="",COUNTIF(ВидыНагр,F103)&lt;&gt;1),"0",CONCATENATE("$",TRIM(D103),"$",TRIM(E103),"$",F103,"$"))</f>
        <v/>
      </c>
      <c r="D103" s="415" t="n"/>
      <c r="E103" s="416" t="n"/>
      <c r="F103" s="417" t="n"/>
      <c r="G103" s="156" t="inlineStr">
        <is>
          <t>план</t>
        </is>
      </c>
      <c r="H103" s="157" t="n"/>
      <c r="I103" s="158" t="n"/>
      <c r="J103" s="418" t="n"/>
      <c r="K103" s="419" t="n"/>
      <c r="L103" s="420" t="n"/>
      <c r="M103" s="418" t="n"/>
      <c r="N103" s="419" t="n"/>
      <c r="O103" s="420" t="n"/>
      <c r="P103" s="418" t="n"/>
      <c r="Q103" s="419" t="n"/>
      <c r="R103" s="420" t="n"/>
      <c r="S103" s="418" t="n"/>
      <c r="T103" s="419" t="n"/>
      <c r="U103" s="421" t="n"/>
      <c r="V103" s="420" t="n"/>
      <c r="W103" s="420" t="n"/>
      <c r="X103" s="422">
        <f>SUM(J103:W103)</f>
        <v/>
      </c>
      <c r="Y103" s="423">
        <f>X104-X103</f>
        <v/>
      </c>
      <c r="Z103" s="209" t="n"/>
    </row>
    <row r="104" ht="14.25" customHeight="1" s="296">
      <c r="A104" s="154">
        <f>-A103</f>
        <v/>
      </c>
      <c r="B104" s="154">
        <f>B103</f>
        <v/>
      </c>
      <c r="C104" s="163" t="n"/>
      <c r="D104" s="424" t="n"/>
      <c r="E104" s="425" t="n"/>
      <c r="F104" s="426" t="n"/>
      <c r="G104" s="164" t="inlineStr">
        <is>
          <t>факт</t>
        </is>
      </c>
      <c r="H104" s="165" t="n"/>
      <c r="I104" s="250" t="n"/>
      <c r="J104" s="427">
        <f>SUMIF('09'!$D$7:$D$159,$C103,'09'!L$7:L$159)+SUMIF('10'!$D$7:$D$159,$C103,'10'!L$7:L$159)+SUMIF('11'!$D$7:$D$159,$C103,'11'!L$7:L$159)+SUMIF('12'!$D$7:$D$159,$C103,'12'!L$7:L$159)+SUMIF('01'!$D$7:$D$159,$C103,'01'!L$7:L$159)</f>
        <v/>
      </c>
      <c r="K104" s="428">
        <f>SUMIF('09'!$D$7:$D$159,$C103,'09'!M$7:M$159)+SUMIF('10'!$D$7:$D$159,$C103,'10'!M$7:M$159)+SUMIF('11'!$D$7:$D$159,$C103,'11'!M$7:M$159)+SUMIF('12'!$D$7:$D$159,$C103,'12'!M$7:M$159)+SUMIF('01'!$D$7:$D$159,$C103,'01'!M$7:M$159)</f>
        <v/>
      </c>
      <c r="L104" s="429">
        <f>SUMIF('09'!$D$7:$D$159,$C103,'09'!N$7:N$159)+SUMIF('10'!$D$7:$D$159,$C103,'10'!N$7:N$159)+SUMIF('11'!$D$7:$D$159,$C103,'11'!N$7:N$159)+SUMIF('12'!$D$7:$D$159,$C103,'12'!N$7:N$159)+SUMIF('01'!$D$7:$D$159,$C103,'01'!N$7:N$159)</f>
        <v/>
      </c>
      <c r="M104" s="427">
        <f>SUMIF('09'!$D$7:$D$159,$C103,'09'!O$7:O$159)+SUMIF('10'!$D$7:$D$159,$C103,'10'!O$7:O$159)+SUMIF('11'!$D$7:$D$159,$C103,'11'!O$7:O$159)+SUMIF('12'!$D$7:$D$159,$C103,'12'!O$7:O$159)+SUMIF('01'!$D$7:$D$159,$C103,'01'!O$7:O$159)</f>
        <v/>
      </c>
      <c r="N104" s="428">
        <f>SUMIF('09'!$D$7:$D$159,$C103,'09'!P$7:P$159)+SUMIF('10'!$D$7:$D$159,$C103,'10'!P$7:P$159)+SUMIF('11'!$D$7:$D$159,$C103,'11'!P$7:P$159)+SUMIF('12'!$D$7:$D$159,$C103,'12'!P$7:P$159)+SUMIF('01'!$D$7:$D$159,$C103,'01'!P$7:P$159)</f>
        <v/>
      </c>
      <c r="O104" s="429">
        <f>SUMIF('09'!$D$7:$D$159,$C103,'09'!Q$7:Q$159)+SUMIF('10'!$D$7:$D$159,$C103,'10'!Q$7:Q$159)+SUMIF('11'!$D$7:$D$159,$C103,'11'!Q$7:Q$159)+SUMIF('12'!$D$7:$D$159,$C103,'12'!Q$7:Q$159)+SUMIF('01'!$D$7:$D$159,$C103,'01'!Q$7:Q$159)</f>
        <v/>
      </c>
      <c r="P104" s="427">
        <f>SUMIF('09'!$D$7:$D$159,$C103,'09'!R$7:R$159)+SUMIF('10'!$D$7:$D$159,$C103,'10'!R$7:R$159)+SUMIF('11'!$D$7:$D$159,$C103,'11'!R$7:R$159)+SUMIF('12'!$D$7:$D$159,$C103,'12'!R$7:R$159)+SUMIF('01'!$D$7:$D$159,$C103,'01'!R$7:R$159)</f>
        <v/>
      </c>
      <c r="Q104" s="428">
        <f>SUMIF('09'!$D$7:$D$159,$C103,'09'!S$7:S$159)+SUMIF('10'!$D$7:$D$159,$C103,'10'!S$7:S$159)+SUMIF('11'!$D$7:$D$159,$C103,'11'!S$7:S$159)+SUMIF('12'!$D$7:$D$159,$C103,'12'!S$7:S$159)+SUMIF('01'!$D$7:$D$159,$C103,'01'!S$7:S$159)</f>
        <v/>
      </c>
      <c r="R104" s="429">
        <f>SUMIF('09'!$D$7:$D$159,$C103,'09'!T$7:T$159)+SUMIF('10'!$D$7:$D$159,$C103,'10'!T$7:T$159)+SUMIF('11'!$D$7:$D$159,$C103,'11'!T$7:T$159)+SUMIF('12'!$D$7:$D$159,$C103,'12'!T$7:T$159)+SUMIF('01'!$D$7:$D$159,$C103,'01'!T$7:T$159)</f>
        <v/>
      </c>
      <c r="S104" s="427">
        <f>SUMIF('09'!$D$7:$D$159,$C103,'09'!U$7:U$159)+SUMIF('10'!$D$7:$D$159,$C103,'10'!U$7:U$159)+SUMIF('11'!$D$7:$D$159,$C103,'11'!U$7:U$159)+SUMIF('12'!$D$7:$D$159,$C103,'12'!U$7:U$159)+SUMIF('01'!$D$7:$D$159,$C103,'01'!U$7:U$159)</f>
        <v/>
      </c>
      <c r="T104" s="428">
        <f>SUMIF('09'!$D$7:$D$159,$C103,'09'!V$7:V$159)+SUMIF('10'!$D$7:$D$159,$C103,'10'!V$7:V$159)+SUMIF('11'!$D$7:$D$159,$C103,'11'!V$7:V$159)+SUMIF('12'!$D$7:$D$159,$C103,'12'!V$7:V$159)+SUMIF('01'!$D$7:$D$159,$C103,'01'!V$7:V$159)</f>
        <v/>
      </c>
      <c r="U104" s="430">
        <f>SUMIF('09'!$D$7:$D$159,$C103,'09'!W$7:W$159)+SUMIF('10'!$D$7:$D$159,$C103,'10'!W$7:W$159)+SUMIF('11'!$D$7:$D$159,$C103,'11'!W$7:W$159)+SUMIF('12'!$D$7:$D$159,$C103,'12'!W$7:W$159)+SUMIF('01'!$D$7:$D$159,$C103,'01'!W$7:W$159)</f>
        <v/>
      </c>
      <c r="V104" s="429">
        <f>SUMIF('09'!$D$7:$D$159,$C103,'09'!X$7:X$159)+SUMIF('10'!$D$7:$D$159,$C103,'10'!X$7:X$159)+SUMIF('11'!$D$7:$D$159,$C103,'11'!X$7:X$159)+SUMIF('12'!$D$7:$D$159,$C103,'12'!X$7:X$159)+SUMIF('01'!$D$7:$D$159,$C103,'01'!X$7:X$159)</f>
        <v/>
      </c>
      <c r="W104" s="429">
        <f>SUMIF('09'!$D$7:$D$159,$C103,'09'!Y$7:Y$159)+SUMIF('10'!$D$7:$D$159,$C103,'10'!Y$7:Y$159)+SUMIF('11'!$D$7:$D$159,$C103,'11'!Y$7:Y$159)+SUMIF('12'!$D$7:$D$159,$C103,'12'!Y$7:Y$159)+SUMIF('01'!$D$7:$D$159,$C103,'01'!Y$7:Y$159)</f>
        <v/>
      </c>
      <c r="X104" s="431">
        <f>SUM(J104:W104)</f>
        <v/>
      </c>
      <c r="Y104" s="413" t="n"/>
      <c r="Z104" s="432" t="n"/>
    </row>
    <row r="105" ht="14.25" customHeight="1" s="296">
      <c r="A105" s="154">
        <f>IF(OR(C105="0",COUNTIF(КлючОсень,C105)&gt;1),0,MATCH(F105,ВидыНагр,0))</f>
        <v/>
      </c>
      <c r="B105" s="154">
        <f>(COUNTA(D105:F106,J105:W105,H105:I106)=0)</f>
        <v/>
      </c>
      <c r="C105" s="155">
        <f>IF(OR(TRIM(D105)="",COUNTIF(ВидыНагр,F105)&lt;&gt;1),"0",CONCATENATE("$",TRIM(D105),"$",TRIM(E105),"$",F105,"$"))</f>
        <v/>
      </c>
      <c r="D105" s="415" t="n"/>
      <c r="E105" s="416" t="n"/>
      <c r="F105" s="417" t="n"/>
      <c r="G105" s="156" t="inlineStr">
        <is>
          <t>план</t>
        </is>
      </c>
      <c r="H105" s="157" t="n"/>
      <c r="I105" s="158" t="n"/>
      <c r="J105" s="418" t="n"/>
      <c r="K105" s="419" t="n"/>
      <c r="L105" s="420" t="n"/>
      <c r="M105" s="418" t="n"/>
      <c r="N105" s="419" t="n"/>
      <c r="O105" s="420" t="n"/>
      <c r="P105" s="418" t="n"/>
      <c r="Q105" s="419" t="n"/>
      <c r="R105" s="420" t="n"/>
      <c r="S105" s="418" t="n"/>
      <c r="T105" s="419" t="n"/>
      <c r="U105" s="421" t="n"/>
      <c r="V105" s="420" t="n"/>
      <c r="W105" s="420" t="n"/>
      <c r="X105" s="422">
        <f>SUM(J105:W105)</f>
        <v/>
      </c>
      <c r="Y105" s="423">
        <f>X106-X105</f>
        <v/>
      </c>
      <c r="Z105" s="209" t="n"/>
    </row>
    <row r="106" ht="14.25" customHeight="1" s="296">
      <c r="A106" s="154">
        <f>-A105</f>
        <v/>
      </c>
      <c r="B106" s="154">
        <f>B105</f>
        <v/>
      </c>
      <c r="C106" s="163" t="n"/>
      <c r="D106" s="424" t="n"/>
      <c r="E106" s="425" t="n"/>
      <c r="F106" s="426" t="n"/>
      <c r="G106" s="164" t="inlineStr">
        <is>
          <t>факт</t>
        </is>
      </c>
      <c r="H106" s="165" t="n"/>
      <c r="I106" s="250" t="n"/>
      <c r="J106" s="427">
        <f>SUMIF('09'!$D$7:$D$159,$C105,'09'!L$7:L$159)+SUMIF('10'!$D$7:$D$159,$C105,'10'!L$7:L$159)+SUMIF('11'!$D$7:$D$159,$C105,'11'!L$7:L$159)+SUMIF('12'!$D$7:$D$159,$C105,'12'!L$7:L$159)+SUMIF('01'!$D$7:$D$159,$C105,'01'!L$7:L$159)</f>
        <v/>
      </c>
      <c r="K106" s="428">
        <f>SUMIF('09'!$D$7:$D$159,$C105,'09'!M$7:M$159)+SUMIF('10'!$D$7:$D$159,$C105,'10'!M$7:M$159)+SUMIF('11'!$D$7:$D$159,$C105,'11'!M$7:M$159)+SUMIF('12'!$D$7:$D$159,$C105,'12'!M$7:M$159)+SUMIF('01'!$D$7:$D$159,$C105,'01'!M$7:M$159)</f>
        <v/>
      </c>
      <c r="L106" s="429">
        <f>SUMIF('09'!$D$7:$D$159,$C105,'09'!N$7:N$159)+SUMIF('10'!$D$7:$D$159,$C105,'10'!N$7:N$159)+SUMIF('11'!$D$7:$D$159,$C105,'11'!N$7:N$159)+SUMIF('12'!$D$7:$D$159,$C105,'12'!N$7:N$159)+SUMIF('01'!$D$7:$D$159,$C105,'01'!N$7:N$159)</f>
        <v/>
      </c>
      <c r="M106" s="427">
        <f>SUMIF('09'!$D$7:$D$159,$C105,'09'!O$7:O$159)+SUMIF('10'!$D$7:$D$159,$C105,'10'!O$7:O$159)+SUMIF('11'!$D$7:$D$159,$C105,'11'!O$7:O$159)+SUMIF('12'!$D$7:$D$159,$C105,'12'!O$7:O$159)+SUMIF('01'!$D$7:$D$159,$C105,'01'!O$7:O$159)</f>
        <v/>
      </c>
      <c r="N106" s="428">
        <f>SUMIF('09'!$D$7:$D$159,$C105,'09'!P$7:P$159)+SUMIF('10'!$D$7:$D$159,$C105,'10'!P$7:P$159)+SUMIF('11'!$D$7:$D$159,$C105,'11'!P$7:P$159)+SUMIF('12'!$D$7:$D$159,$C105,'12'!P$7:P$159)+SUMIF('01'!$D$7:$D$159,$C105,'01'!P$7:P$159)</f>
        <v/>
      </c>
      <c r="O106" s="429">
        <f>SUMIF('09'!$D$7:$D$159,$C105,'09'!Q$7:Q$159)+SUMIF('10'!$D$7:$D$159,$C105,'10'!Q$7:Q$159)+SUMIF('11'!$D$7:$D$159,$C105,'11'!Q$7:Q$159)+SUMIF('12'!$D$7:$D$159,$C105,'12'!Q$7:Q$159)+SUMIF('01'!$D$7:$D$159,$C105,'01'!Q$7:Q$159)</f>
        <v/>
      </c>
      <c r="P106" s="427">
        <f>SUMIF('09'!$D$7:$D$159,$C105,'09'!R$7:R$159)+SUMIF('10'!$D$7:$D$159,$C105,'10'!R$7:R$159)+SUMIF('11'!$D$7:$D$159,$C105,'11'!R$7:R$159)+SUMIF('12'!$D$7:$D$159,$C105,'12'!R$7:R$159)+SUMIF('01'!$D$7:$D$159,$C105,'01'!R$7:R$159)</f>
        <v/>
      </c>
      <c r="Q106" s="428">
        <f>SUMIF('09'!$D$7:$D$159,$C105,'09'!S$7:S$159)+SUMIF('10'!$D$7:$D$159,$C105,'10'!S$7:S$159)+SUMIF('11'!$D$7:$D$159,$C105,'11'!S$7:S$159)+SUMIF('12'!$D$7:$D$159,$C105,'12'!S$7:S$159)+SUMIF('01'!$D$7:$D$159,$C105,'01'!S$7:S$159)</f>
        <v/>
      </c>
      <c r="R106" s="429">
        <f>SUMIF('09'!$D$7:$D$159,$C105,'09'!T$7:T$159)+SUMIF('10'!$D$7:$D$159,$C105,'10'!T$7:T$159)+SUMIF('11'!$D$7:$D$159,$C105,'11'!T$7:T$159)+SUMIF('12'!$D$7:$D$159,$C105,'12'!T$7:T$159)+SUMIF('01'!$D$7:$D$159,$C105,'01'!T$7:T$159)</f>
        <v/>
      </c>
      <c r="S106" s="427">
        <f>SUMIF('09'!$D$7:$D$159,$C105,'09'!U$7:U$159)+SUMIF('10'!$D$7:$D$159,$C105,'10'!U$7:U$159)+SUMIF('11'!$D$7:$D$159,$C105,'11'!U$7:U$159)+SUMIF('12'!$D$7:$D$159,$C105,'12'!U$7:U$159)+SUMIF('01'!$D$7:$D$159,$C105,'01'!U$7:U$159)</f>
        <v/>
      </c>
      <c r="T106" s="428">
        <f>SUMIF('09'!$D$7:$D$159,$C105,'09'!V$7:V$159)+SUMIF('10'!$D$7:$D$159,$C105,'10'!V$7:V$159)+SUMIF('11'!$D$7:$D$159,$C105,'11'!V$7:V$159)+SUMIF('12'!$D$7:$D$159,$C105,'12'!V$7:V$159)+SUMIF('01'!$D$7:$D$159,$C105,'01'!V$7:V$159)</f>
        <v/>
      </c>
      <c r="U106" s="430">
        <f>SUMIF('09'!$D$7:$D$159,$C105,'09'!W$7:W$159)+SUMIF('10'!$D$7:$D$159,$C105,'10'!W$7:W$159)+SUMIF('11'!$D$7:$D$159,$C105,'11'!W$7:W$159)+SUMIF('12'!$D$7:$D$159,$C105,'12'!W$7:W$159)+SUMIF('01'!$D$7:$D$159,$C105,'01'!W$7:W$159)</f>
        <v/>
      </c>
      <c r="V106" s="429">
        <f>SUMIF('09'!$D$7:$D$159,$C105,'09'!X$7:X$159)+SUMIF('10'!$D$7:$D$159,$C105,'10'!X$7:X$159)+SUMIF('11'!$D$7:$D$159,$C105,'11'!X$7:X$159)+SUMIF('12'!$D$7:$D$159,$C105,'12'!X$7:X$159)+SUMIF('01'!$D$7:$D$159,$C105,'01'!X$7:X$159)</f>
        <v/>
      </c>
      <c r="W106" s="429">
        <f>SUMIF('09'!$D$7:$D$159,$C105,'09'!Y$7:Y$159)+SUMIF('10'!$D$7:$D$159,$C105,'10'!Y$7:Y$159)+SUMIF('11'!$D$7:$D$159,$C105,'11'!Y$7:Y$159)+SUMIF('12'!$D$7:$D$159,$C105,'12'!Y$7:Y$159)+SUMIF('01'!$D$7:$D$159,$C105,'01'!Y$7:Y$159)</f>
        <v/>
      </c>
      <c r="X106" s="431">
        <f>SUM(J106:W106)</f>
        <v/>
      </c>
      <c r="Y106" s="413" t="n"/>
      <c r="Z106" s="432" t="n"/>
    </row>
    <row r="107" ht="14.25" customHeight="1" s="296">
      <c r="A107" s="154">
        <f>IF(OR(C107="0",COUNTIF(КлючОсень,C107)&gt;1),0,MATCH(F107,ВидыНагр,0))</f>
        <v/>
      </c>
      <c r="B107" s="154">
        <f>(COUNTA(D107:F108,J107:W107,H107:I108)=0)</f>
        <v/>
      </c>
      <c r="C107" s="155">
        <f>IF(OR(TRIM(D107)="",COUNTIF(ВидыНагр,F107)&lt;&gt;1),"0",CONCATENATE("$",TRIM(D107),"$",TRIM(E107),"$",F107,"$"))</f>
        <v/>
      </c>
      <c r="D107" s="415" t="n"/>
      <c r="E107" s="416" t="n"/>
      <c r="F107" s="417" t="n"/>
      <c r="G107" s="156" t="inlineStr">
        <is>
          <t>план</t>
        </is>
      </c>
      <c r="H107" s="157" t="n"/>
      <c r="I107" s="158" t="n"/>
      <c r="J107" s="418" t="n"/>
      <c r="K107" s="419" t="n"/>
      <c r="L107" s="420" t="n"/>
      <c r="M107" s="418" t="n"/>
      <c r="N107" s="419" t="n"/>
      <c r="O107" s="420" t="n"/>
      <c r="P107" s="418" t="n"/>
      <c r="Q107" s="419" t="n"/>
      <c r="R107" s="420" t="n"/>
      <c r="S107" s="418" t="n"/>
      <c r="T107" s="419" t="n"/>
      <c r="U107" s="421" t="n"/>
      <c r="V107" s="420" t="n"/>
      <c r="W107" s="420" t="n"/>
      <c r="X107" s="422">
        <f>SUM(J107:W107)</f>
        <v/>
      </c>
      <c r="Y107" s="423">
        <f>X108-X107</f>
        <v/>
      </c>
      <c r="Z107" s="209" t="n"/>
    </row>
    <row r="108" ht="14.25" customHeight="1" s="296">
      <c r="A108" s="154">
        <f>-A107</f>
        <v/>
      </c>
      <c r="B108" s="154">
        <f>B107</f>
        <v/>
      </c>
      <c r="C108" s="163" t="n"/>
      <c r="D108" s="424" t="n"/>
      <c r="E108" s="425" t="n"/>
      <c r="F108" s="426" t="n"/>
      <c r="G108" s="164" t="inlineStr">
        <is>
          <t>факт</t>
        </is>
      </c>
      <c r="H108" s="165" t="n"/>
      <c r="I108" s="250" t="n"/>
      <c r="J108" s="427">
        <f>SUMIF('09'!$D$7:$D$159,$C107,'09'!L$7:L$159)+SUMIF('10'!$D$7:$D$159,$C107,'10'!L$7:L$159)+SUMIF('11'!$D$7:$D$159,$C107,'11'!L$7:L$159)+SUMIF('12'!$D$7:$D$159,$C107,'12'!L$7:L$159)+SUMIF('01'!$D$7:$D$159,$C107,'01'!L$7:L$159)</f>
        <v/>
      </c>
      <c r="K108" s="428">
        <f>SUMIF('09'!$D$7:$D$159,$C107,'09'!M$7:M$159)+SUMIF('10'!$D$7:$D$159,$C107,'10'!M$7:M$159)+SUMIF('11'!$D$7:$D$159,$C107,'11'!M$7:M$159)+SUMIF('12'!$D$7:$D$159,$C107,'12'!M$7:M$159)+SUMIF('01'!$D$7:$D$159,$C107,'01'!M$7:M$159)</f>
        <v/>
      </c>
      <c r="L108" s="429">
        <f>SUMIF('09'!$D$7:$D$159,$C107,'09'!N$7:N$159)+SUMIF('10'!$D$7:$D$159,$C107,'10'!N$7:N$159)+SUMIF('11'!$D$7:$D$159,$C107,'11'!N$7:N$159)+SUMIF('12'!$D$7:$D$159,$C107,'12'!N$7:N$159)+SUMIF('01'!$D$7:$D$159,$C107,'01'!N$7:N$159)</f>
        <v/>
      </c>
      <c r="M108" s="427">
        <f>SUMIF('09'!$D$7:$D$159,$C107,'09'!O$7:O$159)+SUMIF('10'!$D$7:$D$159,$C107,'10'!O$7:O$159)+SUMIF('11'!$D$7:$D$159,$C107,'11'!O$7:O$159)+SUMIF('12'!$D$7:$D$159,$C107,'12'!O$7:O$159)+SUMIF('01'!$D$7:$D$159,$C107,'01'!O$7:O$159)</f>
        <v/>
      </c>
      <c r="N108" s="428">
        <f>SUMIF('09'!$D$7:$D$159,$C107,'09'!P$7:P$159)+SUMIF('10'!$D$7:$D$159,$C107,'10'!P$7:P$159)+SUMIF('11'!$D$7:$D$159,$C107,'11'!P$7:P$159)+SUMIF('12'!$D$7:$D$159,$C107,'12'!P$7:P$159)+SUMIF('01'!$D$7:$D$159,$C107,'01'!P$7:P$159)</f>
        <v/>
      </c>
      <c r="O108" s="429">
        <f>SUMIF('09'!$D$7:$D$159,$C107,'09'!Q$7:Q$159)+SUMIF('10'!$D$7:$D$159,$C107,'10'!Q$7:Q$159)+SUMIF('11'!$D$7:$D$159,$C107,'11'!Q$7:Q$159)+SUMIF('12'!$D$7:$D$159,$C107,'12'!Q$7:Q$159)+SUMIF('01'!$D$7:$D$159,$C107,'01'!Q$7:Q$159)</f>
        <v/>
      </c>
      <c r="P108" s="427">
        <f>SUMIF('09'!$D$7:$D$159,$C107,'09'!R$7:R$159)+SUMIF('10'!$D$7:$D$159,$C107,'10'!R$7:R$159)+SUMIF('11'!$D$7:$D$159,$C107,'11'!R$7:R$159)+SUMIF('12'!$D$7:$D$159,$C107,'12'!R$7:R$159)+SUMIF('01'!$D$7:$D$159,$C107,'01'!R$7:R$159)</f>
        <v/>
      </c>
      <c r="Q108" s="428">
        <f>SUMIF('09'!$D$7:$D$159,$C107,'09'!S$7:S$159)+SUMIF('10'!$D$7:$D$159,$C107,'10'!S$7:S$159)+SUMIF('11'!$D$7:$D$159,$C107,'11'!S$7:S$159)+SUMIF('12'!$D$7:$D$159,$C107,'12'!S$7:S$159)+SUMIF('01'!$D$7:$D$159,$C107,'01'!S$7:S$159)</f>
        <v/>
      </c>
      <c r="R108" s="429">
        <f>SUMIF('09'!$D$7:$D$159,$C107,'09'!T$7:T$159)+SUMIF('10'!$D$7:$D$159,$C107,'10'!T$7:T$159)+SUMIF('11'!$D$7:$D$159,$C107,'11'!T$7:T$159)+SUMIF('12'!$D$7:$D$159,$C107,'12'!T$7:T$159)+SUMIF('01'!$D$7:$D$159,$C107,'01'!T$7:T$159)</f>
        <v/>
      </c>
      <c r="S108" s="427">
        <f>SUMIF('09'!$D$7:$D$159,$C107,'09'!U$7:U$159)+SUMIF('10'!$D$7:$D$159,$C107,'10'!U$7:U$159)+SUMIF('11'!$D$7:$D$159,$C107,'11'!U$7:U$159)+SUMIF('12'!$D$7:$D$159,$C107,'12'!U$7:U$159)+SUMIF('01'!$D$7:$D$159,$C107,'01'!U$7:U$159)</f>
        <v/>
      </c>
      <c r="T108" s="428">
        <f>SUMIF('09'!$D$7:$D$159,$C107,'09'!V$7:V$159)+SUMIF('10'!$D$7:$D$159,$C107,'10'!V$7:V$159)+SUMIF('11'!$D$7:$D$159,$C107,'11'!V$7:V$159)+SUMIF('12'!$D$7:$D$159,$C107,'12'!V$7:V$159)+SUMIF('01'!$D$7:$D$159,$C107,'01'!V$7:V$159)</f>
        <v/>
      </c>
      <c r="U108" s="430">
        <f>SUMIF('09'!$D$7:$D$159,$C107,'09'!W$7:W$159)+SUMIF('10'!$D$7:$D$159,$C107,'10'!W$7:W$159)+SUMIF('11'!$D$7:$D$159,$C107,'11'!W$7:W$159)+SUMIF('12'!$D$7:$D$159,$C107,'12'!W$7:W$159)+SUMIF('01'!$D$7:$D$159,$C107,'01'!W$7:W$159)</f>
        <v/>
      </c>
      <c r="V108" s="429">
        <f>SUMIF('09'!$D$7:$D$159,$C107,'09'!X$7:X$159)+SUMIF('10'!$D$7:$D$159,$C107,'10'!X$7:X$159)+SUMIF('11'!$D$7:$D$159,$C107,'11'!X$7:X$159)+SUMIF('12'!$D$7:$D$159,$C107,'12'!X$7:X$159)+SUMIF('01'!$D$7:$D$159,$C107,'01'!X$7:X$159)</f>
        <v/>
      </c>
      <c r="W108" s="429">
        <f>SUMIF('09'!$D$7:$D$159,$C107,'09'!Y$7:Y$159)+SUMIF('10'!$D$7:$D$159,$C107,'10'!Y$7:Y$159)+SUMIF('11'!$D$7:$D$159,$C107,'11'!Y$7:Y$159)+SUMIF('12'!$D$7:$D$159,$C107,'12'!Y$7:Y$159)+SUMIF('01'!$D$7:$D$159,$C107,'01'!Y$7:Y$159)</f>
        <v/>
      </c>
      <c r="X108" s="431">
        <f>SUM(J108:W108)</f>
        <v/>
      </c>
      <c r="Y108" s="413" t="n"/>
      <c r="Z108" s="432" t="n"/>
    </row>
    <row r="109" ht="14.25" customHeight="1" s="296">
      <c r="A109" s="154">
        <f>IF(OR(C109="0",COUNTIF(КлючОсень,C109)&gt;1),0,MATCH(F109,ВидыНагр,0))</f>
        <v/>
      </c>
      <c r="B109" s="154">
        <f>(COUNTA(D109:F110,J109:W109,H109:I110)=0)</f>
        <v/>
      </c>
      <c r="C109" s="155">
        <f>IF(OR(TRIM(D109)="",COUNTIF(ВидыНагр,F109)&lt;&gt;1),"0",CONCATENATE("$",TRIM(D109),"$",TRIM(E109),"$",F109,"$"))</f>
        <v/>
      </c>
      <c r="D109" s="415" t="n"/>
      <c r="E109" s="416" t="n"/>
      <c r="F109" s="417" t="n"/>
      <c r="G109" s="156" t="inlineStr">
        <is>
          <t>план</t>
        </is>
      </c>
      <c r="H109" s="157" t="n"/>
      <c r="I109" s="158" t="n"/>
      <c r="J109" s="418" t="n"/>
      <c r="K109" s="419" t="n"/>
      <c r="L109" s="420" t="n"/>
      <c r="M109" s="418" t="n"/>
      <c r="N109" s="419" t="n"/>
      <c r="O109" s="420" t="n"/>
      <c r="P109" s="418" t="n"/>
      <c r="Q109" s="419" t="n"/>
      <c r="R109" s="420" t="n"/>
      <c r="S109" s="418" t="n"/>
      <c r="T109" s="419" t="n"/>
      <c r="U109" s="421" t="n"/>
      <c r="V109" s="420" t="n"/>
      <c r="W109" s="420" t="n"/>
      <c r="X109" s="422">
        <f>SUM(J109:W109)</f>
        <v/>
      </c>
      <c r="Y109" s="423">
        <f>X110-X109</f>
        <v/>
      </c>
      <c r="Z109" s="209" t="n"/>
    </row>
    <row r="110" ht="14.25" customHeight="1" s="296">
      <c r="A110" s="154">
        <f>-A109</f>
        <v/>
      </c>
      <c r="B110" s="154">
        <f>B109</f>
        <v/>
      </c>
      <c r="C110" s="163" t="n"/>
      <c r="D110" s="424" t="n"/>
      <c r="E110" s="425" t="n"/>
      <c r="F110" s="426" t="n"/>
      <c r="G110" s="164" t="inlineStr">
        <is>
          <t>факт</t>
        </is>
      </c>
      <c r="H110" s="165" t="n"/>
      <c r="I110" s="250" t="n"/>
      <c r="J110" s="427">
        <f>SUMIF('09'!$D$7:$D$159,$C109,'09'!L$7:L$159)+SUMIF('10'!$D$7:$D$159,$C109,'10'!L$7:L$159)+SUMIF('11'!$D$7:$D$159,$C109,'11'!L$7:L$159)+SUMIF('12'!$D$7:$D$159,$C109,'12'!L$7:L$159)+SUMIF('01'!$D$7:$D$159,$C109,'01'!L$7:L$159)</f>
        <v/>
      </c>
      <c r="K110" s="428">
        <f>SUMIF('09'!$D$7:$D$159,$C109,'09'!M$7:M$159)+SUMIF('10'!$D$7:$D$159,$C109,'10'!M$7:M$159)+SUMIF('11'!$D$7:$D$159,$C109,'11'!M$7:M$159)+SUMIF('12'!$D$7:$D$159,$C109,'12'!M$7:M$159)+SUMIF('01'!$D$7:$D$159,$C109,'01'!M$7:M$159)</f>
        <v/>
      </c>
      <c r="L110" s="429">
        <f>SUMIF('09'!$D$7:$D$159,$C109,'09'!N$7:N$159)+SUMIF('10'!$D$7:$D$159,$C109,'10'!N$7:N$159)+SUMIF('11'!$D$7:$D$159,$C109,'11'!N$7:N$159)+SUMIF('12'!$D$7:$D$159,$C109,'12'!N$7:N$159)+SUMIF('01'!$D$7:$D$159,$C109,'01'!N$7:N$159)</f>
        <v/>
      </c>
      <c r="M110" s="427">
        <f>SUMIF('09'!$D$7:$D$159,$C109,'09'!O$7:O$159)+SUMIF('10'!$D$7:$D$159,$C109,'10'!O$7:O$159)+SUMIF('11'!$D$7:$D$159,$C109,'11'!O$7:O$159)+SUMIF('12'!$D$7:$D$159,$C109,'12'!O$7:O$159)+SUMIF('01'!$D$7:$D$159,$C109,'01'!O$7:O$159)</f>
        <v/>
      </c>
      <c r="N110" s="428">
        <f>SUMIF('09'!$D$7:$D$159,$C109,'09'!P$7:P$159)+SUMIF('10'!$D$7:$D$159,$C109,'10'!P$7:P$159)+SUMIF('11'!$D$7:$D$159,$C109,'11'!P$7:P$159)+SUMIF('12'!$D$7:$D$159,$C109,'12'!P$7:P$159)+SUMIF('01'!$D$7:$D$159,$C109,'01'!P$7:P$159)</f>
        <v/>
      </c>
      <c r="O110" s="429">
        <f>SUMIF('09'!$D$7:$D$159,$C109,'09'!Q$7:Q$159)+SUMIF('10'!$D$7:$D$159,$C109,'10'!Q$7:Q$159)+SUMIF('11'!$D$7:$D$159,$C109,'11'!Q$7:Q$159)+SUMIF('12'!$D$7:$D$159,$C109,'12'!Q$7:Q$159)+SUMIF('01'!$D$7:$D$159,$C109,'01'!Q$7:Q$159)</f>
        <v/>
      </c>
      <c r="P110" s="427">
        <f>SUMIF('09'!$D$7:$D$159,$C109,'09'!R$7:R$159)+SUMIF('10'!$D$7:$D$159,$C109,'10'!R$7:R$159)+SUMIF('11'!$D$7:$D$159,$C109,'11'!R$7:R$159)+SUMIF('12'!$D$7:$D$159,$C109,'12'!R$7:R$159)+SUMIF('01'!$D$7:$D$159,$C109,'01'!R$7:R$159)</f>
        <v/>
      </c>
      <c r="Q110" s="428">
        <f>SUMIF('09'!$D$7:$D$159,$C109,'09'!S$7:S$159)+SUMIF('10'!$D$7:$D$159,$C109,'10'!S$7:S$159)+SUMIF('11'!$D$7:$D$159,$C109,'11'!S$7:S$159)+SUMIF('12'!$D$7:$D$159,$C109,'12'!S$7:S$159)+SUMIF('01'!$D$7:$D$159,$C109,'01'!S$7:S$159)</f>
        <v/>
      </c>
      <c r="R110" s="429">
        <f>SUMIF('09'!$D$7:$D$159,$C109,'09'!T$7:T$159)+SUMIF('10'!$D$7:$D$159,$C109,'10'!T$7:T$159)+SUMIF('11'!$D$7:$D$159,$C109,'11'!T$7:T$159)+SUMIF('12'!$D$7:$D$159,$C109,'12'!T$7:T$159)+SUMIF('01'!$D$7:$D$159,$C109,'01'!T$7:T$159)</f>
        <v/>
      </c>
      <c r="S110" s="427">
        <f>SUMIF('09'!$D$7:$D$159,$C109,'09'!U$7:U$159)+SUMIF('10'!$D$7:$D$159,$C109,'10'!U$7:U$159)+SUMIF('11'!$D$7:$D$159,$C109,'11'!U$7:U$159)+SUMIF('12'!$D$7:$D$159,$C109,'12'!U$7:U$159)+SUMIF('01'!$D$7:$D$159,$C109,'01'!U$7:U$159)</f>
        <v/>
      </c>
      <c r="T110" s="428">
        <f>SUMIF('09'!$D$7:$D$159,$C109,'09'!V$7:V$159)+SUMIF('10'!$D$7:$D$159,$C109,'10'!V$7:V$159)+SUMIF('11'!$D$7:$D$159,$C109,'11'!V$7:V$159)+SUMIF('12'!$D$7:$D$159,$C109,'12'!V$7:V$159)+SUMIF('01'!$D$7:$D$159,$C109,'01'!V$7:V$159)</f>
        <v/>
      </c>
      <c r="U110" s="430">
        <f>SUMIF('09'!$D$7:$D$159,$C109,'09'!W$7:W$159)+SUMIF('10'!$D$7:$D$159,$C109,'10'!W$7:W$159)+SUMIF('11'!$D$7:$D$159,$C109,'11'!W$7:W$159)+SUMIF('12'!$D$7:$D$159,$C109,'12'!W$7:W$159)+SUMIF('01'!$D$7:$D$159,$C109,'01'!W$7:W$159)</f>
        <v/>
      </c>
      <c r="V110" s="429">
        <f>SUMIF('09'!$D$7:$D$159,$C109,'09'!X$7:X$159)+SUMIF('10'!$D$7:$D$159,$C109,'10'!X$7:X$159)+SUMIF('11'!$D$7:$D$159,$C109,'11'!X$7:X$159)+SUMIF('12'!$D$7:$D$159,$C109,'12'!X$7:X$159)+SUMIF('01'!$D$7:$D$159,$C109,'01'!X$7:X$159)</f>
        <v/>
      </c>
      <c r="W110" s="429">
        <f>SUMIF('09'!$D$7:$D$159,$C109,'09'!Y$7:Y$159)+SUMIF('10'!$D$7:$D$159,$C109,'10'!Y$7:Y$159)+SUMIF('11'!$D$7:$D$159,$C109,'11'!Y$7:Y$159)+SUMIF('12'!$D$7:$D$159,$C109,'12'!Y$7:Y$159)+SUMIF('01'!$D$7:$D$159,$C109,'01'!Y$7:Y$159)</f>
        <v/>
      </c>
      <c r="X110" s="431">
        <f>SUM(J110:W110)</f>
        <v/>
      </c>
      <c r="Y110" s="413" t="n"/>
      <c r="Z110" s="432" t="n"/>
    </row>
    <row r="111" ht="14.25" customHeight="1" s="296">
      <c r="A111" s="154">
        <f>IF(OR(C111="0",COUNTIF(КлючОсень,C111)&gt;1),0,MATCH(F111,ВидыНагр,0))</f>
        <v/>
      </c>
      <c r="B111" s="154">
        <f>(COUNTA(D111:F112,J111:W111,H111:I112)=0)</f>
        <v/>
      </c>
      <c r="C111" s="155">
        <f>IF(OR(TRIM(D111)="",COUNTIF(ВидыНагр,F111)&lt;&gt;1),"0",CONCATENATE("$",TRIM(D111),"$",TRIM(E111),"$",F111,"$"))</f>
        <v/>
      </c>
      <c r="D111" s="415" t="n"/>
      <c r="E111" s="416" t="n"/>
      <c r="F111" s="417" t="n"/>
      <c r="G111" s="156" t="inlineStr">
        <is>
          <t>план</t>
        </is>
      </c>
      <c r="H111" s="157" t="n"/>
      <c r="I111" s="158" t="n"/>
      <c r="J111" s="418" t="n"/>
      <c r="K111" s="419" t="n"/>
      <c r="L111" s="420" t="n"/>
      <c r="M111" s="418" t="n"/>
      <c r="N111" s="419" t="n"/>
      <c r="O111" s="420" t="n"/>
      <c r="P111" s="418" t="n"/>
      <c r="Q111" s="419" t="n"/>
      <c r="R111" s="420" t="n"/>
      <c r="S111" s="418" t="n"/>
      <c r="T111" s="419" t="n"/>
      <c r="U111" s="421" t="n"/>
      <c r="V111" s="420" t="n"/>
      <c r="W111" s="420" t="n"/>
      <c r="X111" s="422">
        <f>SUM(J111:W111)</f>
        <v/>
      </c>
      <c r="Y111" s="423">
        <f>X112-X111</f>
        <v/>
      </c>
      <c r="Z111" s="209" t="n"/>
    </row>
    <row r="112" ht="14.25" customHeight="1" s="296">
      <c r="A112" s="154">
        <f>-A111</f>
        <v/>
      </c>
      <c r="B112" s="154">
        <f>B111</f>
        <v/>
      </c>
      <c r="C112" s="163" t="n"/>
      <c r="D112" s="424" t="n"/>
      <c r="E112" s="425" t="n"/>
      <c r="F112" s="426" t="n"/>
      <c r="G112" s="164" t="inlineStr">
        <is>
          <t>факт</t>
        </is>
      </c>
      <c r="H112" s="165" t="n"/>
      <c r="I112" s="250" t="n"/>
      <c r="J112" s="427">
        <f>SUMIF('09'!$D$7:$D$159,$C111,'09'!L$7:L$159)+SUMIF('10'!$D$7:$D$159,$C111,'10'!L$7:L$159)+SUMIF('11'!$D$7:$D$159,$C111,'11'!L$7:L$159)+SUMIF('12'!$D$7:$D$159,$C111,'12'!L$7:L$159)+SUMIF('01'!$D$7:$D$159,$C111,'01'!L$7:L$159)</f>
        <v/>
      </c>
      <c r="K112" s="428">
        <f>SUMIF('09'!$D$7:$D$159,$C111,'09'!M$7:M$159)+SUMIF('10'!$D$7:$D$159,$C111,'10'!M$7:M$159)+SUMIF('11'!$D$7:$D$159,$C111,'11'!M$7:M$159)+SUMIF('12'!$D$7:$D$159,$C111,'12'!M$7:M$159)+SUMIF('01'!$D$7:$D$159,$C111,'01'!M$7:M$159)</f>
        <v/>
      </c>
      <c r="L112" s="429">
        <f>SUMIF('09'!$D$7:$D$159,$C111,'09'!N$7:N$159)+SUMIF('10'!$D$7:$D$159,$C111,'10'!N$7:N$159)+SUMIF('11'!$D$7:$D$159,$C111,'11'!N$7:N$159)+SUMIF('12'!$D$7:$D$159,$C111,'12'!N$7:N$159)+SUMIF('01'!$D$7:$D$159,$C111,'01'!N$7:N$159)</f>
        <v/>
      </c>
      <c r="M112" s="427">
        <f>SUMIF('09'!$D$7:$D$159,$C111,'09'!O$7:O$159)+SUMIF('10'!$D$7:$D$159,$C111,'10'!O$7:O$159)+SUMIF('11'!$D$7:$D$159,$C111,'11'!O$7:O$159)+SUMIF('12'!$D$7:$D$159,$C111,'12'!O$7:O$159)+SUMIF('01'!$D$7:$D$159,$C111,'01'!O$7:O$159)</f>
        <v/>
      </c>
      <c r="N112" s="428">
        <f>SUMIF('09'!$D$7:$D$159,$C111,'09'!P$7:P$159)+SUMIF('10'!$D$7:$D$159,$C111,'10'!P$7:P$159)+SUMIF('11'!$D$7:$D$159,$C111,'11'!P$7:P$159)+SUMIF('12'!$D$7:$D$159,$C111,'12'!P$7:P$159)+SUMIF('01'!$D$7:$D$159,$C111,'01'!P$7:P$159)</f>
        <v/>
      </c>
      <c r="O112" s="429">
        <f>SUMIF('09'!$D$7:$D$159,$C111,'09'!Q$7:Q$159)+SUMIF('10'!$D$7:$D$159,$C111,'10'!Q$7:Q$159)+SUMIF('11'!$D$7:$D$159,$C111,'11'!Q$7:Q$159)+SUMIF('12'!$D$7:$D$159,$C111,'12'!Q$7:Q$159)+SUMIF('01'!$D$7:$D$159,$C111,'01'!Q$7:Q$159)</f>
        <v/>
      </c>
      <c r="P112" s="427">
        <f>SUMIF('09'!$D$7:$D$159,$C111,'09'!R$7:R$159)+SUMIF('10'!$D$7:$D$159,$C111,'10'!R$7:R$159)+SUMIF('11'!$D$7:$D$159,$C111,'11'!R$7:R$159)+SUMIF('12'!$D$7:$D$159,$C111,'12'!R$7:R$159)+SUMIF('01'!$D$7:$D$159,$C111,'01'!R$7:R$159)</f>
        <v/>
      </c>
      <c r="Q112" s="428">
        <f>SUMIF('09'!$D$7:$D$159,$C111,'09'!S$7:S$159)+SUMIF('10'!$D$7:$D$159,$C111,'10'!S$7:S$159)+SUMIF('11'!$D$7:$D$159,$C111,'11'!S$7:S$159)+SUMIF('12'!$D$7:$D$159,$C111,'12'!S$7:S$159)+SUMIF('01'!$D$7:$D$159,$C111,'01'!S$7:S$159)</f>
        <v/>
      </c>
      <c r="R112" s="429">
        <f>SUMIF('09'!$D$7:$D$159,$C111,'09'!T$7:T$159)+SUMIF('10'!$D$7:$D$159,$C111,'10'!T$7:T$159)+SUMIF('11'!$D$7:$D$159,$C111,'11'!T$7:T$159)+SUMIF('12'!$D$7:$D$159,$C111,'12'!T$7:T$159)+SUMIF('01'!$D$7:$D$159,$C111,'01'!T$7:T$159)</f>
        <v/>
      </c>
      <c r="S112" s="427">
        <f>SUMIF('09'!$D$7:$D$159,$C111,'09'!U$7:U$159)+SUMIF('10'!$D$7:$D$159,$C111,'10'!U$7:U$159)+SUMIF('11'!$D$7:$D$159,$C111,'11'!U$7:U$159)+SUMIF('12'!$D$7:$D$159,$C111,'12'!U$7:U$159)+SUMIF('01'!$D$7:$D$159,$C111,'01'!U$7:U$159)</f>
        <v/>
      </c>
      <c r="T112" s="428">
        <f>SUMIF('09'!$D$7:$D$159,$C111,'09'!V$7:V$159)+SUMIF('10'!$D$7:$D$159,$C111,'10'!V$7:V$159)+SUMIF('11'!$D$7:$D$159,$C111,'11'!V$7:V$159)+SUMIF('12'!$D$7:$D$159,$C111,'12'!V$7:V$159)+SUMIF('01'!$D$7:$D$159,$C111,'01'!V$7:V$159)</f>
        <v/>
      </c>
      <c r="U112" s="430">
        <f>SUMIF('09'!$D$7:$D$159,$C111,'09'!W$7:W$159)+SUMIF('10'!$D$7:$D$159,$C111,'10'!W$7:W$159)+SUMIF('11'!$D$7:$D$159,$C111,'11'!W$7:W$159)+SUMIF('12'!$D$7:$D$159,$C111,'12'!W$7:W$159)+SUMIF('01'!$D$7:$D$159,$C111,'01'!W$7:W$159)</f>
        <v/>
      </c>
      <c r="V112" s="429">
        <f>SUMIF('09'!$D$7:$D$159,$C111,'09'!X$7:X$159)+SUMIF('10'!$D$7:$D$159,$C111,'10'!X$7:X$159)+SUMIF('11'!$D$7:$D$159,$C111,'11'!X$7:X$159)+SUMIF('12'!$D$7:$D$159,$C111,'12'!X$7:X$159)+SUMIF('01'!$D$7:$D$159,$C111,'01'!X$7:X$159)</f>
        <v/>
      </c>
      <c r="W112" s="429">
        <f>SUMIF('09'!$D$7:$D$159,$C111,'09'!Y$7:Y$159)+SUMIF('10'!$D$7:$D$159,$C111,'10'!Y$7:Y$159)+SUMIF('11'!$D$7:$D$159,$C111,'11'!Y$7:Y$159)+SUMIF('12'!$D$7:$D$159,$C111,'12'!Y$7:Y$159)+SUMIF('01'!$D$7:$D$159,$C111,'01'!Y$7:Y$159)</f>
        <v/>
      </c>
      <c r="X112" s="431">
        <f>SUM(J112:W112)</f>
        <v/>
      </c>
      <c r="Y112" s="413" t="n"/>
      <c r="Z112" s="432" t="n"/>
    </row>
    <row r="113" ht="14.25" customHeight="1" s="296">
      <c r="A113" s="154">
        <f>IF(OR(C113="0",COUNTIF(КлючОсень,C113)&gt;1),0,MATCH(F113,ВидыНагр,0))</f>
        <v/>
      </c>
      <c r="B113" s="154">
        <f>(COUNTA(D113:F114,J113:W113,H113:I114)=0)</f>
        <v/>
      </c>
      <c r="C113" s="155">
        <f>IF(OR(TRIM(D113)="",COUNTIF(ВидыНагр,F113)&lt;&gt;1),"0",CONCATENATE("$",TRIM(D113),"$",TRIM(E113),"$",F113,"$"))</f>
        <v/>
      </c>
      <c r="D113" s="415" t="n"/>
      <c r="E113" s="416" t="n"/>
      <c r="F113" s="417" t="n"/>
      <c r="G113" s="156" t="inlineStr">
        <is>
          <t>план</t>
        </is>
      </c>
      <c r="H113" s="157" t="n"/>
      <c r="I113" s="158" t="n"/>
      <c r="J113" s="418" t="n"/>
      <c r="K113" s="419" t="n"/>
      <c r="L113" s="420" t="n"/>
      <c r="M113" s="418" t="n"/>
      <c r="N113" s="419" t="n"/>
      <c r="O113" s="420" t="n"/>
      <c r="P113" s="418" t="n"/>
      <c r="Q113" s="419" t="n"/>
      <c r="R113" s="420" t="n"/>
      <c r="S113" s="418" t="n"/>
      <c r="T113" s="419" t="n"/>
      <c r="U113" s="421" t="n"/>
      <c r="V113" s="420" t="n"/>
      <c r="W113" s="420" t="n"/>
      <c r="X113" s="422">
        <f>SUM(J113:W113)</f>
        <v/>
      </c>
      <c r="Y113" s="423">
        <f>X114-X113</f>
        <v/>
      </c>
      <c r="Z113" s="209" t="n"/>
    </row>
    <row r="114" ht="14.25" customHeight="1" s="296">
      <c r="A114" s="154">
        <f>-A113</f>
        <v/>
      </c>
      <c r="B114" s="154">
        <f>B113</f>
        <v/>
      </c>
      <c r="C114" s="163" t="n"/>
      <c r="D114" s="424" t="n"/>
      <c r="E114" s="425" t="n"/>
      <c r="F114" s="426" t="n"/>
      <c r="G114" s="164" t="inlineStr">
        <is>
          <t>факт</t>
        </is>
      </c>
      <c r="H114" s="165" t="n"/>
      <c r="I114" s="250" t="n"/>
      <c r="J114" s="427">
        <f>SUMIF('09'!$D$7:$D$159,$C113,'09'!L$7:L$159)+SUMIF('10'!$D$7:$D$159,$C113,'10'!L$7:L$159)+SUMIF('11'!$D$7:$D$159,$C113,'11'!L$7:L$159)+SUMIF('12'!$D$7:$D$159,$C113,'12'!L$7:L$159)+SUMIF('01'!$D$7:$D$159,$C113,'01'!L$7:L$159)</f>
        <v/>
      </c>
      <c r="K114" s="428">
        <f>SUMIF('09'!$D$7:$D$159,$C113,'09'!M$7:M$159)+SUMIF('10'!$D$7:$D$159,$C113,'10'!M$7:M$159)+SUMIF('11'!$D$7:$D$159,$C113,'11'!M$7:M$159)+SUMIF('12'!$D$7:$D$159,$C113,'12'!M$7:M$159)+SUMIF('01'!$D$7:$D$159,$C113,'01'!M$7:M$159)</f>
        <v/>
      </c>
      <c r="L114" s="429">
        <f>SUMIF('09'!$D$7:$D$159,$C113,'09'!N$7:N$159)+SUMIF('10'!$D$7:$D$159,$C113,'10'!N$7:N$159)+SUMIF('11'!$D$7:$D$159,$C113,'11'!N$7:N$159)+SUMIF('12'!$D$7:$D$159,$C113,'12'!N$7:N$159)+SUMIF('01'!$D$7:$D$159,$C113,'01'!N$7:N$159)</f>
        <v/>
      </c>
      <c r="M114" s="427">
        <f>SUMIF('09'!$D$7:$D$159,$C113,'09'!O$7:O$159)+SUMIF('10'!$D$7:$D$159,$C113,'10'!O$7:O$159)+SUMIF('11'!$D$7:$D$159,$C113,'11'!O$7:O$159)+SUMIF('12'!$D$7:$D$159,$C113,'12'!O$7:O$159)+SUMIF('01'!$D$7:$D$159,$C113,'01'!O$7:O$159)</f>
        <v/>
      </c>
      <c r="N114" s="428">
        <f>SUMIF('09'!$D$7:$D$159,$C113,'09'!P$7:P$159)+SUMIF('10'!$D$7:$D$159,$C113,'10'!P$7:P$159)+SUMIF('11'!$D$7:$D$159,$C113,'11'!P$7:P$159)+SUMIF('12'!$D$7:$D$159,$C113,'12'!P$7:P$159)+SUMIF('01'!$D$7:$D$159,$C113,'01'!P$7:P$159)</f>
        <v/>
      </c>
      <c r="O114" s="429">
        <f>SUMIF('09'!$D$7:$D$159,$C113,'09'!Q$7:Q$159)+SUMIF('10'!$D$7:$D$159,$C113,'10'!Q$7:Q$159)+SUMIF('11'!$D$7:$D$159,$C113,'11'!Q$7:Q$159)+SUMIF('12'!$D$7:$D$159,$C113,'12'!Q$7:Q$159)+SUMIF('01'!$D$7:$D$159,$C113,'01'!Q$7:Q$159)</f>
        <v/>
      </c>
      <c r="P114" s="427">
        <f>SUMIF('09'!$D$7:$D$159,$C113,'09'!R$7:R$159)+SUMIF('10'!$D$7:$D$159,$C113,'10'!R$7:R$159)+SUMIF('11'!$D$7:$D$159,$C113,'11'!R$7:R$159)+SUMIF('12'!$D$7:$D$159,$C113,'12'!R$7:R$159)+SUMIF('01'!$D$7:$D$159,$C113,'01'!R$7:R$159)</f>
        <v/>
      </c>
      <c r="Q114" s="428">
        <f>SUMIF('09'!$D$7:$D$159,$C113,'09'!S$7:S$159)+SUMIF('10'!$D$7:$D$159,$C113,'10'!S$7:S$159)+SUMIF('11'!$D$7:$D$159,$C113,'11'!S$7:S$159)+SUMIF('12'!$D$7:$D$159,$C113,'12'!S$7:S$159)+SUMIF('01'!$D$7:$D$159,$C113,'01'!S$7:S$159)</f>
        <v/>
      </c>
      <c r="R114" s="429">
        <f>SUMIF('09'!$D$7:$D$159,$C113,'09'!T$7:T$159)+SUMIF('10'!$D$7:$D$159,$C113,'10'!T$7:T$159)+SUMIF('11'!$D$7:$D$159,$C113,'11'!T$7:T$159)+SUMIF('12'!$D$7:$D$159,$C113,'12'!T$7:T$159)+SUMIF('01'!$D$7:$D$159,$C113,'01'!T$7:T$159)</f>
        <v/>
      </c>
      <c r="S114" s="427">
        <f>SUMIF('09'!$D$7:$D$159,$C113,'09'!U$7:U$159)+SUMIF('10'!$D$7:$D$159,$C113,'10'!U$7:U$159)+SUMIF('11'!$D$7:$D$159,$C113,'11'!U$7:U$159)+SUMIF('12'!$D$7:$D$159,$C113,'12'!U$7:U$159)+SUMIF('01'!$D$7:$D$159,$C113,'01'!U$7:U$159)</f>
        <v/>
      </c>
      <c r="T114" s="428">
        <f>SUMIF('09'!$D$7:$D$159,$C113,'09'!V$7:V$159)+SUMIF('10'!$D$7:$D$159,$C113,'10'!V$7:V$159)+SUMIF('11'!$D$7:$D$159,$C113,'11'!V$7:V$159)+SUMIF('12'!$D$7:$D$159,$C113,'12'!V$7:V$159)+SUMIF('01'!$D$7:$D$159,$C113,'01'!V$7:V$159)</f>
        <v/>
      </c>
      <c r="U114" s="430">
        <f>SUMIF('09'!$D$7:$D$159,$C113,'09'!W$7:W$159)+SUMIF('10'!$D$7:$D$159,$C113,'10'!W$7:W$159)+SUMIF('11'!$D$7:$D$159,$C113,'11'!W$7:W$159)+SUMIF('12'!$D$7:$D$159,$C113,'12'!W$7:W$159)+SUMIF('01'!$D$7:$D$159,$C113,'01'!W$7:W$159)</f>
        <v/>
      </c>
      <c r="V114" s="429">
        <f>SUMIF('09'!$D$7:$D$159,$C113,'09'!X$7:X$159)+SUMIF('10'!$D$7:$D$159,$C113,'10'!X$7:X$159)+SUMIF('11'!$D$7:$D$159,$C113,'11'!X$7:X$159)+SUMIF('12'!$D$7:$D$159,$C113,'12'!X$7:X$159)+SUMIF('01'!$D$7:$D$159,$C113,'01'!X$7:X$159)</f>
        <v/>
      </c>
      <c r="W114" s="429">
        <f>SUMIF('09'!$D$7:$D$159,$C113,'09'!Y$7:Y$159)+SUMIF('10'!$D$7:$D$159,$C113,'10'!Y$7:Y$159)+SUMIF('11'!$D$7:$D$159,$C113,'11'!Y$7:Y$159)+SUMIF('12'!$D$7:$D$159,$C113,'12'!Y$7:Y$159)+SUMIF('01'!$D$7:$D$159,$C113,'01'!Y$7:Y$159)</f>
        <v/>
      </c>
      <c r="X114" s="431">
        <f>SUM(J114:W114)</f>
        <v/>
      </c>
      <c r="Y114" s="413" t="n"/>
      <c r="Z114" s="432" t="n"/>
    </row>
    <row r="115" ht="14.25" customHeight="1" s="296">
      <c r="A115" s="154">
        <f>IF(OR(C115="0",COUNTIF(КлючОсень,C115)&gt;1),0,MATCH(F115,ВидыНагр,0))</f>
        <v/>
      </c>
      <c r="B115" s="154">
        <f>(COUNTA(D115:F116,J115:W115,H115:I116)=0)</f>
        <v/>
      </c>
      <c r="C115" s="155">
        <f>IF(OR(TRIM(D115)="",COUNTIF(ВидыНагр,F115)&lt;&gt;1),"0",CONCATENATE("$",TRIM(D115),"$",TRIM(E115),"$",F115,"$"))</f>
        <v/>
      </c>
      <c r="D115" s="415" t="n"/>
      <c r="E115" s="416" t="n"/>
      <c r="F115" s="417" t="n"/>
      <c r="G115" s="156" t="inlineStr">
        <is>
          <t>план</t>
        </is>
      </c>
      <c r="H115" s="157" t="n"/>
      <c r="I115" s="158" t="n"/>
      <c r="J115" s="418" t="n"/>
      <c r="K115" s="419" t="n"/>
      <c r="L115" s="420" t="n"/>
      <c r="M115" s="418" t="n"/>
      <c r="N115" s="419" t="n"/>
      <c r="O115" s="420" t="n"/>
      <c r="P115" s="418" t="n"/>
      <c r="Q115" s="419" t="n"/>
      <c r="R115" s="420" t="n"/>
      <c r="S115" s="418" t="n"/>
      <c r="T115" s="419" t="n"/>
      <c r="U115" s="421" t="n"/>
      <c r="V115" s="420" t="n"/>
      <c r="W115" s="420" t="n"/>
      <c r="X115" s="422">
        <f>SUM(J115:W115)</f>
        <v/>
      </c>
      <c r="Y115" s="423">
        <f>X116-X115</f>
        <v/>
      </c>
      <c r="Z115" s="209" t="n"/>
    </row>
    <row r="116" ht="14.25" customHeight="1" s="296">
      <c r="A116" s="154">
        <f>-A115</f>
        <v/>
      </c>
      <c r="B116" s="154">
        <f>B115</f>
        <v/>
      </c>
      <c r="C116" s="163" t="n"/>
      <c r="D116" s="424" t="n"/>
      <c r="E116" s="425" t="n"/>
      <c r="F116" s="426" t="n"/>
      <c r="G116" s="164" t="inlineStr">
        <is>
          <t>факт</t>
        </is>
      </c>
      <c r="H116" s="165" t="n"/>
      <c r="I116" s="250" t="n"/>
      <c r="J116" s="427">
        <f>SUMIF('09'!$D$7:$D$159,$C115,'09'!L$7:L$159)+SUMIF('10'!$D$7:$D$159,$C115,'10'!L$7:L$159)+SUMIF('11'!$D$7:$D$159,$C115,'11'!L$7:L$159)+SUMIF('12'!$D$7:$D$159,$C115,'12'!L$7:L$159)+SUMIF('01'!$D$7:$D$159,$C115,'01'!L$7:L$159)</f>
        <v/>
      </c>
      <c r="K116" s="428">
        <f>SUMIF('09'!$D$7:$D$159,$C115,'09'!M$7:M$159)+SUMIF('10'!$D$7:$D$159,$C115,'10'!M$7:M$159)+SUMIF('11'!$D$7:$D$159,$C115,'11'!M$7:M$159)+SUMIF('12'!$D$7:$D$159,$C115,'12'!M$7:M$159)+SUMIF('01'!$D$7:$D$159,$C115,'01'!M$7:M$159)</f>
        <v/>
      </c>
      <c r="L116" s="429">
        <f>SUMIF('09'!$D$7:$D$159,$C115,'09'!N$7:N$159)+SUMIF('10'!$D$7:$D$159,$C115,'10'!N$7:N$159)+SUMIF('11'!$D$7:$D$159,$C115,'11'!N$7:N$159)+SUMIF('12'!$D$7:$D$159,$C115,'12'!N$7:N$159)+SUMIF('01'!$D$7:$D$159,$C115,'01'!N$7:N$159)</f>
        <v/>
      </c>
      <c r="M116" s="427">
        <f>SUMIF('09'!$D$7:$D$159,$C115,'09'!O$7:O$159)+SUMIF('10'!$D$7:$D$159,$C115,'10'!O$7:O$159)+SUMIF('11'!$D$7:$D$159,$C115,'11'!O$7:O$159)+SUMIF('12'!$D$7:$D$159,$C115,'12'!O$7:O$159)+SUMIF('01'!$D$7:$D$159,$C115,'01'!O$7:O$159)</f>
        <v/>
      </c>
      <c r="N116" s="428">
        <f>SUMIF('09'!$D$7:$D$159,$C115,'09'!P$7:P$159)+SUMIF('10'!$D$7:$D$159,$C115,'10'!P$7:P$159)+SUMIF('11'!$D$7:$D$159,$C115,'11'!P$7:P$159)+SUMIF('12'!$D$7:$D$159,$C115,'12'!P$7:P$159)+SUMIF('01'!$D$7:$D$159,$C115,'01'!P$7:P$159)</f>
        <v/>
      </c>
      <c r="O116" s="429">
        <f>SUMIF('09'!$D$7:$D$159,$C115,'09'!Q$7:Q$159)+SUMIF('10'!$D$7:$D$159,$C115,'10'!Q$7:Q$159)+SUMIF('11'!$D$7:$D$159,$C115,'11'!Q$7:Q$159)+SUMIF('12'!$D$7:$D$159,$C115,'12'!Q$7:Q$159)+SUMIF('01'!$D$7:$D$159,$C115,'01'!Q$7:Q$159)</f>
        <v/>
      </c>
      <c r="P116" s="427">
        <f>SUMIF('09'!$D$7:$D$159,$C115,'09'!R$7:R$159)+SUMIF('10'!$D$7:$D$159,$C115,'10'!R$7:R$159)+SUMIF('11'!$D$7:$D$159,$C115,'11'!R$7:R$159)+SUMIF('12'!$D$7:$D$159,$C115,'12'!R$7:R$159)+SUMIF('01'!$D$7:$D$159,$C115,'01'!R$7:R$159)</f>
        <v/>
      </c>
      <c r="Q116" s="428">
        <f>SUMIF('09'!$D$7:$D$159,$C115,'09'!S$7:S$159)+SUMIF('10'!$D$7:$D$159,$C115,'10'!S$7:S$159)+SUMIF('11'!$D$7:$D$159,$C115,'11'!S$7:S$159)+SUMIF('12'!$D$7:$D$159,$C115,'12'!S$7:S$159)+SUMIF('01'!$D$7:$D$159,$C115,'01'!S$7:S$159)</f>
        <v/>
      </c>
      <c r="R116" s="429">
        <f>SUMIF('09'!$D$7:$D$159,$C115,'09'!T$7:T$159)+SUMIF('10'!$D$7:$D$159,$C115,'10'!T$7:T$159)+SUMIF('11'!$D$7:$D$159,$C115,'11'!T$7:T$159)+SUMIF('12'!$D$7:$D$159,$C115,'12'!T$7:T$159)+SUMIF('01'!$D$7:$D$159,$C115,'01'!T$7:T$159)</f>
        <v/>
      </c>
      <c r="S116" s="427">
        <f>SUMIF('09'!$D$7:$D$159,$C115,'09'!U$7:U$159)+SUMIF('10'!$D$7:$D$159,$C115,'10'!U$7:U$159)+SUMIF('11'!$D$7:$D$159,$C115,'11'!U$7:U$159)+SUMIF('12'!$D$7:$D$159,$C115,'12'!U$7:U$159)+SUMIF('01'!$D$7:$D$159,$C115,'01'!U$7:U$159)</f>
        <v/>
      </c>
      <c r="T116" s="428">
        <f>SUMIF('09'!$D$7:$D$159,$C115,'09'!V$7:V$159)+SUMIF('10'!$D$7:$D$159,$C115,'10'!V$7:V$159)+SUMIF('11'!$D$7:$D$159,$C115,'11'!V$7:V$159)+SUMIF('12'!$D$7:$D$159,$C115,'12'!V$7:V$159)+SUMIF('01'!$D$7:$D$159,$C115,'01'!V$7:V$159)</f>
        <v/>
      </c>
      <c r="U116" s="430">
        <f>SUMIF('09'!$D$7:$D$159,$C115,'09'!W$7:W$159)+SUMIF('10'!$D$7:$D$159,$C115,'10'!W$7:W$159)+SUMIF('11'!$D$7:$D$159,$C115,'11'!W$7:W$159)+SUMIF('12'!$D$7:$D$159,$C115,'12'!W$7:W$159)+SUMIF('01'!$D$7:$D$159,$C115,'01'!W$7:W$159)</f>
        <v/>
      </c>
      <c r="V116" s="429">
        <f>SUMIF('09'!$D$7:$D$159,$C115,'09'!X$7:X$159)+SUMIF('10'!$D$7:$D$159,$C115,'10'!X$7:X$159)+SUMIF('11'!$D$7:$D$159,$C115,'11'!X$7:X$159)+SUMIF('12'!$D$7:$D$159,$C115,'12'!X$7:X$159)+SUMIF('01'!$D$7:$D$159,$C115,'01'!X$7:X$159)</f>
        <v/>
      </c>
      <c r="W116" s="429">
        <f>SUMIF('09'!$D$7:$D$159,$C115,'09'!Y$7:Y$159)+SUMIF('10'!$D$7:$D$159,$C115,'10'!Y$7:Y$159)+SUMIF('11'!$D$7:$D$159,$C115,'11'!Y$7:Y$159)+SUMIF('12'!$D$7:$D$159,$C115,'12'!Y$7:Y$159)+SUMIF('01'!$D$7:$D$159,$C115,'01'!Y$7:Y$159)</f>
        <v/>
      </c>
      <c r="X116" s="431">
        <f>SUM(J116:W116)</f>
        <v/>
      </c>
      <c r="Y116" s="413" t="n"/>
      <c r="Z116" s="432" t="n"/>
    </row>
    <row r="117" ht="14.25" customHeight="1" s="296">
      <c r="A117" s="154">
        <f>IF(OR(C117="0",COUNTIF(КлючОсень,C117)&gt;1),0,MATCH(F117,ВидыНагр,0))</f>
        <v/>
      </c>
      <c r="B117" s="154">
        <f>(COUNTA(D117:F118,J117:W117,H117:I118)=0)</f>
        <v/>
      </c>
      <c r="C117" s="155">
        <f>IF(OR(TRIM(D117)="",COUNTIF(ВидыНагр,F117)&lt;&gt;1),"0",CONCATENATE("$",TRIM(D117),"$",TRIM(E117),"$",F117,"$"))</f>
        <v/>
      </c>
      <c r="D117" s="415" t="n"/>
      <c r="E117" s="416" t="n"/>
      <c r="F117" s="417" t="n"/>
      <c r="G117" s="156" t="inlineStr">
        <is>
          <t>план</t>
        </is>
      </c>
      <c r="H117" s="157" t="n"/>
      <c r="I117" s="158" t="n"/>
      <c r="J117" s="418" t="n"/>
      <c r="K117" s="419" t="n"/>
      <c r="L117" s="420" t="n"/>
      <c r="M117" s="418" t="n"/>
      <c r="N117" s="419" t="n"/>
      <c r="O117" s="420" t="n"/>
      <c r="P117" s="418" t="n"/>
      <c r="Q117" s="419" t="n"/>
      <c r="R117" s="420" t="n"/>
      <c r="S117" s="418" t="n"/>
      <c r="T117" s="419" t="n"/>
      <c r="U117" s="421" t="n"/>
      <c r="V117" s="420" t="n"/>
      <c r="W117" s="420" t="n"/>
      <c r="X117" s="422">
        <f>SUM(J117:W117)</f>
        <v/>
      </c>
      <c r="Y117" s="423">
        <f>X118-X117</f>
        <v/>
      </c>
      <c r="Z117" s="209" t="n"/>
    </row>
    <row r="118" ht="14.25" customHeight="1" s="296">
      <c r="A118" s="154">
        <f>-A117</f>
        <v/>
      </c>
      <c r="B118" s="154">
        <f>B117</f>
        <v/>
      </c>
      <c r="C118" s="163" t="n"/>
      <c r="D118" s="424" t="n"/>
      <c r="E118" s="425" t="n"/>
      <c r="F118" s="426" t="n"/>
      <c r="G118" s="164" t="inlineStr">
        <is>
          <t>факт</t>
        </is>
      </c>
      <c r="H118" s="165" t="n"/>
      <c r="I118" s="250" t="n"/>
      <c r="J118" s="427">
        <f>SUMIF('09'!$D$7:$D$159,$C117,'09'!L$7:L$159)+SUMIF('10'!$D$7:$D$159,$C117,'10'!L$7:L$159)+SUMIF('11'!$D$7:$D$159,$C117,'11'!L$7:L$159)+SUMIF('12'!$D$7:$D$159,$C117,'12'!L$7:L$159)+SUMIF('01'!$D$7:$D$159,$C117,'01'!L$7:L$159)</f>
        <v/>
      </c>
      <c r="K118" s="428">
        <f>SUMIF('09'!$D$7:$D$159,$C117,'09'!M$7:M$159)+SUMIF('10'!$D$7:$D$159,$C117,'10'!M$7:M$159)+SUMIF('11'!$D$7:$D$159,$C117,'11'!M$7:M$159)+SUMIF('12'!$D$7:$D$159,$C117,'12'!M$7:M$159)+SUMIF('01'!$D$7:$D$159,$C117,'01'!M$7:M$159)</f>
        <v/>
      </c>
      <c r="L118" s="429">
        <f>SUMIF('09'!$D$7:$D$159,$C117,'09'!N$7:N$159)+SUMIF('10'!$D$7:$D$159,$C117,'10'!N$7:N$159)+SUMIF('11'!$D$7:$D$159,$C117,'11'!N$7:N$159)+SUMIF('12'!$D$7:$D$159,$C117,'12'!N$7:N$159)+SUMIF('01'!$D$7:$D$159,$C117,'01'!N$7:N$159)</f>
        <v/>
      </c>
      <c r="M118" s="427">
        <f>SUMIF('09'!$D$7:$D$159,$C117,'09'!O$7:O$159)+SUMIF('10'!$D$7:$D$159,$C117,'10'!O$7:O$159)+SUMIF('11'!$D$7:$D$159,$C117,'11'!O$7:O$159)+SUMIF('12'!$D$7:$D$159,$C117,'12'!O$7:O$159)+SUMIF('01'!$D$7:$D$159,$C117,'01'!O$7:O$159)</f>
        <v/>
      </c>
      <c r="N118" s="428">
        <f>SUMIF('09'!$D$7:$D$159,$C117,'09'!P$7:P$159)+SUMIF('10'!$D$7:$D$159,$C117,'10'!P$7:P$159)+SUMIF('11'!$D$7:$D$159,$C117,'11'!P$7:P$159)+SUMIF('12'!$D$7:$D$159,$C117,'12'!P$7:P$159)+SUMIF('01'!$D$7:$D$159,$C117,'01'!P$7:P$159)</f>
        <v/>
      </c>
      <c r="O118" s="429">
        <f>SUMIF('09'!$D$7:$D$159,$C117,'09'!Q$7:Q$159)+SUMIF('10'!$D$7:$D$159,$C117,'10'!Q$7:Q$159)+SUMIF('11'!$D$7:$D$159,$C117,'11'!Q$7:Q$159)+SUMIF('12'!$D$7:$D$159,$C117,'12'!Q$7:Q$159)+SUMIF('01'!$D$7:$D$159,$C117,'01'!Q$7:Q$159)</f>
        <v/>
      </c>
      <c r="P118" s="427">
        <f>SUMIF('09'!$D$7:$D$159,$C117,'09'!R$7:R$159)+SUMIF('10'!$D$7:$D$159,$C117,'10'!R$7:R$159)+SUMIF('11'!$D$7:$D$159,$C117,'11'!R$7:R$159)+SUMIF('12'!$D$7:$D$159,$C117,'12'!R$7:R$159)+SUMIF('01'!$D$7:$D$159,$C117,'01'!R$7:R$159)</f>
        <v/>
      </c>
      <c r="Q118" s="428">
        <f>SUMIF('09'!$D$7:$D$159,$C117,'09'!S$7:S$159)+SUMIF('10'!$D$7:$D$159,$C117,'10'!S$7:S$159)+SUMIF('11'!$D$7:$D$159,$C117,'11'!S$7:S$159)+SUMIF('12'!$D$7:$D$159,$C117,'12'!S$7:S$159)+SUMIF('01'!$D$7:$D$159,$C117,'01'!S$7:S$159)</f>
        <v/>
      </c>
      <c r="R118" s="429">
        <f>SUMIF('09'!$D$7:$D$159,$C117,'09'!T$7:T$159)+SUMIF('10'!$D$7:$D$159,$C117,'10'!T$7:T$159)+SUMIF('11'!$D$7:$D$159,$C117,'11'!T$7:T$159)+SUMIF('12'!$D$7:$D$159,$C117,'12'!T$7:T$159)+SUMIF('01'!$D$7:$D$159,$C117,'01'!T$7:T$159)</f>
        <v/>
      </c>
      <c r="S118" s="427">
        <f>SUMIF('09'!$D$7:$D$159,$C117,'09'!U$7:U$159)+SUMIF('10'!$D$7:$D$159,$C117,'10'!U$7:U$159)+SUMIF('11'!$D$7:$D$159,$C117,'11'!U$7:U$159)+SUMIF('12'!$D$7:$D$159,$C117,'12'!U$7:U$159)+SUMIF('01'!$D$7:$D$159,$C117,'01'!U$7:U$159)</f>
        <v/>
      </c>
      <c r="T118" s="428">
        <f>SUMIF('09'!$D$7:$D$159,$C117,'09'!V$7:V$159)+SUMIF('10'!$D$7:$D$159,$C117,'10'!V$7:V$159)+SUMIF('11'!$D$7:$D$159,$C117,'11'!V$7:V$159)+SUMIF('12'!$D$7:$D$159,$C117,'12'!V$7:V$159)+SUMIF('01'!$D$7:$D$159,$C117,'01'!V$7:V$159)</f>
        <v/>
      </c>
      <c r="U118" s="430">
        <f>SUMIF('09'!$D$7:$D$159,$C117,'09'!W$7:W$159)+SUMIF('10'!$D$7:$D$159,$C117,'10'!W$7:W$159)+SUMIF('11'!$D$7:$D$159,$C117,'11'!W$7:W$159)+SUMIF('12'!$D$7:$D$159,$C117,'12'!W$7:W$159)+SUMIF('01'!$D$7:$D$159,$C117,'01'!W$7:W$159)</f>
        <v/>
      </c>
      <c r="V118" s="429">
        <f>SUMIF('09'!$D$7:$D$159,$C117,'09'!X$7:X$159)+SUMIF('10'!$D$7:$D$159,$C117,'10'!X$7:X$159)+SUMIF('11'!$D$7:$D$159,$C117,'11'!X$7:X$159)+SUMIF('12'!$D$7:$D$159,$C117,'12'!X$7:X$159)+SUMIF('01'!$D$7:$D$159,$C117,'01'!X$7:X$159)</f>
        <v/>
      </c>
      <c r="W118" s="429">
        <f>SUMIF('09'!$D$7:$D$159,$C117,'09'!Y$7:Y$159)+SUMIF('10'!$D$7:$D$159,$C117,'10'!Y$7:Y$159)+SUMIF('11'!$D$7:$D$159,$C117,'11'!Y$7:Y$159)+SUMIF('12'!$D$7:$D$159,$C117,'12'!Y$7:Y$159)+SUMIF('01'!$D$7:$D$159,$C117,'01'!Y$7:Y$159)</f>
        <v/>
      </c>
      <c r="X118" s="431">
        <f>SUM(J118:W118)</f>
        <v/>
      </c>
      <c r="Y118" s="413" t="n"/>
      <c r="Z118" s="432" t="n"/>
    </row>
    <row r="119" ht="14.25" customHeight="1" s="296">
      <c r="A119" s="154">
        <f>IF(OR(C119="0",COUNTIF(КлючОсень,C119)&gt;1),0,MATCH(F119,ВидыНагр,0))</f>
        <v/>
      </c>
      <c r="B119" s="154">
        <f>(COUNTA(D119:F120,J119:W119,H119:I120)=0)</f>
        <v/>
      </c>
      <c r="C119" s="155">
        <f>IF(OR(TRIM(D119)="",COUNTIF(ВидыНагр,F119)&lt;&gt;1),"0",CONCATENATE("$",TRIM(D119),"$",TRIM(E119),"$",F119,"$"))</f>
        <v/>
      </c>
      <c r="D119" s="415" t="n"/>
      <c r="E119" s="416" t="n"/>
      <c r="F119" s="417" t="n"/>
      <c r="G119" s="156" t="inlineStr">
        <is>
          <t>план</t>
        </is>
      </c>
      <c r="H119" s="157" t="n"/>
      <c r="I119" s="158" t="n"/>
      <c r="J119" s="418" t="n"/>
      <c r="K119" s="419" t="n"/>
      <c r="L119" s="420" t="n"/>
      <c r="M119" s="418" t="n"/>
      <c r="N119" s="419" t="n"/>
      <c r="O119" s="420" t="n"/>
      <c r="P119" s="418" t="n"/>
      <c r="Q119" s="419" t="n"/>
      <c r="R119" s="420" t="n"/>
      <c r="S119" s="418" t="n"/>
      <c r="T119" s="419" t="n"/>
      <c r="U119" s="421" t="n"/>
      <c r="V119" s="420" t="n"/>
      <c r="W119" s="420" t="n"/>
      <c r="X119" s="422">
        <f>SUM(J119:W119)</f>
        <v/>
      </c>
      <c r="Y119" s="423">
        <f>X120-X119</f>
        <v/>
      </c>
      <c r="Z119" s="209" t="n"/>
    </row>
    <row r="120" ht="14.25" customHeight="1" s="296">
      <c r="A120" s="154">
        <f>-A119</f>
        <v/>
      </c>
      <c r="B120" s="154">
        <f>B119</f>
        <v/>
      </c>
      <c r="C120" s="163" t="n"/>
      <c r="D120" s="424" t="n"/>
      <c r="E120" s="425" t="n"/>
      <c r="F120" s="426" t="n"/>
      <c r="G120" s="164" t="inlineStr">
        <is>
          <t>факт</t>
        </is>
      </c>
      <c r="H120" s="165" t="n"/>
      <c r="I120" s="250" t="n"/>
      <c r="J120" s="427">
        <f>SUMIF('09'!$D$7:$D$159,$C119,'09'!L$7:L$159)+SUMIF('10'!$D$7:$D$159,$C119,'10'!L$7:L$159)+SUMIF('11'!$D$7:$D$159,$C119,'11'!L$7:L$159)+SUMIF('12'!$D$7:$D$159,$C119,'12'!L$7:L$159)+SUMIF('01'!$D$7:$D$159,$C119,'01'!L$7:L$159)</f>
        <v/>
      </c>
      <c r="K120" s="428">
        <f>SUMIF('09'!$D$7:$D$159,$C119,'09'!M$7:M$159)+SUMIF('10'!$D$7:$D$159,$C119,'10'!M$7:M$159)+SUMIF('11'!$D$7:$D$159,$C119,'11'!M$7:M$159)+SUMIF('12'!$D$7:$D$159,$C119,'12'!M$7:M$159)+SUMIF('01'!$D$7:$D$159,$C119,'01'!M$7:M$159)</f>
        <v/>
      </c>
      <c r="L120" s="429">
        <f>SUMIF('09'!$D$7:$D$159,$C119,'09'!N$7:N$159)+SUMIF('10'!$D$7:$D$159,$C119,'10'!N$7:N$159)+SUMIF('11'!$D$7:$D$159,$C119,'11'!N$7:N$159)+SUMIF('12'!$D$7:$D$159,$C119,'12'!N$7:N$159)+SUMIF('01'!$D$7:$D$159,$C119,'01'!N$7:N$159)</f>
        <v/>
      </c>
      <c r="M120" s="427">
        <f>SUMIF('09'!$D$7:$D$159,$C119,'09'!O$7:O$159)+SUMIF('10'!$D$7:$D$159,$C119,'10'!O$7:O$159)+SUMIF('11'!$D$7:$D$159,$C119,'11'!O$7:O$159)+SUMIF('12'!$D$7:$D$159,$C119,'12'!O$7:O$159)+SUMIF('01'!$D$7:$D$159,$C119,'01'!O$7:O$159)</f>
        <v/>
      </c>
      <c r="N120" s="428">
        <f>SUMIF('09'!$D$7:$D$159,$C119,'09'!P$7:P$159)+SUMIF('10'!$D$7:$D$159,$C119,'10'!P$7:P$159)+SUMIF('11'!$D$7:$D$159,$C119,'11'!P$7:P$159)+SUMIF('12'!$D$7:$D$159,$C119,'12'!P$7:P$159)+SUMIF('01'!$D$7:$D$159,$C119,'01'!P$7:P$159)</f>
        <v/>
      </c>
      <c r="O120" s="429">
        <f>SUMIF('09'!$D$7:$D$159,$C119,'09'!Q$7:Q$159)+SUMIF('10'!$D$7:$D$159,$C119,'10'!Q$7:Q$159)+SUMIF('11'!$D$7:$D$159,$C119,'11'!Q$7:Q$159)+SUMIF('12'!$D$7:$D$159,$C119,'12'!Q$7:Q$159)+SUMIF('01'!$D$7:$D$159,$C119,'01'!Q$7:Q$159)</f>
        <v/>
      </c>
      <c r="P120" s="427">
        <f>SUMIF('09'!$D$7:$D$159,$C119,'09'!R$7:R$159)+SUMIF('10'!$D$7:$D$159,$C119,'10'!R$7:R$159)+SUMIF('11'!$D$7:$D$159,$C119,'11'!R$7:R$159)+SUMIF('12'!$D$7:$D$159,$C119,'12'!R$7:R$159)+SUMIF('01'!$D$7:$D$159,$C119,'01'!R$7:R$159)</f>
        <v/>
      </c>
      <c r="Q120" s="428">
        <f>SUMIF('09'!$D$7:$D$159,$C119,'09'!S$7:S$159)+SUMIF('10'!$D$7:$D$159,$C119,'10'!S$7:S$159)+SUMIF('11'!$D$7:$D$159,$C119,'11'!S$7:S$159)+SUMIF('12'!$D$7:$D$159,$C119,'12'!S$7:S$159)+SUMIF('01'!$D$7:$D$159,$C119,'01'!S$7:S$159)</f>
        <v/>
      </c>
      <c r="R120" s="429">
        <f>SUMIF('09'!$D$7:$D$159,$C119,'09'!T$7:T$159)+SUMIF('10'!$D$7:$D$159,$C119,'10'!T$7:T$159)+SUMIF('11'!$D$7:$D$159,$C119,'11'!T$7:T$159)+SUMIF('12'!$D$7:$D$159,$C119,'12'!T$7:T$159)+SUMIF('01'!$D$7:$D$159,$C119,'01'!T$7:T$159)</f>
        <v/>
      </c>
      <c r="S120" s="427">
        <f>SUMIF('09'!$D$7:$D$159,$C119,'09'!U$7:U$159)+SUMIF('10'!$D$7:$D$159,$C119,'10'!U$7:U$159)+SUMIF('11'!$D$7:$D$159,$C119,'11'!U$7:U$159)+SUMIF('12'!$D$7:$D$159,$C119,'12'!U$7:U$159)+SUMIF('01'!$D$7:$D$159,$C119,'01'!U$7:U$159)</f>
        <v/>
      </c>
      <c r="T120" s="428">
        <f>SUMIF('09'!$D$7:$D$159,$C119,'09'!V$7:V$159)+SUMIF('10'!$D$7:$D$159,$C119,'10'!V$7:V$159)+SUMIF('11'!$D$7:$D$159,$C119,'11'!V$7:V$159)+SUMIF('12'!$D$7:$D$159,$C119,'12'!V$7:V$159)+SUMIF('01'!$D$7:$D$159,$C119,'01'!V$7:V$159)</f>
        <v/>
      </c>
      <c r="U120" s="430">
        <f>SUMIF('09'!$D$7:$D$159,$C119,'09'!W$7:W$159)+SUMIF('10'!$D$7:$D$159,$C119,'10'!W$7:W$159)+SUMIF('11'!$D$7:$D$159,$C119,'11'!W$7:W$159)+SUMIF('12'!$D$7:$D$159,$C119,'12'!W$7:W$159)+SUMIF('01'!$D$7:$D$159,$C119,'01'!W$7:W$159)</f>
        <v/>
      </c>
      <c r="V120" s="429">
        <f>SUMIF('09'!$D$7:$D$159,$C119,'09'!X$7:X$159)+SUMIF('10'!$D$7:$D$159,$C119,'10'!X$7:X$159)+SUMIF('11'!$D$7:$D$159,$C119,'11'!X$7:X$159)+SUMIF('12'!$D$7:$D$159,$C119,'12'!X$7:X$159)+SUMIF('01'!$D$7:$D$159,$C119,'01'!X$7:X$159)</f>
        <v/>
      </c>
      <c r="W120" s="429">
        <f>SUMIF('09'!$D$7:$D$159,$C119,'09'!Y$7:Y$159)+SUMIF('10'!$D$7:$D$159,$C119,'10'!Y$7:Y$159)+SUMIF('11'!$D$7:$D$159,$C119,'11'!Y$7:Y$159)+SUMIF('12'!$D$7:$D$159,$C119,'12'!Y$7:Y$159)+SUMIF('01'!$D$7:$D$159,$C119,'01'!Y$7:Y$159)</f>
        <v/>
      </c>
      <c r="X120" s="431">
        <f>SUM(J120:W120)</f>
        <v/>
      </c>
      <c r="Y120" s="413" t="n"/>
      <c r="Z120" s="432" t="n"/>
    </row>
    <row r="121" ht="14.25" customHeight="1" s="296">
      <c r="A121" s="154">
        <f>IF(OR(C121="0",COUNTIF(КлючОсень,C121)&gt;1),0,MATCH(F121,ВидыНагр,0))</f>
        <v/>
      </c>
      <c r="B121" s="154">
        <f>(COUNTA(D121:F122,J121:W121,H121:I122)=0)</f>
        <v/>
      </c>
      <c r="C121" s="155">
        <f>IF(OR(TRIM(D121)="",COUNTIF(ВидыНагр,F121)&lt;&gt;1),"0",CONCATENATE("$",TRIM(D121),"$",TRIM(E121),"$",F121,"$"))</f>
        <v/>
      </c>
      <c r="D121" s="415" t="n"/>
      <c r="E121" s="416" t="n"/>
      <c r="F121" s="417" t="n"/>
      <c r="G121" s="156" t="inlineStr">
        <is>
          <t>план</t>
        </is>
      </c>
      <c r="H121" s="157" t="n"/>
      <c r="I121" s="158" t="n"/>
      <c r="J121" s="418" t="n"/>
      <c r="K121" s="419" t="n"/>
      <c r="L121" s="420" t="n"/>
      <c r="M121" s="418" t="n"/>
      <c r="N121" s="419" t="n"/>
      <c r="O121" s="420" t="n"/>
      <c r="P121" s="418" t="n"/>
      <c r="Q121" s="419" t="n"/>
      <c r="R121" s="420" t="n"/>
      <c r="S121" s="418" t="n"/>
      <c r="T121" s="419" t="n"/>
      <c r="U121" s="421" t="n"/>
      <c r="V121" s="420" t="n"/>
      <c r="W121" s="420" t="n"/>
      <c r="X121" s="422">
        <f>SUM(J121:W121)</f>
        <v/>
      </c>
      <c r="Y121" s="423">
        <f>X122-X121</f>
        <v/>
      </c>
      <c r="Z121" s="209" t="n"/>
    </row>
    <row r="122" ht="14.25" customHeight="1" s="296">
      <c r="A122" s="154">
        <f>-A121</f>
        <v/>
      </c>
      <c r="B122" s="154">
        <f>B121</f>
        <v/>
      </c>
      <c r="C122" s="163" t="n"/>
      <c r="D122" s="424" t="n"/>
      <c r="E122" s="425" t="n"/>
      <c r="F122" s="426" t="n"/>
      <c r="G122" s="164" t="inlineStr">
        <is>
          <t>факт</t>
        </is>
      </c>
      <c r="H122" s="165" t="n"/>
      <c r="I122" s="250" t="n"/>
      <c r="J122" s="427">
        <f>SUMIF('09'!$D$7:$D$159,$C121,'09'!L$7:L$159)+SUMIF('10'!$D$7:$D$159,$C121,'10'!L$7:L$159)+SUMIF('11'!$D$7:$D$159,$C121,'11'!L$7:L$159)+SUMIF('12'!$D$7:$D$159,$C121,'12'!L$7:L$159)+SUMIF('01'!$D$7:$D$159,$C121,'01'!L$7:L$159)</f>
        <v/>
      </c>
      <c r="K122" s="428">
        <f>SUMIF('09'!$D$7:$D$159,$C121,'09'!M$7:M$159)+SUMIF('10'!$D$7:$D$159,$C121,'10'!M$7:M$159)+SUMIF('11'!$D$7:$D$159,$C121,'11'!M$7:M$159)+SUMIF('12'!$D$7:$D$159,$C121,'12'!M$7:M$159)+SUMIF('01'!$D$7:$D$159,$C121,'01'!M$7:M$159)</f>
        <v/>
      </c>
      <c r="L122" s="429">
        <f>SUMIF('09'!$D$7:$D$159,$C121,'09'!N$7:N$159)+SUMIF('10'!$D$7:$D$159,$C121,'10'!N$7:N$159)+SUMIF('11'!$D$7:$D$159,$C121,'11'!N$7:N$159)+SUMIF('12'!$D$7:$D$159,$C121,'12'!N$7:N$159)+SUMIF('01'!$D$7:$D$159,$C121,'01'!N$7:N$159)</f>
        <v/>
      </c>
      <c r="M122" s="427">
        <f>SUMIF('09'!$D$7:$D$159,$C121,'09'!O$7:O$159)+SUMIF('10'!$D$7:$D$159,$C121,'10'!O$7:O$159)+SUMIF('11'!$D$7:$D$159,$C121,'11'!O$7:O$159)+SUMIF('12'!$D$7:$D$159,$C121,'12'!O$7:O$159)+SUMIF('01'!$D$7:$D$159,$C121,'01'!O$7:O$159)</f>
        <v/>
      </c>
      <c r="N122" s="428">
        <f>SUMIF('09'!$D$7:$D$159,$C121,'09'!P$7:P$159)+SUMIF('10'!$D$7:$D$159,$C121,'10'!P$7:P$159)+SUMIF('11'!$D$7:$D$159,$C121,'11'!P$7:P$159)+SUMIF('12'!$D$7:$D$159,$C121,'12'!P$7:P$159)+SUMIF('01'!$D$7:$D$159,$C121,'01'!P$7:P$159)</f>
        <v/>
      </c>
      <c r="O122" s="429">
        <f>SUMIF('09'!$D$7:$D$159,$C121,'09'!Q$7:Q$159)+SUMIF('10'!$D$7:$D$159,$C121,'10'!Q$7:Q$159)+SUMIF('11'!$D$7:$D$159,$C121,'11'!Q$7:Q$159)+SUMIF('12'!$D$7:$D$159,$C121,'12'!Q$7:Q$159)+SUMIF('01'!$D$7:$D$159,$C121,'01'!Q$7:Q$159)</f>
        <v/>
      </c>
      <c r="P122" s="427">
        <f>SUMIF('09'!$D$7:$D$159,$C121,'09'!R$7:R$159)+SUMIF('10'!$D$7:$D$159,$C121,'10'!R$7:R$159)+SUMIF('11'!$D$7:$D$159,$C121,'11'!R$7:R$159)+SUMIF('12'!$D$7:$D$159,$C121,'12'!R$7:R$159)+SUMIF('01'!$D$7:$D$159,$C121,'01'!R$7:R$159)</f>
        <v/>
      </c>
      <c r="Q122" s="428">
        <f>SUMIF('09'!$D$7:$D$159,$C121,'09'!S$7:S$159)+SUMIF('10'!$D$7:$D$159,$C121,'10'!S$7:S$159)+SUMIF('11'!$D$7:$D$159,$C121,'11'!S$7:S$159)+SUMIF('12'!$D$7:$D$159,$C121,'12'!S$7:S$159)+SUMIF('01'!$D$7:$D$159,$C121,'01'!S$7:S$159)</f>
        <v/>
      </c>
      <c r="R122" s="429">
        <f>SUMIF('09'!$D$7:$D$159,$C121,'09'!T$7:T$159)+SUMIF('10'!$D$7:$D$159,$C121,'10'!T$7:T$159)+SUMIF('11'!$D$7:$D$159,$C121,'11'!T$7:T$159)+SUMIF('12'!$D$7:$D$159,$C121,'12'!T$7:T$159)+SUMIF('01'!$D$7:$D$159,$C121,'01'!T$7:T$159)</f>
        <v/>
      </c>
      <c r="S122" s="427">
        <f>SUMIF('09'!$D$7:$D$159,$C121,'09'!U$7:U$159)+SUMIF('10'!$D$7:$D$159,$C121,'10'!U$7:U$159)+SUMIF('11'!$D$7:$D$159,$C121,'11'!U$7:U$159)+SUMIF('12'!$D$7:$D$159,$C121,'12'!U$7:U$159)+SUMIF('01'!$D$7:$D$159,$C121,'01'!U$7:U$159)</f>
        <v/>
      </c>
      <c r="T122" s="428">
        <f>SUMIF('09'!$D$7:$D$159,$C121,'09'!V$7:V$159)+SUMIF('10'!$D$7:$D$159,$C121,'10'!V$7:V$159)+SUMIF('11'!$D$7:$D$159,$C121,'11'!V$7:V$159)+SUMIF('12'!$D$7:$D$159,$C121,'12'!V$7:V$159)+SUMIF('01'!$D$7:$D$159,$C121,'01'!V$7:V$159)</f>
        <v/>
      </c>
      <c r="U122" s="430">
        <f>SUMIF('09'!$D$7:$D$159,$C121,'09'!W$7:W$159)+SUMIF('10'!$D$7:$D$159,$C121,'10'!W$7:W$159)+SUMIF('11'!$D$7:$D$159,$C121,'11'!W$7:W$159)+SUMIF('12'!$D$7:$D$159,$C121,'12'!W$7:W$159)+SUMIF('01'!$D$7:$D$159,$C121,'01'!W$7:W$159)</f>
        <v/>
      </c>
      <c r="V122" s="429">
        <f>SUMIF('09'!$D$7:$D$159,$C121,'09'!X$7:X$159)+SUMIF('10'!$D$7:$D$159,$C121,'10'!X$7:X$159)+SUMIF('11'!$D$7:$D$159,$C121,'11'!X$7:X$159)+SUMIF('12'!$D$7:$D$159,$C121,'12'!X$7:X$159)+SUMIF('01'!$D$7:$D$159,$C121,'01'!X$7:X$159)</f>
        <v/>
      </c>
      <c r="W122" s="429">
        <f>SUMIF('09'!$D$7:$D$159,$C121,'09'!Y$7:Y$159)+SUMIF('10'!$D$7:$D$159,$C121,'10'!Y$7:Y$159)+SUMIF('11'!$D$7:$D$159,$C121,'11'!Y$7:Y$159)+SUMIF('12'!$D$7:$D$159,$C121,'12'!Y$7:Y$159)+SUMIF('01'!$D$7:$D$159,$C121,'01'!Y$7:Y$159)</f>
        <v/>
      </c>
      <c r="X122" s="431">
        <f>SUM(J122:W122)</f>
        <v/>
      </c>
      <c r="Y122" s="413" t="n"/>
      <c r="Z122" s="432" t="n"/>
    </row>
    <row r="123" ht="14.25" customHeight="1" s="296">
      <c r="A123" s="154">
        <f>IF(OR(C123="0",COUNTIF(КлючОсень,C123)&gt;1),0,MATCH(F123,ВидыНагр,0))</f>
        <v/>
      </c>
      <c r="B123" s="154">
        <f>(COUNTA(D123:F124,J123:W123,H123:I124)=0)</f>
        <v/>
      </c>
      <c r="C123" s="155">
        <f>IF(OR(TRIM(D123)="",COUNTIF(ВидыНагр,F123)&lt;&gt;1),"0",CONCATENATE("$",TRIM(D123),"$",TRIM(E123),"$",F123,"$"))</f>
        <v/>
      </c>
      <c r="D123" s="415" t="n"/>
      <c r="E123" s="416" t="n"/>
      <c r="F123" s="417" t="n"/>
      <c r="G123" s="156" t="inlineStr">
        <is>
          <t>план</t>
        </is>
      </c>
      <c r="H123" s="157" t="n"/>
      <c r="I123" s="158" t="n"/>
      <c r="J123" s="418" t="n"/>
      <c r="K123" s="419" t="n"/>
      <c r="L123" s="420" t="n"/>
      <c r="M123" s="418" t="n"/>
      <c r="N123" s="419" t="n"/>
      <c r="O123" s="420" t="n"/>
      <c r="P123" s="418" t="n"/>
      <c r="Q123" s="419" t="n"/>
      <c r="R123" s="420" t="n"/>
      <c r="S123" s="418" t="n"/>
      <c r="T123" s="419" t="n"/>
      <c r="U123" s="421" t="n"/>
      <c r="V123" s="420" t="n"/>
      <c r="W123" s="420" t="n"/>
      <c r="X123" s="422">
        <f>SUM(J123:W123)</f>
        <v/>
      </c>
      <c r="Y123" s="423">
        <f>X124-X123</f>
        <v/>
      </c>
      <c r="Z123" s="209" t="n"/>
    </row>
    <row r="124" ht="14.25" customHeight="1" s="296">
      <c r="A124" s="154">
        <f>-A123</f>
        <v/>
      </c>
      <c r="B124" s="154">
        <f>B123</f>
        <v/>
      </c>
      <c r="C124" s="163" t="n"/>
      <c r="D124" s="424" t="n"/>
      <c r="E124" s="425" t="n"/>
      <c r="F124" s="426" t="n"/>
      <c r="G124" s="164" t="inlineStr">
        <is>
          <t>факт</t>
        </is>
      </c>
      <c r="H124" s="165" t="n"/>
      <c r="I124" s="250" t="n"/>
      <c r="J124" s="427">
        <f>SUMIF('09'!$D$7:$D$159,$C123,'09'!L$7:L$159)+SUMIF('10'!$D$7:$D$159,$C123,'10'!L$7:L$159)+SUMIF('11'!$D$7:$D$159,$C123,'11'!L$7:L$159)+SUMIF('12'!$D$7:$D$159,$C123,'12'!L$7:L$159)+SUMIF('01'!$D$7:$D$159,$C123,'01'!L$7:L$159)</f>
        <v/>
      </c>
      <c r="K124" s="428">
        <f>SUMIF('09'!$D$7:$D$159,$C123,'09'!M$7:M$159)+SUMIF('10'!$D$7:$D$159,$C123,'10'!M$7:M$159)+SUMIF('11'!$D$7:$D$159,$C123,'11'!M$7:M$159)+SUMIF('12'!$D$7:$D$159,$C123,'12'!M$7:M$159)+SUMIF('01'!$D$7:$D$159,$C123,'01'!M$7:M$159)</f>
        <v/>
      </c>
      <c r="L124" s="429">
        <f>SUMIF('09'!$D$7:$D$159,$C123,'09'!N$7:N$159)+SUMIF('10'!$D$7:$D$159,$C123,'10'!N$7:N$159)+SUMIF('11'!$D$7:$D$159,$C123,'11'!N$7:N$159)+SUMIF('12'!$D$7:$D$159,$C123,'12'!N$7:N$159)+SUMIF('01'!$D$7:$D$159,$C123,'01'!N$7:N$159)</f>
        <v/>
      </c>
      <c r="M124" s="427">
        <f>SUMIF('09'!$D$7:$D$159,$C123,'09'!O$7:O$159)+SUMIF('10'!$D$7:$D$159,$C123,'10'!O$7:O$159)+SUMIF('11'!$D$7:$D$159,$C123,'11'!O$7:O$159)+SUMIF('12'!$D$7:$D$159,$C123,'12'!O$7:O$159)+SUMIF('01'!$D$7:$D$159,$C123,'01'!O$7:O$159)</f>
        <v/>
      </c>
      <c r="N124" s="428">
        <f>SUMIF('09'!$D$7:$D$159,$C123,'09'!P$7:P$159)+SUMIF('10'!$D$7:$D$159,$C123,'10'!P$7:P$159)+SUMIF('11'!$D$7:$D$159,$C123,'11'!P$7:P$159)+SUMIF('12'!$D$7:$D$159,$C123,'12'!P$7:P$159)+SUMIF('01'!$D$7:$D$159,$C123,'01'!P$7:P$159)</f>
        <v/>
      </c>
      <c r="O124" s="429">
        <f>SUMIF('09'!$D$7:$D$159,$C123,'09'!Q$7:Q$159)+SUMIF('10'!$D$7:$D$159,$C123,'10'!Q$7:Q$159)+SUMIF('11'!$D$7:$D$159,$C123,'11'!Q$7:Q$159)+SUMIF('12'!$D$7:$D$159,$C123,'12'!Q$7:Q$159)+SUMIF('01'!$D$7:$D$159,$C123,'01'!Q$7:Q$159)</f>
        <v/>
      </c>
      <c r="P124" s="427">
        <f>SUMIF('09'!$D$7:$D$159,$C123,'09'!R$7:R$159)+SUMIF('10'!$D$7:$D$159,$C123,'10'!R$7:R$159)+SUMIF('11'!$D$7:$D$159,$C123,'11'!R$7:R$159)+SUMIF('12'!$D$7:$D$159,$C123,'12'!R$7:R$159)+SUMIF('01'!$D$7:$D$159,$C123,'01'!R$7:R$159)</f>
        <v/>
      </c>
      <c r="Q124" s="428">
        <f>SUMIF('09'!$D$7:$D$159,$C123,'09'!S$7:S$159)+SUMIF('10'!$D$7:$D$159,$C123,'10'!S$7:S$159)+SUMIF('11'!$D$7:$D$159,$C123,'11'!S$7:S$159)+SUMIF('12'!$D$7:$D$159,$C123,'12'!S$7:S$159)+SUMIF('01'!$D$7:$D$159,$C123,'01'!S$7:S$159)</f>
        <v/>
      </c>
      <c r="R124" s="429">
        <f>SUMIF('09'!$D$7:$D$159,$C123,'09'!T$7:T$159)+SUMIF('10'!$D$7:$D$159,$C123,'10'!T$7:T$159)+SUMIF('11'!$D$7:$D$159,$C123,'11'!T$7:T$159)+SUMIF('12'!$D$7:$D$159,$C123,'12'!T$7:T$159)+SUMIF('01'!$D$7:$D$159,$C123,'01'!T$7:T$159)</f>
        <v/>
      </c>
      <c r="S124" s="427">
        <f>SUMIF('09'!$D$7:$D$159,$C123,'09'!U$7:U$159)+SUMIF('10'!$D$7:$D$159,$C123,'10'!U$7:U$159)+SUMIF('11'!$D$7:$D$159,$C123,'11'!U$7:U$159)+SUMIF('12'!$D$7:$D$159,$C123,'12'!U$7:U$159)+SUMIF('01'!$D$7:$D$159,$C123,'01'!U$7:U$159)</f>
        <v/>
      </c>
      <c r="T124" s="428">
        <f>SUMIF('09'!$D$7:$D$159,$C123,'09'!V$7:V$159)+SUMIF('10'!$D$7:$D$159,$C123,'10'!V$7:V$159)+SUMIF('11'!$D$7:$D$159,$C123,'11'!V$7:V$159)+SUMIF('12'!$D$7:$D$159,$C123,'12'!V$7:V$159)+SUMIF('01'!$D$7:$D$159,$C123,'01'!V$7:V$159)</f>
        <v/>
      </c>
      <c r="U124" s="430">
        <f>SUMIF('09'!$D$7:$D$159,$C123,'09'!W$7:W$159)+SUMIF('10'!$D$7:$D$159,$C123,'10'!W$7:W$159)+SUMIF('11'!$D$7:$D$159,$C123,'11'!W$7:W$159)+SUMIF('12'!$D$7:$D$159,$C123,'12'!W$7:W$159)+SUMIF('01'!$D$7:$D$159,$C123,'01'!W$7:W$159)</f>
        <v/>
      </c>
      <c r="V124" s="429">
        <f>SUMIF('09'!$D$7:$D$159,$C123,'09'!X$7:X$159)+SUMIF('10'!$D$7:$D$159,$C123,'10'!X$7:X$159)+SUMIF('11'!$D$7:$D$159,$C123,'11'!X$7:X$159)+SUMIF('12'!$D$7:$D$159,$C123,'12'!X$7:X$159)+SUMIF('01'!$D$7:$D$159,$C123,'01'!X$7:X$159)</f>
        <v/>
      </c>
      <c r="W124" s="429">
        <f>SUMIF('09'!$D$7:$D$159,$C123,'09'!Y$7:Y$159)+SUMIF('10'!$D$7:$D$159,$C123,'10'!Y$7:Y$159)+SUMIF('11'!$D$7:$D$159,$C123,'11'!Y$7:Y$159)+SUMIF('12'!$D$7:$D$159,$C123,'12'!Y$7:Y$159)+SUMIF('01'!$D$7:$D$159,$C123,'01'!Y$7:Y$159)</f>
        <v/>
      </c>
      <c r="X124" s="431">
        <f>SUM(J124:W124)</f>
        <v/>
      </c>
      <c r="Y124" s="413" t="n"/>
      <c r="Z124" s="432" t="n"/>
    </row>
    <row r="125" ht="14.25" customHeight="1" s="296">
      <c r="A125" s="154">
        <f>IF(OR(C125="0",COUNTIF(КлючОсень,C125)&gt;1),0,MATCH(F125,ВидыНагр,0))</f>
        <v/>
      </c>
      <c r="B125" s="154">
        <f>(COUNTA(D125:F126,J125:W125,H125:I126)=0)</f>
        <v/>
      </c>
      <c r="C125" s="155">
        <f>IF(OR(TRIM(D125)="",COUNTIF(ВидыНагр,F125)&lt;&gt;1),"0",CONCATENATE("$",TRIM(D125),"$",TRIM(E125),"$",F125,"$"))</f>
        <v/>
      </c>
      <c r="D125" s="415" t="n"/>
      <c r="E125" s="416" t="n"/>
      <c r="F125" s="417" t="n"/>
      <c r="G125" s="156" t="inlineStr">
        <is>
          <t>план</t>
        </is>
      </c>
      <c r="H125" s="157" t="n"/>
      <c r="I125" s="158" t="n"/>
      <c r="J125" s="418" t="n"/>
      <c r="K125" s="419" t="n"/>
      <c r="L125" s="420" t="n"/>
      <c r="M125" s="418" t="n"/>
      <c r="N125" s="419" t="n"/>
      <c r="O125" s="420" t="n"/>
      <c r="P125" s="418" t="n"/>
      <c r="Q125" s="419" t="n"/>
      <c r="R125" s="420" t="n"/>
      <c r="S125" s="418" t="n"/>
      <c r="T125" s="419" t="n"/>
      <c r="U125" s="421" t="n"/>
      <c r="V125" s="420" t="n"/>
      <c r="W125" s="420" t="n"/>
      <c r="X125" s="422">
        <f>SUM(J125:W125)</f>
        <v/>
      </c>
      <c r="Y125" s="423">
        <f>X126-X125</f>
        <v/>
      </c>
      <c r="Z125" s="209" t="n"/>
    </row>
    <row r="126" ht="14.25" customHeight="1" s="296">
      <c r="A126" s="154">
        <f>-A125</f>
        <v/>
      </c>
      <c r="B126" s="154">
        <f>B125</f>
        <v/>
      </c>
      <c r="C126" s="163" t="n"/>
      <c r="D126" s="424" t="n"/>
      <c r="E126" s="425" t="n"/>
      <c r="F126" s="426" t="n"/>
      <c r="G126" s="164" t="inlineStr">
        <is>
          <t>факт</t>
        </is>
      </c>
      <c r="H126" s="165" t="n"/>
      <c r="I126" s="250" t="n"/>
      <c r="J126" s="427">
        <f>SUMIF('09'!$D$7:$D$159,$C125,'09'!L$7:L$159)+SUMIF('10'!$D$7:$D$159,$C125,'10'!L$7:L$159)+SUMIF('11'!$D$7:$D$159,$C125,'11'!L$7:L$159)+SUMIF('12'!$D$7:$D$159,$C125,'12'!L$7:L$159)+SUMIF('01'!$D$7:$D$159,$C125,'01'!L$7:L$159)</f>
        <v/>
      </c>
      <c r="K126" s="428">
        <f>SUMIF('09'!$D$7:$D$159,$C125,'09'!M$7:M$159)+SUMIF('10'!$D$7:$D$159,$C125,'10'!M$7:M$159)+SUMIF('11'!$D$7:$D$159,$C125,'11'!M$7:M$159)+SUMIF('12'!$D$7:$D$159,$C125,'12'!M$7:M$159)+SUMIF('01'!$D$7:$D$159,$C125,'01'!M$7:M$159)</f>
        <v/>
      </c>
      <c r="L126" s="429">
        <f>SUMIF('09'!$D$7:$D$159,$C125,'09'!N$7:N$159)+SUMIF('10'!$D$7:$D$159,$C125,'10'!N$7:N$159)+SUMIF('11'!$D$7:$D$159,$C125,'11'!N$7:N$159)+SUMIF('12'!$D$7:$D$159,$C125,'12'!N$7:N$159)+SUMIF('01'!$D$7:$D$159,$C125,'01'!N$7:N$159)</f>
        <v/>
      </c>
      <c r="M126" s="427">
        <f>SUMIF('09'!$D$7:$D$159,$C125,'09'!O$7:O$159)+SUMIF('10'!$D$7:$D$159,$C125,'10'!O$7:O$159)+SUMIF('11'!$D$7:$D$159,$C125,'11'!O$7:O$159)+SUMIF('12'!$D$7:$D$159,$C125,'12'!O$7:O$159)+SUMIF('01'!$D$7:$D$159,$C125,'01'!O$7:O$159)</f>
        <v/>
      </c>
      <c r="N126" s="428">
        <f>SUMIF('09'!$D$7:$D$159,$C125,'09'!P$7:P$159)+SUMIF('10'!$D$7:$D$159,$C125,'10'!P$7:P$159)+SUMIF('11'!$D$7:$D$159,$C125,'11'!P$7:P$159)+SUMIF('12'!$D$7:$D$159,$C125,'12'!P$7:P$159)+SUMIF('01'!$D$7:$D$159,$C125,'01'!P$7:P$159)</f>
        <v/>
      </c>
      <c r="O126" s="429">
        <f>SUMIF('09'!$D$7:$D$159,$C125,'09'!Q$7:Q$159)+SUMIF('10'!$D$7:$D$159,$C125,'10'!Q$7:Q$159)+SUMIF('11'!$D$7:$D$159,$C125,'11'!Q$7:Q$159)+SUMIF('12'!$D$7:$D$159,$C125,'12'!Q$7:Q$159)+SUMIF('01'!$D$7:$D$159,$C125,'01'!Q$7:Q$159)</f>
        <v/>
      </c>
      <c r="P126" s="427">
        <f>SUMIF('09'!$D$7:$D$159,$C125,'09'!R$7:R$159)+SUMIF('10'!$D$7:$D$159,$C125,'10'!R$7:R$159)+SUMIF('11'!$D$7:$D$159,$C125,'11'!R$7:R$159)+SUMIF('12'!$D$7:$D$159,$C125,'12'!R$7:R$159)+SUMIF('01'!$D$7:$D$159,$C125,'01'!R$7:R$159)</f>
        <v/>
      </c>
      <c r="Q126" s="428">
        <f>SUMIF('09'!$D$7:$D$159,$C125,'09'!S$7:S$159)+SUMIF('10'!$D$7:$D$159,$C125,'10'!S$7:S$159)+SUMIF('11'!$D$7:$D$159,$C125,'11'!S$7:S$159)+SUMIF('12'!$D$7:$D$159,$C125,'12'!S$7:S$159)+SUMIF('01'!$D$7:$D$159,$C125,'01'!S$7:S$159)</f>
        <v/>
      </c>
      <c r="R126" s="429">
        <f>SUMIF('09'!$D$7:$D$159,$C125,'09'!T$7:T$159)+SUMIF('10'!$D$7:$D$159,$C125,'10'!T$7:T$159)+SUMIF('11'!$D$7:$D$159,$C125,'11'!T$7:T$159)+SUMIF('12'!$D$7:$D$159,$C125,'12'!T$7:T$159)+SUMIF('01'!$D$7:$D$159,$C125,'01'!T$7:T$159)</f>
        <v/>
      </c>
      <c r="S126" s="427">
        <f>SUMIF('09'!$D$7:$D$159,$C125,'09'!U$7:U$159)+SUMIF('10'!$D$7:$D$159,$C125,'10'!U$7:U$159)+SUMIF('11'!$D$7:$D$159,$C125,'11'!U$7:U$159)+SUMIF('12'!$D$7:$D$159,$C125,'12'!U$7:U$159)+SUMIF('01'!$D$7:$D$159,$C125,'01'!U$7:U$159)</f>
        <v/>
      </c>
      <c r="T126" s="428">
        <f>SUMIF('09'!$D$7:$D$159,$C125,'09'!V$7:V$159)+SUMIF('10'!$D$7:$D$159,$C125,'10'!V$7:V$159)+SUMIF('11'!$D$7:$D$159,$C125,'11'!V$7:V$159)+SUMIF('12'!$D$7:$D$159,$C125,'12'!V$7:V$159)+SUMIF('01'!$D$7:$D$159,$C125,'01'!V$7:V$159)</f>
        <v/>
      </c>
      <c r="U126" s="430">
        <f>SUMIF('09'!$D$7:$D$159,$C125,'09'!W$7:W$159)+SUMIF('10'!$D$7:$D$159,$C125,'10'!W$7:W$159)+SUMIF('11'!$D$7:$D$159,$C125,'11'!W$7:W$159)+SUMIF('12'!$D$7:$D$159,$C125,'12'!W$7:W$159)+SUMIF('01'!$D$7:$D$159,$C125,'01'!W$7:W$159)</f>
        <v/>
      </c>
      <c r="V126" s="429">
        <f>SUMIF('09'!$D$7:$D$159,$C125,'09'!X$7:X$159)+SUMIF('10'!$D$7:$D$159,$C125,'10'!X$7:X$159)+SUMIF('11'!$D$7:$D$159,$C125,'11'!X$7:X$159)+SUMIF('12'!$D$7:$D$159,$C125,'12'!X$7:X$159)+SUMIF('01'!$D$7:$D$159,$C125,'01'!X$7:X$159)</f>
        <v/>
      </c>
      <c r="W126" s="429">
        <f>SUMIF('09'!$D$7:$D$159,$C125,'09'!Y$7:Y$159)+SUMIF('10'!$D$7:$D$159,$C125,'10'!Y$7:Y$159)+SUMIF('11'!$D$7:$D$159,$C125,'11'!Y$7:Y$159)+SUMIF('12'!$D$7:$D$159,$C125,'12'!Y$7:Y$159)+SUMIF('01'!$D$7:$D$159,$C125,'01'!Y$7:Y$159)</f>
        <v/>
      </c>
      <c r="X126" s="431">
        <f>SUM(J126:W126)</f>
        <v/>
      </c>
      <c r="Y126" s="413" t="n"/>
      <c r="Z126" s="432" t="n"/>
    </row>
    <row r="127" ht="14.25" customHeight="1" s="296">
      <c r="A127" s="154">
        <f>IF(OR(C127="0",COUNTIF(КлючОсень,C127)&gt;1),0,MATCH(F127,ВидыНагр,0))</f>
        <v/>
      </c>
      <c r="B127" s="154">
        <f>(COUNTA(D127:F128,J127:W127,H127:I128)=0)</f>
        <v/>
      </c>
      <c r="C127" s="155">
        <f>IF(OR(TRIM(D127)="",COUNTIF(ВидыНагр,F127)&lt;&gt;1),"0",CONCATENATE("$",TRIM(D127),"$",TRIM(E127),"$",F127,"$"))</f>
        <v/>
      </c>
      <c r="D127" s="415" t="n"/>
      <c r="E127" s="416" t="n"/>
      <c r="F127" s="417" t="n"/>
      <c r="G127" s="156" t="inlineStr">
        <is>
          <t>план</t>
        </is>
      </c>
      <c r="H127" s="157" t="n"/>
      <c r="I127" s="158" t="n"/>
      <c r="J127" s="418" t="n"/>
      <c r="K127" s="419" t="n"/>
      <c r="L127" s="420" t="n"/>
      <c r="M127" s="418" t="n"/>
      <c r="N127" s="419" t="n"/>
      <c r="O127" s="420" t="n"/>
      <c r="P127" s="418" t="n"/>
      <c r="Q127" s="419" t="n"/>
      <c r="R127" s="420" t="n"/>
      <c r="S127" s="418" t="n"/>
      <c r="T127" s="419" t="n"/>
      <c r="U127" s="421" t="n"/>
      <c r="V127" s="420" t="n"/>
      <c r="W127" s="420" t="n"/>
      <c r="X127" s="422">
        <f>SUM(J127:W127)</f>
        <v/>
      </c>
      <c r="Y127" s="423">
        <f>X128-X127</f>
        <v/>
      </c>
      <c r="Z127" s="209" t="n"/>
    </row>
    <row r="128" ht="14.25" customHeight="1" s="296">
      <c r="A128" s="154">
        <f>-A127</f>
        <v/>
      </c>
      <c r="B128" s="154">
        <f>B127</f>
        <v/>
      </c>
      <c r="C128" s="163" t="n"/>
      <c r="D128" s="424" t="n"/>
      <c r="E128" s="425" t="n"/>
      <c r="F128" s="426" t="n"/>
      <c r="G128" s="164" t="inlineStr">
        <is>
          <t>факт</t>
        </is>
      </c>
      <c r="H128" s="165" t="n"/>
      <c r="I128" s="250" t="n"/>
      <c r="J128" s="427">
        <f>SUMIF('09'!$D$7:$D$159,$C127,'09'!L$7:L$159)+SUMIF('10'!$D$7:$D$159,$C127,'10'!L$7:L$159)+SUMIF('11'!$D$7:$D$159,$C127,'11'!L$7:L$159)+SUMIF('12'!$D$7:$D$159,$C127,'12'!L$7:L$159)+SUMIF('01'!$D$7:$D$159,$C127,'01'!L$7:L$159)</f>
        <v/>
      </c>
      <c r="K128" s="428">
        <f>SUMIF('09'!$D$7:$D$159,$C127,'09'!M$7:M$159)+SUMIF('10'!$D$7:$D$159,$C127,'10'!M$7:M$159)+SUMIF('11'!$D$7:$D$159,$C127,'11'!M$7:M$159)+SUMIF('12'!$D$7:$D$159,$C127,'12'!M$7:M$159)+SUMIF('01'!$D$7:$D$159,$C127,'01'!M$7:M$159)</f>
        <v/>
      </c>
      <c r="L128" s="429">
        <f>SUMIF('09'!$D$7:$D$159,$C127,'09'!N$7:N$159)+SUMIF('10'!$D$7:$D$159,$C127,'10'!N$7:N$159)+SUMIF('11'!$D$7:$D$159,$C127,'11'!N$7:N$159)+SUMIF('12'!$D$7:$D$159,$C127,'12'!N$7:N$159)+SUMIF('01'!$D$7:$D$159,$C127,'01'!N$7:N$159)</f>
        <v/>
      </c>
      <c r="M128" s="427">
        <f>SUMIF('09'!$D$7:$D$159,$C127,'09'!O$7:O$159)+SUMIF('10'!$D$7:$D$159,$C127,'10'!O$7:O$159)+SUMIF('11'!$D$7:$D$159,$C127,'11'!O$7:O$159)+SUMIF('12'!$D$7:$D$159,$C127,'12'!O$7:O$159)+SUMIF('01'!$D$7:$D$159,$C127,'01'!O$7:O$159)</f>
        <v/>
      </c>
      <c r="N128" s="428">
        <f>SUMIF('09'!$D$7:$D$159,$C127,'09'!P$7:P$159)+SUMIF('10'!$D$7:$D$159,$C127,'10'!P$7:P$159)+SUMIF('11'!$D$7:$D$159,$C127,'11'!P$7:P$159)+SUMIF('12'!$D$7:$D$159,$C127,'12'!P$7:P$159)+SUMIF('01'!$D$7:$D$159,$C127,'01'!P$7:P$159)</f>
        <v/>
      </c>
      <c r="O128" s="429">
        <f>SUMIF('09'!$D$7:$D$159,$C127,'09'!Q$7:Q$159)+SUMIF('10'!$D$7:$D$159,$C127,'10'!Q$7:Q$159)+SUMIF('11'!$D$7:$D$159,$C127,'11'!Q$7:Q$159)+SUMIF('12'!$D$7:$D$159,$C127,'12'!Q$7:Q$159)+SUMIF('01'!$D$7:$D$159,$C127,'01'!Q$7:Q$159)</f>
        <v/>
      </c>
      <c r="P128" s="427">
        <f>SUMIF('09'!$D$7:$D$159,$C127,'09'!R$7:R$159)+SUMIF('10'!$D$7:$D$159,$C127,'10'!R$7:R$159)+SUMIF('11'!$D$7:$D$159,$C127,'11'!R$7:R$159)+SUMIF('12'!$D$7:$D$159,$C127,'12'!R$7:R$159)+SUMIF('01'!$D$7:$D$159,$C127,'01'!R$7:R$159)</f>
        <v/>
      </c>
      <c r="Q128" s="428">
        <f>SUMIF('09'!$D$7:$D$159,$C127,'09'!S$7:S$159)+SUMIF('10'!$D$7:$D$159,$C127,'10'!S$7:S$159)+SUMIF('11'!$D$7:$D$159,$C127,'11'!S$7:S$159)+SUMIF('12'!$D$7:$D$159,$C127,'12'!S$7:S$159)+SUMIF('01'!$D$7:$D$159,$C127,'01'!S$7:S$159)</f>
        <v/>
      </c>
      <c r="R128" s="429">
        <f>SUMIF('09'!$D$7:$D$159,$C127,'09'!T$7:T$159)+SUMIF('10'!$D$7:$D$159,$C127,'10'!T$7:T$159)+SUMIF('11'!$D$7:$D$159,$C127,'11'!T$7:T$159)+SUMIF('12'!$D$7:$D$159,$C127,'12'!T$7:T$159)+SUMIF('01'!$D$7:$D$159,$C127,'01'!T$7:T$159)</f>
        <v/>
      </c>
      <c r="S128" s="427">
        <f>SUMIF('09'!$D$7:$D$159,$C127,'09'!U$7:U$159)+SUMIF('10'!$D$7:$D$159,$C127,'10'!U$7:U$159)+SUMIF('11'!$D$7:$D$159,$C127,'11'!U$7:U$159)+SUMIF('12'!$D$7:$D$159,$C127,'12'!U$7:U$159)+SUMIF('01'!$D$7:$D$159,$C127,'01'!U$7:U$159)</f>
        <v/>
      </c>
      <c r="T128" s="428">
        <f>SUMIF('09'!$D$7:$D$159,$C127,'09'!V$7:V$159)+SUMIF('10'!$D$7:$D$159,$C127,'10'!V$7:V$159)+SUMIF('11'!$D$7:$D$159,$C127,'11'!V$7:V$159)+SUMIF('12'!$D$7:$D$159,$C127,'12'!V$7:V$159)+SUMIF('01'!$D$7:$D$159,$C127,'01'!V$7:V$159)</f>
        <v/>
      </c>
      <c r="U128" s="430">
        <f>SUMIF('09'!$D$7:$D$159,$C127,'09'!W$7:W$159)+SUMIF('10'!$D$7:$D$159,$C127,'10'!W$7:W$159)+SUMIF('11'!$D$7:$D$159,$C127,'11'!W$7:W$159)+SUMIF('12'!$D$7:$D$159,$C127,'12'!W$7:W$159)+SUMIF('01'!$D$7:$D$159,$C127,'01'!W$7:W$159)</f>
        <v/>
      </c>
      <c r="V128" s="429">
        <f>SUMIF('09'!$D$7:$D$159,$C127,'09'!X$7:X$159)+SUMIF('10'!$D$7:$D$159,$C127,'10'!X$7:X$159)+SUMIF('11'!$D$7:$D$159,$C127,'11'!X$7:X$159)+SUMIF('12'!$D$7:$D$159,$C127,'12'!X$7:X$159)+SUMIF('01'!$D$7:$D$159,$C127,'01'!X$7:X$159)</f>
        <v/>
      </c>
      <c r="W128" s="429">
        <f>SUMIF('09'!$D$7:$D$159,$C127,'09'!Y$7:Y$159)+SUMIF('10'!$D$7:$D$159,$C127,'10'!Y$7:Y$159)+SUMIF('11'!$D$7:$D$159,$C127,'11'!Y$7:Y$159)+SUMIF('12'!$D$7:$D$159,$C127,'12'!Y$7:Y$159)+SUMIF('01'!$D$7:$D$159,$C127,'01'!Y$7:Y$159)</f>
        <v/>
      </c>
      <c r="X128" s="431">
        <f>SUM(J128:W128)</f>
        <v/>
      </c>
      <c r="Y128" s="413" t="n"/>
      <c r="Z128" s="432" t="n"/>
    </row>
    <row r="129" ht="14.25" customHeight="1" s="296">
      <c r="A129" s="154">
        <f>IF(OR(C129="0",COUNTIF(КлючОсень,C129)&gt;1),0,MATCH(F129,ВидыНагр,0))</f>
        <v/>
      </c>
      <c r="B129" s="154">
        <f>(COUNTA(D129:F130,J129:W129,H129:I130)=0)</f>
        <v/>
      </c>
      <c r="C129" s="155">
        <f>IF(OR(TRIM(D129)="",COUNTIF(ВидыНагр,F129)&lt;&gt;1),"0",CONCATENATE("$",TRIM(D129),"$",TRIM(E129),"$",F129,"$"))</f>
        <v/>
      </c>
      <c r="D129" s="415" t="n"/>
      <c r="E129" s="416" t="n"/>
      <c r="F129" s="417" t="n"/>
      <c r="G129" s="156" t="inlineStr">
        <is>
          <t>план</t>
        </is>
      </c>
      <c r="H129" s="157" t="n"/>
      <c r="I129" s="158" t="n"/>
      <c r="J129" s="418" t="n"/>
      <c r="K129" s="419" t="n"/>
      <c r="L129" s="420" t="n"/>
      <c r="M129" s="418" t="n"/>
      <c r="N129" s="419" t="n"/>
      <c r="O129" s="420" t="n"/>
      <c r="P129" s="418" t="n"/>
      <c r="Q129" s="419" t="n"/>
      <c r="R129" s="420" t="n"/>
      <c r="S129" s="418" t="n"/>
      <c r="T129" s="419" t="n"/>
      <c r="U129" s="421" t="n"/>
      <c r="V129" s="420" t="n"/>
      <c r="W129" s="420" t="n"/>
      <c r="X129" s="422">
        <f>SUM(J129:W129)</f>
        <v/>
      </c>
      <c r="Y129" s="423">
        <f>X130-X129</f>
        <v/>
      </c>
      <c r="Z129" s="209" t="n"/>
    </row>
    <row r="130" ht="14.25" customHeight="1" s="296">
      <c r="A130" s="154">
        <f>-A129</f>
        <v/>
      </c>
      <c r="B130" s="154">
        <f>B129</f>
        <v/>
      </c>
      <c r="C130" s="163" t="n"/>
      <c r="D130" s="424" t="n"/>
      <c r="E130" s="425" t="n"/>
      <c r="F130" s="426" t="n"/>
      <c r="G130" s="164" t="inlineStr">
        <is>
          <t>факт</t>
        </is>
      </c>
      <c r="H130" s="165" t="n"/>
      <c r="I130" s="250" t="n"/>
      <c r="J130" s="427">
        <f>SUMIF('09'!$D$7:$D$159,$C129,'09'!L$7:L$159)+SUMIF('10'!$D$7:$D$159,$C129,'10'!L$7:L$159)+SUMIF('11'!$D$7:$D$159,$C129,'11'!L$7:L$159)+SUMIF('12'!$D$7:$D$159,$C129,'12'!L$7:L$159)+SUMIF('01'!$D$7:$D$159,$C129,'01'!L$7:L$159)</f>
        <v/>
      </c>
      <c r="K130" s="428">
        <f>SUMIF('09'!$D$7:$D$159,$C129,'09'!M$7:M$159)+SUMIF('10'!$D$7:$D$159,$C129,'10'!M$7:M$159)+SUMIF('11'!$D$7:$D$159,$C129,'11'!M$7:M$159)+SUMIF('12'!$D$7:$D$159,$C129,'12'!M$7:M$159)+SUMIF('01'!$D$7:$D$159,$C129,'01'!M$7:M$159)</f>
        <v/>
      </c>
      <c r="L130" s="429">
        <f>SUMIF('09'!$D$7:$D$159,$C129,'09'!N$7:N$159)+SUMIF('10'!$D$7:$D$159,$C129,'10'!N$7:N$159)+SUMIF('11'!$D$7:$D$159,$C129,'11'!N$7:N$159)+SUMIF('12'!$D$7:$D$159,$C129,'12'!N$7:N$159)+SUMIF('01'!$D$7:$D$159,$C129,'01'!N$7:N$159)</f>
        <v/>
      </c>
      <c r="M130" s="427">
        <f>SUMIF('09'!$D$7:$D$159,$C129,'09'!O$7:O$159)+SUMIF('10'!$D$7:$D$159,$C129,'10'!O$7:O$159)+SUMIF('11'!$D$7:$D$159,$C129,'11'!O$7:O$159)+SUMIF('12'!$D$7:$D$159,$C129,'12'!O$7:O$159)+SUMIF('01'!$D$7:$D$159,$C129,'01'!O$7:O$159)</f>
        <v/>
      </c>
      <c r="N130" s="428">
        <f>SUMIF('09'!$D$7:$D$159,$C129,'09'!P$7:P$159)+SUMIF('10'!$D$7:$D$159,$C129,'10'!P$7:P$159)+SUMIF('11'!$D$7:$D$159,$C129,'11'!P$7:P$159)+SUMIF('12'!$D$7:$D$159,$C129,'12'!P$7:P$159)+SUMIF('01'!$D$7:$D$159,$C129,'01'!P$7:P$159)</f>
        <v/>
      </c>
      <c r="O130" s="429">
        <f>SUMIF('09'!$D$7:$D$159,$C129,'09'!Q$7:Q$159)+SUMIF('10'!$D$7:$D$159,$C129,'10'!Q$7:Q$159)+SUMIF('11'!$D$7:$D$159,$C129,'11'!Q$7:Q$159)+SUMIF('12'!$D$7:$D$159,$C129,'12'!Q$7:Q$159)+SUMIF('01'!$D$7:$D$159,$C129,'01'!Q$7:Q$159)</f>
        <v/>
      </c>
      <c r="P130" s="427">
        <f>SUMIF('09'!$D$7:$D$159,$C129,'09'!R$7:R$159)+SUMIF('10'!$D$7:$D$159,$C129,'10'!R$7:R$159)+SUMIF('11'!$D$7:$D$159,$C129,'11'!R$7:R$159)+SUMIF('12'!$D$7:$D$159,$C129,'12'!R$7:R$159)+SUMIF('01'!$D$7:$D$159,$C129,'01'!R$7:R$159)</f>
        <v/>
      </c>
      <c r="Q130" s="428">
        <f>SUMIF('09'!$D$7:$D$159,$C129,'09'!S$7:S$159)+SUMIF('10'!$D$7:$D$159,$C129,'10'!S$7:S$159)+SUMIF('11'!$D$7:$D$159,$C129,'11'!S$7:S$159)+SUMIF('12'!$D$7:$D$159,$C129,'12'!S$7:S$159)+SUMIF('01'!$D$7:$D$159,$C129,'01'!S$7:S$159)</f>
        <v/>
      </c>
      <c r="R130" s="429">
        <f>SUMIF('09'!$D$7:$D$159,$C129,'09'!T$7:T$159)+SUMIF('10'!$D$7:$D$159,$C129,'10'!T$7:T$159)+SUMIF('11'!$D$7:$D$159,$C129,'11'!T$7:T$159)+SUMIF('12'!$D$7:$D$159,$C129,'12'!T$7:T$159)+SUMIF('01'!$D$7:$D$159,$C129,'01'!T$7:T$159)</f>
        <v/>
      </c>
      <c r="S130" s="427">
        <f>SUMIF('09'!$D$7:$D$159,$C129,'09'!U$7:U$159)+SUMIF('10'!$D$7:$D$159,$C129,'10'!U$7:U$159)+SUMIF('11'!$D$7:$D$159,$C129,'11'!U$7:U$159)+SUMIF('12'!$D$7:$D$159,$C129,'12'!U$7:U$159)+SUMIF('01'!$D$7:$D$159,$C129,'01'!U$7:U$159)</f>
        <v/>
      </c>
      <c r="T130" s="428">
        <f>SUMIF('09'!$D$7:$D$159,$C129,'09'!V$7:V$159)+SUMIF('10'!$D$7:$D$159,$C129,'10'!V$7:V$159)+SUMIF('11'!$D$7:$D$159,$C129,'11'!V$7:V$159)+SUMIF('12'!$D$7:$D$159,$C129,'12'!V$7:V$159)+SUMIF('01'!$D$7:$D$159,$C129,'01'!V$7:V$159)</f>
        <v/>
      </c>
      <c r="U130" s="430">
        <f>SUMIF('09'!$D$7:$D$159,$C129,'09'!W$7:W$159)+SUMIF('10'!$D$7:$D$159,$C129,'10'!W$7:W$159)+SUMIF('11'!$D$7:$D$159,$C129,'11'!W$7:W$159)+SUMIF('12'!$D$7:$D$159,$C129,'12'!W$7:W$159)+SUMIF('01'!$D$7:$D$159,$C129,'01'!W$7:W$159)</f>
        <v/>
      </c>
      <c r="V130" s="429">
        <f>SUMIF('09'!$D$7:$D$159,$C129,'09'!X$7:X$159)+SUMIF('10'!$D$7:$D$159,$C129,'10'!X$7:X$159)+SUMIF('11'!$D$7:$D$159,$C129,'11'!X$7:X$159)+SUMIF('12'!$D$7:$D$159,$C129,'12'!X$7:X$159)+SUMIF('01'!$D$7:$D$159,$C129,'01'!X$7:X$159)</f>
        <v/>
      </c>
      <c r="W130" s="429">
        <f>SUMIF('09'!$D$7:$D$159,$C129,'09'!Y$7:Y$159)+SUMIF('10'!$D$7:$D$159,$C129,'10'!Y$7:Y$159)+SUMIF('11'!$D$7:$D$159,$C129,'11'!Y$7:Y$159)+SUMIF('12'!$D$7:$D$159,$C129,'12'!Y$7:Y$159)+SUMIF('01'!$D$7:$D$159,$C129,'01'!Y$7:Y$159)</f>
        <v/>
      </c>
      <c r="X130" s="431">
        <f>SUM(J130:W130)</f>
        <v/>
      </c>
      <c r="Y130" s="413" t="n"/>
      <c r="Z130" s="432" t="n"/>
    </row>
    <row r="131" ht="14.25" customHeight="1" s="296">
      <c r="A131" s="154">
        <f>IF(OR(C131="0",COUNTIF(КлючОсень,C131)&gt;1),0,MATCH(F131,ВидыНагр,0))</f>
        <v/>
      </c>
      <c r="B131" s="154">
        <f>(COUNTA(D131:F132,J131:W131,H131:I132)=0)</f>
        <v/>
      </c>
      <c r="C131" s="155">
        <f>IF(OR(TRIM(D131)="",COUNTIF(ВидыНагр,F131)&lt;&gt;1),"0",CONCATENATE("$",TRIM(D131),"$",TRIM(E131),"$",F131,"$"))</f>
        <v/>
      </c>
      <c r="D131" s="415" t="n"/>
      <c r="E131" s="416" t="n"/>
      <c r="F131" s="417" t="n"/>
      <c r="G131" s="156" t="inlineStr">
        <is>
          <t>план</t>
        </is>
      </c>
      <c r="H131" s="157" t="n"/>
      <c r="I131" s="158" t="n"/>
      <c r="J131" s="418" t="n"/>
      <c r="K131" s="419" t="n"/>
      <c r="L131" s="420" t="n"/>
      <c r="M131" s="418" t="n"/>
      <c r="N131" s="419" t="n"/>
      <c r="O131" s="420" t="n"/>
      <c r="P131" s="418" t="n"/>
      <c r="Q131" s="419" t="n"/>
      <c r="R131" s="420" t="n"/>
      <c r="S131" s="418" t="n"/>
      <c r="T131" s="419" t="n"/>
      <c r="U131" s="421" t="n"/>
      <c r="V131" s="420" t="n"/>
      <c r="W131" s="420" t="n"/>
      <c r="X131" s="422">
        <f>SUM(J131:W131)</f>
        <v/>
      </c>
      <c r="Y131" s="423">
        <f>X132-X131</f>
        <v/>
      </c>
      <c r="Z131" s="209" t="n"/>
    </row>
    <row r="132" ht="14.25" customHeight="1" s="296">
      <c r="A132" s="154">
        <f>-A131</f>
        <v/>
      </c>
      <c r="B132" s="154">
        <f>B131</f>
        <v/>
      </c>
      <c r="C132" s="163" t="n"/>
      <c r="D132" s="424" t="n"/>
      <c r="E132" s="425" t="n"/>
      <c r="F132" s="426" t="n"/>
      <c r="G132" s="164" t="inlineStr">
        <is>
          <t>факт</t>
        </is>
      </c>
      <c r="H132" s="165" t="n"/>
      <c r="I132" s="250" t="n"/>
      <c r="J132" s="427">
        <f>SUMIF('09'!$D$7:$D$159,$C131,'09'!L$7:L$159)+SUMIF('10'!$D$7:$D$159,$C131,'10'!L$7:L$159)+SUMIF('11'!$D$7:$D$159,$C131,'11'!L$7:L$159)+SUMIF('12'!$D$7:$D$159,$C131,'12'!L$7:L$159)+SUMIF('01'!$D$7:$D$159,$C131,'01'!L$7:L$159)</f>
        <v/>
      </c>
      <c r="K132" s="428">
        <f>SUMIF('09'!$D$7:$D$159,$C131,'09'!M$7:M$159)+SUMIF('10'!$D$7:$D$159,$C131,'10'!M$7:M$159)+SUMIF('11'!$D$7:$D$159,$C131,'11'!M$7:M$159)+SUMIF('12'!$D$7:$D$159,$C131,'12'!M$7:M$159)+SUMIF('01'!$D$7:$D$159,$C131,'01'!M$7:M$159)</f>
        <v/>
      </c>
      <c r="L132" s="429">
        <f>SUMIF('09'!$D$7:$D$159,$C131,'09'!N$7:N$159)+SUMIF('10'!$D$7:$D$159,$C131,'10'!N$7:N$159)+SUMIF('11'!$D$7:$D$159,$C131,'11'!N$7:N$159)+SUMIF('12'!$D$7:$D$159,$C131,'12'!N$7:N$159)+SUMIF('01'!$D$7:$D$159,$C131,'01'!N$7:N$159)</f>
        <v/>
      </c>
      <c r="M132" s="427">
        <f>SUMIF('09'!$D$7:$D$159,$C131,'09'!O$7:O$159)+SUMIF('10'!$D$7:$D$159,$C131,'10'!O$7:O$159)+SUMIF('11'!$D$7:$D$159,$C131,'11'!O$7:O$159)+SUMIF('12'!$D$7:$D$159,$C131,'12'!O$7:O$159)+SUMIF('01'!$D$7:$D$159,$C131,'01'!O$7:O$159)</f>
        <v/>
      </c>
      <c r="N132" s="428">
        <f>SUMIF('09'!$D$7:$D$159,$C131,'09'!P$7:P$159)+SUMIF('10'!$D$7:$D$159,$C131,'10'!P$7:P$159)+SUMIF('11'!$D$7:$D$159,$C131,'11'!P$7:P$159)+SUMIF('12'!$D$7:$D$159,$C131,'12'!P$7:P$159)+SUMIF('01'!$D$7:$D$159,$C131,'01'!P$7:P$159)</f>
        <v/>
      </c>
      <c r="O132" s="429">
        <f>SUMIF('09'!$D$7:$D$159,$C131,'09'!Q$7:Q$159)+SUMIF('10'!$D$7:$D$159,$C131,'10'!Q$7:Q$159)+SUMIF('11'!$D$7:$D$159,$C131,'11'!Q$7:Q$159)+SUMIF('12'!$D$7:$D$159,$C131,'12'!Q$7:Q$159)+SUMIF('01'!$D$7:$D$159,$C131,'01'!Q$7:Q$159)</f>
        <v/>
      </c>
      <c r="P132" s="427">
        <f>SUMIF('09'!$D$7:$D$159,$C131,'09'!R$7:R$159)+SUMIF('10'!$D$7:$D$159,$C131,'10'!R$7:R$159)+SUMIF('11'!$D$7:$D$159,$C131,'11'!R$7:R$159)+SUMIF('12'!$D$7:$D$159,$C131,'12'!R$7:R$159)+SUMIF('01'!$D$7:$D$159,$C131,'01'!R$7:R$159)</f>
        <v/>
      </c>
      <c r="Q132" s="428">
        <f>SUMIF('09'!$D$7:$D$159,$C131,'09'!S$7:S$159)+SUMIF('10'!$D$7:$D$159,$C131,'10'!S$7:S$159)+SUMIF('11'!$D$7:$D$159,$C131,'11'!S$7:S$159)+SUMIF('12'!$D$7:$D$159,$C131,'12'!S$7:S$159)+SUMIF('01'!$D$7:$D$159,$C131,'01'!S$7:S$159)</f>
        <v/>
      </c>
      <c r="R132" s="429">
        <f>SUMIF('09'!$D$7:$D$159,$C131,'09'!T$7:T$159)+SUMIF('10'!$D$7:$D$159,$C131,'10'!T$7:T$159)+SUMIF('11'!$D$7:$D$159,$C131,'11'!T$7:T$159)+SUMIF('12'!$D$7:$D$159,$C131,'12'!T$7:T$159)+SUMIF('01'!$D$7:$D$159,$C131,'01'!T$7:T$159)</f>
        <v/>
      </c>
      <c r="S132" s="427">
        <f>SUMIF('09'!$D$7:$D$159,$C131,'09'!U$7:U$159)+SUMIF('10'!$D$7:$D$159,$C131,'10'!U$7:U$159)+SUMIF('11'!$D$7:$D$159,$C131,'11'!U$7:U$159)+SUMIF('12'!$D$7:$D$159,$C131,'12'!U$7:U$159)+SUMIF('01'!$D$7:$D$159,$C131,'01'!U$7:U$159)</f>
        <v/>
      </c>
      <c r="T132" s="428">
        <f>SUMIF('09'!$D$7:$D$159,$C131,'09'!V$7:V$159)+SUMIF('10'!$D$7:$D$159,$C131,'10'!V$7:V$159)+SUMIF('11'!$D$7:$D$159,$C131,'11'!V$7:V$159)+SUMIF('12'!$D$7:$D$159,$C131,'12'!V$7:V$159)+SUMIF('01'!$D$7:$D$159,$C131,'01'!V$7:V$159)</f>
        <v/>
      </c>
      <c r="U132" s="430">
        <f>SUMIF('09'!$D$7:$D$159,$C131,'09'!W$7:W$159)+SUMIF('10'!$D$7:$D$159,$C131,'10'!W$7:W$159)+SUMIF('11'!$D$7:$D$159,$C131,'11'!W$7:W$159)+SUMIF('12'!$D$7:$D$159,$C131,'12'!W$7:W$159)+SUMIF('01'!$D$7:$D$159,$C131,'01'!W$7:W$159)</f>
        <v/>
      </c>
      <c r="V132" s="429">
        <f>SUMIF('09'!$D$7:$D$159,$C131,'09'!X$7:X$159)+SUMIF('10'!$D$7:$D$159,$C131,'10'!X$7:X$159)+SUMIF('11'!$D$7:$D$159,$C131,'11'!X$7:X$159)+SUMIF('12'!$D$7:$D$159,$C131,'12'!X$7:X$159)+SUMIF('01'!$D$7:$D$159,$C131,'01'!X$7:X$159)</f>
        <v/>
      </c>
      <c r="W132" s="429">
        <f>SUMIF('09'!$D$7:$D$159,$C131,'09'!Y$7:Y$159)+SUMIF('10'!$D$7:$D$159,$C131,'10'!Y$7:Y$159)+SUMIF('11'!$D$7:$D$159,$C131,'11'!Y$7:Y$159)+SUMIF('12'!$D$7:$D$159,$C131,'12'!Y$7:Y$159)+SUMIF('01'!$D$7:$D$159,$C131,'01'!Y$7:Y$159)</f>
        <v/>
      </c>
      <c r="X132" s="431">
        <f>SUM(J132:W132)</f>
        <v/>
      </c>
      <c r="Y132" s="413" t="n"/>
      <c r="Z132" s="432" t="n"/>
    </row>
    <row r="133" ht="14.25" customHeight="1" s="296">
      <c r="A133" s="154">
        <f>IF(OR(C133="0",COUNTIF(КлючОсень,C133)&gt;1),0,MATCH(F133,ВидыНагр,0))</f>
        <v/>
      </c>
      <c r="B133" s="154">
        <f>(COUNTA(D133:F134,J133:W133,H133:I134)=0)</f>
        <v/>
      </c>
      <c r="C133" s="155">
        <f>IF(OR(TRIM(D133)="",COUNTIF(ВидыНагр,F133)&lt;&gt;1),"0",CONCATENATE("$",TRIM(D133),"$",TRIM(E133),"$",F133,"$"))</f>
        <v/>
      </c>
      <c r="D133" s="415" t="n"/>
      <c r="E133" s="416" t="n"/>
      <c r="F133" s="417" t="n"/>
      <c r="G133" s="156" t="inlineStr">
        <is>
          <t>план</t>
        </is>
      </c>
      <c r="H133" s="157" t="n"/>
      <c r="I133" s="158" t="n"/>
      <c r="J133" s="418" t="n"/>
      <c r="K133" s="419" t="n"/>
      <c r="L133" s="420" t="n"/>
      <c r="M133" s="418" t="n"/>
      <c r="N133" s="419" t="n"/>
      <c r="O133" s="420" t="n"/>
      <c r="P133" s="418" t="n"/>
      <c r="Q133" s="419" t="n"/>
      <c r="R133" s="420" t="n"/>
      <c r="S133" s="418" t="n"/>
      <c r="T133" s="419" t="n"/>
      <c r="U133" s="421" t="n"/>
      <c r="V133" s="420" t="n"/>
      <c r="W133" s="420" t="n"/>
      <c r="X133" s="422">
        <f>SUM(J133:W133)</f>
        <v/>
      </c>
      <c r="Y133" s="423">
        <f>X134-X133</f>
        <v/>
      </c>
      <c r="Z133" s="209" t="n"/>
    </row>
    <row r="134" ht="14.25" customHeight="1" s="296">
      <c r="A134" s="154">
        <f>-A133</f>
        <v/>
      </c>
      <c r="B134" s="154">
        <f>B133</f>
        <v/>
      </c>
      <c r="C134" s="163" t="n"/>
      <c r="D134" s="424" t="n"/>
      <c r="E134" s="425" t="n"/>
      <c r="F134" s="426" t="n"/>
      <c r="G134" s="164" t="inlineStr">
        <is>
          <t>факт</t>
        </is>
      </c>
      <c r="H134" s="165" t="n"/>
      <c r="I134" s="250" t="n"/>
      <c r="J134" s="427">
        <f>SUMIF('09'!$D$7:$D$159,$C133,'09'!L$7:L$159)+SUMIF('10'!$D$7:$D$159,$C133,'10'!L$7:L$159)+SUMIF('11'!$D$7:$D$159,$C133,'11'!L$7:L$159)+SUMIF('12'!$D$7:$D$159,$C133,'12'!L$7:L$159)+SUMIF('01'!$D$7:$D$159,$C133,'01'!L$7:L$159)</f>
        <v/>
      </c>
      <c r="K134" s="428">
        <f>SUMIF('09'!$D$7:$D$159,$C133,'09'!M$7:M$159)+SUMIF('10'!$D$7:$D$159,$C133,'10'!M$7:M$159)+SUMIF('11'!$D$7:$D$159,$C133,'11'!M$7:M$159)+SUMIF('12'!$D$7:$D$159,$C133,'12'!M$7:M$159)+SUMIF('01'!$D$7:$D$159,$C133,'01'!M$7:M$159)</f>
        <v/>
      </c>
      <c r="L134" s="429">
        <f>SUMIF('09'!$D$7:$D$159,$C133,'09'!N$7:N$159)+SUMIF('10'!$D$7:$D$159,$C133,'10'!N$7:N$159)+SUMIF('11'!$D$7:$D$159,$C133,'11'!N$7:N$159)+SUMIF('12'!$D$7:$D$159,$C133,'12'!N$7:N$159)+SUMIF('01'!$D$7:$D$159,$C133,'01'!N$7:N$159)</f>
        <v/>
      </c>
      <c r="M134" s="427">
        <f>SUMIF('09'!$D$7:$D$159,$C133,'09'!O$7:O$159)+SUMIF('10'!$D$7:$D$159,$C133,'10'!O$7:O$159)+SUMIF('11'!$D$7:$D$159,$C133,'11'!O$7:O$159)+SUMIF('12'!$D$7:$D$159,$C133,'12'!O$7:O$159)+SUMIF('01'!$D$7:$D$159,$C133,'01'!O$7:O$159)</f>
        <v/>
      </c>
      <c r="N134" s="428">
        <f>SUMIF('09'!$D$7:$D$159,$C133,'09'!P$7:P$159)+SUMIF('10'!$D$7:$D$159,$C133,'10'!P$7:P$159)+SUMIF('11'!$D$7:$D$159,$C133,'11'!P$7:P$159)+SUMIF('12'!$D$7:$D$159,$C133,'12'!P$7:P$159)+SUMIF('01'!$D$7:$D$159,$C133,'01'!P$7:P$159)</f>
        <v/>
      </c>
      <c r="O134" s="429">
        <f>SUMIF('09'!$D$7:$D$159,$C133,'09'!Q$7:Q$159)+SUMIF('10'!$D$7:$D$159,$C133,'10'!Q$7:Q$159)+SUMIF('11'!$D$7:$D$159,$C133,'11'!Q$7:Q$159)+SUMIF('12'!$D$7:$D$159,$C133,'12'!Q$7:Q$159)+SUMIF('01'!$D$7:$D$159,$C133,'01'!Q$7:Q$159)</f>
        <v/>
      </c>
      <c r="P134" s="427">
        <f>SUMIF('09'!$D$7:$D$159,$C133,'09'!R$7:R$159)+SUMIF('10'!$D$7:$D$159,$C133,'10'!R$7:R$159)+SUMIF('11'!$D$7:$D$159,$C133,'11'!R$7:R$159)+SUMIF('12'!$D$7:$D$159,$C133,'12'!R$7:R$159)+SUMIF('01'!$D$7:$D$159,$C133,'01'!R$7:R$159)</f>
        <v/>
      </c>
      <c r="Q134" s="428">
        <f>SUMIF('09'!$D$7:$D$159,$C133,'09'!S$7:S$159)+SUMIF('10'!$D$7:$D$159,$C133,'10'!S$7:S$159)+SUMIF('11'!$D$7:$D$159,$C133,'11'!S$7:S$159)+SUMIF('12'!$D$7:$D$159,$C133,'12'!S$7:S$159)+SUMIF('01'!$D$7:$D$159,$C133,'01'!S$7:S$159)</f>
        <v/>
      </c>
      <c r="R134" s="429">
        <f>SUMIF('09'!$D$7:$D$159,$C133,'09'!T$7:T$159)+SUMIF('10'!$D$7:$D$159,$C133,'10'!T$7:T$159)+SUMIF('11'!$D$7:$D$159,$C133,'11'!T$7:T$159)+SUMIF('12'!$D$7:$D$159,$C133,'12'!T$7:T$159)+SUMIF('01'!$D$7:$D$159,$C133,'01'!T$7:T$159)</f>
        <v/>
      </c>
      <c r="S134" s="427">
        <f>SUMIF('09'!$D$7:$D$159,$C133,'09'!U$7:U$159)+SUMIF('10'!$D$7:$D$159,$C133,'10'!U$7:U$159)+SUMIF('11'!$D$7:$D$159,$C133,'11'!U$7:U$159)+SUMIF('12'!$D$7:$D$159,$C133,'12'!U$7:U$159)+SUMIF('01'!$D$7:$D$159,$C133,'01'!U$7:U$159)</f>
        <v/>
      </c>
      <c r="T134" s="428">
        <f>SUMIF('09'!$D$7:$D$159,$C133,'09'!V$7:V$159)+SUMIF('10'!$D$7:$D$159,$C133,'10'!V$7:V$159)+SUMIF('11'!$D$7:$D$159,$C133,'11'!V$7:V$159)+SUMIF('12'!$D$7:$D$159,$C133,'12'!V$7:V$159)+SUMIF('01'!$D$7:$D$159,$C133,'01'!V$7:V$159)</f>
        <v/>
      </c>
      <c r="U134" s="430">
        <f>SUMIF('09'!$D$7:$D$159,$C133,'09'!W$7:W$159)+SUMIF('10'!$D$7:$D$159,$C133,'10'!W$7:W$159)+SUMIF('11'!$D$7:$D$159,$C133,'11'!W$7:W$159)+SUMIF('12'!$D$7:$D$159,$C133,'12'!W$7:W$159)+SUMIF('01'!$D$7:$D$159,$C133,'01'!W$7:W$159)</f>
        <v/>
      </c>
      <c r="V134" s="429">
        <f>SUMIF('09'!$D$7:$D$159,$C133,'09'!X$7:X$159)+SUMIF('10'!$D$7:$D$159,$C133,'10'!X$7:X$159)+SUMIF('11'!$D$7:$D$159,$C133,'11'!X$7:X$159)+SUMIF('12'!$D$7:$D$159,$C133,'12'!X$7:X$159)+SUMIF('01'!$D$7:$D$159,$C133,'01'!X$7:X$159)</f>
        <v/>
      </c>
      <c r="W134" s="429">
        <f>SUMIF('09'!$D$7:$D$159,$C133,'09'!Y$7:Y$159)+SUMIF('10'!$D$7:$D$159,$C133,'10'!Y$7:Y$159)+SUMIF('11'!$D$7:$D$159,$C133,'11'!Y$7:Y$159)+SUMIF('12'!$D$7:$D$159,$C133,'12'!Y$7:Y$159)+SUMIF('01'!$D$7:$D$159,$C133,'01'!Y$7:Y$159)</f>
        <v/>
      </c>
      <c r="X134" s="431">
        <f>SUM(J134:W134)</f>
        <v/>
      </c>
      <c r="Y134" s="413" t="n"/>
      <c r="Z134" s="432" t="n"/>
    </row>
    <row r="135" ht="14.25" customHeight="1" s="296">
      <c r="A135" s="154">
        <f>IF(OR(C135="0",COUNTIF(КлючОсень,C135)&gt;1),0,MATCH(F135,ВидыНагр,0))</f>
        <v/>
      </c>
      <c r="B135" s="154">
        <f>(COUNTA(D135:F136,J135:W135,H135:I136)=0)</f>
        <v/>
      </c>
      <c r="C135" s="155">
        <f>IF(OR(TRIM(D135)="",COUNTIF(ВидыНагр,F135)&lt;&gt;1),"0",CONCATENATE("$",TRIM(D135),"$",TRIM(E135),"$",F135,"$"))</f>
        <v/>
      </c>
      <c r="D135" s="415" t="n"/>
      <c r="E135" s="416" t="n"/>
      <c r="F135" s="417" t="n"/>
      <c r="G135" s="156" t="inlineStr">
        <is>
          <t>план</t>
        </is>
      </c>
      <c r="H135" s="157" t="n"/>
      <c r="I135" s="158" t="n"/>
      <c r="J135" s="418" t="n"/>
      <c r="K135" s="419" t="n"/>
      <c r="L135" s="420" t="n"/>
      <c r="M135" s="418" t="n"/>
      <c r="N135" s="419" t="n"/>
      <c r="O135" s="420" t="n"/>
      <c r="P135" s="418" t="n"/>
      <c r="Q135" s="419" t="n"/>
      <c r="R135" s="420" t="n"/>
      <c r="S135" s="418" t="n"/>
      <c r="T135" s="419" t="n"/>
      <c r="U135" s="421" t="n"/>
      <c r="V135" s="420" t="n"/>
      <c r="W135" s="420" t="n"/>
      <c r="X135" s="422">
        <f>SUM(J135:W135)</f>
        <v/>
      </c>
      <c r="Y135" s="423">
        <f>X136-X135</f>
        <v/>
      </c>
      <c r="Z135" s="209" t="n"/>
    </row>
    <row r="136" ht="14.25" customHeight="1" s="296">
      <c r="A136" s="154">
        <f>-A135</f>
        <v/>
      </c>
      <c r="B136" s="154">
        <f>B135</f>
        <v/>
      </c>
      <c r="C136" s="163" t="n"/>
      <c r="D136" s="424" t="n"/>
      <c r="E136" s="425" t="n"/>
      <c r="F136" s="426" t="n"/>
      <c r="G136" s="164" t="inlineStr">
        <is>
          <t>факт</t>
        </is>
      </c>
      <c r="H136" s="165" t="n"/>
      <c r="I136" s="250" t="n"/>
      <c r="J136" s="427">
        <f>SUMIF('09'!$D$7:$D$159,$C135,'09'!L$7:L$159)+SUMIF('10'!$D$7:$D$159,$C135,'10'!L$7:L$159)+SUMIF('11'!$D$7:$D$159,$C135,'11'!L$7:L$159)+SUMIF('12'!$D$7:$D$159,$C135,'12'!L$7:L$159)+SUMIF('01'!$D$7:$D$159,$C135,'01'!L$7:L$159)</f>
        <v/>
      </c>
      <c r="K136" s="428">
        <f>SUMIF('09'!$D$7:$D$159,$C135,'09'!M$7:M$159)+SUMIF('10'!$D$7:$D$159,$C135,'10'!M$7:M$159)+SUMIF('11'!$D$7:$D$159,$C135,'11'!M$7:M$159)+SUMIF('12'!$D$7:$D$159,$C135,'12'!M$7:M$159)+SUMIF('01'!$D$7:$D$159,$C135,'01'!M$7:M$159)</f>
        <v/>
      </c>
      <c r="L136" s="429">
        <f>SUMIF('09'!$D$7:$D$159,$C135,'09'!N$7:N$159)+SUMIF('10'!$D$7:$D$159,$C135,'10'!N$7:N$159)+SUMIF('11'!$D$7:$D$159,$C135,'11'!N$7:N$159)+SUMIF('12'!$D$7:$D$159,$C135,'12'!N$7:N$159)+SUMIF('01'!$D$7:$D$159,$C135,'01'!N$7:N$159)</f>
        <v/>
      </c>
      <c r="M136" s="427">
        <f>SUMIF('09'!$D$7:$D$159,$C135,'09'!O$7:O$159)+SUMIF('10'!$D$7:$D$159,$C135,'10'!O$7:O$159)+SUMIF('11'!$D$7:$D$159,$C135,'11'!O$7:O$159)+SUMIF('12'!$D$7:$D$159,$C135,'12'!O$7:O$159)+SUMIF('01'!$D$7:$D$159,$C135,'01'!O$7:O$159)</f>
        <v/>
      </c>
      <c r="N136" s="428">
        <f>SUMIF('09'!$D$7:$D$159,$C135,'09'!P$7:P$159)+SUMIF('10'!$D$7:$D$159,$C135,'10'!P$7:P$159)+SUMIF('11'!$D$7:$D$159,$C135,'11'!P$7:P$159)+SUMIF('12'!$D$7:$D$159,$C135,'12'!P$7:P$159)+SUMIF('01'!$D$7:$D$159,$C135,'01'!P$7:P$159)</f>
        <v/>
      </c>
      <c r="O136" s="429">
        <f>SUMIF('09'!$D$7:$D$159,$C135,'09'!Q$7:Q$159)+SUMIF('10'!$D$7:$D$159,$C135,'10'!Q$7:Q$159)+SUMIF('11'!$D$7:$D$159,$C135,'11'!Q$7:Q$159)+SUMIF('12'!$D$7:$D$159,$C135,'12'!Q$7:Q$159)+SUMIF('01'!$D$7:$D$159,$C135,'01'!Q$7:Q$159)</f>
        <v/>
      </c>
      <c r="P136" s="427">
        <f>SUMIF('09'!$D$7:$D$159,$C135,'09'!R$7:R$159)+SUMIF('10'!$D$7:$D$159,$C135,'10'!R$7:R$159)+SUMIF('11'!$D$7:$D$159,$C135,'11'!R$7:R$159)+SUMIF('12'!$D$7:$D$159,$C135,'12'!R$7:R$159)+SUMIF('01'!$D$7:$D$159,$C135,'01'!R$7:R$159)</f>
        <v/>
      </c>
      <c r="Q136" s="428">
        <f>SUMIF('09'!$D$7:$D$159,$C135,'09'!S$7:S$159)+SUMIF('10'!$D$7:$D$159,$C135,'10'!S$7:S$159)+SUMIF('11'!$D$7:$D$159,$C135,'11'!S$7:S$159)+SUMIF('12'!$D$7:$D$159,$C135,'12'!S$7:S$159)+SUMIF('01'!$D$7:$D$159,$C135,'01'!S$7:S$159)</f>
        <v/>
      </c>
      <c r="R136" s="429">
        <f>SUMIF('09'!$D$7:$D$159,$C135,'09'!T$7:T$159)+SUMIF('10'!$D$7:$D$159,$C135,'10'!T$7:T$159)+SUMIF('11'!$D$7:$D$159,$C135,'11'!T$7:T$159)+SUMIF('12'!$D$7:$D$159,$C135,'12'!T$7:T$159)+SUMIF('01'!$D$7:$D$159,$C135,'01'!T$7:T$159)</f>
        <v/>
      </c>
      <c r="S136" s="427">
        <f>SUMIF('09'!$D$7:$D$159,$C135,'09'!U$7:U$159)+SUMIF('10'!$D$7:$D$159,$C135,'10'!U$7:U$159)+SUMIF('11'!$D$7:$D$159,$C135,'11'!U$7:U$159)+SUMIF('12'!$D$7:$D$159,$C135,'12'!U$7:U$159)+SUMIF('01'!$D$7:$D$159,$C135,'01'!U$7:U$159)</f>
        <v/>
      </c>
      <c r="T136" s="428">
        <f>SUMIF('09'!$D$7:$D$159,$C135,'09'!V$7:V$159)+SUMIF('10'!$D$7:$D$159,$C135,'10'!V$7:V$159)+SUMIF('11'!$D$7:$D$159,$C135,'11'!V$7:V$159)+SUMIF('12'!$D$7:$D$159,$C135,'12'!V$7:V$159)+SUMIF('01'!$D$7:$D$159,$C135,'01'!V$7:V$159)</f>
        <v/>
      </c>
      <c r="U136" s="430">
        <f>SUMIF('09'!$D$7:$D$159,$C135,'09'!W$7:W$159)+SUMIF('10'!$D$7:$D$159,$C135,'10'!W$7:W$159)+SUMIF('11'!$D$7:$D$159,$C135,'11'!W$7:W$159)+SUMIF('12'!$D$7:$D$159,$C135,'12'!W$7:W$159)+SUMIF('01'!$D$7:$D$159,$C135,'01'!W$7:W$159)</f>
        <v/>
      </c>
      <c r="V136" s="429">
        <f>SUMIF('09'!$D$7:$D$159,$C135,'09'!X$7:X$159)+SUMIF('10'!$D$7:$D$159,$C135,'10'!X$7:X$159)+SUMIF('11'!$D$7:$D$159,$C135,'11'!X$7:X$159)+SUMIF('12'!$D$7:$D$159,$C135,'12'!X$7:X$159)+SUMIF('01'!$D$7:$D$159,$C135,'01'!X$7:X$159)</f>
        <v/>
      </c>
      <c r="W136" s="429">
        <f>SUMIF('09'!$D$7:$D$159,$C135,'09'!Y$7:Y$159)+SUMIF('10'!$D$7:$D$159,$C135,'10'!Y$7:Y$159)+SUMIF('11'!$D$7:$D$159,$C135,'11'!Y$7:Y$159)+SUMIF('12'!$D$7:$D$159,$C135,'12'!Y$7:Y$159)+SUMIF('01'!$D$7:$D$159,$C135,'01'!Y$7:Y$159)</f>
        <v/>
      </c>
      <c r="X136" s="431">
        <f>SUM(J136:W136)</f>
        <v/>
      </c>
      <c r="Y136" s="413" t="n"/>
      <c r="Z136" s="432" t="n"/>
    </row>
    <row r="137" ht="14.25" customHeight="1" s="296">
      <c r="A137" s="154">
        <f>IF(OR(C137="0",COUNTIF(КлючОсень,C137)&gt;1),0,MATCH(F137,ВидыНагр,0))</f>
        <v/>
      </c>
      <c r="B137" s="154">
        <f>(COUNTA(D137:F138,J137:W137,H137:I138)=0)</f>
        <v/>
      </c>
      <c r="C137" s="155">
        <f>IF(OR(TRIM(D137)="",COUNTIF(ВидыНагр,F137)&lt;&gt;1),"0",CONCATENATE("$",TRIM(D137),"$",TRIM(E137),"$",F137,"$"))</f>
        <v/>
      </c>
      <c r="D137" s="415" t="n"/>
      <c r="E137" s="416" t="n"/>
      <c r="F137" s="417" t="n"/>
      <c r="G137" s="156" t="inlineStr">
        <is>
          <t>план</t>
        </is>
      </c>
      <c r="H137" s="157" t="n"/>
      <c r="I137" s="158" t="n"/>
      <c r="J137" s="418" t="n"/>
      <c r="K137" s="419" t="n"/>
      <c r="L137" s="420" t="n"/>
      <c r="M137" s="418" t="n"/>
      <c r="N137" s="419" t="n"/>
      <c r="O137" s="420" t="n"/>
      <c r="P137" s="418" t="n"/>
      <c r="Q137" s="419" t="n"/>
      <c r="R137" s="420" t="n"/>
      <c r="S137" s="418" t="n"/>
      <c r="T137" s="419" t="n"/>
      <c r="U137" s="421" t="n"/>
      <c r="V137" s="420" t="n"/>
      <c r="W137" s="420" t="n"/>
      <c r="X137" s="422">
        <f>SUM(J137:W137)</f>
        <v/>
      </c>
      <c r="Y137" s="423">
        <f>X138-X137</f>
        <v/>
      </c>
      <c r="Z137" s="209" t="n"/>
    </row>
    <row r="138" ht="14.25" customHeight="1" s="296">
      <c r="A138" s="154">
        <f>-A137</f>
        <v/>
      </c>
      <c r="B138" s="154">
        <f>B137</f>
        <v/>
      </c>
      <c r="C138" s="163" t="n"/>
      <c r="D138" s="424" t="n"/>
      <c r="E138" s="425" t="n"/>
      <c r="F138" s="426" t="n"/>
      <c r="G138" s="164" t="inlineStr">
        <is>
          <t>факт</t>
        </is>
      </c>
      <c r="H138" s="165" t="n"/>
      <c r="I138" s="250" t="n"/>
      <c r="J138" s="427">
        <f>SUMIF('09'!$D$7:$D$159,$C137,'09'!L$7:L$159)+SUMIF('10'!$D$7:$D$159,$C137,'10'!L$7:L$159)+SUMIF('11'!$D$7:$D$159,$C137,'11'!L$7:L$159)+SUMIF('12'!$D$7:$D$159,$C137,'12'!L$7:L$159)+SUMIF('01'!$D$7:$D$159,$C137,'01'!L$7:L$159)</f>
        <v/>
      </c>
      <c r="K138" s="428">
        <f>SUMIF('09'!$D$7:$D$159,$C137,'09'!M$7:M$159)+SUMIF('10'!$D$7:$D$159,$C137,'10'!M$7:M$159)+SUMIF('11'!$D$7:$D$159,$C137,'11'!M$7:M$159)+SUMIF('12'!$D$7:$D$159,$C137,'12'!M$7:M$159)+SUMIF('01'!$D$7:$D$159,$C137,'01'!M$7:M$159)</f>
        <v/>
      </c>
      <c r="L138" s="429">
        <f>SUMIF('09'!$D$7:$D$159,$C137,'09'!N$7:N$159)+SUMIF('10'!$D$7:$D$159,$C137,'10'!N$7:N$159)+SUMIF('11'!$D$7:$D$159,$C137,'11'!N$7:N$159)+SUMIF('12'!$D$7:$D$159,$C137,'12'!N$7:N$159)+SUMIF('01'!$D$7:$D$159,$C137,'01'!N$7:N$159)</f>
        <v/>
      </c>
      <c r="M138" s="427">
        <f>SUMIF('09'!$D$7:$D$159,$C137,'09'!O$7:O$159)+SUMIF('10'!$D$7:$D$159,$C137,'10'!O$7:O$159)+SUMIF('11'!$D$7:$D$159,$C137,'11'!O$7:O$159)+SUMIF('12'!$D$7:$D$159,$C137,'12'!O$7:O$159)+SUMIF('01'!$D$7:$D$159,$C137,'01'!O$7:O$159)</f>
        <v/>
      </c>
      <c r="N138" s="428">
        <f>SUMIF('09'!$D$7:$D$159,$C137,'09'!P$7:P$159)+SUMIF('10'!$D$7:$D$159,$C137,'10'!P$7:P$159)+SUMIF('11'!$D$7:$D$159,$C137,'11'!P$7:P$159)+SUMIF('12'!$D$7:$D$159,$C137,'12'!P$7:P$159)+SUMIF('01'!$D$7:$D$159,$C137,'01'!P$7:P$159)</f>
        <v/>
      </c>
      <c r="O138" s="429">
        <f>SUMIF('09'!$D$7:$D$159,$C137,'09'!Q$7:Q$159)+SUMIF('10'!$D$7:$D$159,$C137,'10'!Q$7:Q$159)+SUMIF('11'!$D$7:$D$159,$C137,'11'!Q$7:Q$159)+SUMIF('12'!$D$7:$D$159,$C137,'12'!Q$7:Q$159)+SUMIF('01'!$D$7:$D$159,$C137,'01'!Q$7:Q$159)</f>
        <v/>
      </c>
      <c r="P138" s="427">
        <f>SUMIF('09'!$D$7:$D$159,$C137,'09'!R$7:R$159)+SUMIF('10'!$D$7:$D$159,$C137,'10'!R$7:R$159)+SUMIF('11'!$D$7:$D$159,$C137,'11'!R$7:R$159)+SUMIF('12'!$D$7:$D$159,$C137,'12'!R$7:R$159)+SUMIF('01'!$D$7:$D$159,$C137,'01'!R$7:R$159)</f>
        <v/>
      </c>
      <c r="Q138" s="428">
        <f>SUMIF('09'!$D$7:$D$159,$C137,'09'!S$7:S$159)+SUMIF('10'!$D$7:$D$159,$C137,'10'!S$7:S$159)+SUMIF('11'!$D$7:$D$159,$C137,'11'!S$7:S$159)+SUMIF('12'!$D$7:$D$159,$C137,'12'!S$7:S$159)+SUMIF('01'!$D$7:$D$159,$C137,'01'!S$7:S$159)</f>
        <v/>
      </c>
      <c r="R138" s="429">
        <f>SUMIF('09'!$D$7:$D$159,$C137,'09'!T$7:T$159)+SUMIF('10'!$D$7:$D$159,$C137,'10'!T$7:T$159)+SUMIF('11'!$D$7:$D$159,$C137,'11'!T$7:T$159)+SUMIF('12'!$D$7:$D$159,$C137,'12'!T$7:T$159)+SUMIF('01'!$D$7:$D$159,$C137,'01'!T$7:T$159)</f>
        <v/>
      </c>
      <c r="S138" s="427">
        <f>SUMIF('09'!$D$7:$D$159,$C137,'09'!U$7:U$159)+SUMIF('10'!$D$7:$D$159,$C137,'10'!U$7:U$159)+SUMIF('11'!$D$7:$D$159,$C137,'11'!U$7:U$159)+SUMIF('12'!$D$7:$D$159,$C137,'12'!U$7:U$159)+SUMIF('01'!$D$7:$D$159,$C137,'01'!U$7:U$159)</f>
        <v/>
      </c>
      <c r="T138" s="428">
        <f>SUMIF('09'!$D$7:$D$159,$C137,'09'!V$7:V$159)+SUMIF('10'!$D$7:$D$159,$C137,'10'!V$7:V$159)+SUMIF('11'!$D$7:$D$159,$C137,'11'!V$7:V$159)+SUMIF('12'!$D$7:$D$159,$C137,'12'!V$7:V$159)+SUMIF('01'!$D$7:$D$159,$C137,'01'!V$7:V$159)</f>
        <v/>
      </c>
      <c r="U138" s="430">
        <f>SUMIF('09'!$D$7:$D$159,$C137,'09'!W$7:W$159)+SUMIF('10'!$D$7:$D$159,$C137,'10'!W$7:W$159)+SUMIF('11'!$D$7:$D$159,$C137,'11'!W$7:W$159)+SUMIF('12'!$D$7:$D$159,$C137,'12'!W$7:W$159)+SUMIF('01'!$D$7:$D$159,$C137,'01'!W$7:W$159)</f>
        <v/>
      </c>
      <c r="V138" s="429">
        <f>SUMIF('09'!$D$7:$D$159,$C137,'09'!X$7:X$159)+SUMIF('10'!$D$7:$D$159,$C137,'10'!X$7:X$159)+SUMIF('11'!$D$7:$D$159,$C137,'11'!X$7:X$159)+SUMIF('12'!$D$7:$D$159,$C137,'12'!X$7:X$159)+SUMIF('01'!$D$7:$D$159,$C137,'01'!X$7:X$159)</f>
        <v/>
      </c>
      <c r="W138" s="429">
        <f>SUMIF('09'!$D$7:$D$159,$C137,'09'!Y$7:Y$159)+SUMIF('10'!$D$7:$D$159,$C137,'10'!Y$7:Y$159)+SUMIF('11'!$D$7:$D$159,$C137,'11'!Y$7:Y$159)+SUMIF('12'!$D$7:$D$159,$C137,'12'!Y$7:Y$159)+SUMIF('01'!$D$7:$D$159,$C137,'01'!Y$7:Y$159)</f>
        <v/>
      </c>
      <c r="X138" s="431">
        <f>SUM(J138:W138)</f>
        <v/>
      </c>
      <c r="Y138" s="413" t="n"/>
      <c r="Z138" s="432" t="n"/>
    </row>
    <row r="139" ht="14.25" customHeight="1" s="296">
      <c r="A139" s="154">
        <f>IF(OR(C139="0",COUNTIF(КлючОсень,C139)&gt;1),0,MATCH(F139,ВидыНагр,0))</f>
        <v/>
      </c>
      <c r="B139" s="154">
        <f>(COUNTA(D139:F140,J139:W139,H139:I140)=0)</f>
        <v/>
      </c>
      <c r="C139" s="155">
        <f>IF(OR(TRIM(D139)="",COUNTIF(ВидыНагр,F139)&lt;&gt;1),"0",CONCATENATE("$",TRIM(D139),"$",TRIM(E139),"$",F139,"$"))</f>
        <v/>
      </c>
      <c r="D139" s="415" t="n"/>
      <c r="E139" s="416" t="n"/>
      <c r="F139" s="417" t="n"/>
      <c r="G139" s="156" t="inlineStr">
        <is>
          <t>план</t>
        </is>
      </c>
      <c r="H139" s="157" t="n"/>
      <c r="I139" s="158" t="n"/>
      <c r="J139" s="418" t="n"/>
      <c r="K139" s="419" t="n"/>
      <c r="L139" s="420" t="n"/>
      <c r="M139" s="418" t="n"/>
      <c r="N139" s="419" t="n"/>
      <c r="O139" s="420" t="n"/>
      <c r="P139" s="418" t="n"/>
      <c r="Q139" s="419" t="n"/>
      <c r="R139" s="420" t="n"/>
      <c r="S139" s="418" t="n"/>
      <c r="T139" s="419" t="n"/>
      <c r="U139" s="421" t="n"/>
      <c r="V139" s="420" t="n"/>
      <c r="W139" s="420" t="n"/>
      <c r="X139" s="422">
        <f>SUM(J139:W139)</f>
        <v/>
      </c>
      <c r="Y139" s="423">
        <f>X140-X139</f>
        <v/>
      </c>
      <c r="Z139" s="209" t="n"/>
    </row>
    <row r="140" ht="14.25" customHeight="1" s="296">
      <c r="A140" s="154">
        <f>-A139</f>
        <v/>
      </c>
      <c r="B140" s="154">
        <f>B139</f>
        <v/>
      </c>
      <c r="C140" s="163" t="n"/>
      <c r="D140" s="424" t="n"/>
      <c r="E140" s="425" t="n"/>
      <c r="F140" s="426" t="n"/>
      <c r="G140" s="164" t="inlineStr">
        <is>
          <t>факт</t>
        </is>
      </c>
      <c r="H140" s="165" t="n"/>
      <c r="I140" s="250" t="n"/>
      <c r="J140" s="427">
        <f>SUMIF('09'!$D$7:$D$159,$C139,'09'!L$7:L$159)+SUMIF('10'!$D$7:$D$159,$C139,'10'!L$7:L$159)+SUMIF('11'!$D$7:$D$159,$C139,'11'!L$7:L$159)+SUMIF('12'!$D$7:$D$159,$C139,'12'!L$7:L$159)+SUMIF('01'!$D$7:$D$159,$C139,'01'!L$7:L$159)</f>
        <v/>
      </c>
      <c r="K140" s="428">
        <f>SUMIF('09'!$D$7:$D$159,$C139,'09'!M$7:M$159)+SUMIF('10'!$D$7:$D$159,$C139,'10'!M$7:M$159)+SUMIF('11'!$D$7:$D$159,$C139,'11'!M$7:M$159)+SUMIF('12'!$D$7:$D$159,$C139,'12'!M$7:M$159)+SUMIF('01'!$D$7:$D$159,$C139,'01'!M$7:M$159)</f>
        <v/>
      </c>
      <c r="L140" s="429">
        <f>SUMIF('09'!$D$7:$D$159,$C139,'09'!N$7:N$159)+SUMIF('10'!$D$7:$D$159,$C139,'10'!N$7:N$159)+SUMIF('11'!$D$7:$D$159,$C139,'11'!N$7:N$159)+SUMIF('12'!$D$7:$D$159,$C139,'12'!N$7:N$159)+SUMIF('01'!$D$7:$D$159,$C139,'01'!N$7:N$159)</f>
        <v/>
      </c>
      <c r="M140" s="427">
        <f>SUMIF('09'!$D$7:$D$159,$C139,'09'!O$7:O$159)+SUMIF('10'!$D$7:$D$159,$C139,'10'!O$7:O$159)+SUMIF('11'!$D$7:$D$159,$C139,'11'!O$7:O$159)+SUMIF('12'!$D$7:$D$159,$C139,'12'!O$7:O$159)+SUMIF('01'!$D$7:$D$159,$C139,'01'!O$7:O$159)</f>
        <v/>
      </c>
      <c r="N140" s="428">
        <f>SUMIF('09'!$D$7:$D$159,$C139,'09'!P$7:P$159)+SUMIF('10'!$D$7:$D$159,$C139,'10'!P$7:P$159)+SUMIF('11'!$D$7:$D$159,$C139,'11'!P$7:P$159)+SUMIF('12'!$D$7:$D$159,$C139,'12'!P$7:P$159)+SUMIF('01'!$D$7:$D$159,$C139,'01'!P$7:P$159)</f>
        <v/>
      </c>
      <c r="O140" s="429">
        <f>SUMIF('09'!$D$7:$D$159,$C139,'09'!Q$7:Q$159)+SUMIF('10'!$D$7:$D$159,$C139,'10'!Q$7:Q$159)+SUMIF('11'!$D$7:$D$159,$C139,'11'!Q$7:Q$159)+SUMIF('12'!$D$7:$D$159,$C139,'12'!Q$7:Q$159)+SUMIF('01'!$D$7:$D$159,$C139,'01'!Q$7:Q$159)</f>
        <v/>
      </c>
      <c r="P140" s="427">
        <f>SUMIF('09'!$D$7:$D$159,$C139,'09'!R$7:R$159)+SUMIF('10'!$D$7:$D$159,$C139,'10'!R$7:R$159)+SUMIF('11'!$D$7:$D$159,$C139,'11'!R$7:R$159)+SUMIF('12'!$D$7:$D$159,$C139,'12'!R$7:R$159)+SUMIF('01'!$D$7:$D$159,$C139,'01'!R$7:R$159)</f>
        <v/>
      </c>
      <c r="Q140" s="428">
        <f>SUMIF('09'!$D$7:$D$159,$C139,'09'!S$7:S$159)+SUMIF('10'!$D$7:$D$159,$C139,'10'!S$7:S$159)+SUMIF('11'!$D$7:$D$159,$C139,'11'!S$7:S$159)+SUMIF('12'!$D$7:$D$159,$C139,'12'!S$7:S$159)+SUMIF('01'!$D$7:$D$159,$C139,'01'!S$7:S$159)</f>
        <v/>
      </c>
      <c r="R140" s="429">
        <f>SUMIF('09'!$D$7:$D$159,$C139,'09'!T$7:T$159)+SUMIF('10'!$D$7:$D$159,$C139,'10'!T$7:T$159)+SUMIF('11'!$D$7:$D$159,$C139,'11'!T$7:T$159)+SUMIF('12'!$D$7:$D$159,$C139,'12'!T$7:T$159)+SUMIF('01'!$D$7:$D$159,$C139,'01'!T$7:T$159)</f>
        <v/>
      </c>
      <c r="S140" s="427">
        <f>SUMIF('09'!$D$7:$D$159,$C139,'09'!U$7:U$159)+SUMIF('10'!$D$7:$D$159,$C139,'10'!U$7:U$159)+SUMIF('11'!$D$7:$D$159,$C139,'11'!U$7:U$159)+SUMIF('12'!$D$7:$D$159,$C139,'12'!U$7:U$159)+SUMIF('01'!$D$7:$D$159,$C139,'01'!U$7:U$159)</f>
        <v/>
      </c>
      <c r="T140" s="428">
        <f>SUMIF('09'!$D$7:$D$159,$C139,'09'!V$7:V$159)+SUMIF('10'!$D$7:$D$159,$C139,'10'!V$7:V$159)+SUMIF('11'!$D$7:$D$159,$C139,'11'!V$7:V$159)+SUMIF('12'!$D$7:$D$159,$C139,'12'!V$7:V$159)+SUMIF('01'!$D$7:$D$159,$C139,'01'!V$7:V$159)</f>
        <v/>
      </c>
      <c r="U140" s="430">
        <f>SUMIF('09'!$D$7:$D$159,$C139,'09'!W$7:W$159)+SUMIF('10'!$D$7:$D$159,$C139,'10'!W$7:W$159)+SUMIF('11'!$D$7:$D$159,$C139,'11'!W$7:W$159)+SUMIF('12'!$D$7:$D$159,$C139,'12'!W$7:W$159)+SUMIF('01'!$D$7:$D$159,$C139,'01'!W$7:W$159)</f>
        <v/>
      </c>
      <c r="V140" s="429">
        <f>SUMIF('09'!$D$7:$D$159,$C139,'09'!X$7:X$159)+SUMIF('10'!$D$7:$D$159,$C139,'10'!X$7:X$159)+SUMIF('11'!$D$7:$D$159,$C139,'11'!X$7:X$159)+SUMIF('12'!$D$7:$D$159,$C139,'12'!X$7:X$159)+SUMIF('01'!$D$7:$D$159,$C139,'01'!X$7:X$159)</f>
        <v/>
      </c>
      <c r="W140" s="429">
        <f>SUMIF('09'!$D$7:$D$159,$C139,'09'!Y$7:Y$159)+SUMIF('10'!$D$7:$D$159,$C139,'10'!Y$7:Y$159)+SUMIF('11'!$D$7:$D$159,$C139,'11'!Y$7:Y$159)+SUMIF('12'!$D$7:$D$159,$C139,'12'!Y$7:Y$159)+SUMIF('01'!$D$7:$D$159,$C139,'01'!Y$7:Y$159)</f>
        <v/>
      </c>
      <c r="X140" s="431">
        <f>SUM(J140:W140)</f>
        <v/>
      </c>
      <c r="Y140" s="413" t="n"/>
      <c r="Z140" s="432" t="n"/>
    </row>
    <row r="141" ht="14.25" customHeight="1" s="296">
      <c r="A141" s="154">
        <f>IF(OR(C141="0",COUNTIF(КлючОсень,C141)&gt;1),0,MATCH(F141,ВидыНагр,0))</f>
        <v/>
      </c>
      <c r="B141" s="154">
        <f>(COUNTA(D141:F142,J141:W141,H141:I142)=0)</f>
        <v/>
      </c>
      <c r="C141" s="155">
        <f>IF(OR(TRIM(D141)="",COUNTIF(ВидыНагр,F141)&lt;&gt;1),"0",CONCATENATE("$",TRIM(D141),"$",TRIM(E141),"$",F141,"$"))</f>
        <v/>
      </c>
      <c r="D141" s="415" t="n"/>
      <c r="E141" s="416" t="n"/>
      <c r="F141" s="417" t="n"/>
      <c r="G141" s="156" t="inlineStr">
        <is>
          <t>план</t>
        </is>
      </c>
      <c r="H141" s="157" t="n"/>
      <c r="I141" s="158" t="n"/>
      <c r="J141" s="418" t="n"/>
      <c r="K141" s="419" t="n"/>
      <c r="L141" s="420" t="n"/>
      <c r="M141" s="418" t="n"/>
      <c r="N141" s="419" t="n"/>
      <c r="O141" s="420" t="n"/>
      <c r="P141" s="418" t="n"/>
      <c r="Q141" s="419" t="n"/>
      <c r="R141" s="420" t="n"/>
      <c r="S141" s="418" t="n"/>
      <c r="T141" s="419" t="n"/>
      <c r="U141" s="421" t="n"/>
      <c r="V141" s="420" t="n"/>
      <c r="W141" s="420" t="n"/>
      <c r="X141" s="422">
        <f>SUM(J141:W141)</f>
        <v/>
      </c>
      <c r="Y141" s="423">
        <f>X142-X141</f>
        <v/>
      </c>
      <c r="Z141" s="209" t="n"/>
    </row>
    <row r="142" ht="14.25" customHeight="1" s="296">
      <c r="A142" s="154">
        <f>-A141</f>
        <v/>
      </c>
      <c r="B142" s="154">
        <f>B141</f>
        <v/>
      </c>
      <c r="C142" s="163" t="n"/>
      <c r="D142" s="424" t="n"/>
      <c r="E142" s="425" t="n"/>
      <c r="F142" s="426" t="n"/>
      <c r="G142" s="164" t="inlineStr">
        <is>
          <t>факт</t>
        </is>
      </c>
      <c r="H142" s="165" t="n"/>
      <c r="I142" s="250" t="n"/>
      <c r="J142" s="427">
        <f>SUMIF('09'!$D$7:$D$159,$C141,'09'!L$7:L$159)+SUMIF('10'!$D$7:$D$159,$C141,'10'!L$7:L$159)+SUMIF('11'!$D$7:$D$159,$C141,'11'!L$7:L$159)+SUMIF('12'!$D$7:$D$159,$C141,'12'!L$7:L$159)+SUMIF('01'!$D$7:$D$159,$C141,'01'!L$7:L$159)</f>
        <v/>
      </c>
      <c r="K142" s="428">
        <f>SUMIF('09'!$D$7:$D$159,$C141,'09'!M$7:M$159)+SUMIF('10'!$D$7:$D$159,$C141,'10'!M$7:M$159)+SUMIF('11'!$D$7:$D$159,$C141,'11'!M$7:M$159)+SUMIF('12'!$D$7:$D$159,$C141,'12'!M$7:M$159)+SUMIF('01'!$D$7:$D$159,$C141,'01'!M$7:M$159)</f>
        <v/>
      </c>
      <c r="L142" s="429">
        <f>SUMIF('09'!$D$7:$D$159,$C141,'09'!N$7:N$159)+SUMIF('10'!$D$7:$D$159,$C141,'10'!N$7:N$159)+SUMIF('11'!$D$7:$D$159,$C141,'11'!N$7:N$159)+SUMIF('12'!$D$7:$D$159,$C141,'12'!N$7:N$159)+SUMIF('01'!$D$7:$D$159,$C141,'01'!N$7:N$159)</f>
        <v/>
      </c>
      <c r="M142" s="427">
        <f>SUMIF('09'!$D$7:$D$159,$C141,'09'!O$7:O$159)+SUMIF('10'!$D$7:$D$159,$C141,'10'!O$7:O$159)+SUMIF('11'!$D$7:$D$159,$C141,'11'!O$7:O$159)+SUMIF('12'!$D$7:$D$159,$C141,'12'!O$7:O$159)+SUMIF('01'!$D$7:$D$159,$C141,'01'!O$7:O$159)</f>
        <v/>
      </c>
      <c r="N142" s="428">
        <f>SUMIF('09'!$D$7:$D$159,$C141,'09'!P$7:P$159)+SUMIF('10'!$D$7:$D$159,$C141,'10'!P$7:P$159)+SUMIF('11'!$D$7:$D$159,$C141,'11'!P$7:P$159)+SUMIF('12'!$D$7:$D$159,$C141,'12'!P$7:P$159)+SUMIF('01'!$D$7:$D$159,$C141,'01'!P$7:P$159)</f>
        <v/>
      </c>
      <c r="O142" s="429">
        <f>SUMIF('09'!$D$7:$D$159,$C141,'09'!Q$7:Q$159)+SUMIF('10'!$D$7:$D$159,$C141,'10'!Q$7:Q$159)+SUMIF('11'!$D$7:$D$159,$C141,'11'!Q$7:Q$159)+SUMIF('12'!$D$7:$D$159,$C141,'12'!Q$7:Q$159)+SUMIF('01'!$D$7:$D$159,$C141,'01'!Q$7:Q$159)</f>
        <v/>
      </c>
      <c r="P142" s="427">
        <f>SUMIF('09'!$D$7:$D$159,$C141,'09'!R$7:R$159)+SUMIF('10'!$D$7:$D$159,$C141,'10'!R$7:R$159)+SUMIF('11'!$D$7:$D$159,$C141,'11'!R$7:R$159)+SUMIF('12'!$D$7:$D$159,$C141,'12'!R$7:R$159)+SUMIF('01'!$D$7:$D$159,$C141,'01'!R$7:R$159)</f>
        <v/>
      </c>
      <c r="Q142" s="428">
        <f>SUMIF('09'!$D$7:$D$159,$C141,'09'!S$7:S$159)+SUMIF('10'!$D$7:$D$159,$C141,'10'!S$7:S$159)+SUMIF('11'!$D$7:$D$159,$C141,'11'!S$7:S$159)+SUMIF('12'!$D$7:$D$159,$C141,'12'!S$7:S$159)+SUMIF('01'!$D$7:$D$159,$C141,'01'!S$7:S$159)</f>
        <v/>
      </c>
      <c r="R142" s="429">
        <f>SUMIF('09'!$D$7:$D$159,$C141,'09'!T$7:T$159)+SUMIF('10'!$D$7:$D$159,$C141,'10'!T$7:T$159)+SUMIF('11'!$D$7:$D$159,$C141,'11'!T$7:T$159)+SUMIF('12'!$D$7:$D$159,$C141,'12'!T$7:T$159)+SUMIF('01'!$D$7:$D$159,$C141,'01'!T$7:T$159)</f>
        <v/>
      </c>
      <c r="S142" s="427">
        <f>SUMIF('09'!$D$7:$D$159,$C141,'09'!U$7:U$159)+SUMIF('10'!$D$7:$D$159,$C141,'10'!U$7:U$159)+SUMIF('11'!$D$7:$D$159,$C141,'11'!U$7:U$159)+SUMIF('12'!$D$7:$D$159,$C141,'12'!U$7:U$159)+SUMIF('01'!$D$7:$D$159,$C141,'01'!U$7:U$159)</f>
        <v/>
      </c>
      <c r="T142" s="428">
        <f>SUMIF('09'!$D$7:$D$159,$C141,'09'!V$7:V$159)+SUMIF('10'!$D$7:$D$159,$C141,'10'!V$7:V$159)+SUMIF('11'!$D$7:$D$159,$C141,'11'!V$7:V$159)+SUMIF('12'!$D$7:$D$159,$C141,'12'!V$7:V$159)+SUMIF('01'!$D$7:$D$159,$C141,'01'!V$7:V$159)</f>
        <v/>
      </c>
      <c r="U142" s="430">
        <f>SUMIF('09'!$D$7:$D$159,$C141,'09'!W$7:W$159)+SUMIF('10'!$D$7:$D$159,$C141,'10'!W$7:W$159)+SUMIF('11'!$D$7:$D$159,$C141,'11'!W$7:W$159)+SUMIF('12'!$D$7:$D$159,$C141,'12'!W$7:W$159)+SUMIF('01'!$D$7:$D$159,$C141,'01'!W$7:W$159)</f>
        <v/>
      </c>
      <c r="V142" s="429">
        <f>SUMIF('09'!$D$7:$D$159,$C141,'09'!X$7:X$159)+SUMIF('10'!$D$7:$D$159,$C141,'10'!X$7:X$159)+SUMIF('11'!$D$7:$D$159,$C141,'11'!X$7:X$159)+SUMIF('12'!$D$7:$D$159,$C141,'12'!X$7:X$159)+SUMIF('01'!$D$7:$D$159,$C141,'01'!X$7:X$159)</f>
        <v/>
      </c>
      <c r="W142" s="429">
        <f>SUMIF('09'!$D$7:$D$159,$C141,'09'!Y$7:Y$159)+SUMIF('10'!$D$7:$D$159,$C141,'10'!Y$7:Y$159)+SUMIF('11'!$D$7:$D$159,$C141,'11'!Y$7:Y$159)+SUMIF('12'!$D$7:$D$159,$C141,'12'!Y$7:Y$159)+SUMIF('01'!$D$7:$D$159,$C141,'01'!Y$7:Y$159)</f>
        <v/>
      </c>
      <c r="X142" s="431">
        <f>SUM(J142:W142)</f>
        <v/>
      </c>
      <c r="Y142" s="413" t="n"/>
      <c r="Z142" s="432" t="n"/>
    </row>
    <row r="143" ht="14.25" customHeight="1" s="296">
      <c r="A143" s="154">
        <f>IF(OR(C143="0",COUNTIF(КлючОсень,C143)&gt;1),0,MATCH(F143,ВидыНагр,0))</f>
        <v/>
      </c>
      <c r="B143" s="154">
        <f>(COUNTA(D143:F144,J143:W143,H143:I144)=0)</f>
        <v/>
      </c>
      <c r="C143" s="155">
        <f>IF(OR(TRIM(D143)="",COUNTIF(ВидыНагр,F143)&lt;&gt;1),"0",CONCATENATE("$",TRIM(D143),"$",TRIM(E143),"$",F143,"$"))</f>
        <v/>
      </c>
      <c r="D143" s="415" t="n"/>
      <c r="E143" s="416" t="n"/>
      <c r="F143" s="417" t="n"/>
      <c r="G143" s="156" t="inlineStr">
        <is>
          <t>план</t>
        </is>
      </c>
      <c r="H143" s="157" t="n"/>
      <c r="I143" s="158" t="n"/>
      <c r="J143" s="418" t="n"/>
      <c r="K143" s="419" t="n"/>
      <c r="L143" s="420" t="n"/>
      <c r="M143" s="418" t="n"/>
      <c r="N143" s="419" t="n"/>
      <c r="O143" s="420" t="n"/>
      <c r="P143" s="418" t="n"/>
      <c r="Q143" s="419" t="n"/>
      <c r="R143" s="420" t="n"/>
      <c r="S143" s="418" t="n"/>
      <c r="T143" s="419" t="n"/>
      <c r="U143" s="421" t="n"/>
      <c r="V143" s="420" t="n"/>
      <c r="W143" s="420" t="n"/>
      <c r="X143" s="422">
        <f>SUM(J143:W143)</f>
        <v/>
      </c>
      <c r="Y143" s="423">
        <f>X144-X143</f>
        <v/>
      </c>
      <c r="Z143" s="209" t="n"/>
    </row>
    <row r="144" ht="14.25" customHeight="1" s="296">
      <c r="A144" s="154">
        <f>-A143</f>
        <v/>
      </c>
      <c r="B144" s="154">
        <f>B143</f>
        <v/>
      </c>
      <c r="C144" s="163" t="n"/>
      <c r="D144" s="424" t="n"/>
      <c r="E144" s="425" t="n"/>
      <c r="F144" s="426" t="n"/>
      <c r="G144" s="164" t="inlineStr">
        <is>
          <t>факт</t>
        </is>
      </c>
      <c r="H144" s="165" t="n"/>
      <c r="I144" s="250" t="n"/>
      <c r="J144" s="427">
        <f>SUMIF('09'!$D$7:$D$159,$C143,'09'!L$7:L$159)+SUMIF('10'!$D$7:$D$159,$C143,'10'!L$7:L$159)+SUMIF('11'!$D$7:$D$159,$C143,'11'!L$7:L$159)+SUMIF('12'!$D$7:$D$159,$C143,'12'!L$7:L$159)+SUMIF('01'!$D$7:$D$159,$C143,'01'!L$7:L$159)</f>
        <v/>
      </c>
      <c r="K144" s="428">
        <f>SUMIF('09'!$D$7:$D$159,$C143,'09'!M$7:M$159)+SUMIF('10'!$D$7:$D$159,$C143,'10'!M$7:M$159)+SUMIF('11'!$D$7:$D$159,$C143,'11'!M$7:M$159)+SUMIF('12'!$D$7:$D$159,$C143,'12'!M$7:M$159)+SUMIF('01'!$D$7:$D$159,$C143,'01'!M$7:M$159)</f>
        <v/>
      </c>
      <c r="L144" s="429">
        <f>SUMIF('09'!$D$7:$D$159,$C143,'09'!N$7:N$159)+SUMIF('10'!$D$7:$D$159,$C143,'10'!N$7:N$159)+SUMIF('11'!$D$7:$D$159,$C143,'11'!N$7:N$159)+SUMIF('12'!$D$7:$D$159,$C143,'12'!N$7:N$159)+SUMIF('01'!$D$7:$D$159,$C143,'01'!N$7:N$159)</f>
        <v/>
      </c>
      <c r="M144" s="427">
        <f>SUMIF('09'!$D$7:$D$159,$C143,'09'!O$7:O$159)+SUMIF('10'!$D$7:$D$159,$C143,'10'!O$7:O$159)+SUMIF('11'!$D$7:$D$159,$C143,'11'!O$7:O$159)+SUMIF('12'!$D$7:$D$159,$C143,'12'!O$7:O$159)+SUMIF('01'!$D$7:$D$159,$C143,'01'!O$7:O$159)</f>
        <v/>
      </c>
      <c r="N144" s="428">
        <f>SUMIF('09'!$D$7:$D$159,$C143,'09'!P$7:P$159)+SUMIF('10'!$D$7:$D$159,$C143,'10'!P$7:P$159)+SUMIF('11'!$D$7:$D$159,$C143,'11'!P$7:P$159)+SUMIF('12'!$D$7:$D$159,$C143,'12'!P$7:P$159)+SUMIF('01'!$D$7:$D$159,$C143,'01'!P$7:P$159)</f>
        <v/>
      </c>
      <c r="O144" s="429">
        <f>SUMIF('09'!$D$7:$D$159,$C143,'09'!Q$7:Q$159)+SUMIF('10'!$D$7:$D$159,$C143,'10'!Q$7:Q$159)+SUMIF('11'!$D$7:$D$159,$C143,'11'!Q$7:Q$159)+SUMIF('12'!$D$7:$D$159,$C143,'12'!Q$7:Q$159)+SUMIF('01'!$D$7:$D$159,$C143,'01'!Q$7:Q$159)</f>
        <v/>
      </c>
      <c r="P144" s="427">
        <f>SUMIF('09'!$D$7:$D$159,$C143,'09'!R$7:R$159)+SUMIF('10'!$D$7:$D$159,$C143,'10'!R$7:R$159)+SUMIF('11'!$D$7:$D$159,$C143,'11'!R$7:R$159)+SUMIF('12'!$D$7:$D$159,$C143,'12'!R$7:R$159)+SUMIF('01'!$D$7:$D$159,$C143,'01'!R$7:R$159)</f>
        <v/>
      </c>
      <c r="Q144" s="428">
        <f>SUMIF('09'!$D$7:$D$159,$C143,'09'!S$7:S$159)+SUMIF('10'!$D$7:$D$159,$C143,'10'!S$7:S$159)+SUMIF('11'!$D$7:$D$159,$C143,'11'!S$7:S$159)+SUMIF('12'!$D$7:$D$159,$C143,'12'!S$7:S$159)+SUMIF('01'!$D$7:$D$159,$C143,'01'!S$7:S$159)</f>
        <v/>
      </c>
      <c r="R144" s="429">
        <f>SUMIF('09'!$D$7:$D$159,$C143,'09'!T$7:T$159)+SUMIF('10'!$D$7:$D$159,$C143,'10'!T$7:T$159)+SUMIF('11'!$D$7:$D$159,$C143,'11'!T$7:T$159)+SUMIF('12'!$D$7:$D$159,$C143,'12'!T$7:T$159)+SUMIF('01'!$D$7:$D$159,$C143,'01'!T$7:T$159)</f>
        <v/>
      </c>
      <c r="S144" s="427">
        <f>SUMIF('09'!$D$7:$D$159,$C143,'09'!U$7:U$159)+SUMIF('10'!$D$7:$D$159,$C143,'10'!U$7:U$159)+SUMIF('11'!$D$7:$D$159,$C143,'11'!U$7:U$159)+SUMIF('12'!$D$7:$D$159,$C143,'12'!U$7:U$159)+SUMIF('01'!$D$7:$D$159,$C143,'01'!U$7:U$159)</f>
        <v/>
      </c>
      <c r="T144" s="428">
        <f>SUMIF('09'!$D$7:$D$159,$C143,'09'!V$7:V$159)+SUMIF('10'!$D$7:$D$159,$C143,'10'!V$7:V$159)+SUMIF('11'!$D$7:$D$159,$C143,'11'!V$7:V$159)+SUMIF('12'!$D$7:$D$159,$C143,'12'!V$7:V$159)+SUMIF('01'!$D$7:$D$159,$C143,'01'!V$7:V$159)</f>
        <v/>
      </c>
      <c r="U144" s="430">
        <f>SUMIF('09'!$D$7:$D$159,$C143,'09'!W$7:W$159)+SUMIF('10'!$D$7:$D$159,$C143,'10'!W$7:W$159)+SUMIF('11'!$D$7:$D$159,$C143,'11'!W$7:W$159)+SUMIF('12'!$D$7:$D$159,$C143,'12'!W$7:W$159)+SUMIF('01'!$D$7:$D$159,$C143,'01'!W$7:W$159)</f>
        <v/>
      </c>
      <c r="V144" s="429">
        <f>SUMIF('09'!$D$7:$D$159,$C143,'09'!X$7:X$159)+SUMIF('10'!$D$7:$D$159,$C143,'10'!X$7:X$159)+SUMIF('11'!$D$7:$D$159,$C143,'11'!X$7:X$159)+SUMIF('12'!$D$7:$D$159,$C143,'12'!X$7:X$159)+SUMIF('01'!$D$7:$D$159,$C143,'01'!X$7:X$159)</f>
        <v/>
      </c>
      <c r="W144" s="429">
        <f>SUMIF('09'!$D$7:$D$159,$C143,'09'!Y$7:Y$159)+SUMIF('10'!$D$7:$D$159,$C143,'10'!Y$7:Y$159)+SUMIF('11'!$D$7:$D$159,$C143,'11'!Y$7:Y$159)+SUMIF('12'!$D$7:$D$159,$C143,'12'!Y$7:Y$159)+SUMIF('01'!$D$7:$D$159,$C143,'01'!Y$7:Y$159)</f>
        <v/>
      </c>
      <c r="X144" s="431">
        <f>SUM(J144:W144)</f>
        <v/>
      </c>
      <c r="Y144" s="413" t="n"/>
      <c r="Z144" s="432" t="n"/>
    </row>
    <row r="145" ht="14.25" customHeight="1" s="296">
      <c r="A145" s="154">
        <f>IF(OR(C145="0",COUNTIF(КлючОсень,C145)&gt;1),0,MATCH(F145,ВидыНагр,0))</f>
        <v/>
      </c>
      <c r="B145" s="154">
        <f>(COUNTA(D145:F146,J145:W145,H145:I146)=0)</f>
        <v/>
      </c>
      <c r="C145" s="155">
        <f>IF(OR(TRIM(D145)="",COUNTIF(ВидыНагр,F145)&lt;&gt;1),"0",CONCATENATE("$",TRIM(D145),"$",TRIM(E145),"$",F145,"$"))</f>
        <v/>
      </c>
      <c r="D145" s="415" t="n"/>
      <c r="E145" s="416" t="n"/>
      <c r="F145" s="417" t="n"/>
      <c r="G145" s="156" t="inlineStr">
        <is>
          <t>план</t>
        </is>
      </c>
      <c r="H145" s="157" t="n"/>
      <c r="I145" s="158" t="n"/>
      <c r="J145" s="418" t="n"/>
      <c r="K145" s="419" t="n"/>
      <c r="L145" s="420" t="n"/>
      <c r="M145" s="418" t="n"/>
      <c r="N145" s="419" t="n"/>
      <c r="O145" s="420" t="n"/>
      <c r="P145" s="418" t="n"/>
      <c r="Q145" s="419" t="n"/>
      <c r="R145" s="420" t="n"/>
      <c r="S145" s="418" t="n"/>
      <c r="T145" s="419" t="n"/>
      <c r="U145" s="421" t="n"/>
      <c r="V145" s="420" t="n"/>
      <c r="W145" s="420" t="n"/>
      <c r="X145" s="422">
        <f>SUM(J145:W145)</f>
        <v/>
      </c>
      <c r="Y145" s="423">
        <f>X146-X145</f>
        <v/>
      </c>
      <c r="Z145" s="209" t="n"/>
    </row>
    <row r="146" ht="14.25" customHeight="1" s="296">
      <c r="A146" s="154">
        <f>-A145</f>
        <v/>
      </c>
      <c r="B146" s="154">
        <f>B145</f>
        <v/>
      </c>
      <c r="C146" s="163" t="n"/>
      <c r="D146" s="424" t="n"/>
      <c r="E146" s="425" t="n"/>
      <c r="F146" s="426" t="n"/>
      <c r="G146" s="164" t="inlineStr">
        <is>
          <t>факт</t>
        </is>
      </c>
      <c r="H146" s="165" t="n"/>
      <c r="I146" s="250" t="n"/>
      <c r="J146" s="427">
        <f>SUMIF('09'!$D$7:$D$159,$C145,'09'!L$7:L$159)+SUMIF('10'!$D$7:$D$159,$C145,'10'!L$7:L$159)+SUMIF('11'!$D$7:$D$159,$C145,'11'!L$7:L$159)+SUMIF('12'!$D$7:$D$159,$C145,'12'!L$7:L$159)+SUMIF('01'!$D$7:$D$159,$C145,'01'!L$7:L$159)</f>
        <v/>
      </c>
      <c r="K146" s="428">
        <f>SUMIF('09'!$D$7:$D$159,$C145,'09'!M$7:M$159)+SUMIF('10'!$D$7:$D$159,$C145,'10'!M$7:M$159)+SUMIF('11'!$D$7:$D$159,$C145,'11'!M$7:M$159)+SUMIF('12'!$D$7:$D$159,$C145,'12'!M$7:M$159)+SUMIF('01'!$D$7:$D$159,$C145,'01'!M$7:M$159)</f>
        <v/>
      </c>
      <c r="L146" s="429">
        <f>SUMIF('09'!$D$7:$D$159,$C145,'09'!N$7:N$159)+SUMIF('10'!$D$7:$D$159,$C145,'10'!N$7:N$159)+SUMIF('11'!$D$7:$D$159,$C145,'11'!N$7:N$159)+SUMIF('12'!$D$7:$D$159,$C145,'12'!N$7:N$159)+SUMIF('01'!$D$7:$D$159,$C145,'01'!N$7:N$159)</f>
        <v/>
      </c>
      <c r="M146" s="427">
        <f>SUMIF('09'!$D$7:$D$159,$C145,'09'!O$7:O$159)+SUMIF('10'!$D$7:$D$159,$C145,'10'!O$7:O$159)+SUMIF('11'!$D$7:$D$159,$C145,'11'!O$7:O$159)+SUMIF('12'!$D$7:$D$159,$C145,'12'!O$7:O$159)+SUMIF('01'!$D$7:$D$159,$C145,'01'!O$7:O$159)</f>
        <v/>
      </c>
      <c r="N146" s="428">
        <f>SUMIF('09'!$D$7:$D$159,$C145,'09'!P$7:P$159)+SUMIF('10'!$D$7:$D$159,$C145,'10'!P$7:P$159)+SUMIF('11'!$D$7:$D$159,$C145,'11'!P$7:P$159)+SUMIF('12'!$D$7:$D$159,$C145,'12'!P$7:P$159)+SUMIF('01'!$D$7:$D$159,$C145,'01'!P$7:P$159)</f>
        <v/>
      </c>
      <c r="O146" s="429">
        <f>SUMIF('09'!$D$7:$D$159,$C145,'09'!Q$7:Q$159)+SUMIF('10'!$D$7:$D$159,$C145,'10'!Q$7:Q$159)+SUMIF('11'!$D$7:$D$159,$C145,'11'!Q$7:Q$159)+SUMIF('12'!$D$7:$D$159,$C145,'12'!Q$7:Q$159)+SUMIF('01'!$D$7:$D$159,$C145,'01'!Q$7:Q$159)</f>
        <v/>
      </c>
      <c r="P146" s="427">
        <f>SUMIF('09'!$D$7:$D$159,$C145,'09'!R$7:R$159)+SUMIF('10'!$D$7:$D$159,$C145,'10'!R$7:R$159)+SUMIF('11'!$D$7:$D$159,$C145,'11'!R$7:R$159)+SUMIF('12'!$D$7:$D$159,$C145,'12'!R$7:R$159)+SUMIF('01'!$D$7:$D$159,$C145,'01'!R$7:R$159)</f>
        <v/>
      </c>
      <c r="Q146" s="428">
        <f>SUMIF('09'!$D$7:$D$159,$C145,'09'!S$7:S$159)+SUMIF('10'!$D$7:$D$159,$C145,'10'!S$7:S$159)+SUMIF('11'!$D$7:$D$159,$C145,'11'!S$7:S$159)+SUMIF('12'!$D$7:$D$159,$C145,'12'!S$7:S$159)+SUMIF('01'!$D$7:$D$159,$C145,'01'!S$7:S$159)</f>
        <v/>
      </c>
      <c r="R146" s="429">
        <f>SUMIF('09'!$D$7:$D$159,$C145,'09'!T$7:T$159)+SUMIF('10'!$D$7:$D$159,$C145,'10'!T$7:T$159)+SUMIF('11'!$D$7:$D$159,$C145,'11'!T$7:T$159)+SUMIF('12'!$D$7:$D$159,$C145,'12'!T$7:T$159)+SUMIF('01'!$D$7:$D$159,$C145,'01'!T$7:T$159)</f>
        <v/>
      </c>
      <c r="S146" s="427">
        <f>SUMIF('09'!$D$7:$D$159,$C145,'09'!U$7:U$159)+SUMIF('10'!$D$7:$D$159,$C145,'10'!U$7:U$159)+SUMIF('11'!$D$7:$D$159,$C145,'11'!U$7:U$159)+SUMIF('12'!$D$7:$D$159,$C145,'12'!U$7:U$159)+SUMIF('01'!$D$7:$D$159,$C145,'01'!U$7:U$159)</f>
        <v/>
      </c>
      <c r="T146" s="428">
        <f>SUMIF('09'!$D$7:$D$159,$C145,'09'!V$7:V$159)+SUMIF('10'!$D$7:$D$159,$C145,'10'!V$7:V$159)+SUMIF('11'!$D$7:$D$159,$C145,'11'!V$7:V$159)+SUMIF('12'!$D$7:$D$159,$C145,'12'!V$7:V$159)+SUMIF('01'!$D$7:$D$159,$C145,'01'!V$7:V$159)</f>
        <v/>
      </c>
      <c r="U146" s="430">
        <f>SUMIF('09'!$D$7:$D$159,$C145,'09'!W$7:W$159)+SUMIF('10'!$D$7:$D$159,$C145,'10'!W$7:W$159)+SUMIF('11'!$D$7:$D$159,$C145,'11'!W$7:W$159)+SUMIF('12'!$D$7:$D$159,$C145,'12'!W$7:W$159)+SUMIF('01'!$D$7:$D$159,$C145,'01'!W$7:W$159)</f>
        <v/>
      </c>
      <c r="V146" s="429">
        <f>SUMIF('09'!$D$7:$D$159,$C145,'09'!X$7:X$159)+SUMIF('10'!$D$7:$D$159,$C145,'10'!X$7:X$159)+SUMIF('11'!$D$7:$D$159,$C145,'11'!X$7:X$159)+SUMIF('12'!$D$7:$D$159,$C145,'12'!X$7:X$159)+SUMIF('01'!$D$7:$D$159,$C145,'01'!X$7:X$159)</f>
        <v/>
      </c>
      <c r="W146" s="429">
        <f>SUMIF('09'!$D$7:$D$159,$C145,'09'!Y$7:Y$159)+SUMIF('10'!$D$7:$D$159,$C145,'10'!Y$7:Y$159)+SUMIF('11'!$D$7:$D$159,$C145,'11'!Y$7:Y$159)+SUMIF('12'!$D$7:$D$159,$C145,'12'!Y$7:Y$159)+SUMIF('01'!$D$7:$D$159,$C145,'01'!Y$7:Y$159)</f>
        <v/>
      </c>
      <c r="X146" s="431">
        <f>SUM(J146:W146)</f>
        <v/>
      </c>
      <c r="Y146" s="413" t="n"/>
      <c r="Z146" s="432" t="n"/>
    </row>
    <row r="147" ht="14.25" customHeight="1" s="296">
      <c r="A147" s="154">
        <f>IF(OR(C147="0",COUNTIF(КлючОсень,C147)&gt;1),0,MATCH(F147,ВидыНагр,0))</f>
        <v/>
      </c>
      <c r="B147" s="154">
        <f>(COUNTA(D147:F148,J147:W147,H147:I148)=0)</f>
        <v/>
      </c>
      <c r="C147" s="155">
        <f>IF(OR(TRIM(D147)="",COUNTIF(ВидыНагр,F147)&lt;&gt;1),"0",CONCATENATE("$",TRIM(D147),"$",TRIM(E147),"$",F147,"$"))</f>
        <v/>
      </c>
      <c r="D147" s="415" t="n"/>
      <c r="E147" s="416" t="n"/>
      <c r="F147" s="417" t="n"/>
      <c r="G147" s="156" t="inlineStr">
        <is>
          <t>план</t>
        </is>
      </c>
      <c r="H147" s="157" t="n"/>
      <c r="I147" s="158" t="n"/>
      <c r="J147" s="418" t="n"/>
      <c r="K147" s="419" t="n"/>
      <c r="L147" s="420" t="n"/>
      <c r="M147" s="418" t="n"/>
      <c r="N147" s="419" t="n"/>
      <c r="O147" s="420" t="n"/>
      <c r="P147" s="418" t="n"/>
      <c r="Q147" s="419" t="n"/>
      <c r="R147" s="420" t="n"/>
      <c r="S147" s="418" t="n"/>
      <c r="T147" s="419" t="n"/>
      <c r="U147" s="421" t="n"/>
      <c r="V147" s="420" t="n"/>
      <c r="W147" s="420" t="n"/>
      <c r="X147" s="422">
        <f>SUM(J147:W147)</f>
        <v/>
      </c>
      <c r="Y147" s="423">
        <f>X148-X147</f>
        <v/>
      </c>
      <c r="Z147" s="209" t="n"/>
    </row>
    <row r="148" ht="14.25" customHeight="1" s="296">
      <c r="A148" s="154">
        <f>-A147</f>
        <v/>
      </c>
      <c r="B148" s="154">
        <f>B147</f>
        <v/>
      </c>
      <c r="C148" s="163" t="n"/>
      <c r="D148" s="424" t="n"/>
      <c r="E148" s="425" t="n"/>
      <c r="F148" s="426" t="n"/>
      <c r="G148" s="164" t="inlineStr">
        <is>
          <t>факт</t>
        </is>
      </c>
      <c r="H148" s="165" t="n"/>
      <c r="I148" s="250" t="n"/>
      <c r="J148" s="427">
        <f>SUMIF('09'!$D$7:$D$159,$C147,'09'!L$7:L$159)+SUMIF('10'!$D$7:$D$159,$C147,'10'!L$7:L$159)+SUMIF('11'!$D$7:$D$159,$C147,'11'!L$7:L$159)+SUMIF('12'!$D$7:$D$159,$C147,'12'!L$7:L$159)+SUMIF('01'!$D$7:$D$159,$C147,'01'!L$7:L$159)</f>
        <v/>
      </c>
      <c r="K148" s="428">
        <f>SUMIF('09'!$D$7:$D$159,$C147,'09'!M$7:M$159)+SUMIF('10'!$D$7:$D$159,$C147,'10'!M$7:M$159)+SUMIF('11'!$D$7:$D$159,$C147,'11'!M$7:M$159)+SUMIF('12'!$D$7:$D$159,$C147,'12'!M$7:M$159)+SUMIF('01'!$D$7:$D$159,$C147,'01'!M$7:M$159)</f>
        <v/>
      </c>
      <c r="L148" s="429">
        <f>SUMIF('09'!$D$7:$D$159,$C147,'09'!N$7:N$159)+SUMIF('10'!$D$7:$D$159,$C147,'10'!N$7:N$159)+SUMIF('11'!$D$7:$D$159,$C147,'11'!N$7:N$159)+SUMIF('12'!$D$7:$D$159,$C147,'12'!N$7:N$159)+SUMIF('01'!$D$7:$D$159,$C147,'01'!N$7:N$159)</f>
        <v/>
      </c>
      <c r="M148" s="427">
        <f>SUMIF('09'!$D$7:$D$159,$C147,'09'!O$7:O$159)+SUMIF('10'!$D$7:$D$159,$C147,'10'!O$7:O$159)+SUMIF('11'!$D$7:$D$159,$C147,'11'!O$7:O$159)+SUMIF('12'!$D$7:$D$159,$C147,'12'!O$7:O$159)+SUMIF('01'!$D$7:$D$159,$C147,'01'!O$7:O$159)</f>
        <v/>
      </c>
      <c r="N148" s="428">
        <f>SUMIF('09'!$D$7:$D$159,$C147,'09'!P$7:P$159)+SUMIF('10'!$D$7:$D$159,$C147,'10'!P$7:P$159)+SUMIF('11'!$D$7:$D$159,$C147,'11'!P$7:P$159)+SUMIF('12'!$D$7:$D$159,$C147,'12'!P$7:P$159)+SUMIF('01'!$D$7:$D$159,$C147,'01'!P$7:P$159)</f>
        <v/>
      </c>
      <c r="O148" s="429">
        <f>SUMIF('09'!$D$7:$D$159,$C147,'09'!Q$7:Q$159)+SUMIF('10'!$D$7:$D$159,$C147,'10'!Q$7:Q$159)+SUMIF('11'!$D$7:$D$159,$C147,'11'!Q$7:Q$159)+SUMIF('12'!$D$7:$D$159,$C147,'12'!Q$7:Q$159)+SUMIF('01'!$D$7:$D$159,$C147,'01'!Q$7:Q$159)</f>
        <v/>
      </c>
      <c r="P148" s="427">
        <f>SUMIF('09'!$D$7:$D$159,$C147,'09'!R$7:R$159)+SUMIF('10'!$D$7:$D$159,$C147,'10'!R$7:R$159)+SUMIF('11'!$D$7:$D$159,$C147,'11'!R$7:R$159)+SUMIF('12'!$D$7:$D$159,$C147,'12'!R$7:R$159)+SUMIF('01'!$D$7:$D$159,$C147,'01'!R$7:R$159)</f>
        <v/>
      </c>
      <c r="Q148" s="428">
        <f>SUMIF('09'!$D$7:$D$159,$C147,'09'!S$7:S$159)+SUMIF('10'!$D$7:$D$159,$C147,'10'!S$7:S$159)+SUMIF('11'!$D$7:$D$159,$C147,'11'!S$7:S$159)+SUMIF('12'!$D$7:$D$159,$C147,'12'!S$7:S$159)+SUMIF('01'!$D$7:$D$159,$C147,'01'!S$7:S$159)</f>
        <v/>
      </c>
      <c r="R148" s="429">
        <f>SUMIF('09'!$D$7:$D$159,$C147,'09'!T$7:T$159)+SUMIF('10'!$D$7:$D$159,$C147,'10'!T$7:T$159)+SUMIF('11'!$D$7:$D$159,$C147,'11'!T$7:T$159)+SUMIF('12'!$D$7:$D$159,$C147,'12'!T$7:T$159)+SUMIF('01'!$D$7:$D$159,$C147,'01'!T$7:T$159)</f>
        <v/>
      </c>
      <c r="S148" s="427">
        <f>SUMIF('09'!$D$7:$D$159,$C147,'09'!U$7:U$159)+SUMIF('10'!$D$7:$D$159,$C147,'10'!U$7:U$159)+SUMIF('11'!$D$7:$D$159,$C147,'11'!U$7:U$159)+SUMIF('12'!$D$7:$D$159,$C147,'12'!U$7:U$159)+SUMIF('01'!$D$7:$D$159,$C147,'01'!U$7:U$159)</f>
        <v/>
      </c>
      <c r="T148" s="428">
        <f>SUMIF('09'!$D$7:$D$159,$C147,'09'!V$7:V$159)+SUMIF('10'!$D$7:$D$159,$C147,'10'!V$7:V$159)+SUMIF('11'!$D$7:$D$159,$C147,'11'!V$7:V$159)+SUMIF('12'!$D$7:$D$159,$C147,'12'!V$7:V$159)+SUMIF('01'!$D$7:$D$159,$C147,'01'!V$7:V$159)</f>
        <v/>
      </c>
      <c r="U148" s="430">
        <f>SUMIF('09'!$D$7:$D$159,$C147,'09'!W$7:W$159)+SUMIF('10'!$D$7:$D$159,$C147,'10'!W$7:W$159)+SUMIF('11'!$D$7:$D$159,$C147,'11'!W$7:W$159)+SUMIF('12'!$D$7:$D$159,$C147,'12'!W$7:W$159)+SUMIF('01'!$D$7:$D$159,$C147,'01'!W$7:W$159)</f>
        <v/>
      </c>
      <c r="V148" s="429">
        <f>SUMIF('09'!$D$7:$D$159,$C147,'09'!X$7:X$159)+SUMIF('10'!$D$7:$D$159,$C147,'10'!X$7:X$159)+SUMIF('11'!$D$7:$D$159,$C147,'11'!X$7:X$159)+SUMIF('12'!$D$7:$D$159,$C147,'12'!X$7:X$159)+SUMIF('01'!$D$7:$D$159,$C147,'01'!X$7:X$159)</f>
        <v/>
      </c>
      <c r="W148" s="429">
        <f>SUMIF('09'!$D$7:$D$159,$C147,'09'!Y$7:Y$159)+SUMIF('10'!$D$7:$D$159,$C147,'10'!Y$7:Y$159)+SUMIF('11'!$D$7:$D$159,$C147,'11'!Y$7:Y$159)+SUMIF('12'!$D$7:$D$159,$C147,'12'!Y$7:Y$159)+SUMIF('01'!$D$7:$D$159,$C147,'01'!Y$7:Y$159)</f>
        <v/>
      </c>
      <c r="X148" s="431">
        <f>SUM(J148:W148)</f>
        <v/>
      </c>
      <c r="Y148" s="413" t="n"/>
      <c r="Z148" s="432" t="n"/>
    </row>
    <row r="149" ht="14.25" customHeight="1" s="296">
      <c r="A149" s="154">
        <f>IF(OR(C149="0",COUNTIF(КлючОсень,C149)&gt;1),0,MATCH(F149,ВидыНагр,0))</f>
        <v/>
      </c>
      <c r="B149" s="154">
        <f>(COUNTA(D149:F150,J149:W149,H149:I150)=0)</f>
        <v/>
      </c>
      <c r="C149" s="155">
        <f>IF(OR(TRIM(D149)="",COUNTIF(ВидыНагр,F149)&lt;&gt;1),"0",CONCATENATE("$",TRIM(D149),"$",TRIM(E149),"$",F149,"$"))</f>
        <v/>
      </c>
      <c r="D149" s="415" t="n"/>
      <c r="E149" s="416" t="n"/>
      <c r="F149" s="417" t="n"/>
      <c r="G149" s="156" t="inlineStr">
        <is>
          <t>план</t>
        </is>
      </c>
      <c r="H149" s="157" t="n"/>
      <c r="I149" s="158" t="n"/>
      <c r="J149" s="418" t="n"/>
      <c r="K149" s="419" t="n"/>
      <c r="L149" s="420" t="n"/>
      <c r="M149" s="418" t="n"/>
      <c r="N149" s="419" t="n"/>
      <c r="O149" s="420" t="n"/>
      <c r="P149" s="418" t="n"/>
      <c r="Q149" s="419" t="n"/>
      <c r="R149" s="420" t="n"/>
      <c r="S149" s="418" t="n"/>
      <c r="T149" s="419" t="n"/>
      <c r="U149" s="421" t="n"/>
      <c r="V149" s="420" t="n"/>
      <c r="W149" s="420" t="n"/>
      <c r="X149" s="422">
        <f>SUM(J149:W149)</f>
        <v/>
      </c>
      <c r="Y149" s="423">
        <f>X150-X149</f>
        <v/>
      </c>
      <c r="Z149" s="209" t="n"/>
    </row>
    <row r="150" ht="14.25" customHeight="1" s="296">
      <c r="A150" s="154">
        <f>-A149</f>
        <v/>
      </c>
      <c r="B150" s="154">
        <f>B149</f>
        <v/>
      </c>
      <c r="C150" s="163" t="n"/>
      <c r="D150" s="424" t="n"/>
      <c r="E150" s="425" t="n"/>
      <c r="F150" s="426" t="n"/>
      <c r="G150" s="164" t="inlineStr">
        <is>
          <t>факт</t>
        </is>
      </c>
      <c r="H150" s="165" t="n"/>
      <c r="I150" s="250" t="n"/>
      <c r="J150" s="427">
        <f>SUMIF('09'!$D$7:$D$159,$C149,'09'!L$7:L$159)+SUMIF('10'!$D$7:$D$159,$C149,'10'!L$7:L$159)+SUMIF('11'!$D$7:$D$159,$C149,'11'!L$7:L$159)+SUMIF('12'!$D$7:$D$159,$C149,'12'!L$7:L$159)+SUMIF('01'!$D$7:$D$159,$C149,'01'!L$7:L$159)</f>
        <v/>
      </c>
      <c r="K150" s="428">
        <f>SUMIF('09'!$D$7:$D$159,$C149,'09'!M$7:M$159)+SUMIF('10'!$D$7:$D$159,$C149,'10'!M$7:M$159)+SUMIF('11'!$D$7:$D$159,$C149,'11'!M$7:M$159)+SUMIF('12'!$D$7:$D$159,$C149,'12'!M$7:M$159)+SUMIF('01'!$D$7:$D$159,$C149,'01'!M$7:M$159)</f>
        <v/>
      </c>
      <c r="L150" s="429">
        <f>SUMIF('09'!$D$7:$D$159,$C149,'09'!N$7:N$159)+SUMIF('10'!$D$7:$D$159,$C149,'10'!N$7:N$159)+SUMIF('11'!$D$7:$D$159,$C149,'11'!N$7:N$159)+SUMIF('12'!$D$7:$D$159,$C149,'12'!N$7:N$159)+SUMIF('01'!$D$7:$D$159,$C149,'01'!N$7:N$159)</f>
        <v/>
      </c>
      <c r="M150" s="427">
        <f>SUMIF('09'!$D$7:$D$159,$C149,'09'!O$7:O$159)+SUMIF('10'!$D$7:$D$159,$C149,'10'!O$7:O$159)+SUMIF('11'!$D$7:$D$159,$C149,'11'!O$7:O$159)+SUMIF('12'!$D$7:$D$159,$C149,'12'!O$7:O$159)+SUMIF('01'!$D$7:$D$159,$C149,'01'!O$7:O$159)</f>
        <v/>
      </c>
      <c r="N150" s="428">
        <f>SUMIF('09'!$D$7:$D$159,$C149,'09'!P$7:P$159)+SUMIF('10'!$D$7:$D$159,$C149,'10'!P$7:P$159)+SUMIF('11'!$D$7:$D$159,$C149,'11'!P$7:P$159)+SUMIF('12'!$D$7:$D$159,$C149,'12'!P$7:P$159)+SUMIF('01'!$D$7:$D$159,$C149,'01'!P$7:P$159)</f>
        <v/>
      </c>
      <c r="O150" s="429">
        <f>SUMIF('09'!$D$7:$D$159,$C149,'09'!Q$7:Q$159)+SUMIF('10'!$D$7:$D$159,$C149,'10'!Q$7:Q$159)+SUMIF('11'!$D$7:$D$159,$C149,'11'!Q$7:Q$159)+SUMIF('12'!$D$7:$D$159,$C149,'12'!Q$7:Q$159)+SUMIF('01'!$D$7:$D$159,$C149,'01'!Q$7:Q$159)</f>
        <v/>
      </c>
      <c r="P150" s="427">
        <f>SUMIF('09'!$D$7:$D$159,$C149,'09'!R$7:R$159)+SUMIF('10'!$D$7:$D$159,$C149,'10'!R$7:R$159)+SUMIF('11'!$D$7:$D$159,$C149,'11'!R$7:R$159)+SUMIF('12'!$D$7:$D$159,$C149,'12'!R$7:R$159)+SUMIF('01'!$D$7:$D$159,$C149,'01'!R$7:R$159)</f>
        <v/>
      </c>
      <c r="Q150" s="428">
        <f>SUMIF('09'!$D$7:$D$159,$C149,'09'!S$7:S$159)+SUMIF('10'!$D$7:$D$159,$C149,'10'!S$7:S$159)+SUMIF('11'!$D$7:$D$159,$C149,'11'!S$7:S$159)+SUMIF('12'!$D$7:$D$159,$C149,'12'!S$7:S$159)+SUMIF('01'!$D$7:$D$159,$C149,'01'!S$7:S$159)</f>
        <v/>
      </c>
      <c r="R150" s="429">
        <f>SUMIF('09'!$D$7:$D$159,$C149,'09'!T$7:T$159)+SUMIF('10'!$D$7:$D$159,$C149,'10'!T$7:T$159)+SUMIF('11'!$D$7:$D$159,$C149,'11'!T$7:T$159)+SUMIF('12'!$D$7:$D$159,$C149,'12'!T$7:T$159)+SUMIF('01'!$D$7:$D$159,$C149,'01'!T$7:T$159)</f>
        <v/>
      </c>
      <c r="S150" s="427">
        <f>SUMIF('09'!$D$7:$D$159,$C149,'09'!U$7:U$159)+SUMIF('10'!$D$7:$D$159,$C149,'10'!U$7:U$159)+SUMIF('11'!$D$7:$D$159,$C149,'11'!U$7:U$159)+SUMIF('12'!$D$7:$D$159,$C149,'12'!U$7:U$159)+SUMIF('01'!$D$7:$D$159,$C149,'01'!U$7:U$159)</f>
        <v/>
      </c>
      <c r="T150" s="428">
        <f>SUMIF('09'!$D$7:$D$159,$C149,'09'!V$7:V$159)+SUMIF('10'!$D$7:$D$159,$C149,'10'!V$7:V$159)+SUMIF('11'!$D$7:$D$159,$C149,'11'!V$7:V$159)+SUMIF('12'!$D$7:$D$159,$C149,'12'!V$7:V$159)+SUMIF('01'!$D$7:$D$159,$C149,'01'!V$7:V$159)</f>
        <v/>
      </c>
      <c r="U150" s="430">
        <f>SUMIF('09'!$D$7:$D$159,$C149,'09'!W$7:W$159)+SUMIF('10'!$D$7:$D$159,$C149,'10'!W$7:W$159)+SUMIF('11'!$D$7:$D$159,$C149,'11'!W$7:W$159)+SUMIF('12'!$D$7:$D$159,$C149,'12'!W$7:W$159)+SUMIF('01'!$D$7:$D$159,$C149,'01'!W$7:W$159)</f>
        <v/>
      </c>
      <c r="V150" s="429">
        <f>SUMIF('09'!$D$7:$D$159,$C149,'09'!X$7:X$159)+SUMIF('10'!$D$7:$D$159,$C149,'10'!X$7:X$159)+SUMIF('11'!$D$7:$D$159,$C149,'11'!X$7:X$159)+SUMIF('12'!$D$7:$D$159,$C149,'12'!X$7:X$159)+SUMIF('01'!$D$7:$D$159,$C149,'01'!X$7:X$159)</f>
        <v/>
      </c>
      <c r="W150" s="429">
        <f>SUMIF('09'!$D$7:$D$159,$C149,'09'!Y$7:Y$159)+SUMIF('10'!$D$7:$D$159,$C149,'10'!Y$7:Y$159)+SUMIF('11'!$D$7:$D$159,$C149,'11'!Y$7:Y$159)+SUMIF('12'!$D$7:$D$159,$C149,'12'!Y$7:Y$159)+SUMIF('01'!$D$7:$D$159,$C149,'01'!Y$7:Y$159)</f>
        <v/>
      </c>
      <c r="X150" s="431">
        <f>SUM(J150:W150)</f>
        <v/>
      </c>
      <c r="Y150" s="413" t="n"/>
      <c r="Z150" s="432" t="n"/>
    </row>
    <row r="151" ht="14.25" customHeight="1" s="296">
      <c r="A151" s="154">
        <f>IF(OR(C151="0",COUNTIF(КлючОсень,C151)&gt;1),0,MATCH(F151,ВидыНагр,0))</f>
        <v/>
      </c>
      <c r="B151" s="154">
        <f>(COUNTA(D151:F152,J151:W151,H151:I152)=0)</f>
        <v/>
      </c>
      <c r="C151" s="155">
        <f>IF(OR(TRIM(D151)="",COUNTIF(ВидыНагр,F151)&lt;&gt;1),"0",CONCATENATE("$",TRIM(D151),"$",TRIM(E151),"$",F151,"$"))</f>
        <v/>
      </c>
      <c r="D151" s="415" t="n"/>
      <c r="E151" s="416" t="n"/>
      <c r="F151" s="417" t="n"/>
      <c r="G151" s="156" t="inlineStr">
        <is>
          <t>план</t>
        </is>
      </c>
      <c r="H151" s="157" t="n"/>
      <c r="I151" s="158" t="n"/>
      <c r="J151" s="418" t="n"/>
      <c r="K151" s="419" t="n"/>
      <c r="L151" s="420" t="n"/>
      <c r="M151" s="418" t="n"/>
      <c r="N151" s="419" t="n"/>
      <c r="O151" s="420" t="n"/>
      <c r="P151" s="418" t="n"/>
      <c r="Q151" s="419" t="n"/>
      <c r="R151" s="420" t="n"/>
      <c r="S151" s="418" t="n"/>
      <c r="T151" s="419" t="n"/>
      <c r="U151" s="421" t="n"/>
      <c r="V151" s="420" t="n"/>
      <c r="W151" s="420" t="n"/>
      <c r="X151" s="422">
        <f>SUM(J151:W151)</f>
        <v/>
      </c>
      <c r="Y151" s="423">
        <f>X152-X151</f>
        <v/>
      </c>
      <c r="Z151" s="209" t="n"/>
    </row>
    <row r="152" ht="14.25" customHeight="1" s="296">
      <c r="A152" s="154">
        <f>-A151</f>
        <v/>
      </c>
      <c r="B152" s="154">
        <f>B151</f>
        <v/>
      </c>
      <c r="C152" s="163" t="n"/>
      <c r="D152" s="424" t="n"/>
      <c r="E152" s="425" t="n"/>
      <c r="F152" s="426" t="n"/>
      <c r="G152" s="164" t="inlineStr">
        <is>
          <t>факт</t>
        </is>
      </c>
      <c r="H152" s="165" t="n"/>
      <c r="I152" s="250" t="n"/>
      <c r="J152" s="427">
        <f>SUMIF('09'!$D$7:$D$159,$C151,'09'!L$7:L$159)+SUMIF('10'!$D$7:$D$159,$C151,'10'!L$7:L$159)+SUMIF('11'!$D$7:$D$159,$C151,'11'!L$7:L$159)+SUMIF('12'!$D$7:$D$159,$C151,'12'!L$7:L$159)+SUMIF('01'!$D$7:$D$159,$C151,'01'!L$7:L$159)</f>
        <v/>
      </c>
      <c r="K152" s="428">
        <f>SUMIF('09'!$D$7:$D$159,$C151,'09'!M$7:M$159)+SUMIF('10'!$D$7:$D$159,$C151,'10'!M$7:M$159)+SUMIF('11'!$D$7:$D$159,$C151,'11'!M$7:M$159)+SUMIF('12'!$D$7:$D$159,$C151,'12'!M$7:M$159)+SUMIF('01'!$D$7:$D$159,$C151,'01'!M$7:M$159)</f>
        <v/>
      </c>
      <c r="L152" s="429">
        <f>SUMIF('09'!$D$7:$D$159,$C151,'09'!N$7:N$159)+SUMIF('10'!$D$7:$D$159,$C151,'10'!N$7:N$159)+SUMIF('11'!$D$7:$D$159,$C151,'11'!N$7:N$159)+SUMIF('12'!$D$7:$D$159,$C151,'12'!N$7:N$159)+SUMIF('01'!$D$7:$D$159,$C151,'01'!N$7:N$159)</f>
        <v/>
      </c>
      <c r="M152" s="427">
        <f>SUMIF('09'!$D$7:$D$159,$C151,'09'!O$7:O$159)+SUMIF('10'!$D$7:$D$159,$C151,'10'!O$7:O$159)+SUMIF('11'!$D$7:$D$159,$C151,'11'!O$7:O$159)+SUMIF('12'!$D$7:$D$159,$C151,'12'!O$7:O$159)+SUMIF('01'!$D$7:$D$159,$C151,'01'!O$7:O$159)</f>
        <v/>
      </c>
      <c r="N152" s="428">
        <f>SUMIF('09'!$D$7:$D$159,$C151,'09'!P$7:P$159)+SUMIF('10'!$D$7:$D$159,$C151,'10'!P$7:P$159)+SUMIF('11'!$D$7:$D$159,$C151,'11'!P$7:P$159)+SUMIF('12'!$D$7:$D$159,$C151,'12'!P$7:P$159)+SUMIF('01'!$D$7:$D$159,$C151,'01'!P$7:P$159)</f>
        <v/>
      </c>
      <c r="O152" s="429">
        <f>SUMIF('09'!$D$7:$D$159,$C151,'09'!Q$7:Q$159)+SUMIF('10'!$D$7:$D$159,$C151,'10'!Q$7:Q$159)+SUMIF('11'!$D$7:$D$159,$C151,'11'!Q$7:Q$159)+SUMIF('12'!$D$7:$D$159,$C151,'12'!Q$7:Q$159)+SUMIF('01'!$D$7:$D$159,$C151,'01'!Q$7:Q$159)</f>
        <v/>
      </c>
      <c r="P152" s="427">
        <f>SUMIF('09'!$D$7:$D$159,$C151,'09'!R$7:R$159)+SUMIF('10'!$D$7:$D$159,$C151,'10'!R$7:R$159)+SUMIF('11'!$D$7:$D$159,$C151,'11'!R$7:R$159)+SUMIF('12'!$D$7:$D$159,$C151,'12'!R$7:R$159)+SUMIF('01'!$D$7:$D$159,$C151,'01'!R$7:R$159)</f>
        <v/>
      </c>
      <c r="Q152" s="428">
        <f>SUMIF('09'!$D$7:$D$159,$C151,'09'!S$7:S$159)+SUMIF('10'!$D$7:$D$159,$C151,'10'!S$7:S$159)+SUMIF('11'!$D$7:$D$159,$C151,'11'!S$7:S$159)+SUMIF('12'!$D$7:$D$159,$C151,'12'!S$7:S$159)+SUMIF('01'!$D$7:$D$159,$C151,'01'!S$7:S$159)</f>
        <v/>
      </c>
      <c r="R152" s="429">
        <f>SUMIF('09'!$D$7:$D$159,$C151,'09'!T$7:T$159)+SUMIF('10'!$D$7:$D$159,$C151,'10'!T$7:T$159)+SUMIF('11'!$D$7:$D$159,$C151,'11'!T$7:T$159)+SUMIF('12'!$D$7:$D$159,$C151,'12'!T$7:T$159)+SUMIF('01'!$D$7:$D$159,$C151,'01'!T$7:T$159)</f>
        <v/>
      </c>
      <c r="S152" s="427">
        <f>SUMIF('09'!$D$7:$D$159,$C151,'09'!U$7:U$159)+SUMIF('10'!$D$7:$D$159,$C151,'10'!U$7:U$159)+SUMIF('11'!$D$7:$D$159,$C151,'11'!U$7:U$159)+SUMIF('12'!$D$7:$D$159,$C151,'12'!U$7:U$159)+SUMIF('01'!$D$7:$D$159,$C151,'01'!U$7:U$159)</f>
        <v/>
      </c>
      <c r="T152" s="428">
        <f>SUMIF('09'!$D$7:$D$159,$C151,'09'!V$7:V$159)+SUMIF('10'!$D$7:$D$159,$C151,'10'!V$7:V$159)+SUMIF('11'!$D$7:$D$159,$C151,'11'!V$7:V$159)+SUMIF('12'!$D$7:$D$159,$C151,'12'!V$7:V$159)+SUMIF('01'!$D$7:$D$159,$C151,'01'!V$7:V$159)</f>
        <v/>
      </c>
      <c r="U152" s="430">
        <f>SUMIF('09'!$D$7:$D$159,$C151,'09'!W$7:W$159)+SUMIF('10'!$D$7:$D$159,$C151,'10'!W$7:W$159)+SUMIF('11'!$D$7:$D$159,$C151,'11'!W$7:W$159)+SUMIF('12'!$D$7:$D$159,$C151,'12'!W$7:W$159)+SUMIF('01'!$D$7:$D$159,$C151,'01'!W$7:W$159)</f>
        <v/>
      </c>
      <c r="V152" s="429">
        <f>SUMIF('09'!$D$7:$D$159,$C151,'09'!X$7:X$159)+SUMIF('10'!$D$7:$D$159,$C151,'10'!X$7:X$159)+SUMIF('11'!$D$7:$D$159,$C151,'11'!X$7:X$159)+SUMIF('12'!$D$7:$D$159,$C151,'12'!X$7:X$159)+SUMIF('01'!$D$7:$D$159,$C151,'01'!X$7:X$159)</f>
        <v/>
      </c>
      <c r="W152" s="429">
        <f>SUMIF('09'!$D$7:$D$159,$C151,'09'!Y$7:Y$159)+SUMIF('10'!$D$7:$D$159,$C151,'10'!Y$7:Y$159)+SUMIF('11'!$D$7:$D$159,$C151,'11'!Y$7:Y$159)+SUMIF('12'!$D$7:$D$159,$C151,'12'!Y$7:Y$159)+SUMIF('01'!$D$7:$D$159,$C151,'01'!Y$7:Y$159)</f>
        <v/>
      </c>
      <c r="X152" s="431">
        <f>SUM(J152:W152)</f>
        <v/>
      </c>
      <c r="Y152" s="413" t="n"/>
      <c r="Z152" s="432" t="n"/>
    </row>
    <row r="153" ht="14.25" customHeight="1" s="296">
      <c r="A153" s="154">
        <f>IF(OR(C153="0",COUNTIF(КлючОсень,C153)&gt;1),0,MATCH(F153,ВидыНагр,0))</f>
        <v/>
      </c>
      <c r="B153" s="154">
        <f>(COUNTA(D153:F154,J153:W153,H153:I154)=0)</f>
        <v/>
      </c>
      <c r="C153" s="155">
        <f>IF(OR(TRIM(D153)="",COUNTIF(ВидыНагр,F153)&lt;&gt;1),"0",CONCATENATE("$",TRIM(D153),"$",TRIM(E153),"$",F153,"$"))</f>
        <v/>
      </c>
      <c r="D153" s="415" t="n"/>
      <c r="E153" s="416" t="n"/>
      <c r="F153" s="417" t="n"/>
      <c r="G153" s="156" t="inlineStr">
        <is>
          <t>план</t>
        </is>
      </c>
      <c r="H153" s="157" t="n"/>
      <c r="I153" s="158" t="n"/>
      <c r="J153" s="418" t="n"/>
      <c r="K153" s="419" t="n"/>
      <c r="L153" s="420" t="n"/>
      <c r="M153" s="418" t="n"/>
      <c r="N153" s="419" t="n"/>
      <c r="O153" s="420" t="n"/>
      <c r="P153" s="418" t="n"/>
      <c r="Q153" s="419" t="n"/>
      <c r="R153" s="420" t="n"/>
      <c r="S153" s="418" t="n"/>
      <c r="T153" s="419" t="n"/>
      <c r="U153" s="421" t="n"/>
      <c r="V153" s="420" t="n"/>
      <c r="W153" s="420" t="n"/>
      <c r="X153" s="422">
        <f>SUM(J153:W153)</f>
        <v/>
      </c>
      <c r="Y153" s="423">
        <f>X154-X153</f>
        <v/>
      </c>
      <c r="Z153" s="209" t="n"/>
    </row>
    <row r="154" ht="14.25" customHeight="1" s="296">
      <c r="A154" s="154">
        <f>-A153</f>
        <v/>
      </c>
      <c r="B154" s="154">
        <f>B153</f>
        <v/>
      </c>
      <c r="C154" s="163" t="n"/>
      <c r="D154" s="424" t="n"/>
      <c r="E154" s="425" t="n"/>
      <c r="F154" s="426" t="n"/>
      <c r="G154" s="164" t="inlineStr">
        <is>
          <t>факт</t>
        </is>
      </c>
      <c r="H154" s="165" t="n"/>
      <c r="I154" s="250" t="n"/>
      <c r="J154" s="427">
        <f>SUMIF('09'!$D$7:$D$159,$C153,'09'!L$7:L$159)+SUMIF('10'!$D$7:$D$159,$C153,'10'!L$7:L$159)+SUMIF('11'!$D$7:$D$159,$C153,'11'!L$7:L$159)+SUMIF('12'!$D$7:$D$159,$C153,'12'!L$7:L$159)+SUMIF('01'!$D$7:$D$159,$C153,'01'!L$7:L$159)</f>
        <v/>
      </c>
      <c r="K154" s="428">
        <f>SUMIF('09'!$D$7:$D$159,$C153,'09'!M$7:M$159)+SUMIF('10'!$D$7:$D$159,$C153,'10'!M$7:M$159)+SUMIF('11'!$D$7:$D$159,$C153,'11'!M$7:M$159)+SUMIF('12'!$D$7:$D$159,$C153,'12'!M$7:M$159)+SUMIF('01'!$D$7:$D$159,$C153,'01'!M$7:M$159)</f>
        <v/>
      </c>
      <c r="L154" s="429">
        <f>SUMIF('09'!$D$7:$D$159,$C153,'09'!N$7:N$159)+SUMIF('10'!$D$7:$D$159,$C153,'10'!N$7:N$159)+SUMIF('11'!$D$7:$D$159,$C153,'11'!N$7:N$159)+SUMIF('12'!$D$7:$D$159,$C153,'12'!N$7:N$159)+SUMIF('01'!$D$7:$D$159,$C153,'01'!N$7:N$159)</f>
        <v/>
      </c>
      <c r="M154" s="427">
        <f>SUMIF('09'!$D$7:$D$159,$C153,'09'!O$7:O$159)+SUMIF('10'!$D$7:$D$159,$C153,'10'!O$7:O$159)+SUMIF('11'!$D$7:$D$159,$C153,'11'!O$7:O$159)+SUMIF('12'!$D$7:$D$159,$C153,'12'!O$7:O$159)+SUMIF('01'!$D$7:$D$159,$C153,'01'!O$7:O$159)</f>
        <v/>
      </c>
      <c r="N154" s="428">
        <f>SUMIF('09'!$D$7:$D$159,$C153,'09'!P$7:P$159)+SUMIF('10'!$D$7:$D$159,$C153,'10'!P$7:P$159)+SUMIF('11'!$D$7:$D$159,$C153,'11'!P$7:P$159)+SUMIF('12'!$D$7:$D$159,$C153,'12'!P$7:P$159)+SUMIF('01'!$D$7:$D$159,$C153,'01'!P$7:P$159)</f>
        <v/>
      </c>
      <c r="O154" s="429">
        <f>SUMIF('09'!$D$7:$D$159,$C153,'09'!Q$7:Q$159)+SUMIF('10'!$D$7:$D$159,$C153,'10'!Q$7:Q$159)+SUMIF('11'!$D$7:$D$159,$C153,'11'!Q$7:Q$159)+SUMIF('12'!$D$7:$D$159,$C153,'12'!Q$7:Q$159)+SUMIF('01'!$D$7:$D$159,$C153,'01'!Q$7:Q$159)</f>
        <v/>
      </c>
      <c r="P154" s="427">
        <f>SUMIF('09'!$D$7:$D$159,$C153,'09'!R$7:R$159)+SUMIF('10'!$D$7:$D$159,$C153,'10'!R$7:R$159)+SUMIF('11'!$D$7:$D$159,$C153,'11'!R$7:R$159)+SUMIF('12'!$D$7:$D$159,$C153,'12'!R$7:R$159)+SUMIF('01'!$D$7:$D$159,$C153,'01'!R$7:R$159)</f>
        <v/>
      </c>
      <c r="Q154" s="428">
        <f>SUMIF('09'!$D$7:$D$159,$C153,'09'!S$7:S$159)+SUMIF('10'!$D$7:$D$159,$C153,'10'!S$7:S$159)+SUMIF('11'!$D$7:$D$159,$C153,'11'!S$7:S$159)+SUMIF('12'!$D$7:$D$159,$C153,'12'!S$7:S$159)+SUMIF('01'!$D$7:$D$159,$C153,'01'!S$7:S$159)</f>
        <v/>
      </c>
      <c r="R154" s="429">
        <f>SUMIF('09'!$D$7:$D$159,$C153,'09'!T$7:T$159)+SUMIF('10'!$D$7:$D$159,$C153,'10'!T$7:T$159)+SUMIF('11'!$D$7:$D$159,$C153,'11'!T$7:T$159)+SUMIF('12'!$D$7:$D$159,$C153,'12'!T$7:T$159)+SUMIF('01'!$D$7:$D$159,$C153,'01'!T$7:T$159)</f>
        <v/>
      </c>
      <c r="S154" s="427">
        <f>SUMIF('09'!$D$7:$D$159,$C153,'09'!U$7:U$159)+SUMIF('10'!$D$7:$D$159,$C153,'10'!U$7:U$159)+SUMIF('11'!$D$7:$D$159,$C153,'11'!U$7:U$159)+SUMIF('12'!$D$7:$D$159,$C153,'12'!U$7:U$159)+SUMIF('01'!$D$7:$D$159,$C153,'01'!U$7:U$159)</f>
        <v/>
      </c>
      <c r="T154" s="428">
        <f>SUMIF('09'!$D$7:$D$159,$C153,'09'!V$7:V$159)+SUMIF('10'!$D$7:$D$159,$C153,'10'!V$7:V$159)+SUMIF('11'!$D$7:$D$159,$C153,'11'!V$7:V$159)+SUMIF('12'!$D$7:$D$159,$C153,'12'!V$7:V$159)+SUMIF('01'!$D$7:$D$159,$C153,'01'!V$7:V$159)</f>
        <v/>
      </c>
      <c r="U154" s="430">
        <f>SUMIF('09'!$D$7:$D$159,$C153,'09'!W$7:W$159)+SUMIF('10'!$D$7:$D$159,$C153,'10'!W$7:W$159)+SUMIF('11'!$D$7:$D$159,$C153,'11'!W$7:W$159)+SUMIF('12'!$D$7:$D$159,$C153,'12'!W$7:W$159)+SUMIF('01'!$D$7:$D$159,$C153,'01'!W$7:W$159)</f>
        <v/>
      </c>
      <c r="V154" s="429">
        <f>SUMIF('09'!$D$7:$D$159,$C153,'09'!X$7:X$159)+SUMIF('10'!$D$7:$D$159,$C153,'10'!X$7:X$159)+SUMIF('11'!$D$7:$D$159,$C153,'11'!X$7:X$159)+SUMIF('12'!$D$7:$D$159,$C153,'12'!X$7:X$159)+SUMIF('01'!$D$7:$D$159,$C153,'01'!X$7:X$159)</f>
        <v/>
      </c>
      <c r="W154" s="429">
        <f>SUMIF('09'!$D$7:$D$159,$C153,'09'!Y$7:Y$159)+SUMIF('10'!$D$7:$D$159,$C153,'10'!Y$7:Y$159)+SUMIF('11'!$D$7:$D$159,$C153,'11'!Y$7:Y$159)+SUMIF('12'!$D$7:$D$159,$C153,'12'!Y$7:Y$159)+SUMIF('01'!$D$7:$D$159,$C153,'01'!Y$7:Y$159)</f>
        <v/>
      </c>
      <c r="X154" s="431">
        <f>SUM(J154:W154)</f>
        <v/>
      </c>
      <c r="Y154" s="413" t="n"/>
      <c r="Z154" s="432" t="n"/>
    </row>
    <row r="155" ht="14.25" customHeight="1" s="296">
      <c r="A155" s="154">
        <f>IF(OR(C155="0",COUNTIF(КлючОсень,C155)&gt;1),0,MATCH(F155,ВидыНагр,0))</f>
        <v/>
      </c>
      <c r="B155" s="154">
        <f>(COUNTA(D155:F156,J155:W155,H155:I156)=0)</f>
        <v/>
      </c>
      <c r="C155" s="155">
        <f>IF(OR(TRIM(D155)="",COUNTIF(ВидыНагр,F155)&lt;&gt;1),"0",CONCATENATE("$",TRIM(D155),"$",TRIM(E155),"$",F155,"$"))</f>
        <v/>
      </c>
      <c r="D155" s="415" t="n"/>
      <c r="E155" s="416" t="n"/>
      <c r="F155" s="417" t="n"/>
      <c r="G155" s="156" t="inlineStr">
        <is>
          <t>план</t>
        </is>
      </c>
      <c r="H155" s="157" t="n"/>
      <c r="I155" s="158" t="n"/>
      <c r="J155" s="418" t="n"/>
      <c r="K155" s="419" t="n"/>
      <c r="L155" s="420" t="n"/>
      <c r="M155" s="418" t="n"/>
      <c r="N155" s="419" t="n"/>
      <c r="O155" s="420" t="n"/>
      <c r="P155" s="418" t="n"/>
      <c r="Q155" s="419" t="n"/>
      <c r="R155" s="420" t="n"/>
      <c r="S155" s="418" t="n"/>
      <c r="T155" s="419" t="n"/>
      <c r="U155" s="421" t="n"/>
      <c r="V155" s="420" t="n"/>
      <c r="W155" s="420" t="n"/>
      <c r="X155" s="422">
        <f>SUM(J155:W155)</f>
        <v/>
      </c>
      <c r="Y155" s="423">
        <f>X156-X155</f>
        <v/>
      </c>
      <c r="Z155" s="209" t="n"/>
    </row>
    <row r="156" ht="14.25" customHeight="1" s="296">
      <c r="A156" s="154">
        <f>-A155</f>
        <v/>
      </c>
      <c r="B156" s="154">
        <f>B155</f>
        <v/>
      </c>
      <c r="C156" s="163" t="n"/>
      <c r="D156" s="424" t="n"/>
      <c r="E156" s="425" t="n"/>
      <c r="F156" s="426" t="n"/>
      <c r="G156" s="164" t="inlineStr">
        <is>
          <t>факт</t>
        </is>
      </c>
      <c r="H156" s="165" t="n"/>
      <c r="I156" s="250" t="n"/>
      <c r="J156" s="427">
        <f>SUMIF('09'!$D$7:$D$159,$C155,'09'!L$7:L$159)+SUMIF('10'!$D$7:$D$159,$C155,'10'!L$7:L$159)+SUMIF('11'!$D$7:$D$159,$C155,'11'!L$7:L$159)+SUMIF('12'!$D$7:$D$159,$C155,'12'!L$7:L$159)+SUMIF('01'!$D$7:$D$159,$C155,'01'!L$7:L$159)</f>
        <v/>
      </c>
      <c r="K156" s="428">
        <f>SUMIF('09'!$D$7:$D$159,$C155,'09'!M$7:M$159)+SUMIF('10'!$D$7:$D$159,$C155,'10'!M$7:M$159)+SUMIF('11'!$D$7:$D$159,$C155,'11'!M$7:M$159)+SUMIF('12'!$D$7:$D$159,$C155,'12'!M$7:M$159)+SUMIF('01'!$D$7:$D$159,$C155,'01'!M$7:M$159)</f>
        <v/>
      </c>
      <c r="L156" s="429">
        <f>SUMIF('09'!$D$7:$D$159,$C155,'09'!N$7:N$159)+SUMIF('10'!$D$7:$D$159,$C155,'10'!N$7:N$159)+SUMIF('11'!$D$7:$D$159,$C155,'11'!N$7:N$159)+SUMIF('12'!$D$7:$D$159,$C155,'12'!N$7:N$159)+SUMIF('01'!$D$7:$D$159,$C155,'01'!N$7:N$159)</f>
        <v/>
      </c>
      <c r="M156" s="427">
        <f>SUMIF('09'!$D$7:$D$159,$C155,'09'!O$7:O$159)+SUMIF('10'!$D$7:$D$159,$C155,'10'!O$7:O$159)+SUMIF('11'!$D$7:$D$159,$C155,'11'!O$7:O$159)+SUMIF('12'!$D$7:$D$159,$C155,'12'!O$7:O$159)+SUMIF('01'!$D$7:$D$159,$C155,'01'!O$7:O$159)</f>
        <v/>
      </c>
      <c r="N156" s="428">
        <f>SUMIF('09'!$D$7:$D$159,$C155,'09'!P$7:P$159)+SUMIF('10'!$D$7:$D$159,$C155,'10'!P$7:P$159)+SUMIF('11'!$D$7:$D$159,$C155,'11'!P$7:P$159)+SUMIF('12'!$D$7:$D$159,$C155,'12'!P$7:P$159)+SUMIF('01'!$D$7:$D$159,$C155,'01'!P$7:P$159)</f>
        <v/>
      </c>
      <c r="O156" s="429">
        <f>SUMIF('09'!$D$7:$D$159,$C155,'09'!Q$7:Q$159)+SUMIF('10'!$D$7:$D$159,$C155,'10'!Q$7:Q$159)+SUMIF('11'!$D$7:$D$159,$C155,'11'!Q$7:Q$159)+SUMIF('12'!$D$7:$D$159,$C155,'12'!Q$7:Q$159)+SUMIF('01'!$D$7:$D$159,$C155,'01'!Q$7:Q$159)</f>
        <v/>
      </c>
      <c r="P156" s="427">
        <f>SUMIF('09'!$D$7:$D$159,$C155,'09'!R$7:R$159)+SUMIF('10'!$D$7:$D$159,$C155,'10'!R$7:R$159)+SUMIF('11'!$D$7:$D$159,$C155,'11'!R$7:R$159)+SUMIF('12'!$D$7:$D$159,$C155,'12'!R$7:R$159)+SUMIF('01'!$D$7:$D$159,$C155,'01'!R$7:R$159)</f>
        <v/>
      </c>
      <c r="Q156" s="428">
        <f>SUMIF('09'!$D$7:$D$159,$C155,'09'!S$7:S$159)+SUMIF('10'!$D$7:$D$159,$C155,'10'!S$7:S$159)+SUMIF('11'!$D$7:$D$159,$C155,'11'!S$7:S$159)+SUMIF('12'!$D$7:$D$159,$C155,'12'!S$7:S$159)+SUMIF('01'!$D$7:$D$159,$C155,'01'!S$7:S$159)</f>
        <v/>
      </c>
      <c r="R156" s="429">
        <f>SUMIF('09'!$D$7:$D$159,$C155,'09'!T$7:T$159)+SUMIF('10'!$D$7:$D$159,$C155,'10'!T$7:T$159)+SUMIF('11'!$D$7:$D$159,$C155,'11'!T$7:T$159)+SUMIF('12'!$D$7:$D$159,$C155,'12'!T$7:T$159)+SUMIF('01'!$D$7:$D$159,$C155,'01'!T$7:T$159)</f>
        <v/>
      </c>
      <c r="S156" s="427">
        <f>SUMIF('09'!$D$7:$D$159,$C155,'09'!U$7:U$159)+SUMIF('10'!$D$7:$D$159,$C155,'10'!U$7:U$159)+SUMIF('11'!$D$7:$D$159,$C155,'11'!U$7:U$159)+SUMIF('12'!$D$7:$D$159,$C155,'12'!U$7:U$159)+SUMIF('01'!$D$7:$D$159,$C155,'01'!U$7:U$159)</f>
        <v/>
      </c>
      <c r="T156" s="428">
        <f>SUMIF('09'!$D$7:$D$159,$C155,'09'!V$7:V$159)+SUMIF('10'!$D$7:$D$159,$C155,'10'!V$7:V$159)+SUMIF('11'!$D$7:$D$159,$C155,'11'!V$7:V$159)+SUMIF('12'!$D$7:$D$159,$C155,'12'!V$7:V$159)+SUMIF('01'!$D$7:$D$159,$C155,'01'!V$7:V$159)</f>
        <v/>
      </c>
      <c r="U156" s="430">
        <f>SUMIF('09'!$D$7:$D$159,$C155,'09'!W$7:W$159)+SUMIF('10'!$D$7:$D$159,$C155,'10'!W$7:W$159)+SUMIF('11'!$D$7:$D$159,$C155,'11'!W$7:W$159)+SUMIF('12'!$D$7:$D$159,$C155,'12'!W$7:W$159)+SUMIF('01'!$D$7:$D$159,$C155,'01'!W$7:W$159)</f>
        <v/>
      </c>
      <c r="V156" s="429">
        <f>SUMIF('09'!$D$7:$D$159,$C155,'09'!X$7:X$159)+SUMIF('10'!$D$7:$D$159,$C155,'10'!X$7:X$159)+SUMIF('11'!$D$7:$D$159,$C155,'11'!X$7:X$159)+SUMIF('12'!$D$7:$D$159,$C155,'12'!X$7:X$159)+SUMIF('01'!$D$7:$D$159,$C155,'01'!X$7:X$159)</f>
        <v/>
      </c>
      <c r="W156" s="429">
        <f>SUMIF('09'!$D$7:$D$159,$C155,'09'!Y$7:Y$159)+SUMIF('10'!$D$7:$D$159,$C155,'10'!Y$7:Y$159)+SUMIF('11'!$D$7:$D$159,$C155,'11'!Y$7:Y$159)+SUMIF('12'!$D$7:$D$159,$C155,'12'!Y$7:Y$159)+SUMIF('01'!$D$7:$D$159,$C155,'01'!Y$7:Y$159)</f>
        <v/>
      </c>
      <c r="X156" s="431">
        <f>SUM(J156:W156)</f>
        <v/>
      </c>
      <c r="Y156" s="413" t="n"/>
      <c r="Z156" s="432" t="n"/>
    </row>
    <row r="157" ht="14.25" customHeight="1" s="296">
      <c r="A157" s="154">
        <f>IF(OR(C157="0",COUNTIF(КлючОсень,C157)&gt;1),0,MATCH(F157,ВидыНагр,0))</f>
        <v/>
      </c>
      <c r="B157" s="154">
        <f>(COUNTA(D157:F158,J157:W157,H157:I158)=0)</f>
        <v/>
      </c>
      <c r="C157" s="155">
        <f>IF(OR(TRIM(D157)="",COUNTIF(ВидыНагр,F157)&lt;&gt;1),"0",CONCATENATE("$",TRIM(D157),"$",TRIM(E157),"$",F157,"$"))</f>
        <v/>
      </c>
      <c r="D157" s="415" t="n"/>
      <c r="E157" s="416" t="n"/>
      <c r="F157" s="417" t="n"/>
      <c r="G157" s="156" t="inlineStr">
        <is>
          <t>план</t>
        </is>
      </c>
      <c r="H157" s="157" t="n"/>
      <c r="I157" s="158" t="n"/>
      <c r="J157" s="418" t="n"/>
      <c r="K157" s="419" t="n"/>
      <c r="L157" s="420" t="n"/>
      <c r="M157" s="418" t="n"/>
      <c r="N157" s="419" t="n"/>
      <c r="O157" s="420" t="n"/>
      <c r="P157" s="418" t="n"/>
      <c r="Q157" s="419" t="n"/>
      <c r="R157" s="420" t="n"/>
      <c r="S157" s="418" t="n"/>
      <c r="T157" s="419" t="n"/>
      <c r="U157" s="421" t="n"/>
      <c r="V157" s="420" t="n"/>
      <c r="W157" s="420" t="n"/>
      <c r="X157" s="422">
        <f>SUM(J157:W157)</f>
        <v/>
      </c>
      <c r="Y157" s="423">
        <f>X158-X157</f>
        <v/>
      </c>
      <c r="Z157" s="209" t="n"/>
    </row>
    <row r="158" ht="14.25" customHeight="1" s="296">
      <c r="A158" s="154">
        <f>-A157</f>
        <v/>
      </c>
      <c r="B158" s="154">
        <f>B157</f>
        <v/>
      </c>
      <c r="C158" s="163" t="n"/>
      <c r="D158" s="424" t="n"/>
      <c r="E158" s="425" t="n"/>
      <c r="F158" s="426" t="n"/>
      <c r="G158" s="164" t="inlineStr">
        <is>
          <t>факт</t>
        </is>
      </c>
      <c r="H158" s="165" t="n"/>
      <c r="I158" s="250" t="n"/>
      <c r="J158" s="427">
        <f>SUMIF('09'!$D$7:$D$159,$C157,'09'!L$7:L$159)+SUMIF('10'!$D$7:$D$159,$C157,'10'!L$7:L$159)+SUMIF('11'!$D$7:$D$159,$C157,'11'!L$7:L$159)+SUMIF('12'!$D$7:$D$159,$C157,'12'!L$7:L$159)+SUMIF('01'!$D$7:$D$159,$C157,'01'!L$7:L$159)</f>
        <v/>
      </c>
      <c r="K158" s="428">
        <f>SUMIF('09'!$D$7:$D$159,$C157,'09'!M$7:M$159)+SUMIF('10'!$D$7:$D$159,$C157,'10'!M$7:M$159)+SUMIF('11'!$D$7:$D$159,$C157,'11'!M$7:M$159)+SUMIF('12'!$D$7:$D$159,$C157,'12'!M$7:M$159)+SUMIF('01'!$D$7:$D$159,$C157,'01'!M$7:M$159)</f>
        <v/>
      </c>
      <c r="L158" s="429">
        <f>SUMIF('09'!$D$7:$D$159,$C157,'09'!N$7:N$159)+SUMIF('10'!$D$7:$D$159,$C157,'10'!N$7:N$159)+SUMIF('11'!$D$7:$D$159,$C157,'11'!N$7:N$159)+SUMIF('12'!$D$7:$D$159,$C157,'12'!N$7:N$159)+SUMIF('01'!$D$7:$D$159,$C157,'01'!N$7:N$159)</f>
        <v/>
      </c>
      <c r="M158" s="427">
        <f>SUMIF('09'!$D$7:$D$159,$C157,'09'!O$7:O$159)+SUMIF('10'!$D$7:$D$159,$C157,'10'!O$7:O$159)+SUMIF('11'!$D$7:$D$159,$C157,'11'!O$7:O$159)+SUMIF('12'!$D$7:$D$159,$C157,'12'!O$7:O$159)+SUMIF('01'!$D$7:$D$159,$C157,'01'!O$7:O$159)</f>
        <v/>
      </c>
      <c r="N158" s="428">
        <f>SUMIF('09'!$D$7:$D$159,$C157,'09'!P$7:P$159)+SUMIF('10'!$D$7:$D$159,$C157,'10'!P$7:P$159)+SUMIF('11'!$D$7:$D$159,$C157,'11'!P$7:P$159)+SUMIF('12'!$D$7:$D$159,$C157,'12'!P$7:P$159)+SUMIF('01'!$D$7:$D$159,$C157,'01'!P$7:P$159)</f>
        <v/>
      </c>
      <c r="O158" s="429">
        <f>SUMIF('09'!$D$7:$D$159,$C157,'09'!Q$7:Q$159)+SUMIF('10'!$D$7:$D$159,$C157,'10'!Q$7:Q$159)+SUMIF('11'!$D$7:$D$159,$C157,'11'!Q$7:Q$159)+SUMIF('12'!$D$7:$D$159,$C157,'12'!Q$7:Q$159)+SUMIF('01'!$D$7:$D$159,$C157,'01'!Q$7:Q$159)</f>
        <v/>
      </c>
      <c r="P158" s="427">
        <f>SUMIF('09'!$D$7:$D$159,$C157,'09'!R$7:R$159)+SUMIF('10'!$D$7:$D$159,$C157,'10'!R$7:R$159)+SUMIF('11'!$D$7:$D$159,$C157,'11'!R$7:R$159)+SUMIF('12'!$D$7:$D$159,$C157,'12'!R$7:R$159)+SUMIF('01'!$D$7:$D$159,$C157,'01'!R$7:R$159)</f>
        <v/>
      </c>
      <c r="Q158" s="428">
        <f>SUMIF('09'!$D$7:$D$159,$C157,'09'!S$7:S$159)+SUMIF('10'!$D$7:$D$159,$C157,'10'!S$7:S$159)+SUMIF('11'!$D$7:$D$159,$C157,'11'!S$7:S$159)+SUMIF('12'!$D$7:$D$159,$C157,'12'!S$7:S$159)+SUMIF('01'!$D$7:$D$159,$C157,'01'!S$7:S$159)</f>
        <v/>
      </c>
      <c r="R158" s="429">
        <f>SUMIF('09'!$D$7:$D$159,$C157,'09'!T$7:T$159)+SUMIF('10'!$D$7:$D$159,$C157,'10'!T$7:T$159)+SUMIF('11'!$D$7:$D$159,$C157,'11'!T$7:T$159)+SUMIF('12'!$D$7:$D$159,$C157,'12'!T$7:T$159)+SUMIF('01'!$D$7:$D$159,$C157,'01'!T$7:T$159)</f>
        <v/>
      </c>
      <c r="S158" s="427">
        <f>SUMIF('09'!$D$7:$D$159,$C157,'09'!U$7:U$159)+SUMIF('10'!$D$7:$D$159,$C157,'10'!U$7:U$159)+SUMIF('11'!$D$7:$D$159,$C157,'11'!U$7:U$159)+SUMIF('12'!$D$7:$D$159,$C157,'12'!U$7:U$159)+SUMIF('01'!$D$7:$D$159,$C157,'01'!U$7:U$159)</f>
        <v/>
      </c>
      <c r="T158" s="428">
        <f>SUMIF('09'!$D$7:$D$159,$C157,'09'!V$7:V$159)+SUMIF('10'!$D$7:$D$159,$C157,'10'!V$7:V$159)+SUMIF('11'!$D$7:$D$159,$C157,'11'!V$7:V$159)+SUMIF('12'!$D$7:$D$159,$C157,'12'!V$7:V$159)+SUMIF('01'!$D$7:$D$159,$C157,'01'!V$7:V$159)</f>
        <v/>
      </c>
      <c r="U158" s="430">
        <f>SUMIF('09'!$D$7:$D$159,$C157,'09'!W$7:W$159)+SUMIF('10'!$D$7:$D$159,$C157,'10'!W$7:W$159)+SUMIF('11'!$D$7:$D$159,$C157,'11'!W$7:W$159)+SUMIF('12'!$D$7:$D$159,$C157,'12'!W$7:W$159)+SUMIF('01'!$D$7:$D$159,$C157,'01'!W$7:W$159)</f>
        <v/>
      </c>
      <c r="V158" s="429">
        <f>SUMIF('09'!$D$7:$D$159,$C157,'09'!X$7:X$159)+SUMIF('10'!$D$7:$D$159,$C157,'10'!X$7:X$159)+SUMIF('11'!$D$7:$D$159,$C157,'11'!X$7:X$159)+SUMIF('12'!$D$7:$D$159,$C157,'12'!X$7:X$159)+SUMIF('01'!$D$7:$D$159,$C157,'01'!X$7:X$159)</f>
        <v/>
      </c>
      <c r="W158" s="429">
        <f>SUMIF('09'!$D$7:$D$159,$C157,'09'!Y$7:Y$159)+SUMIF('10'!$D$7:$D$159,$C157,'10'!Y$7:Y$159)+SUMIF('11'!$D$7:$D$159,$C157,'11'!Y$7:Y$159)+SUMIF('12'!$D$7:$D$159,$C157,'12'!Y$7:Y$159)+SUMIF('01'!$D$7:$D$159,$C157,'01'!Y$7:Y$159)</f>
        <v/>
      </c>
      <c r="X158" s="431">
        <f>SUM(J158:W158)</f>
        <v/>
      </c>
      <c r="Y158" s="413" t="n"/>
      <c r="Z158" s="432" t="n"/>
    </row>
    <row r="159" ht="14.25" customHeight="1" s="296">
      <c r="A159" s="154">
        <f>IF(OR(C159="0",COUNTIF(КлючОсень,C159)&gt;1),0,MATCH(F159,ВидыНагр,0))</f>
        <v/>
      </c>
      <c r="B159" s="154">
        <f>(COUNTA(D159:F160,J159:W159,H159:I160)=0)</f>
        <v/>
      </c>
      <c r="C159" s="155">
        <f>IF(OR(TRIM(D159)="",COUNTIF(ВидыНагр,F159)&lt;&gt;1),"0",CONCATENATE("$",TRIM(D159),"$",TRIM(E159),"$",F159,"$"))</f>
        <v/>
      </c>
      <c r="D159" s="415" t="n"/>
      <c r="E159" s="416" t="n"/>
      <c r="F159" s="417" t="n"/>
      <c r="G159" s="156" t="inlineStr">
        <is>
          <t>план</t>
        </is>
      </c>
      <c r="H159" s="157" t="n"/>
      <c r="I159" s="158" t="n"/>
      <c r="J159" s="418" t="n"/>
      <c r="K159" s="419" t="n"/>
      <c r="L159" s="420" t="n"/>
      <c r="M159" s="418" t="n"/>
      <c r="N159" s="419" t="n"/>
      <c r="O159" s="420" t="n"/>
      <c r="P159" s="418" t="n"/>
      <c r="Q159" s="419" t="n"/>
      <c r="R159" s="420" t="n"/>
      <c r="S159" s="418" t="n"/>
      <c r="T159" s="419" t="n"/>
      <c r="U159" s="421" t="n"/>
      <c r="V159" s="420" t="n"/>
      <c r="W159" s="420" t="n"/>
      <c r="X159" s="422">
        <f>SUM(J159:W159)</f>
        <v/>
      </c>
      <c r="Y159" s="423">
        <f>X160-X159</f>
        <v/>
      </c>
      <c r="Z159" s="209" t="n"/>
    </row>
    <row r="160" ht="14.25" customHeight="1" s="296">
      <c r="A160" s="154">
        <f>-A159</f>
        <v/>
      </c>
      <c r="B160" s="154">
        <f>B159</f>
        <v/>
      </c>
      <c r="C160" s="163" t="n"/>
      <c r="D160" s="424" t="n"/>
      <c r="E160" s="425" t="n"/>
      <c r="F160" s="426" t="n"/>
      <c r="G160" s="164" t="inlineStr">
        <is>
          <t>факт</t>
        </is>
      </c>
      <c r="H160" s="165" t="n"/>
      <c r="I160" s="250" t="n"/>
      <c r="J160" s="427">
        <f>SUMIF('09'!$D$7:$D$159,$C159,'09'!L$7:L$159)+SUMIF('10'!$D$7:$D$159,$C159,'10'!L$7:L$159)+SUMIF('11'!$D$7:$D$159,$C159,'11'!L$7:L$159)+SUMIF('12'!$D$7:$D$159,$C159,'12'!L$7:L$159)+SUMIF('01'!$D$7:$D$159,$C159,'01'!L$7:L$159)</f>
        <v/>
      </c>
      <c r="K160" s="428">
        <f>SUMIF('09'!$D$7:$D$159,$C159,'09'!M$7:M$159)+SUMIF('10'!$D$7:$D$159,$C159,'10'!M$7:M$159)+SUMIF('11'!$D$7:$D$159,$C159,'11'!M$7:M$159)+SUMIF('12'!$D$7:$D$159,$C159,'12'!M$7:M$159)+SUMIF('01'!$D$7:$D$159,$C159,'01'!M$7:M$159)</f>
        <v/>
      </c>
      <c r="L160" s="429">
        <f>SUMIF('09'!$D$7:$D$159,$C159,'09'!N$7:N$159)+SUMIF('10'!$D$7:$D$159,$C159,'10'!N$7:N$159)+SUMIF('11'!$D$7:$D$159,$C159,'11'!N$7:N$159)+SUMIF('12'!$D$7:$D$159,$C159,'12'!N$7:N$159)+SUMIF('01'!$D$7:$D$159,$C159,'01'!N$7:N$159)</f>
        <v/>
      </c>
      <c r="M160" s="427">
        <f>SUMIF('09'!$D$7:$D$159,$C159,'09'!O$7:O$159)+SUMIF('10'!$D$7:$D$159,$C159,'10'!O$7:O$159)+SUMIF('11'!$D$7:$D$159,$C159,'11'!O$7:O$159)+SUMIF('12'!$D$7:$D$159,$C159,'12'!O$7:O$159)+SUMIF('01'!$D$7:$D$159,$C159,'01'!O$7:O$159)</f>
        <v/>
      </c>
      <c r="N160" s="428">
        <f>SUMIF('09'!$D$7:$D$159,$C159,'09'!P$7:P$159)+SUMIF('10'!$D$7:$D$159,$C159,'10'!P$7:P$159)+SUMIF('11'!$D$7:$D$159,$C159,'11'!P$7:P$159)+SUMIF('12'!$D$7:$D$159,$C159,'12'!P$7:P$159)+SUMIF('01'!$D$7:$D$159,$C159,'01'!P$7:P$159)</f>
        <v/>
      </c>
      <c r="O160" s="429">
        <f>SUMIF('09'!$D$7:$D$159,$C159,'09'!Q$7:Q$159)+SUMIF('10'!$D$7:$D$159,$C159,'10'!Q$7:Q$159)+SUMIF('11'!$D$7:$D$159,$C159,'11'!Q$7:Q$159)+SUMIF('12'!$D$7:$D$159,$C159,'12'!Q$7:Q$159)+SUMIF('01'!$D$7:$D$159,$C159,'01'!Q$7:Q$159)</f>
        <v/>
      </c>
      <c r="P160" s="427">
        <f>SUMIF('09'!$D$7:$D$159,$C159,'09'!R$7:R$159)+SUMIF('10'!$D$7:$D$159,$C159,'10'!R$7:R$159)+SUMIF('11'!$D$7:$D$159,$C159,'11'!R$7:R$159)+SUMIF('12'!$D$7:$D$159,$C159,'12'!R$7:R$159)+SUMIF('01'!$D$7:$D$159,$C159,'01'!R$7:R$159)</f>
        <v/>
      </c>
      <c r="Q160" s="428">
        <f>SUMIF('09'!$D$7:$D$159,$C159,'09'!S$7:S$159)+SUMIF('10'!$D$7:$D$159,$C159,'10'!S$7:S$159)+SUMIF('11'!$D$7:$D$159,$C159,'11'!S$7:S$159)+SUMIF('12'!$D$7:$D$159,$C159,'12'!S$7:S$159)+SUMIF('01'!$D$7:$D$159,$C159,'01'!S$7:S$159)</f>
        <v/>
      </c>
      <c r="R160" s="429">
        <f>SUMIF('09'!$D$7:$D$159,$C159,'09'!T$7:T$159)+SUMIF('10'!$D$7:$D$159,$C159,'10'!T$7:T$159)+SUMIF('11'!$D$7:$D$159,$C159,'11'!T$7:T$159)+SUMIF('12'!$D$7:$D$159,$C159,'12'!T$7:T$159)+SUMIF('01'!$D$7:$D$159,$C159,'01'!T$7:T$159)</f>
        <v/>
      </c>
      <c r="S160" s="427">
        <f>SUMIF('09'!$D$7:$D$159,$C159,'09'!U$7:U$159)+SUMIF('10'!$D$7:$D$159,$C159,'10'!U$7:U$159)+SUMIF('11'!$D$7:$D$159,$C159,'11'!U$7:U$159)+SUMIF('12'!$D$7:$D$159,$C159,'12'!U$7:U$159)+SUMIF('01'!$D$7:$D$159,$C159,'01'!U$7:U$159)</f>
        <v/>
      </c>
      <c r="T160" s="428">
        <f>SUMIF('09'!$D$7:$D$159,$C159,'09'!V$7:V$159)+SUMIF('10'!$D$7:$D$159,$C159,'10'!V$7:V$159)+SUMIF('11'!$D$7:$D$159,$C159,'11'!V$7:V$159)+SUMIF('12'!$D$7:$D$159,$C159,'12'!V$7:V$159)+SUMIF('01'!$D$7:$D$159,$C159,'01'!V$7:V$159)</f>
        <v/>
      </c>
      <c r="U160" s="430">
        <f>SUMIF('09'!$D$7:$D$159,$C159,'09'!W$7:W$159)+SUMIF('10'!$D$7:$D$159,$C159,'10'!W$7:W$159)+SUMIF('11'!$D$7:$D$159,$C159,'11'!W$7:W$159)+SUMIF('12'!$D$7:$D$159,$C159,'12'!W$7:W$159)+SUMIF('01'!$D$7:$D$159,$C159,'01'!W$7:W$159)</f>
        <v/>
      </c>
      <c r="V160" s="429">
        <f>SUMIF('09'!$D$7:$D$159,$C159,'09'!X$7:X$159)+SUMIF('10'!$D$7:$D$159,$C159,'10'!X$7:X$159)+SUMIF('11'!$D$7:$D$159,$C159,'11'!X$7:X$159)+SUMIF('12'!$D$7:$D$159,$C159,'12'!X$7:X$159)+SUMIF('01'!$D$7:$D$159,$C159,'01'!X$7:X$159)</f>
        <v/>
      </c>
      <c r="W160" s="429">
        <f>SUMIF('09'!$D$7:$D$159,$C159,'09'!Y$7:Y$159)+SUMIF('10'!$D$7:$D$159,$C159,'10'!Y$7:Y$159)+SUMIF('11'!$D$7:$D$159,$C159,'11'!Y$7:Y$159)+SUMIF('12'!$D$7:$D$159,$C159,'12'!Y$7:Y$159)+SUMIF('01'!$D$7:$D$159,$C159,'01'!Y$7:Y$159)</f>
        <v/>
      </c>
      <c r="X160" s="431">
        <f>SUM(J160:W160)</f>
        <v/>
      </c>
      <c r="Y160" s="413" t="n"/>
      <c r="Z160" s="432" t="n"/>
    </row>
    <row r="161" ht="14.25" customHeight="1" s="296">
      <c r="A161" s="154">
        <f>IF(OR(C161="0",COUNTIF(КлючОсень,C161)&gt;1),0,MATCH(F161,ВидыНагр,0))</f>
        <v/>
      </c>
      <c r="B161" s="154">
        <f>(COUNTA(D161:F162,J161:W161,H161:I162)=0)</f>
        <v/>
      </c>
      <c r="C161" s="155">
        <f>IF(OR(TRIM(D161)="",COUNTIF(ВидыНагр,F161)&lt;&gt;1),"0",CONCATENATE("$",TRIM(D161),"$",TRIM(E161),"$",F161,"$"))</f>
        <v/>
      </c>
      <c r="D161" s="415" t="n"/>
      <c r="E161" s="416" t="n"/>
      <c r="F161" s="417" t="n"/>
      <c r="G161" s="156" t="inlineStr">
        <is>
          <t>план</t>
        </is>
      </c>
      <c r="H161" s="157" t="n"/>
      <c r="I161" s="158" t="n"/>
      <c r="J161" s="418" t="n"/>
      <c r="K161" s="419" t="n"/>
      <c r="L161" s="420" t="n"/>
      <c r="M161" s="418" t="n"/>
      <c r="N161" s="419" t="n"/>
      <c r="O161" s="420" t="n"/>
      <c r="P161" s="418" t="n"/>
      <c r="Q161" s="419" t="n"/>
      <c r="R161" s="420" t="n"/>
      <c r="S161" s="418" t="n"/>
      <c r="T161" s="419" t="n"/>
      <c r="U161" s="421" t="n"/>
      <c r="V161" s="420" t="n"/>
      <c r="W161" s="420" t="n"/>
      <c r="X161" s="422">
        <f>SUM(J161:W161)</f>
        <v/>
      </c>
      <c r="Y161" s="423">
        <f>X162-X161</f>
        <v/>
      </c>
      <c r="Z161" s="209" t="n"/>
    </row>
    <row r="162" ht="14.25" customHeight="1" s="296">
      <c r="A162" s="154">
        <f>-A161</f>
        <v/>
      </c>
      <c r="B162" s="154">
        <f>B161</f>
        <v/>
      </c>
      <c r="C162" s="163" t="n"/>
      <c r="D162" s="424" t="n"/>
      <c r="E162" s="425" t="n"/>
      <c r="F162" s="426" t="n"/>
      <c r="G162" s="164" t="inlineStr">
        <is>
          <t>факт</t>
        </is>
      </c>
      <c r="H162" s="165" t="n"/>
      <c r="I162" s="250" t="n"/>
      <c r="J162" s="427">
        <f>SUMIF('09'!$D$7:$D$159,$C161,'09'!L$7:L$159)+SUMIF('10'!$D$7:$D$159,$C161,'10'!L$7:L$159)+SUMIF('11'!$D$7:$D$159,$C161,'11'!L$7:L$159)+SUMIF('12'!$D$7:$D$159,$C161,'12'!L$7:L$159)+SUMIF('01'!$D$7:$D$159,$C161,'01'!L$7:L$159)</f>
        <v/>
      </c>
      <c r="K162" s="428">
        <f>SUMIF('09'!$D$7:$D$159,$C161,'09'!M$7:M$159)+SUMIF('10'!$D$7:$D$159,$C161,'10'!M$7:M$159)+SUMIF('11'!$D$7:$D$159,$C161,'11'!M$7:M$159)+SUMIF('12'!$D$7:$D$159,$C161,'12'!M$7:M$159)+SUMIF('01'!$D$7:$D$159,$C161,'01'!M$7:M$159)</f>
        <v/>
      </c>
      <c r="L162" s="429">
        <f>SUMIF('09'!$D$7:$D$159,$C161,'09'!N$7:N$159)+SUMIF('10'!$D$7:$D$159,$C161,'10'!N$7:N$159)+SUMIF('11'!$D$7:$D$159,$C161,'11'!N$7:N$159)+SUMIF('12'!$D$7:$D$159,$C161,'12'!N$7:N$159)+SUMIF('01'!$D$7:$D$159,$C161,'01'!N$7:N$159)</f>
        <v/>
      </c>
      <c r="M162" s="427">
        <f>SUMIF('09'!$D$7:$D$159,$C161,'09'!O$7:O$159)+SUMIF('10'!$D$7:$D$159,$C161,'10'!O$7:O$159)+SUMIF('11'!$D$7:$D$159,$C161,'11'!O$7:O$159)+SUMIF('12'!$D$7:$D$159,$C161,'12'!O$7:O$159)+SUMIF('01'!$D$7:$D$159,$C161,'01'!O$7:O$159)</f>
        <v/>
      </c>
      <c r="N162" s="428">
        <f>SUMIF('09'!$D$7:$D$159,$C161,'09'!P$7:P$159)+SUMIF('10'!$D$7:$D$159,$C161,'10'!P$7:P$159)+SUMIF('11'!$D$7:$D$159,$C161,'11'!P$7:P$159)+SUMIF('12'!$D$7:$D$159,$C161,'12'!P$7:P$159)+SUMIF('01'!$D$7:$D$159,$C161,'01'!P$7:P$159)</f>
        <v/>
      </c>
      <c r="O162" s="429">
        <f>SUMIF('09'!$D$7:$D$159,$C161,'09'!Q$7:Q$159)+SUMIF('10'!$D$7:$D$159,$C161,'10'!Q$7:Q$159)+SUMIF('11'!$D$7:$D$159,$C161,'11'!Q$7:Q$159)+SUMIF('12'!$D$7:$D$159,$C161,'12'!Q$7:Q$159)+SUMIF('01'!$D$7:$D$159,$C161,'01'!Q$7:Q$159)</f>
        <v/>
      </c>
      <c r="P162" s="427">
        <f>SUMIF('09'!$D$7:$D$159,$C161,'09'!R$7:R$159)+SUMIF('10'!$D$7:$D$159,$C161,'10'!R$7:R$159)+SUMIF('11'!$D$7:$D$159,$C161,'11'!R$7:R$159)+SUMIF('12'!$D$7:$D$159,$C161,'12'!R$7:R$159)+SUMIF('01'!$D$7:$D$159,$C161,'01'!R$7:R$159)</f>
        <v/>
      </c>
      <c r="Q162" s="428">
        <f>SUMIF('09'!$D$7:$D$159,$C161,'09'!S$7:S$159)+SUMIF('10'!$D$7:$D$159,$C161,'10'!S$7:S$159)+SUMIF('11'!$D$7:$D$159,$C161,'11'!S$7:S$159)+SUMIF('12'!$D$7:$D$159,$C161,'12'!S$7:S$159)+SUMIF('01'!$D$7:$D$159,$C161,'01'!S$7:S$159)</f>
        <v/>
      </c>
      <c r="R162" s="429">
        <f>SUMIF('09'!$D$7:$D$159,$C161,'09'!T$7:T$159)+SUMIF('10'!$D$7:$D$159,$C161,'10'!T$7:T$159)+SUMIF('11'!$D$7:$D$159,$C161,'11'!T$7:T$159)+SUMIF('12'!$D$7:$D$159,$C161,'12'!T$7:T$159)+SUMIF('01'!$D$7:$D$159,$C161,'01'!T$7:T$159)</f>
        <v/>
      </c>
      <c r="S162" s="427">
        <f>SUMIF('09'!$D$7:$D$159,$C161,'09'!U$7:U$159)+SUMIF('10'!$D$7:$D$159,$C161,'10'!U$7:U$159)+SUMIF('11'!$D$7:$D$159,$C161,'11'!U$7:U$159)+SUMIF('12'!$D$7:$D$159,$C161,'12'!U$7:U$159)+SUMIF('01'!$D$7:$D$159,$C161,'01'!U$7:U$159)</f>
        <v/>
      </c>
      <c r="T162" s="428">
        <f>SUMIF('09'!$D$7:$D$159,$C161,'09'!V$7:V$159)+SUMIF('10'!$D$7:$D$159,$C161,'10'!V$7:V$159)+SUMIF('11'!$D$7:$D$159,$C161,'11'!V$7:V$159)+SUMIF('12'!$D$7:$D$159,$C161,'12'!V$7:V$159)+SUMIF('01'!$D$7:$D$159,$C161,'01'!V$7:V$159)</f>
        <v/>
      </c>
      <c r="U162" s="430">
        <f>SUMIF('09'!$D$7:$D$159,$C161,'09'!W$7:W$159)+SUMIF('10'!$D$7:$D$159,$C161,'10'!W$7:W$159)+SUMIF('11'!$D$7:$D$159,$C161,'11'!W$7:W$159)+SUMIF('12'!$D$7:$D$159,$C161,'12'!W$7:W$159)+SUMIF('01'!$D$7:$D$159,$C161,'01'!W$7:W$159)</f>
        <v/>
      </c>
      <c r="V162" s="429">
        <f>SUMIF('09'!$D$7:$D$159,$C161,'09'!X$7:X$159)+SUMIF('10'!$D$7:$D$159,$C161,'10'!X$7:X$159)+SUMIF('11'!$D$7:$D$159,$C161,'11'!X$7:X$159)+SUMIF('12'!$D$7:$D$159,$C161,'12'!X$7:X$159)+SUMIF('01'!$D$7:$D$159,$C161,'01'!X$7:X$159)</f>
        <v/>
      </c>
      <c r="W162" s="429">
        <f>SUMIF('09'!$D$7:$D$159,$C161,'09'!Y$7:Y$159)+SUMIF('10'!$D$7:$D$159,$C161,'10'!Y$7:Y$159)+SUMIF('11'!$D$7:$D$159,$C161,'11'!Y$7:Y$159)+SUMIF('12'!$D$7:$D$159,$C161,'12'!Y$7:Y$159)+SUMIF('01'!$D$7:$D$159,$C161,'01'!Y$7:Y$159)</f>
        <v/>
      </c>
      <c r="X162" s="431">
        <f>SUM(J162:W162)</f>
        <v/>
      </c>
      <c r="Y162" s="413" t="n"/>
      <c r="Z162" s="432" t="n"/>
    </row>
    <row r="163" ht="14.25" customHeight="1" s="296">
      <c r="A163" s="154">
        <f>IF(OR(C163="0",COUNTIF(КлючОсень,C163)&gt;1),0,MATCH(F163,ВидыНагр,0))</f>
        <v/>
      </c>
      <c r="B163" s="154">
        <f>(COUNTA(D163:F164,J163:W163,H163:I164)=0)</f>
        <v/>
      </c>
      <c r="C163" s="155">
        <f>IF(OR(TRIM(D163)="",COUNTIF(ВидыНагр,F163)&lt;&gt;1),"0",CONCATENATE("$",TRIM(D163),"$",TRIM(E163),"$",F163,"$"))</f>
        <v/>
      </c>
      <c r="D163" s="415" t="n"/>
      <c r="E163" s="416" t="n"/>
      <c r="F163" s="417" t="n"/>
      <c r="G163" s="156" t="inlineStr">
        <is>
          <t>план</t>
        </is>
      </c>
      <c r="H163" s="157" t="n"/>
      <c r="I163" s="158" t="n"/>
      <c r="J163" s="418" t="n"/>
      <c r="K163" s="419" t="n"/>
      <c r="L163" s="420" t="n"/>
      <c r="M163" s="418" t="n"/>
      <c r="N163" s="419" t="n"/>
      <c r="O163" s="420" t="n"/>
      <c r="P163" s="418" t="n"/>
      <c r="Q163" s="419" t="n"/>
      <c r="R163" s="420" t="n"/>
      <c r="S163" s="418" t="n"/>
      <c r="T163" s="419" t="n"/>
      <c r="U163" s="421" t="n"/>
      <c r="V163" s="420" t="n"/>
      <c r="W163" s="420" t="n"/>
      <c r="X163" s="422">
        <f>SUM(J163:W163)</f>
        <v/>
      </c>
      <c r="Y163" s="423">
        <f>X164-X163</f>
        <v/>
      </c>
      <c r="Z163" s="209" t="n"/>
    </row>
    <row r="164" ht="14.25" customHeight="1" s="296">
      <c r="A164" s="154">
        <f>-A163</f>
        <v/>
      </c>
      <c r="B164" s="154">
        <f>B163</f>
        <v/>
      </c>
      <c r="C164" s="163" t="n"/>
      <c r="D164" s="424" t="n"/>
      <c r="E164" s="425" t="n"/>
      <c r="F164" s="426" t="n"/>
      <c r="G164" s="164" t="inlineStr">
        <is>
          <t>факт</t>
        </is>
      </c>
      <c r="H164" s="165" t="n"/>
      <c r="I164" s="250" t="n"/>
      <c r="J164" s="427">
        <f>SUMIF('09'!$D$7:$D$159,$C163,'09'!L$7:L$159)+SUMIF('10'!$D$7:$D$159,$C163,'10'!L$7:L$159)+SUMIF('11'!$D$7:$D$159,$C163,'11'!L$7:L$159)+SUMIF('12'!$D$7:$D$159,$C163,'12'!L$7:L$159)+SUMIF('01'!$D$7:$D$159,$C163,'01'!L$7:L$159)</f>
        <v/>
      </c>
      <c r="K164" s="428">
        <f>SUMIF('09'!$D$7:$D$159,$C163,'09'!M$7:M$159)+SUMIF('10'!$D$7:$D$159,$C163,'10'!M$7:M$159)+SUMIF('11'!$D$7:$D$159,$C163,'11'!M$7:M$159)+SUMIF('12'!$D$7:$D$159,$C163,'12'!M$7:M$159)+SUMIF('01'!$D$7:$D$159,$C163,'01'!M$7:M$159)</f>
        <v/>
      </c>
      <c r="L164" s="429">
        <f>SUMIF('09'!$D$7:$D$159,$C163,'09'!N$7:N$159)+SUMIF('10'!$D$7:$D$159,$C163,'10'!N$7:N$159)+SUMIF('11'!$D$7:$D$159,$C163,'11'!N$7:N$159)+SUMIF('12'!$D$7:$D$159,$C163,'12'!N$7:N$159)+SUMIF('01'!$D$7:$D$159,$C163,'01'!N$7:N$159)</f>
        <v/>
      </c>
      <c r="M164" s="427">
        <f>SUMIF('09'!$D$7:$D$159,$C163,'09'!O$7:O$159)+SUMIF('10'!$D$7:$D$159,$C163,'10'!O$7:O$159)+SUMIF('11'!$D$7:$D$159,$C163,'11'!O$7:O$159)+SUMIF('12'!$D$7:$D$159,$C163,'12'!O$7:O$159)+SUMIF('01'!$D$7:$D$159,$C163,'01'!O$7:O$159)</f>
        <v/>
      </c>
      <c r="N164" s="428">
        <f>SUMIF('09'!$D$7:$D$159,$C163,'09'!P$7:P$159)+SUMIF('10'!$D$7:$D$159,$C163,'10'!P$7:P$159)+SUMIF('11'!$D$7:$D$159,$C163,'11'!P$7:P$159)+SUMIF('12'!$D$7:$D$159,$C163,'12'!P$7:P$159)+SUMIF('01'!$D$7:$D$159,$C163,'01'!P$7:P$159)</f>
        <v/>
      </c>
      <c r="O164" s="429">
        <f>SUMIF('09'!$D$7:$D$159,$C163,'09'!Q$7:Q$159)+SUMIF('10'!$D$7:$D$159,$C163,'10'!Q$7:Q$159)+SUMIF('11'!$D$7:$D$159,$C163,'11'!Q$7:Q$159)+SUMIF('12'!$D$7:$D$159,$C163,'12'!Q$7:Q$159)+SUMIF('01'!$D$7:$D$159,$C163,'01'!Q$7:Q$159)</f>
        <v/>
      </c>
      <c r="P164" s="427">
        <f>SUMIF('09'!$D$7:$D$159,$C163,'09'!R$7:R$159)+SUMIF('10'!$D$7:$D$159,$C163,'10'!R$7:R$159)+SUMIF('11'!$D$7:$D$159,$C163,'11'!R$7:R$159)+SUMIF('12'!$D$7:$D$159,$C163,'12'!R$7:R$159)+SUMIF('01'!$D$7:$D$159,$C163,'01'!R$7:R$159)</f>
        <v/>
      </c>
      <c r="Q164" s="428">
        <f>SUMIF('09'!$D$7:$D$159,$C163,'09'!S$7:S$159)+SUMIF('10'!$D$7:$D$159,$C163,'10'!S$7:S$159)+SUMIF('11'!$D$7:$D$159,$C163,'11'!S$7:S$159)+SUMIF('12'!$D$7:$D$159,$C163,'12'!S$7:S$159)+SUMIF('01'!$D$7:$D$159,$C163,'01'!S$7:S$159)</f>
        <v/>
      </c>
      <c r="R164" s="429">
        <f>SUMIF('09'!$D$7:$D$159,$C163,'09'!T$7:T$159)+SUMIF('10'!$D$7:$D$159,$C163,'10'!T$7:T$159)+SUMIF('11'!$D$7:$D$159,$C163,'11'!T$7:T$159)+SUMIF('12'!$D$7:$D$159,$C163,'12'!T$7:T$159)+SUMIF('01'!$D$7:$D$159,$C163,'01'!T$7:T$159)</f>
        <v/>
      </c>
      <c r="S164" s="427">
        <f>SUMIF('09'!$D$7:$D$159,$C163,'09'!U$7:U$159)+SUMIF('10'!$D$7:$D$159,$C163,'10'!U$7:U$159)+SUMIF('11'!$D$7:$D$159,$C163,'11'!U$7:U$159)+SUMIF('12'!$D$7:$D$159,$C163,'12'!U$7:U$159)+SUMIF('01'!$D$7:$D$159,$C163,'01'!U$7:U$159)</f>
        <v/>
      </c>
      <c r="T164" s="428">
        <f>SUMIF('09'!$D$7:$D$159,$C163,'09'!V$7:V$159)+SUMIF('10'!$D$7:$D$159,$C163,'10'!V$7:V$159)+SUMIF('11'!$D$7:$D$159,$C163,'11'!V$7:V$159)+SUMIF('12'!$D$7:$D$159,$C163,'12'!V$7:V$159)+SUMIF('01'!$D$7:$D$159,$C163,'01'!V$7:V$159)</f>
        <v/>
      </c>
      <c r="U164" s="430">
        <f>SUMIF('09'!$D$7:$D$159,$C163,'09'!W$7:W$159)+SUMIF('10'!$D$7:$D$159,$C163,'10'!W$7:W$159)+SUMIF('11'!$D$7:$D$159,$C163,'11'!W$7:W$159)+SUMIF('12'!$D$7:$D$159,$C163,'12'!W$7:W$159)+SUMIF('01'!$D$7:$D$159,$C163,'01'!W$7:W$159)</f>
        <v/>
      </c>
      <c r="V164" s="429">
        <f>SUMIF('09'!$D$7:$D$159,$C163,'09'!X$7:X$159)+SUMIF('10'!$D$7:$D$159,$C163,'10'!X$7:X$159)+SUMIF('11'!$D$7:$D$159,$C163,'11'!X$7:X$159)+SUMIF('12'!$D$7:$D$159,$C163,'12'!X$7:X$159)+SUMIF('01'!$D$7:$D$159,$C163,'01'!X$7:X$159)</f>
        <v/>
      </c>
      <c r="W164" s="429">
        <f>SUMIF('09'!$D$7:$D$159,$C163,'09'!Y$7:Y$159)+SUMIF('10'!$D$7:$D$159,$C163,'10'!Y$7:Y$159)+SUMIF('11'!$D$7:$D$159,$C163,'11'!Y$7:Y$159)+SUMIF('12'!$D$7:$D$159,$C163,'12'!Y$7:Y$159)+SUMIF('01'!$D$7:$D$159,$C163,'01'!Y$7:Y$159)</f>
        <v/>
      </c>
      <c r="X164" s="431">
        <f>SUM(J164:W164)</f>
        <v/>
      </c>
      <c r="Y164" s="413" t="n"/>
      <c r="Z164" s="432" t="n"/>
    </row>
    <row r="165" ht="14.25" customHeight="1" s="296">
      <c r="A165" s="154">
        <f>IF(OR(C165="0",COUNTIF(КлючОсень,C165)&gt;1),0,MATCH(F165,ВидыНагр,0))</f>
        <v/>
      </c>
      <c r="B165" s="154">
        <f>(COUNTA(D165:F166,J165:W165,H165:I166)=0)</f>
        <v/>
      </c>
      <c r="C165" s="155">
        <f>IF(OR(TRIM(D165)="",COUNTIF(ВидыНагр,F165)&lt;&gt;1),"0",CONCATENATE("$",TRIM(D165),"$",TRIM(E165),"$",F165,"$"))</f>
        <v/>
      </c>
      <c r="D165" s="415" t="n"/>
      <c r="E165" s="416" t="n"/>
      <c r="F165" s="417" t="n"/>
      <c r="G165" s="156" t="inlineStr">
        <is>
          <t>план</t>
        </is>
      </c>
      <c r="H165" s="157" t="n"/>
      <c r="I165" s="158" t="n"/>
      <c r="J165" s="418" t="n"/>
      <c r="K165" s="419" t="n"/>
      <c r="L165" s="420" t="n"/>
      <c r="M165" s="418" t="n"/>
      <c r="N165" s="419" t="n"/>
      <c r="O165" s="420" t="n"/>
      <c r="P165" s="418" t="n"/>
      <c r="Q165" s="419" t="n"/>
      <c r="R165" s="420" t="n"/>
      <c r="S165" s="418" t="n"/>
      <c r="T165" s="419" t="n"/>
      <c r="U165" s="421" t="n"/>
      <c r="V165" s="420" t="n"/>
      <c r="W165" s="420" t="n"/>
      <c r="X165" s="422">
        <f>SUM(J165:W165)</f>
        <v/>
      </c>
      <c r="Y165" s="423">
        <f>X166-X165</f>
        <v/>
      </c>
      <c r="Z165" s="209" t="n"/>
    </row>
    <row r="166" ht="14.25" customHeight="1" s="296">
      <c r="A166" s="154">
        <f>-A165</f>
        <v/>
      </c>
      <c r="B166" s="154">
        <f>B165</f>
        <v/>
      </c>
      <c r="C166" s="163" t="n"/>
      <c r="D166" s="424" t="n"/>
      <c r="E166" s="425" t="n"/>
      <c r="F166" s="426" t="n"/>
      <c r="G166" s="164" t="inlineStr">
        <is>
          <t>факт</t>
        </is>
      </c>
      <c r="H166" s="165" t="n"/>
      <c r="I166" s="250" t="n"/>
      <c r="J166" s="427">
        <f>SUMIF('09'!$D$7:$D$159,$C165,'09'!L$7:L$159)+SUMIF('10'!$D$7:$D$159,$C165,'10'!L$7:L$159)+SUMIF('11'!$D$7:$D$159,$C165,'11'!L$7:L$159)+SUMIF('12'!$D$7:$D$159,$C165,'12'!L$7:L$159)+SUMIF('01'!$D$7:$D$159,$C165,'01'!L$7:L$159)</f>
        <v/>
      </c>
      <c r="K166" s="428">
        <f>SUMIF('09'!$D$7:$D$159,$C165,'09'!M$7:M$159)+SUMIF('10'!$D$7:$D$159,$C165,'10'!M$7:M$159)+SUMIF('11'!$D$7:$D$159,$C165,'11'!M$7:M$159)+SUMIF('12'!$D$7:$D$159,$C165,'12'!M$7:M$159)+SUMIF('01'!$D$7:$D$159,$C165,'01'!M$7:M$159)</f>
        <v/>
      </c>
      <c r="L166" s="429">
        <f>SUMIF('09'!$D$7:$D$159,$C165,'09'!N$7:N$159)+SUMIF('10'!$D$7:$D$159,$C165,'10'!N$7:N$159)+SUMIF('11'!$D$7:$D$159,$C165,'11'!N$7:N$159)+SUMIF('12'!$D$7:$D$159,$C165,'12'!N$7:N$159)+SUMIF('01'!$D$7:$D$159,$C165,'01'!N$7:N$159)</f>
        <v/>
      </c>
      <c r="M166" s="427">
        <f>SUMIF('09'!$D$7:$D$159,$C165,'09'!O$7:O$159)+SUMIF('10'!$D$7:$D$159,$C165,'10'!O$7:O$159)+SUMIF('11'!$D$7:$D$159,$C165,'11'!O$7:O$159)+SUMIF('12'!$D$7:$D$159,$C165,'12'!O$7:O$159)+SUMIF('01'!$D$7:$D$159,$C165,'01'!O$7:O$159)</f>
        <v/>
      </c>
      <c r="N166" s="428">
        <f>SUMIF('09'!$D$7:$D$159,$C165,'09'!P$7:P$159)+SUMIF('10'!$D$7:$D$159,$C165,'10'!P$7:P$159)+SUMIF('11'!$D$7:$D$159,$C165,'11'!P$7:P$159)+SUMIF('12'!$D$7:$D$159,$C165,'12'!P$7:P$159)+SUMIF('01'!$D$7:$D$159,$C165,'01'!P$7:P$159)</f>
        <v/>
      </c>
      <c r="O166" s="429">
        <f>SUMIF('09'!$D$7:$D$159,$C165,'09'!Q$7:Q$159)+SUMIF('10'!$D$7:$D$159,$C165,'10'!Q$7:Q$159)+SUMIF('11'!$D$7:$D$159,$C165,'11'!Q$7:Q$159)+SUMIF('12'!$D$7:$D$159,$C165,'12'!Q$7:Q$159)+SUMIF('01'!$D$7:$D$159,$C165,'01'!Q$7:Q$159)</f>
        <v/>
      </c>
      <c r="P166" s="427">
        <f>SUMIF('09'!$D$7:$D$159,$C165,'09'!R$7:R$159)+SUMIF('10'!$D$7:$D$159,$C165,'10'!R$7:R$159)+SUMIF('11'!$D$7:$D$159,$C165,'11'!R$7:R$159)+SUMIF('12'!$D$7:$D$159,$C165,'12'!R$7:R$159)+SUMIF('01'!$D$7:$D$159,$C165,'01'!R$7:R$159)</f>
        <v/>
      </c>
      <c r="Q166" s="428">
        <f>SUMIF('09'!$D$7:$D$159,$C165,'09'!S$7:S$159)+SUMIF('10'!$D$7:$D$159,$C165,'10'!S$7:S$159)+SUMIF('11'!$D$7:$D$159,$C165,'11'!S$7:S$159)+SUMIF('12'!$D$7:$D$159,$C165,'12'!S$7:S$159)+SUMIF('01'!$D$7:$D$159,$C165,'01'!S$7:S$159)</f>
        <v/>
      </c>
      <c r="R166" s="429">
        <f>SUMIF('09'!$D$7:$D$159,$C165,'09'!T$7:T$159)+SUMIF('10'!$D$7:$D$159,$C165,'10'!T$7:T$159)+SUMIF('11'!$D$7:$D$159,$C165,'11'!T$7:T$159)+SUMIF('12'!$D$7:$D$159,$C165,'12'!T$7:T$159)+SUMIF('01'!$D$7:$D$159,$C165,'01'!T$7:T$159)</f>
        <v/>
      </c>
      <c r="S166" s="427">
        <f>SUMIF('09'!$D$7:$D$159,$C165,'09'!U$7:U$159)+SUMIF('10'!$D$7:$D$159,$C165,'10'!U$7:U$159)+SUMIF('11'!$D$7:$D$159,$C165,'11'!U$7:U$159)+SUMIF('12'!$D$7:$D$159,$C165,'12'!U$7:U$159)+SUMIF('01'!$D$7:$D$159,$C165,'01'!U$7:U$159)</f>
        <v/>
      </c>
      <c r="T166" s="428">
        <f>SUMIF('09'!$D$7:$D$159,$C165,'09'!V$7:V$159)+SUMIF('10'!$D$7:$D$159,$C165,'10'!V$7:V$159)+SUMIF('11'!$D$7:$D$159,$C165,'11'!V$7:V$159)+SUMIF('12'!$D$7:$D$159,$C165,'12'!V$7:V$159)+SUMIF('01'!$D$7:$D$159,$C165,'01'!V$7:V$159)</f>
        <v/>
      </c>
      <c r="U166" s="430">
        <f>SUMIF('09'!$D$7:$D$159,$C165,'09'!W$7:W$159)+SUMIF('10'!$D$7:$D$159,$C165,'10'!W$7:W$159)+SUMIF('11'!$D$7:$D$159,$C165,'11'!W$7:W$159)+SUMIF('12'!$D$7:$D$159,$C165,'12'!W$7:W$159)+SUMIF('01'!$D$7:$D$159,$C165,'01'!W$7:W$159)</f>
        <v/>
      </c>
      <c r="V166" s="429">
        <f>SUMIF('09'!$D$7:$D$159,$C165,'09'!X$7:X$159)+SUMIF('10'!$D$7:$D$159,$C165,'10'!X$7:X$159)+SUMIF('11'!$D$7:$D$159,$C165,'11'!X$7:X$159)+SUMIF('12'!$D$7:$D$159,$C165,'12'!X$7:X$159)+SUMIF('01'!$D$7:$D$159,$C165,'01'!X$7:X$159)</f>
        <v/>
      </c>
      <c r="W166" s="429">
        <f>SUMIF('09'!$D$7:$D$159,$C165,'09'!Y$7:Y$159)+SUMIF('10'!$D$7:$D$159,$C165,'10'!Y$7:Y$159)+SUMIF('11'!$D$7:$D$159,$C165,'11'!Y$7:Y$159)+SUMIF('12'!$D$7:$D$159,$C165,'12'!Y$7:Y$159)+SUMIF('01'!$D$7:$D$159,$C165,'01'!Y$7:Y$159)</f>
        <v/>
      </c>
      <c r="X166" s="431">
        <f>SUM(J166:W166)</f>
        <v/>
      </c>
      <c r="Y166" s="413" t="n"/>
      <c r="Z166" s="432" t="n"/>
    </row>
    <row r="167" ht="14.25" customHeight="1" s="296">
      <c r="A167" s="154">
        <f>IF(OR(C167="0",COUNTIF(КлючОсень,C167)&gt;1),0,MATCH(F167,ВидыНагр,0))</f>
        <v/>
      </c>
      <c r="B167" s="154">
        <f>(COUNTA(D167:F168,J167:W167,H167:I168)=0)</f>
        <v/>
      </c>
      <c r="C167" s="155">
        <f>IF(OR(TRIM(D167)="",COUNTIF(ВидыНагр,F167)&lt;&gt;1),"0",CONCATENATE("$",TRIM(D167),"$",TRIM(E167),"$",F167,"$"))</f>
        <v/>
      </c>
      <c r="D167" s="415" t="n"/>
      <c r="E167" s="416" t="n"/>
      <c r="F167" s="417" t="n"/>
      <c r="G167" s="156" t="inlineStr">
        <is>
          <t>план</t>
        </is>
      </c>
      <c r="H167" s="157" t="n"/>
      <c r="I167" s="158" t="n"/>
      <c r="J167" s="418" t="n"/>
      <c r="K167" s="419" t="n"/>
      <c r="L167" s="420" t="n"/>
      <c r="M167" s="418" t="n"/>
      <c r="N167" s="419" t="n"/>
      <c r="O167" s="420" t="n"/>
      <c r="P167" s="418" t="n"/>
      <c r="Q167" s="419" t="n"/>
      <c r="R167" s="420" t="n"/>
      <c r="S167" s="418" t="n"/>
      <c r="T167" s="419" t="n"/>
      <c r="U167" s="421" t="n"/>
      <c r="V167" s="420" t="n"/>
      <c r="W167" s="420" t="n"/>
      <c r="X167" s="422">
        <f>SUM(J167:W167)</f>
        <v/>
      </c>
      <c r="Y167" s="423">
        <f>X168-X167</f>
        <v/>
      </c>
      <c r="Z167" s="209" t="n"/>
    </row>
    <row r="168" ht="14.25" customHeight="1" s="296">
      <c r="A168" s="154">
        <f>-A167</f>
        <v/>
      </c>
      <c r="B168" s="154">
        <f>B167</f>
        <v/>
      </c>
      <c r="C168" s="163" t="n"/>
      <c r="D168" s="424" t="n"/>
      <c r="E168" s="425" t="n"/>
      <c r="F168" s="426" t="n"/>
      <c r="G168" s="164" t="inlineStr">
        <is>
          <t>факт</t>
        </is>
      </c>
      <c r="H168" s="165" t="n"/>
      <c r="I168" s="250" t="n"/>
      <c r="J168" s="427">
        <f>SUMIF('09'!$D$7:$D$159,$C167,'09'!L$7:L$159)+SUMIF('10'!$D$7:$D$159,$C167,'10'!L$7:L$159)+SUMIF('11'!$D$7:$D$159,$C167,'11'!L$7:L$159)+SUMIF('12'!$D$7:$D$159,$C167,'12'!L$7:L$159)+SUMIF('01'!$D$7:$D$159,$C167,'01'!L$7:L$159)</f>
        <v/>
      </c>
      <c r="K168" s="428">
        <f>SUMIF('09'!$D$7:$D$159,$C167,'09'!M$7:M$159)+SUMIF('10'!$D$7:$D$159,$C167,'10'!M$7:M$159)+SUMIF('11'!$D$7:$D$159,$C167,'11'!M$7:M$159)+SUMIF('12'!$D$7:$D$159,$C167,'12'!M$7:M$159)+SUMIF('01'!$D$7:$D$159,$C167,'01'!M$7:M$159)</f>
        <v/>
      </c>
      <c r="L168" s="429">
        <f>SUMIF('09'!$D$7:$D$159,$C167,'09'!N$7:N$159)+SUMIF('10'!$D$7:$D$159,$C167,'10'!N$7:N$159)+SUMIF('11'!$D$7:$D$159,$C167,'11'!N$7:N$159)+SUMIF('12'!$D$7:$D$159,$C167,'12'!N$7:N$159)+SUMIF('01'!$D$7:$D$159,$C167,'01'!N$7:N$159)</f>
        <v/>
      </c>
      <c r="M168" s="427">
        <f>SUMIF('09'!$D$7:$D$159,$C167,'09'!O$7:O$159)+SUMIF('10'!$D$7:$D$159,$C167,'10'!O$7:O$159)+SUMIF('11'!$D$7:$D$159,$C167,'11'!O$7:O$159)+SUMIF('12'!$D$7:$D$159,$C167,'12'!O$7:O$159)+SUMIF('01'!$D$7:$D$159,$C167,'01'!O$7:O$159)</f>
        <v/>
      </c>
      <c r="N168" s="428">
        <f>SUMIF('09'!$D$7:$D$159,$C167,'09'!P$7:P$159)+SUMIF('10'!$D$7:$D$159,$C167,'10'!P$7:P$159)+SUMIF('11'!$D$7:$D$159,$C167,'11'!P$7:P$159)+SUMIF('12'!$D$7:$D$159,$C167,'12'!P$7:P$159)+SUMIF('01'!$D$7:$D$159,$C167,'01'!P$7:P$159)</f>
        <v/>
      </c>
      <c r="O168" s="429">
        <f>SUMIF('09'!$D$7:$D$159,$C167,'09'!Q$7:Q$159)+SUMIF('10'!$D$7:$D$159,$C167,'10'!Q$7:Q$159)+SUMIF('11'!$D$7:$D$159,$C167,'11'!Q$7:Q$159)+SUMIF('12'!$D$7:$D$159,$C167,'12'!Q$7:Q$159)+SUMIF('01'!$D$7:$D$159,$C167,'01'!Q$7:Q$159)</f>
        <v/>
      </c>
      <c r="P168" s="427">
        <f>SUMIF('09'!$D$7:$D$159,$C167,'09'!R$7:R$159)+SUMIF('10'!$D$7:$D$159,$C167,'10'!R$7:R$159)+SUMIF('11'!$D$7:$D$159,$C167,'11'!R$7:R$159)+SUMIF('12'!$D$7:$D$159,$C167,'12'!R$7:R$159)+SUMIF('01'!$D$7:$D$159,$C167,'01'!R$7:R$159)</f>
        <v/>
      </c>
      <c r="Q168" s="428">
        <f>SUMIF('09'!$D$7:$D$159,$C167,'09'!S$7:S$159)+SUMIF('10'!$D$7:$D$159,$C167,'10'!S$7:S$159)+SUMIF('11'!$D$7:$D$159,$C167,'11'!S$7:S$159)+SUMIF('12'!$D$7:$D$159,$C167,'12'!S$7:S$159)+SUMIF('01'!$D$7:$D$159,$C167,'01'!S$7:S$159)</f>
        <v/>
      </c>
      <c r="R168" s="429">
        <f>SUMIF('09'!$D$7:$D$159,$C167,'09'!T$7:T$159)+SUMIF('10'!$D$7:$D$159,$C167,'10'!T$7:T$159)+SUMIF('11'!$D$7:$D$159,$C167,'11'!T$7:T$159)+SUMIF('12'!$D$7:$D$159,$C167,'12'!T$7:T$159)+SUMIF('01'!$D$7:$D$159,$C167,'01'!T$7:T$159)</f>
        <v/>
      </c>
      <c r="S168" s="427">
        <f>SUMIF('09'!$D$7:$D$159,$C167,'09'!U$7:U$159)+SUMIF('10'!$D$7:$D$159,$C167,'10'!U$7:U$159)+SUMIF('11'!$D$7:$D$159,$C167,'11'!U$7:U$159)+SUMIF('12'!$D$7:$D$159,$C167,'12'!U$7:U$159)+SUMIF('01'!$D$7:$D$159,$C167,'01'!U$7:U$159)</f>
        <v/>
      </c>
      <c r="T168" s="428">
        <f>SUMIF('09'!$D$7:$D$159,$C167,'09'!V$7:V$159)+SUMIF('10'!$D$7:$D$159,$C167,'10'!V$7:V$159)+SUMIF('11'!$D$7:$D$159,$C167,'11'!V$7:V$159)+SUMIF('12'!$D$7:$D$159,$C167,'12'!V$7:V$159)+SUMIF('01'!$D$7:$D$159,$C167,'01'!V$7:V$159)</f>
        <v/>
      </c>
      <c r="U168" s="430">
        <f>SUMIF('09'!$D$7:$D$159,$C167,'09'!W$7:W$159)+SUMIF('10'!$D$7:$D$159,$C167,'10'!W$7:W$159)+SUMIF('11'!$D$7:$D$159,$C167,'11'!W$7:W$159)+SUMIF('12'!$D$7:$D$159,$C167,'12'!W$7:W$159)+SUMIF('01'!$D$7:$D$159,$C167,'01'!W$7:W$159)</f>
        <v/>
      </c>
      <c r="V168" s="429">
        <f>SUMIF('09'!$D$7:$D$159,$C167,'09'!X$7:X$159)+SUMIF('10'!$D$7:$D$159,$C167,'10'!X$7:X$159)+SUMIF('11'!$D$7:$D$159,$C167,'11'!X$7:X$159)+SUMIF('12'!$D$7:$D$159,$C167,'12'!X$7:X$159)+SUMIF('01'!$D$7:$D$159,$C167,'01'!X$7:X$159)</f>
        <v/>
      </c>
      <c r="W168" s="429">
        <f>SUMIF('09'!$D$7:$D$159,$C167,'09'!Y$7:Y$159)+SUMIF('10'!$D$7:$D$159,$C167,'10'!Y$7:Y$159)+SUMIF('11'!$D$7:$D$159,$C167,'11'!Y$7:Y$159)+SUMIF('12'!$D$7:$D$159,$C167,'12'!Y$7:Y$159)+SUMIF('01'!$D$7:$D$159,$C167,'01'!Y$7:Y$159)</f>
        <v/>
      </c>
      <c r="X168" s="431">
        <f>SUM(J168:W168)</f>
        <v/>
      </c>
      <c r="Y168" s="413" t="n"/>
      <c r="Z168" s="432" t="n"/>
    </row>
    <row r="169" ht="14.25" customHeight="1" s="296">
      <c r="A169" s="154">
        <f>IF(OR(C169="0",COUNTIF(КлючОсень,C169)&gt;1),0,MATCH(F169,ВидыНагр,0))</f>
        <v/>
      </c>
      <c r="B169" s="154">
        <f>(COUNTA(D169:F170,J169:W169,H169:I170)=0)</f>
        <v/>
      </c>
      <c r="C169" s="155">
        <f>IF(OR(TRIM(D169)="",COUNTIF(ВидыНагр,F169)&lt;&gt;1),"0",CONCATENATE("$",TRIM(D169),"$",TRIM(E169),"$",F169,"$"))</f>
        <v/>
      </c>
      <c r="D169" s="415" t="n"/>
      <c r="E169" s="416" t="n"/>
      <c r="F169" s="417" t="n"/>
      <c r="G169" s="156" t="inlineStr">
        <is>
          <t>план</t>
        </is>
      </c>
      <c r="H169" s="157" t="n"/>
      <c r="I169" s="158" t="n"/>
      <c r="J169" s="418" t="n"/>
      <c r="K169" s="419" t="n"/>
      <c r="L169" s="420" t="n"/>
      <c r="M169" s="418" t="n"/>
      <c r="N169" s="419" t="n"/>
      <c r="O169" s="420" t="n"/>
      <c r="P169" s="418" t="n"/>
      <c r="Q169" s="419" t="n"/>
      <c r="R169" s="420" t="n"/>
      <c r="S169" s="418" t="n"/>
      <c r="T169" s="419" t="n"/>
      <c r="U169" s="421" t="n"/>
      <c r="V169" s="420" t="n"/>
      <c r="W169" s="420" t="n"/>
      <c r="X169" s="422">
        <f>SUM(J169:W169)</f>
        <v/>
      </c>
      <c r="Y169" s="423">
        <f>X170-X169</f>
        <v/>
      </c>
      <c r="Z169" s="209" t="n"/>
    </row>
    <row r="170" ht="14.25" customHeight="1" s="296">
      <c r="A170" s="154">
        <f>-A169</f>
        <v/>
      </c>
      <c r="B170" s="154">
        <f>B169</f>
        <v/>
      </c>
      <c r="C170" s="163" t="n"/>
      <c r="D170" s="424" t="n"/>
      <c r="E170" s="425" t="n"/>
      <c r="F170" s="426" t="n"/>
      <c r="G170" s="164" t="inlineStr">
        <is>
          <t>факт</t>
        </is>
      </c>
      <c r="H170" s="165" t="n"/>
      <c r="I170" s="250" t="n"/>
      <c r="J170" s="427">
        <f>SUMIF('09'!$D$7:$D$159,$C169,'09'!L$7:L$159)+SUMIF('10'!$D$7:$D$159,$C169,'10'!L$7:L$159)+SUMIF('11'!$D$7:$D$159,$C169,'11'!L$7:L$159)+SUMIF('12'!$D$7:$D$159,$C169,'12'!L$7:L$159)+SUMIF('01'!$D$7:$D$159,$C169,'01'!L$7:L$159)</f>
        <v/>
      </c>
      <c r="K170" s="428">
        <f>SUMIF('09'!$D$7:$D$159,$C169,'09'!M$7:M$159)+SUMIF('10'!$D$7:$D$159,$C169,'10'!M$7:M$159)+SUMIF('11'!$D$7:$D$159,$C169,'11'!M$7:M$159)+SUMIF('12'!$D$7:$D$159,$C169,'12'!M$7:M$159)+SUMIF('01'!$D$7:$D$159,$C169,'01'!M$7:M$159)</f>
        <v/>
      </c>
      <c r="L170" s="429">
        <f>SUMIF('09'!$D$7:$D$159,$C169,'09'!N$7:N$159)+SUMIF('10'!$D$7:$D$159,$C169,'10'!N$7:N$159)+SUMIF('11'!$D$7:$D$159,$C169,'11'!N$7:N$159)+SUMIF('12'!$D$7:$D$159,$C169,'12'!N$7:N$159)+SUMIF('01'!$D$7:$D$159,$C169,'01'!N$7:N$159)</f>
        <v/>
      </c>
      <c r="M170" s="427">
        <f>SUMIF('09'!$D$7:$D$159,$C169,'09'!O$7:O$159)+SUMIF('10'!$D$7:$D$159,$C169,'10'!O$7:O$159)+SUMIF('11'!$D$7:$D$159,$C169,'11'!O$7:O$159)+SUMIF('12'!$D$7:$D$159,$C169,'12'!O$7:O$159)+SUMIF('01'!$D$7:$D$159,$C169,'01'!O$7:O$159)</f>
        <v/>
      </c>
      <c r="N170" s="428">
        <f>SUMIF('09'!$D$7:$D$159,$C169,'09'!P$7:P$159)+SUMIF('10'!$D$7:$D$159,$C169,'10'!P$7:P$159)+SUMIF('11'!$D$7:$D$159,$C169,'11'!P$7:P$159)+SUMIF('12'!$D$7:$D$159,$C169,'12'!P$7:P$159)+SUMIF('01'!$D$7:$D$159,$C169,'01'!P$7:P$159)</f>
        <v/>
      </c>
      <c r="O170" s="429">
        <f>SUMIF('09'!$D$7:$D$159,$C169,'09'!Q$7:Q$159)+SUMIF('10'!$D$7:$D$159,$C169,'10'!Q$7:Q$159)+SUMIF('11'!$D$7:$D$159,$C169,'11'!Q$7:Q$159)+SUMIF('12'!$D$7:$D$159,$C169,'12'!Q$7:Q$159)+SUMIF('01'!$D$7:$D$159,$C169,'01'!Q$7:Q$159)</f>
        <v/>
      </c>
      <c r="P170" s="427">
        <f>SUMIF('09'!$D$7:$D$159,$C169,'09'!R$7:R$159)+SUMIF('10'!$D$7:$D$159,$C169,'10'!R$7:R$159)+SUMIF('11'!$D$7:$D$159,$C169,'11'!R$7:R$159)+SUMIF('12'!$D$7:$D$159,$C169,'12'!R$7:R$159)+SUMIF('01'!$D$7:$D$159,$C169,'01'!R$7:R$159)</f>
        <v/>
      </c>
      <c r="Q170" s="428">
        <f>SUMIF('09'!$D$7:$D$159,$C169,'09'!S$7:S$159)+SUMIF('10'!$D$7:$D$159,$C169,'10'!S$7:S$159)+SUMIF('11'!$D$7:$D$159,$C169,'11'!S$7:S$159)+SUMIF('12'!$D$7:$D$159,$C169,'12'!S$7:S$159)+SUMIF('01'!$D$7:$D$159,$C169,'01'!S$7:S$159)</f>
        <v/>
      </c>
      <c r="R170" s="429">
        <f>SUMIF('09'!$D$7:$D$159,$C169,'09'!T$7:T$159)+SUMIF('10'!$D$7:$D$159,$C169,'10'!T$7:T$159)+SUMIF('11'!$D$7:$D$159,$C169,'11'!T$7:T$159)+SUMIF('12'!$D$7:$D$159,$C169,'12'!T$7:T$159)+SUMIF('01'!$D$7:$D$159,$C169,'01'!T$7:T$159)</f>
        <v/>
      </c>
      <c r="S170" s="427">
        <f>SUMIF('09'!$D$7:$D$159,$C169,'09'!U$7:U$159)+SUMIF('10'!$D$7:$D$159,$C169,'10'!U$7:U$159)+SUMIF('11'!$D$7:$D$159,$C169,'11'!U$7:U$159)+SUMIF('12'!$D$7:$D$159,$C169,'12'!U$7:U$159)+SUMIF('01'!$D$7:$D$159,$C169,'01'!U$7:U$159)</f>
        <v/>
      </c>
      <c r="T170" s="428">
        <f>SUMIF('09'!$D$7:$D$159,$C169,'09'!V$7:V$159)+SUMIF('10'!$D$7:$D$159,$C169,'10'!V$7:V$159)+SUMIF('11'!$D$7:$D$159,$C169,'11'!V$7:V$159)+SUMIF('12'!$D$7:$D$159,$C169,'12'!V$7:V$159)+SUMIF('01'!$D$7:$D$159,$C169,'01'!V$7:V$159)</f>
        <v/>
      </c>
      <c r="U170" s="430">
        <f>SUMIF('09'!$D$7:$D$159,$C169,'09'!W$7:W$159)+SUMIF('10'!$D$7:$D$159,$C169,'10'!W$7:W$159)+SUMIF('11'!$D$7:$D$159,$C169,'11'!W$7:W$159)+SUMIF('12'!$D$7:$D$159,$C169,'12'!W$7:W$159)+SUMIF('01'!$D$7:$D$159,$C169,'01'!W$7:W$159)</f>
        <v/>
      </c>
      <c r="V170" s="429">
        <f>SUMIF('09'!$D$7:$D$159,$C169,'09'!X$7:X$159)+SUMIF('10'!$D$7:$D$159,$C169,'10'!X$7:X$159)+SUMIF('11'!$D$7:$D$159,$C169,'11'!X$7:X$159)+SUMIF('12'!$D$7:$D$159,$C169,'12'!X$7:X$159)+SUMIF('01'!$D$7:$D$159,$C169,'01'!X$7:X$159)</f>
        <v/>
      </c>
      <c r="W170" s="429">
        <f>SUMIF('09'!$D$7:$D$159,$C169,'09'!Y$7:Y$159)+SUMIF('10'!$D$7:$D$159,$C169,'10'!Y$7:Y$159)+SUMIF('11'!$D$7:$D$159,$C169,'11'!Y$7:Y$159)+SUMIF('12'!$D$7:$D$159,$C169,'12'!Y$7:Y$159)+SUMIF('01'!$D$7:$D$159,$C169,'01'!Y$7:Y$159)</f>
        <v/>
      </c>
      <c r="X170" s="431">
        <f>SUM(J170:W170)</f>
        <v/>
      </c>
      <c r="Y170" s="413" t="n"/>
      <c r="Z170" s="432" t="n"/>
    </row>
    <row r="171" ht="14.25" customHeight="1" s="296">
      <c r="A171" s="154">
        <f>IF(OR(C171="0",COUNTIF(КлючОсень,C171)&gt;1),0,MATCH(F171,ВидыНагр,0))</f>
        <v/>
      </c>
      <c r="B171" s="154">
        <f>(COUNTA(D171:F172,J171:W171,H171:I172)=0)</f>
        <v/>
      </c>
      <c r="C171" s="155">
        <f>IF(OR(TRIM(D171)="",COUNTIF(ВидыНагр,F171)&lt;&gt;1),"0",CONCATENATE("$",TRIM(D171),"$",TRIM(E171),"$",F171,"$"))</f>
        <v/>
      </c>
      <c r="D171" s="415" t="n"/>
      <c r="E171" s="416" t="n"/>
      <c r="F171" s="417" t="n"/>
      <c r="G171" s="156" t="inlineStr">
        <is>
          <t>план</t>
        </is>
      </c>
      <c r="H171" s="157" t="n"/>
      <c r="I171" s="158" t="n"/>
      <c r="J171" s="418" t="n"/>
      <c r="K171" s="419" t="n"/>
      <c r="L171" s="420" t="n"/>
      <c r="M171" s="418" t="n"/>
      <c r="N171" s="419" t="n"/>
      <c r="O171" s="420" t="n"/>
      <c r="P171" s="418" t="n"/>
      <c r="Q171" s="419" t="n"/>
      <c r="R171" s="420" t="n"/>
      <c r="S171" s="418" t="n"/>
      <c r="T171" s="419" t="n"/>
      <c r="U171" s="421" t="n"/>
      <c r="V171" s="420" t="n"/>
      <c r="W171" s="420" t="n"/>
      <c r="X171" s="422">
        <f>SUM(J171:W171)</f>
        <v/>
      </c>
      <c r="Y171" s="423">
        <f>X172-X171</f>
        <v/>
      </c>
      <c r="Z171" s="209" t="n"/>
    </row>
    <row r="172" ht="14.25" customHeight="1" s="296">
      <c r="A172" s="154">
        <f>-A171</f>
        <v/>
      </c>
      <c r="B172" s="154">
        <f>B171</f>
        <v/>
      </c>
      <c r="C172" s="163" t="n"/>
      <c r="D172" s="424" t="n"/>
      <c r="E172" s="425" t="n"/>
      <c r="F172" s="426" t="n"/>
      <c r="G172" s="164" t="inlineStr">
        <is>
          <t>факт</t>
        </is>
      </c>
      <c r="H172" s="165" t="n"/>
      <c r="I172" s="250" t="n"/>
      <c r="J172" s="427">
        <f>SUMIF('09'!$D$7:$D$159,$C171,'09'!L$7:L$159)+SUMIF('10'!$D$7:$D$159,$C171,'10'!L$7:L$159)+SUMIF('11'!$D$7:$D$159,$C171,'11'!L$7:L$159)+SUMIF('12'!$D$7:$D$159,$C171,'12'!L$7:L$159)+SUMIF('01'!$D$7:$D$159,$C171,'01'!L$7:L$159)</f>
        <v/>
      </c>
      <c r="K172" s="428">
        <f>SUMIF('09'!$D$7:$D$159,$C171,'09'!M$7:M$159)+SUMIF('10'!$D$7:$D$159,$C171,'10'!M$7:M$159)+SUMIF('11'!$D$7:$D$159,$C171,'11'!M$7:M$159)+SUMIF('12'!$D$7:$D$159,$C171,'12'!M$7:M$159)+SUMIF('01'!$D$7:$D$159,$C171,'01'!M$7:M$159)</f>
        <v/>
      </c>
      <c r="L172" s="429">
        <f>SUMIF('09'!$D$7:$D$159,$C171,'09'!N$7:N$159)+SUMIF('10'!$D$7:$D$159,$C171,'10'!N$7:N$159)+SUMIF('11'!$D$7:$D$159,$C171,'11'!N$7:N$159)+SUMIF('12'!$D$7:$D$159,$C171,'12'!N$7:N$159)+SUMIF('01'!$D$7:$D$159,$C171,'01'!N$7:N$159)</f>
        <v/>
      </c>
      <c r="M172" s="427">
        <f>SUMIF('09'!$D$7:$D$159,$C171,'09'!O$7:O$159)+SUMIF('10'!$D$7:$D$159,$C171,'10'!O$7:O$159)+SUMIF('11'!$D$7:$D$159,$C171,'11'!O$7:O$159)+SUMIF('12'!$D$7:$D$159,$C171,'12'!O$7:O$159)+SUMIF('01'!$D$7:$D$159,$C171,'01'!O$7:O$159)</f>
        <v/>
      </c>
      <c r="N172" s="428">
        <f>SUMIF('09'!$D$7:$D$159,$C171,'09'!P$7:P$159)+SUMIF('10'!$D$7:$D$159,$C171,'10'!P$7:P$159)+SUMIF('11'!$D$7:$D$159,$C171,'11'!P$7:P$159)+SUMIF('12'!$D$7:$D$159,$C171,'12'!P$7:P$159)+SUMIF('01'!$D$7:$D$159,$C171,'01'!P$7:P$159)</f>
        <v/>
      </c>
      <c r="O172" s="429">
        <f>SUMIF('09'!$D$7:$D$159,$C171,'09'!Q$7:Q$159)+SUMIF('10'!$D$7:$D$159,$C171,'10'!Q$7:Q$159)+SUMIF('11'!$D$7:$D$159,$C171,'11'!Q$7:Q$159)+SUMIF('12'!$D$7:$D$159,$C171,'12'!Q$7:Q$159)+SUMIF('01'!$D$7:$D$159,$C171,'01'!Q$7:Q$159)</f>
        <v/>
      </c>
      <c r="P172" s="427">
        <f>SUMIF('09'!$D$7:$D$159,$C171,'09'!R$7:R$159)+SUMIF('10'!$D$7:$D$159,$C171,'10'!R$7:R$159)+SUMIF('11'!$D$7:$D$159,$C171,'11'!R$7:R$159)+SUMIF('12'!$D$7:$D$159,$C171,'12'!R$7:R$159)+SUMIF('01'!$D$7:$D$159,$C171,'01'!R$7:R$159)</f>
        <v/>
      </c>
      <c r="Q172" s="428">
        <f>SUMIF('09'!$D$7:$D$159,$C171,'09'!S$7:S$159)+SUMIF('10'!$D$7:$D$159,$C171,'10'!S$7:S$159)+SUMIF('11'!$D$7:$D$159,$C171,'11'!S$7:S$159)+SUMIF('12'!$D$7:$D$159,$C171,'12'!S$7:S$159)+SUMIF('01'!$D$7:$D$159,$C171,'01'!S$7:S$159)</f>
        <v/>
      </c>
      <c r="R172" s="429">
        <f>SUMIF('09'!$D$7:$D$159,$C171,'09'!T$7:T$159)+SUMIF('10'!$D$7:$D$159,$C171,'10'!T$7:T$159)+SUMIF('11'!$D$7:$D$159,$C171,'11'!T$7:T$159)+SUMIF('12'!$D$7:$D$159,$C171,'12'!T$7:T$159)+SUMIF('01'!$D$7:$D$159,$C171,'01'!T$7:T$159)</f>
        <v/>
      </c>
      <c r="S172" s="427">
        <f>SUMIF('09'!$D$7:$D$159,$C171,'09'!U$7:U$159)+SUMIF('10'!$D$7:$D$159,$C171,'10'!U$7:U$159)+SUMIF('11'!$D$7:$D$159,$C171,'11'!U$7:U$159)+SUMIF('12'!$D$7:$D$159,$C171,'12'!U$7:U$159)+SUMIF('01'!$D$7:$D$159,$C171,'01'!U$7:U$159)</f>
        <v/>
      </c>
      <c r="T172" s="428">
        <f>SUMIF('09'!$D$7:$D$159,$C171,'09'!V$7:V$159)+SUMIF('10'!$D$7:$D$159,$C171,'10'!V$7:V$159)+SUMIF('11'!$D$7:$D$159,$C171,'11'!V$7:V$159)+SUMIF('12'!$D$7:$D$159,$C171,'12'!V$7:V$159)+SUMIF('01'!$D$7:$D$159,$C171,'01'!V$7:V$159)</f>
        <v/>
      </c>
      <c r="U172" s="430">
        <f>SUMIF('09'!$D$7:$D$159,$C171,'09'!W$7:W$159)+SUMIF('10'!$D$7:$D$159,$C171,'10'!W$7:W$159)+SUMIF('11'!$D$7:$D$159,$C171,'11'!W$7:W$159)+SUMIF('12'!$D$7:$D$159,$C171,'12'!W$7:W$159)+SUMIF('01'!$D$7:$D$159,$C171,'01'!W$7:W$159)</f>
        <v/>
      </c>
      <c r="V172" s="429">
        <f>SUMIF('09'!$D$7:$D$159,$C171,'09'!X$7:X$159)+SUMIF('10'!$D$7:$D$159,$C171,'10'!X$7:X$159)+SUMIF('11'!$D$7:$D$159,$C171,'11'!X$7:X$159)+SUMIF('12'!$D$7:$D$159,$C171,'12'!X$7:X$159)+SUMIF('01'!$D$7:$D$159,$C171,'01'!X$7:X$159)</f>
        <v/>
      </c>
      <c r="W172" s="429">
        <f>SUMIF('09'!$D$7:$D$159,$C171,'09'!Y$7:Y$159)+SUMIF('10'!$D$7:$D$159,$C171,'10'!Y$7:Y$159)+SUMIF('11'!$D$7:$D$159,$C171,'11'!Y$7:Y$159)+SUMIF('12'!$D$7:$D$159,$C171,'12'!Y$7:Y$159)+SUMIF('01'!$D$7:$D$159,$C171,'01'!Y$7:Y$159)</f>
        <v/>
      </c>
      <c r="X172" s="431">
        <f>SUM(J172:W172)</f>
        <v/>
      </c>
      <c r="Y172" s="413" t="n"/>
      <c r="Z172" s="432" t="n"/>
    </row>
    <row r="173" ht="14.25" customHeight="1" s="296">
      <c r="A173" s="154">
        <f>IF(OR(C173="0",COUNTIF(КлючОсень,C173)&gt;1),0,MATCH(F173,ВидыНагр,0))</f>
        <v/>
      </c>
      <c r="B173" s="154">
        <f>(COUNTA(D173:F174,J173:W173,H173:I174)=0)</f>
        <v/>
      </c>
      <c r="C173" s="155">
        <f>IF(OR(TRIM(D173)="",COUNTIF(ВидыНагр,F173)&lt;&gt;1),"0",CONCATENATE("$",TRIM(D173),"$",TRIM(E173),"$",F173,"$"))</f>
        <v/>
      </c>
      <c r="D173" s="415" t="n"/>
      <c r="E173" s="416" t="n"/>
      <c r="F173" s="417" t="n"/>
      <c r="G173" s="156" t="inlineStr">
        <is>
          <t>план</t>
        </is>
      </c>
      <c r="H173" s="157" t="n"/>
      <c r="I173" s="158" t="n"/>
      <c r="J173" s="418" t="n"/>
      <c r="K173" s="419" t="n"/>
      <c r="L173" s="420" t="n"/>
      <c r="M173" s="418" t="n"/>
      <c r="N173" s="419" t="n"/>
      <c r="O173" s="420" t="n"/>
      <c r="P173" s="418" t="n"/>
      <c r="Q173" s="419" t="n"/>
      <c r="R173" s="420" t="n"/>
      <c r="S173" s="418" t="n"/>
      <c r="T173" s="419" t="n"/>
      <c r="U173" s="421" t="n"/>
      <c r="V173" s="420" t="n"/>
      <c r="W173" s="420" t="n"/>
      <c r="X173" s="422">
        <f>SUM(J173:W173)</f>
        <v/>
      </c>
      <c r="Y173" s="423">
        <f>X174-X173</f>
        <v/>
      </c>
      <c r="Z173" s="209" t="n"/>
    </row>
    <row r="174" ht="14.25" customHeight="1" s="296">
      <c r="A174" s="154">
        <f>-A173</f>
        <v/>
      </c>
      <c r="B174" s="154">
        <f>B173</f>
        <v/>
      </c>
      <c r="C174" s="163" t="n"/>
      <c r="D174" s="424" t="n"/>
      <c r="E174" s="425" t="n"/>
      <c r="F174" s="426" t="n"/>
      <c r="G174" s="164" t="inlineStr">
        <is>
          <t>факт</t>
        </is>
      </c>
      <c r="H174" s="165" t="n"/>
      <c r="I174" s="250" t="n"/>
      <c r="J174" s="427">
        <f>SUMIF('09'!$D$7:$D$159,$C173,'09'!L$7:L$159)+SUMIF('10'!$D$7:$D$159,$C173,'10'!L$7:L$159)+SUMIF('11'!$D$7:$D$159,$C173,'11'!L$7:L$159)+SUMIF('12'!$D$7:$D$159,$C173,'12'!L$7:L$159)+SUMIF('01'!$D$7:$D$159,$C173,'01'!L$7:L$159)</f>
        <v/>
      </c>
      <c r="K174" s="428">
        <f>SUMIF('09'!$D$7:$D$159,$C173,'09'!M$7:M$159)+SUMIF('10'!$D$7:$D$159,$C173,'10'!M$7:M$159)+SUMIF('11'!$D$7:$D$159,$C173,'11'!M$7:M$159)+SUMIF('12'!$D$7:$D$159,$C173,'12'!M$7:M$159)+SUMIF('01'!$D$7:$D$159,$C173,'01'!M$7:M$159)</f>
        <v/>
      </c>
      <c r="L174" s="429">
        <f>SUMIF('09'!$D$7:$D$159,$C173,'09'!N$7:N$159)+SUMIF('10'!$D$7:$D$159,$C173,'10'!N$7:N$159)+SUMIF('11'!$D$7:$D$159,$C173,'11'!N$7:N$159)+SUMIF('12'!$D$7:$D$159,$C173,'12'!N$7:N$159)+SUMIF('01'!$D$7:$D$159,$C173,'01'!N$7:N$159)</f>
        <v/>
      </c>
      <c r="M174" s="427">
        <f>SUMIF('09'!$D$7:$D$159,$C173,'09'!O$7:O$159)+SUMIF('10'!$D$7:$D$159,$C173,'10'!O$7:O$159)+SUMIF('11'!$D$7:$D$159,$C173,'11'!O$7:O$159)+SUMIF('12'!$D$7:$D$159,$C173,'12'!O$7:O$159)+SUMIF('01'!$D$7:$D$159,$C173,'01'!O$7:O$159)</f>
        <v/>
      </c>
      <c r="N174" s="428">
        <f>SUMIF('09'!$D$7:$D$159,$C173,'09'!P$7:P$159)+SUMIF('10'!$D$7:$D$159,$C173,'10'!P$7:P$159)+SUMIF('11'!$D$7:$D$159,$C173,'11'!P$7:P$159)+SUMIF('12'!$D$7:$D$159,$C173,'12'!P$7:P$159)+SUMIF('01'!$D$7:$D$159,$C173,'01'!P$7:P$159)</f>
        <v/>
      </c>
      <c r="O174" s="429">
        <f>SUMIF('09'!$D$7:$D$159,$C173,'09'!Q$7:Q$159)+SUMIF('10'!$D$7:$D$159,$C173,'10'!Q$7:Q$159)+SUMIF('11'!$D$7:$D$159,$C173,'11'!Q$7:Q$159)+SUMIF('12'!$D$7:$D$159,$C173,'12'!Q$7:Q$159)+SUMIF('01'!$D$7:$D$159,$C173,'01'!Q$7:Q$159)</f>
        <v/>
      </c>
      <c r="P174" s="427">
        <f>SUMIF('09'!$D$7:$D$159,$C173,'09'!R$7:R$159)+SUMIF('10'!$D$7:$D$159,$C173,'10'!R$7:R$159)+SUMIF('11'!$D$7:$D$159,$C173,'11'!R$7:R$159)+SUMIF('12'!$D$7:$D$159,$C173,'12'!R$7:R$159)+SUMIF('01'!$D$7:$D$159,$C173,'01'!R$7:R$159)</f>
        <v/>
      </c>
      <c r="Q174" s="428">
        <f>SUMIF('09'!$D$7:$D$159,$C173,'09'!S$7:S$159)+SUMIF('10'!$D$7:$D$159,$C173,'10'!S$7:S$159)+SUMIF('11'!$D$7:$D$159,$C173,'11'!S$7:S$159)+SUMIF('12'!$D$7:$D$159,$C173,'12'!S$7:S$159)+SUMIF('01'!$D$7:$D$159,$C173,'01'!S$7:S$159)</f>
        <v/>
      </c>
      <c r="R174" s="429">
        <f>SUMIF('09'!$D$7:$D$159,$C173,'09'!T$7:T$159)+SUMIF('10'!$D$7:$D$159,$C173,'10'!T$7:T$159)+SUMIF('11'!$D$7:$D$159,$C173,'11'!T$7:T$159)+SUMIF('12'!$D$7:$D$159,$C173,'12'!T$7:T$159)+SUMIF('01'!$D$7:$D$159,$C173,'01'!T$7:T$159)</f>
        <v/>
      </c>
      <c r="S174" s="427">
        <f>SUMIF('09'!$D$7:$D$159,$C173,'09'!U$7:U$159)+SUMIF('10'!$D$7:$D$159,$C173,'10'!U$7:U$159)+SUMIF('11'!$D$7:$D$159,$C173,'11'!U$7:U$159)+SUMIF('12'!$D$7:$D$159,$C173,'12'!U$7:U$159)+SUMIF('01'!$D$7:$D$159,$C173,'01'!U$7:U$159)</f>
        <v/>
      </c>
      <c r="T174" s="428">
        <f>SUMIF('09'!$D$7:$D$159,$C173,'09'!V$7:V$159)+SUMIF('10'!$D$7:$D$159,$C173,'10'!V$7:V$159)+SUMIF('11'!$D$7:$D$159,$C173,'11'!V$7:V$159)+SUMIF('12'!$D$7:$D$159,$C173,'12'!V$7:V$159)+SUMIF('01'!$D$7:$D$159,$C173,'01'!V$7:V$159)</f>
        <v/>
      </c>
      <c r="U174" s="430">
        <f>SUMIF('09'!$D$7:$D$159,$C173,'09'!W$7:W$159)+SUMIF('10'!$D$7:$D$159,$C173,'10'!W$7:W$159)+SUMIF('11'!$D$7:$D$159,$C173,'11'!W$7:W$159)+SUMIF('12'!$D$7:$D$159,$C173,'12'!W$7:W$159)+SUMIF('01'!$D$7:$D$159,$C173,'01'!W$7:W$159)</f>
        <v/>
      </c>
      <c r="V174" s="429">
        <f>SUMIF('09'!$D$7:$D$159,$C173,'09'!X$7:X$159)+SUMIF('10'!$D$7:$D$159,$C173,'10'!X$7:X$159)+SUMIF('11'!$D$7:$D$159,$C173,'11'!X$7:X$159)+SUMIF('12'!$D$7:$D$159,$C173,'12'!X$7:X$159)+SUMIF('01'!$D$7:$D$159,$C173,'01'!X$7:X$159)</f>
        <v/>
      </c>
      <c r="W174" s="429">
        <f>SUMIF('09'!$D$7:$D$159,$C173,'09'!Y$7:Y$159)+SUMIF('10'!$D$7:$D$159,$C173,'10'!Y$7:Y$159)+SUMIF('11'!$D$7:$D$159,$C173,'11'!Y$7:Y$159)+SUMIF('12'!$D$7:$D$159,$C173,'12'!Y$7:Y$159)+SUMIF('01'!$D$7:$D$159,$C173,'01'!Y$7:Y$159)</f>
        <v/>
      </c>
      <c r="X174" s="431">
        <f>SUM(J174:W174)</f>
        <v/>
      </c>
      <c r="Y174" s="413" t="n"/>
      <c r="Z174" s="432" t="n"/>
    </row>
    <row r="175" ht="14.25" customHeight="1" s="296">
      <c r="A175" s="154">
        <f>IF(OR(C175="0",COUNTIF(КлючОсень,C175)&gt;1),0,MATCH(F175,ВидыНагр,0))</f>
        <v/>
      </c>
      <c r="B175" s="154">
        <f>(COUNTA(D175:F176,J175:W175,H175:I176)=0)</f>
        <v/>
      </c>
      <c r="C175" s="155">
        <f>IF(OR(TRIM(D175)="",COUNTIF(ВидыНагр,F175)&lt;&gt;1),"0",CONCATENATE("$",TRIM(D175),"$",TRIM(E175),"$",F175,"$"))</f>
        <v/>
      </c>
      <c r="D175" s="415" t="n"/>
      <c r="E175" s="416" t="n"/>
      <c r="F175" s="417" t="n"/>
      <c r="G175" s="156" t="inlineStr">
        <is>
          <t>план</t>
        </is>
      </c>
      <c r="H175" s="157" t="n"/>
      <c r="I175" s="158" t="n"/>
      <c r="J175" s="418" t="n"/>
      <c r="K175" s="419" t="n"/>
      <c r="L175" s="420" t="n"/>
      <c r="M175" s="418" t="n"/>
      <c r="N175" s="419" t="n"/>
      <c r="O175" s="420" t="n"/>
      <c r="P175" s="418" t="n"/>
      <c r="Q175" s="419" t="n"/>
      <c r="R175" s="420" t="n"/>
      <c r="S175" s="418" t="n"/>
      <c r="T175" s="419" t="n"/>
      <c r="U175" s="421" t="n"/>
      <c r="V175" s="420" t="n"/>
      <c r="W175" s="420" t="n"/>
      <c r="X175" s="422">
        <f>SUM(J175:W175)</f>
        <v/>
      </c>
      <c r="Y175" s="423">
        <f>X176-X175</f>
        <v/>
      </c>
      <c r="Z175" s="209" t="n"/>
    </row>
    <row r="176" ht="14.25" customHeight="1" s="296">
      <c r="A176" s="154">
        <f>-A175</f>
        <v/>
      </c>
      <c r="B176" s="154">
        <f>B175</f>
        <v/>
      </c>
      <c r="C176" s="163" t="n"/>
      <c r="D176" s="424" t="n"/>
      <c r="E176" s="425" t="n"/>
      <c r="F176" s="426" t="n"/>
      <c r="G176" s="164" t="inlineStr">
        <is>
          <t>факт</t>
        </is>
      </c>
      <c r="H176" s="165" t="n"/>
      <c r="I176" s="250" t="n"/>
      <c r="J176" s="427">
        <f>SUMIF('09'!$D$7:$D$159,$C175,'09'!L$7:L$159)+SUMIF('10'!$D$7:$D$159,$C175,'10'!L$7:L$159)+SUMIF('11'!$D$7:$D$159,$C175,'11'!L$7:L$159)+SUMIF('12'!$D$7:$D$159,$C175,'12'!L$7:L$159)+SUMIF('01'!$D$7:$D$159,$C175,'01'!L$7:L$159)</f>
        <v/>
      </c>
      <c r="K176" s="428">
        <f>SUMIF('09'!$D$7:$D$159,$C175,'09'!M$7:M$159)+SUMIF('10'!$D$7:$D$159,$C175,'10'!M$7:M$159)+SUMIF('11'!$D$7:$D$159,$C175,'11'!M$7:M$159)+SUMIF('12'!$D$7:$D$159,$C175,'12'!M$7:M$159)+SUMIF('01'!$D$7:$D$159,$C175,'01'!M$7:M$159)</f>
        <v/>
      </c>
      <c r="L176" s="429">
        <f>SUMIF('09'!$D$7:$D$159,$C175,'09'!N$7:N$159)+SUMIF('10'!$D$7:$D$159,$C175,'10'!N$7:N$159)+SUMIF('11'!$D$7:$D$159,$C175,'11'!N$7:N$159)+SUMIF('12'!$D$7:$D$159,$C175,'12'!N$7:N$159)+SUMIF('01'!$D$7:$D$159,$C175,'01'!N$7:N$159)</f>
        <v/>
      </c>
      <c r="M176" s="427">
        <f>SUMIF('09'!$D$7:$D$159,$C175,'09'!O$7:O$159)+SUMIF('10'!$D$7:$D$159,$C175,'10'!O$7:O$159)+SUMIF('11'!$D$7:$D$159,$C175,'11'!O$7:O$159)+SUMIF('12'!$D$7:$D$159,$C175,'12'!O$7:O$159)+SUMIF('01'!$D$7:$D$159,$C175,'01'!O$7:O$159)</f>
        <v/>
      </c>
      <c r="N176" s="428">
        <f>SUMIF('09'!$D$7:$D$159,$C175,'09'!P$7:P$159)+SUMIF('10'!$D$7:$D$159,$C175,'10'!P$7:P$159)+SUMIF('11'!$D$7:$D$159,$C175,'11'!P$7:P$159)+SUMIF('12'!$D$7:$D$159,$C175,'12'!P$7:P$159)+SUMIF('01'!$D$7:$D$159,$C175,'01'!P$7:P$159)</f>
        <v/>
      </c>
      <c r="O176" s="429">
        <f>SUMIF('09'!$D$7:$D$159,$C175,'09'!Q$7:Q$159)+SUMIF('10'!$D$7:$D$159,$C175,'10'!Q$7:Q$159)+SUMIF('11'!$D$7:$D$159,$C175,'11'!Q$7:Q$159)+SUMIF('12'!$D$7:$D$159,$C175,'12'!Q$7:Q$159)+SUMIF('01'!$D$7:$D$159,$C175,'01'!Q$7:Q$159)</f>
        <v/>
      </c>
      <c r="P176" s="427">
        <f>SUMIF('09'!$D$7:$D$159,$C175,'09'!R$7:R$159)+SUMIF('10'!$D$7:$D$159,$C175,'10'!R$7:R$159)+SUMIF('11'!$D$7:$D$159,$C175,'11'!R$7:R$159)+SUMIF('12'!$D$7:$D$159,$C175,'12'!R$7:R$159)+SUMIF('01'!$D$7:$D$159,$C175,'01'!R$7:R$159)</f>
        <v/>
      </c>
      <c r="Q176" s="428">
        <f>SUMIF('09'!$D$7:$D$159,$C175,'09'!S$7:S$159)+SUMIF('10'!$D$7:$D$159,$C175,'10'!S$7:S$159)+SUMIF('11'!$D$7:$D$159,$C175,'11'!S$7:S$159)+SUMIF('12'!$D$7:$D$159,$C175,'12'!S$7:S$159)+SUMIF('01'!$D$7:$D$159,$C175,'01'!S$7:S$159)</f>
        <v/>
      </c>
      <c r="R176" s="429">
        <f>SUMIF('09'!$D$7:$D$159,$C175,'09'!T$7:T$159)+SUMIF('10'!$D$7:$D$159,$C175,'10'!T$7:T$159)+SUMIF('11'!$D$7:$D$159,$C175,'11'!T$7:T$159)+SUMIF('12'!$D$7:$D$159,$C175,'12'!T$7:T$159)+SUMIF('01'!$D$7:$D$159,$C175,'01'!T$7:T$159)</f>
        <v/>
      </c>
      <c r="S176" s="427">
        <f>SUMIF('09'!$D$7:$D$159,$C175,'09'!U$7:U$159)+SUMIF('10'!$D$7:$D$159,$C175,'10'!U$7:U$159)+SUMIF('11'!$D$7:$D$159,$C175,'11'!U$7:U$159)+SUMIF('12'!$D$7:$D$159,$C175,'12'!U$7:U$159)+SUMIF('01'!$D$7:$D$159,$C175,'01'!U$7:U$159)</f>
        <v/>
      </c>
      <c r="T176" s="428">
        <f>SUMIF('09'!$D$7:$D$159,$C175,'09'!V$7:V$159)+SUMIF('10'!$D$7:$D$159,$C175,'10'!V$7:V$159)+SUMIF('11'!$D$7:$D$159,$C175,'11'!V$7:V$159)+SUMIF('12'!$D$7:$D$159,$C175,'12'!V$7:V$159)+SUMIF('01'!$D$7:$D$159,$C175,'01'!V$7:V$159)</f>
        <v/>
      </c>
      <c r="U176" s="430">
        <f>SUMIF('09'!$D$7:$D$159,$C175,'09'!W$7:W$159)+SUMIF('10'!$D$7:$D$159,$C175,'10'!W$7:W$159)+SUMIF('11'!$D$7:$D$159,$C175,'11'!W$7:W$159)+SUMIF('12'!$D$7:$D$159,$C175,'12'!W$7:W$159)+SUMIF('01'!$D$7:$D$159,$C175,'01'!W$7:W$159)</f>
        <v/>
      </c>
      <c r="V176" s="429">
        <f>SUMIF('09'!$D$7:$D$159,$C175,'09'!X$7:X$159)+SUMIF('10'!$D$7:$D$159,$C175,'10'!X$7:X$159)+SUMIF('11'!$D$7:$D$159,$C175,'11'!X$7:X$159)+SUMIF('12'!$D$7:$D$159,$C175,'12'!X$7:X$159)+SUMIF('01'!$D$7:$D$159,$C175,'01'!X$7:X$159)</f>
        <v/>
      </c>
      <c r="W176" s="429">
        <f>SUMIF('09'!$D$7:$D$159,$C175,'09'!Y$7:Y$159)+SUMIF('10'!$D$7:$D$159,$C175,'10'!Y$7:Y$159)+SUMIF('11'!$D$7:$D$159,$C175,'11'!Y$7:Y$159)+SUMIF('12'!$D$7:$D$159,$C175,'12'!Y$7:Y$159)+SUMIF('01'!$D$7:$D$159,$C175,'01'!Y$7:Y$159)</f>
        <v/>
      </c>
      <c r="X176" s="431">
        <f>SUM(J176:W176)</f>
        <v/>
      </c>
      <c r="Y176" s="413" t="n"/>
      <c r="Z176" s="432" t="n"/>
    </row>
    <row r="177" ht="14.25" customHeight="1" s="296">
      <c r="A177" s="154">
        <f>IF(OR(C177="0",COUNTIF(КлючОсень,C177)&gt;1),0,MATCH(F177,ВидыНагр,0))</f>
        <v/>
      </c>
      <c r="B177" s="154">
        <f>(COUNTA(D177:F178,J177:W177,H177:I178)=0)</f>
        <v/>
      </c>
      <c r="C177" s="155">
        <f>IF(OR(TRIM(D177)="",COUNTIF(ВидыНагр,F177)&lt;&gt;1),"0",CONCATENATE("$",TRIM(D177),"$",TRIM(E177),"$",F177,"$"))</f>
        <v/>
      </c>
      <c r="D177" s="415" t="n"/>
      <c r="E177" s="416" t="n"/>
      <c r="F177" s="417" t="n"/>
      <c r="G177" s="156" t="inlineStr">
        <is>
          <t>план</t>
        </is>
      </c>
      <c r="H177" s="157" t="n"/>
      <c r="I177" s="158" t="n"/>
      <c r="J177" s="418" t="n"/>
      <c r="K177" s="419" t="n"/>
      <c r="L177" s="420" t="n"/>
      <c r="M177" s="418" t="n"/>
      <c r="N177" s="419" t="n"/>
      <c r="O177" s="420" t="n"/>
      <c r="P177" s="418" t="n"/>
      <c r="Q177" s="419" t="n"/>
      <c r="R177" s="420" t="n"/>
      <c r="S177" s="418" t="n"/>
      <c r="T177" s="419" t="n"/>
      <c r="U177" s="421" t="n"/>
      <c r="V177" s="420" t="n"/>
      <c r="W177" s="420" t="n"/>
      <c r="X177" s="422">
        <f>SUM(J177:W177)</f>
        <v/>
      </c>
      <c r="Y177" s="423">
        <f>X178-X177</f>
        <v/>
      </c>
      <c r="Z177" s="209" t="n"/>
    </row>
    <row r="178" ht="14.25" customHeight="1" s="296">
      <c r="A178" s="154">
        <f>-A177</f>
        <v/>
      </c>
      <c r="B178" s="154">
        <f>B177</f>
        <v/>
      </c>
      <c r="C178" s="163" t="n"/>
      <c r="D178" s="424" t="n"/>
      <c r="E178" s="425" t="n"/>
      <c r="F178" s="426" t="n"/>
      <c r="G178" s="164" t="inlineStr">
        <is>
          <t>факт</t>
        </is>
      </c>
      <c r="H178" s="165" t="n"/>
      <c r="I178" s="250" t="n"/>
      <c r="J178" s="427">
        <f>SUMIF('09'!$D$7:$D$159,$C177,'09'!L$7:L$159)+SUMIF('10'!$D$7:$D$159,$C177,'10'!L$7:L$159)+SUMIF('11'!$D$7:$D$159,$C177,'11'!L$7:L$159)+SUMIF('12'!$D$7:$D$159,$C177,'12'!L$7:L$159)+SUMIF('01'!$D$7:$D$159,$C177,'01'!L$7:L$159)</f>
        <v/>
      </c>
      <c r="K178" s="428">
        <f>SUMIF('09'!$D$7:$D$159,$C177,'09'!M$7:M$159)+SUMIF('10'!$D$7:$D$159,$C177,'10'!M$7:M$159)+SUMIF('11'!$D$7:$D$159,$C177,'11'!M$7:M$159)+SUMIF('12'!$D$7:$D$159,$C177,'12'!M$7:M$159)+SUMIF('01'!$D$7:$D$159,$C177,'01'!M$7:M$159)</f>
        <v/>
      </c>
      <c r="L178" s="429">
        <f>SUMIF('09'!$D$7:$D$159,$C177,'09'!N$7:N$159)+SUMIF('10'!$D$7:$D$159,$C177,'10'!N$7:N$159)+SUMIF('11'!$D$7:$D$159,$C177,'11'!N$7:N$159)+SUMIF('12'!$D$7:$D$159,$C177,'12'!N$7:N$159)+SUMIF('01'!$D$7:$D$159,$C177,'01'!N$7:N$159)</f>
        <v/>
      </c>
      <c r="M178" s="427">
        <f>SUMIF('09'!$D$7:$D$159,$C177,'09'!O$7:O$159)+SUMIF('10'!$D$7:$D$159,$C177,'10'!O$7:O$159)+SUMIF('11'!$D$7:$D$159,$C177,'11'!O$7:O$159)+SUMIF('12'!$D$7:$D$159,$C177,'12'!O$7:O$159)+SUMIF('01'!$D$7:$D$159,$C177,'01'!O$7:O$159)</f>
        <v/>
      </c>
      <c r="N178" s="428">
        <f>SUMIF('09'!$D$7:$D$159,$C177,'09'!P$7:P$159)+SUMIF('10'!$D$7:$D$159,$C177,'10'!P$7:P$159)+SUMIF('11'!$D$7:$D$159,$C177,'11'!P$7:P$159)+SUMIF('12'!$D$7:$D$159,$C177,'12'!P$7:P$159)+SUMIF('01'!$D$7:$D$159,$C177,'01'!P$7:P$159)</f>
        <v/>
      </c>
      <c r="O178" s="429">
        <f>SUMIF('09'!$D$7:$D$159,$C177,'09'!Q$7:Q$159)+SUMIF('10'!$D$7:$D$159,$C177,'10'!Q$7:Q$159)+SUMIF('11'!$D$7:$D$159,$C177,'11'!Q$7:Q$159)+SUMIF('12'!$D$7:$D$159,$C177,'12'!Q$7:Q$159)+SUMIF('01'!$D$7:$D$159,$C177,'01'!Q$7:Q$159)</f>
        <v/>
      </c>
      <c r="P178" s="427">
        <f>SUMIF('09'!$D$7:$D$159,$C177,'09'!R$7:R$159)+SUMIF('10'!$D$7:$D$159,$C177,'10'!R$7:R$159)+SUMIF('11'!$D$7:$D$159,$C177,'11'!R$7:R$159)+SUMIF('12'!$D$7:$D$159,$C177,'12'!R$7:R$159)+SUMIF('01'!$D$7:$D$159,$C177,'01'!R$7:R$159)</f>
        <v/>
      </c>
      <c r="Q178" s="428">
        <f>SUMIF('09'!$D$7:$D$159,$C177,'09'!S$7:S$159)+SUMIF('10'!$D$7:$D$159,$C177,'10'!S$7:S$159)+SUMIF('11'!$D$7:$D$159,$C177,'11'!S$7:S$159)+SUMIF('12'!$D$7:$D$159,$C177,'12'!S$7:S$159)+SUMIF('01'!$D$7:$D$159,$C177,'01'!S$7:S$159)</f>
        <v/>
      </c>
      <c r="R178" s="429">
        <f>SUMIF('09'!$D$7:$D$159,$C177,'09'!T$7:T$159)+SUMIF('10'!$D$7:$D$159,$C177,'10'!T$7:T$159)+SUMIF('11'!$D$7:$D$159,$C177,'11'!T$7:T$159)+SUMIF('12'!$D$7:$D$159,$C177,'12'!T$7:T$159)+SUMIF('01'!$D$7:$D$159,$C177,'01'!T$7:T$159)</f>
        <v/>
      </c>
      <c r="S178" s="427">
        <f>SUMIF('09'!$D$7:$D$159,$C177,'09'!U$7:U$159)+SUMIF('10'!$D$7:$D$159,$C177,'10'!U$7:U$159)+SUMIF('11'!$D$7:$D$159,$C177,'11'!U$7:U$159)+SUMIF('12'!$D$7:$D$159,$C177,'12'!U$7:U$159)+SUMIF('01'!$D$7:$D$159,$C177,'01'!U$7:U$159)</f>
        <v/>
      </c>
      <c r="T178" s="428">
        <f>SUMIF('09'!$D$7:$D$159,$C177,'09'!V$7:V$159)+SUMIF('10'!$D$7:$D$159,$C177,'10'!V$7:V$159)+SUMIF('11'!$D$7:$D$159,$C177,'11'!V$7:V$159)+SUMIF('12'!$D$7:$D$159,$C177,'12'!V$7:V$159)+SUMIF('01'!$D$7:$D$159,$C177,'01'!V$7:V$159)</f>
        <v/>
      </c>
      <c r="U178" s="430">
        <f>SUMIF('09'!$D$7:$D$159,$C177,'09'!W$7:W$159)+SUMIF('10'!$D$7:$D$159,$C177,'10'!W$7:W$159)+SUMIF('11'!$D$7:$D$159,$C177,'11'!W$7:W$159)+SUMIF('12'!$D$7:$D$159,$C177,'12'!W$7:W$159)+SUMIF('01'!$D$7:$D$159,$C177,'01'!W$7:W$159)</f>
        <v/>
      </c>
      <c r="V178" s="429">
        <f>SUMIF('09'!$D$7:$D$159,$C177,'09'!X$7:X$159)+SUMIF('10'!$D$7:$D$159,$C177,'10'!X$7:X$159)+SUMIF('11'!$D$7:$D$159,$C177,'11'!X$7:X$159)+SUMIF('12'!$D$7:$D$159,$C177,'12'!X$7:X$159)+SUMIF('01'!$D$7:$D$159,$C177,'01'!X$7:X$159)</f>
        <v/>
      </c>
      <c r="W178" s="429">
        <f>SUMIF('09'!$D$7:$D$159,$C177,'09'!Y$7:Y$159)+SUMIF('10'!$D$7:$D$159,$C177,'10'!Y$7:Y$159)+SUMIF('11'!$D$7:$D$159,$C177,'11'!Y$7:Y$159)+SUMIF('12'!$D$7:$D$159,$C177,'12'!Y$7:Y$159)+SUMIF('01'!$D$7:$D$159,$C177,'01'!Y$7:Y$159)</f>
        <v/>
      </c>
      <c r="X178" s="431">
        <f>SUM(J178:W178)</f>
        <v/>
      </c>
      <c r="Y178" s="413" t="n"/>
      <c r="Z178" s="432" t="n"/>
    </row>
    <row r="180">
      <c r="Y180" s="2" t="n"/>
    </row>
    <row r="181">
      <c r="Y181" s="2" t="n"/>
    </row>
    <row r="182">
      <c r="Y182" s="2" t="n"/>
    </row>
    <row r="183">
      <c r="Y183" s="2" t="n"/>
    </row>
    <row r="184">
      <c r="Y184" s="2" t="n"/>
    </row>
    <row r="185">
      <c r="Y185" s="2" t="n"/>
    </row>
    <row r="186">
      <c r="Y186" s="2" t="n"/>
    </row>
    <row r="187">
      <c r="Y187" s="2" t="n"/>
    </row>
    <row r="188">
      <c r="Y188" s="2" t="n"/>
    </row>
    <row r="189">
      <c r="Y189" s="2" t="n"/>
    </row>
    <row r="190">
      <c r="Y190" s="2" t="n"/>
    </row>
    <row r="191">
      <c r="Y191" s="2" t="n"/>
    </row>
    <row r="192">
      <c r="Y192" s="2" t="n"/>
    </row>
    <row r="193">
      <c r="Y193" s="2" t="n"/>
    </row>
    <row r="194">
      <c r="Y194" s="2" t="n"/>
    </row>
  </sheetData>
  <sheetProtection selectLockedCells="0" selectUnlockedCells="0" algorithmName="SHA-512" sheet="1" objects="1" insertRows="1" insertHyperlinks="1" autoFilter="1" scenarios="1" formatColumns="1" deleteColumns="1" insertColumns="1" pivotTables="1" deleteRows="1" formatCells="1" saltValue="gijUyrNBjyrbn4/RScW3zQ==" formatRows="1" sort="1" spinCount="100000" hashValue="YeaV380oIq+cfBHdYQqE53NEkP4EbFFuRwm2A+WSLIvX+rptNYg7Phv+D3bZpFAIQh0uIzPgMLLv//g/U1OqyQ=="/>
  <mergeCells count="439">
    <mergeCell ref="F133:F134"/>
    <mergeCell ref="F127:F128"/>
    <mergeCell ref="Z75:Z76"/>
    <mergeCell ref="Z135:Z136"/>
    <mergeCell ref="D21:D22"/>
    <mergeCell ref="F173:F174"/>
    <mergeCell ref="Z25:Z26"/>
    <mergeCell ref="E155:E156"/>
    <mergeCell ref="Y89:Y90"/>
    <mergeCell ref="E65:E66"/>
    <mergeCell ref="Y51:Y52"/>
    <mergeCell ref="Y153:Y154"/>
    <mergeCell ref="E157:E158"/>
    <mergeCell ref="D87:D88"/>
    <mergeCell ref="Z37:Z38"/>
    <mergeCell ref="F13:F14"/>
    <mergeCell ref="E25:E26"/>
    <mergeCell ref="F57:F58"/>
    <mergeCell ref="Y33:Y34"/>
    <mergeCell ref="Z65:Z66"/>
    <mergeCell ref="E93:E94"/>
    <mergeCell ref="Y87:Y88"/>
    <mergeCell ref="Z129:Z130"/>
    <mergeCell ref="D153:D154"/>
    <mergeCell ref="Y133:Y134"/>
    <mergeCell ref="Y127:Y128"/>
    <mergeCell ref="E13:E14"/>
    <mergeCell ref="Z131:Z132"/>
    <mergeCell ref="D17:D18"/>
    <mergeCell ref="D77:D78"/>
    <mergeCell ref="D11:D12"/>
    <mergeCell ref="D141:D142"/>
    <mergeCell ref="D75:D76"/>
    <mergeCell ref="D135:D136"/>
    <mergeCell ref="F75:F76"/>
    <mergeCell ref="F141:F142"/>
    <mergeCell ref="F135:F136"/>
    <mergeCell ref="Z83:Z84"/>
    <mergeCell ref="Z33:Z34"/>
    <mergeCell ref="D143:D144"/>
    <mergeCell ref="E27:E28"/>
    <mergeCell ref="F149:F150"/>
    <mergeCell ref="Z13:Z14"/>
    <mergeCell ref="D37:D38"/>
    <mergeCell ref="E91:E92"/>
    <mergeCell ref="Z15:Z16"/>
    <mergeCell ref="E81:E82"/>
    <mergeCell ref="Y75:Y76"/>
    <mergeCell ref="D159:D160"/>
    <mergeCell ref="Z55:Z56"/>
    <mergeCell ref="D65:D66"/>
    <mergeCell ref="F65:F66"/>
    <mergeCell ref="Z175:Z176"/>
    <mergeCell ref="F129:F130"/>
    <mergeCell ref="E59:E60"/>
    <mergeCell ref="Z81:Z82"/>
    <mergeCell ref="Y159:Y160"/>
    <mergeCell ref="E99:E100"/>
    <mergeCell ref="E15:E16"/>
    <mergeCell ref="Y149:Y150"/>
    <mergeCell ref="Y65:Y66"/>
    <mergeCell ref="D83:D84"/>
    <mergeCell ref="D93:D94"/>
    <mergeCell ref="Y151:Y152"/>
    <mergeCell ref="F49:F50"/>
    <mergeCell ref="D85:D86"/>
    <mergeCell ref="Z35:Z36"/>
    <mergeCell ref="D157:D158"/>
    <mergeCell ref="F157:F158"/>
    <mergeCell ref="Y131:Y132"/>
    <mergeCell ref="F151:F152"/>
    <mergeCell ref="Z99:Z100"/>
    <mergeCell ref="F15:F16"/>
    <mergeCell ref="E43:E44"/>
    <mergeCell ref="Z163:Z164"/>
    <mergeCell ref="Z101:Z102"/>
    <mergeCell ref="D109:D110"/>
    <mergeCell ref="E141:E142"/>
    <mergeCell ref="Y83:Y84"/>
    <mergeCell ref="E107:E108"/>
    <mergeCell ref="Z21:Z22"/>
    <mergeCell ref="D111:D112"/>
    <mergeCell ref="E143:E144"/>
    <mergeCell ref="Y85:Y86"/>
    <mergeCell ref="Y35:Y36"/>
    <mergeCell ref="D175:D176"/>
    <mergeCell ref="D91:D92"/>
    <mergeCell ref="F131:F132"/>
    <mergeCell ref="D33:D34"/>
    <mergeCell ref="E61:E62"/>
    <mergeCell ref="E125:E126"/>
    <mergeCell ref="Y111:Y112"/>
    <mergeCell ref="Z49:Z50"/>
    <mergeCell ref="E127:E128"/>
    <mergeCell ref="Y175:Y176"/>
    <mergeCell ref="F147:F148"/>
    <mergeCell ref="E129:E130"/>
    <mergeCell ref="D35:D36"/>
    <mergeCell ref="D59:D60"/>
    <mergeCell ref="Z105:Z106"/>
    <mergeCell ref="Y177:Y178"/>
    <mergeCell ref="E39:E40"/>
    <mergeCell ref="D99:D100"/>
    <mergeCell ref="E131:E132"/>
    <mergeCell ref="F99:F100"/>
    <mergeCell ref="D61:D62"/>
    <mergeCell ref="D163:D164"/>
    <mergeCell ref="D101:D102"/>
    <mergeCell ref="F163:F164"/>
    <mergeCell ref="F101:F102"/>
    <mergeCell ref="F79:F80"/>
    <mergeCell ref="Z171:Z172"/>
    <mergeCell ref="Z165:Z166"/>
    <mergeCell ref="E49:E50"/>
    <mergeCell ref="F81:F82"/>
    <mergeCell ref="Z29:Z30"/>
    <mergeCell ref="F31:F32"/>
    <mergeCell ref="Y155:Y156"/>
    <mergeCell ref="Z39:Z40"/>
    <mergeCell ref="E113:E114"/>
    <mergeCell ref="Y105:Y106"/>
    <mergeCell ref="Y99:Y100"/>
    <mergeCell ref="D177:D178"/>
    <mergeCell ref="Z103:Z104"/>
    <mergeCell ref="E115:E116"/>
    <mergeCell ref="Y107:Y108"/>
    <mergeCell ref="Y163:Y164"/>
    <mergeCell ref="Y101:Y102"/>
    <mergeCell ref="Y165:Y166"/>
    <mergeCell ref="F7:F8"/>
    <mergeCell ref="F63:F64"/>
    <mergeCell ref="D49:D50"/>
    <mergeCell ref="Z57:Z58"/>
    <mergeCell ref="E175:E176"/>
    <mergeCell ref="Z113:Z114"/>
    <mergeCell ref="F5:F6"/>
    <mergeCell ref="E177:E178"/>
    <mergeCell ref="Z115:Z116"/>
    <mergeCell ref="E103:E104"/>
    <mergeCell ref="F33:F34"/>
    <mergeCell ref="Y7:Y8"/>
    <mergeCell ref="D125:D126"/>
    <mergeCell ref="F125:F126"/>
    <mergeCell ref="Y49:Y50"/>
    <mergeCell ref="D127:D128"/>
    <mergeCell ref="E57:E58"/>
    <mergeCell ref="D39:D40"/>
    <mergeCell ref="E121:E122"/>
    <mergeCell ref="E83:E84"/>
    <mergeCell ref="Z45:Z46"/>
    <mergeCell ref="E123:E124"/>
    <mergeCell ref="Y171:Y172"/>
    <mergeCell ref="Z47:Z48"/>
    <mergeCell ref="E165:E166"/>
    <mergeCell ref="Y173:Y174"/>
    <mergeCell ref="Y29:Y30"/>
    <mergeCell ref="F21:F22"/>
    <mergeCell ref="Y39:Y40"/>
    <mergeCell ref="D57:D58"/>
    <mergeCell ref="F113:F114"/>
    <mergeCell ref="Y31:Y32"/>
    <mergeCell ref="Z121:Z122"/>
    <mergeCell ref="F23:F24"/>
    <mergeCell ref="E149:E150"/>
    <mergeCell ref="F115:F116"/>
    <mergeCell ref="Z123:Z124"/>
    <mergeCell ref="Y13:Y14"/>
    <mergeCell ref="E7:E8"/>
    <mergeCell ref="F39:F40"/>
    <mergeCell ref="D133:D134"/>
    <mergeCell ref="D3:F4"/>
    <mergeCell ref="E71:E72"/>
    <mergeCell ref="Y57:Y58"/>
    <mergeCell ref="Y23:Y24"/>
    <mergeCell ref="Y121:Y122"/>
    <mergeCell ref="Y115:Y116"/>
    <mergeCell ref="Z149:Z150"/>
    <mergeCell ref="F103:F104"/>
    <mergeCell ref="Y123:Y124"/>
    <mergeCell ref="E33:E34"/>
    <mergeCell ref="Z151:Z152"/>
    <mergeCell ref="Z7:Z8"/>
    <mergeCell ref="E35:E36"/>
    <mergeCell ref="Z71:Z72"/>
    <mergeCell ref="F169:F170"/>
    <mergeCell ref="E173:E174"/>
    <mergeCell ref="Z73:Z74"/>
    <mergeCell ref="F27:F28"/>
    <mergeCell ref="D121:D122"/>
    <mergeCell ref="F121:F122"/>
    <mergeCell ref="Y45:Y46"/>
    <mergeCell ref="D129:D130"/>
    <mergeCell ref="D123:D124"/>
    <mergeCell ref="F123:F124"/>
    <mergeCell ref="Y47:Y48"/>
    <mergeCell ref="Z137:Z138"/>
    <mergeCell ref="Z173:Z174"/>
    <mergeCell ref="F53:F54"/>
    <mergeCell ref="Z139:Z140"/>
    <mergeCell ref="E79:E80"/>
    <mergeCell ref="E73:E74"/>
    <mergeCell ref="E23:E24"/>
    <mergeCell ref="F55:F56"/>
    <mergeCell ref="J1:W1"/>
    <mergeCell ref="Y129:Y130"/>
    <mergeCell ref="E137:E138"/>
    <mergeCell ref="E87:E88"/>
    <mergeCell ref="D13:D14"/>
    <mergeCell ref="D151:D152"/>
    <mergeCell ref="D7:D8"/>
    <mergeCell ref="E89:E90"/>
    <mergeCell ref="D15:D16"/>
    <mergeCell ref="D71:D72"/>
    <mergeCell ref="E105:E106"/>
    <mergeCell ref="F71:F72"/>
    <mergeCell ref="Z79:Z80"/>
    <mergeCell ref="Y139:Y140"/>
    <mergeCell ref="F37:F38"/>
    <mergeCell ref="D73:D74"/>
    <mergeCell ref="Z23:Z24"/>
    <mergeCell ref="F73:F74"/>
    <mergeCell ref="E163:E164"/>
    <mergeCell ref="E101:E102"/>
    <mergeCell ref="Z31:Z32"/>
    <mergeCell ref="Z87:Z88"/>
    <mergeCell ref="E21:E22"/>
    <mergeCell ref="Z145:Z146"/>
    <mergeCell ref="Z89:Z90"/>
    <mergeCell ref="Y15:Y16"/>
    <mergeCell ref="Y71:Y72"/>
    <mergeCell ref="D155:D156"/>
    <mergeCell ref="D149:D150"/>
    <mergeCell ref="Y117:Y118"/>
    <mergeCell ref="Y55:Y56"/>
    <mergeCell ref="Y79:Y80"/>
    <mergeCell ref="Y73:Y74"/>
    <mergeCell ref="D139:D140"/>
    <mergeCell ref="Y119:Y120"/>
    <mergeCell ref="Y137:Y138"/>
    <mergeCell ref="E31:E32"/>
    <mergeCell ref="Z67:Z68"/>
    <mergeCell ref="Z5:Z6"/>
    <mergeCell ref="E95:E96"/>
    <mergeCell ref="F61:F62"/>
    <mergeCell ref="Z69:Z70"/>
    <mergeCell ref="D25:D26"/>
    <mergeCell ref="E159:E160"/>
    <mergeCell ref="E97:E98"/>
    <mergeCell ref="Z133:Z134"/>
    <mergeCell ref="D79:D80"/>
    <mergeCell ref="D23:D24"/>
    <mergeCell ref="Y147:Y148"/>
    <mergeCell ref="Y3:Y4"/>
    <mergeCell ref="D81:D82"/>
    <mergeCell ref="F137:F138"/>
    <mergeCell ref="Y67:Y68"/>
    <mergeCell ref="Y5:Y6"/>
    <mergeCell ref="Z95:Z96"/>
    <mergeCell ref="D145:D146"/>
    <mergeCell ref="F145:F146"/>
    <mergeCell ref="F139:F140"/>
    <mergeCell ref="E29:E30"/>
    <mergeCell ref="F89:F90"/>
    <mergeCell ref="Z159:Z160"/>
    <mergeCell ref="Z97:Z98"/>
    <mergeCell ref="D105:D106"/>
    <mergeCell ref="F51:F52"/>
    <mergeCell ref="Z161:Z162"/>
    <mergeCell ref="Z17:Z18"/>
    <mergeCell ref="D107:D108"/>
    <mergeCell ref="Y81:Y82"/>
    <mergeCell ref="D171:D172"/>
    <mergeCell ref="Z19:Z20"/>
    <mergeCell ref="D165:D166"/>
    <mergeCell ref="Y145:Y146"/>
    <mergeCell ref="F165:F166"/>
    <mergeCell ref="Y95:Y96"/>
    <mergeCell ref="D173:D174"/>
    <mergeCell ref="E139:E140"/>
    <mergeCell ref="D29:D30"/>
    <mergeCell ref="D1:I1"/>
    <mergeCell ref="F29:F30"/>
    <mergeCell ref="D31:D32"/>
    <mergeCell ref="Z77:Z78"/>
    <mergeCell ref="F87:F88"/>
    <mergeCell ref="Y63:Y64"/>
    <mergeCell ref="E151:E152"/>
    <mergeCell ref="E17:E18"/>
    <mergeCell ref="Z141:Z142"/>
    <mergeCell ref="Z85:Z86"/>
    <mergeCell ref="E19:E20"/>
    <mergeCell ref="D95:D96"/>
    <mergeCell ref="Y69:Y70"/>
    <mergeCell ref="D147:D148"/>
    <mergeCell ref="D97:D98"/>
    <mergeCell ref="F159:F160"/>
    <mergeCell ref="F97:F98"/>
    <mergeCell ref="F153:F154"/>
    <mergeCell ref="Z167:Z168"/>
    <mergeCell ref="Z63:Z64"/>
    <mergeCell ref="D161:D162"/>
    <mergeCell ref="F161:F162"/>
    <mergeCell ref="Y135:Y136"/>
    <mergeCell ref="E45:E46"/>
    <mergeCell ref="F77:F78"/>
    <mergeCell ref="D19:D20"/>
    <mergeCell ref="E53:E54"/>
    <mergeCell ref="E109:E110"/>
    <mergeCell ref="F19:F20"/>
    <mergeCell ref="E47:E48"/>
    <mergeCell ref="Z27:Z28"/>
    <mergeCell ref="D113:D114"/>
    <mergeCell ref="E145:E146"/>
    <mergeCell ref="Y103:Y104"/>
    <mergeCell ref="E111:E112"/>
    <mergeCell ref="F143:F144"/>
    <mergeCell ref="Y97:Y98"/>
    <mergeCell ref="D115:D116"/>
    <mergeCell ref="E147:E148"/>
    <mergeCell ref="Y161:Y162"/>
    <mergeCell ref="F59:F60"/>
    <mergeCell ref="E63:E64"/>
    <mergeCell ref="F95:F96"/>
    <mergeCell ref="D45:D46"/>
    <mergeCell ref="Z91:Z92"/>
    <mergeCell ref="F45:F46"/>
    <mergeCell ref="Y19:Y20"/>
    <mergeCell ref="Z53:Z54"/>
    <mergeCell ref="Z109:Z110"/>
    <mergeCell ref="E171:E172"/>
    <mergeCell ref="Y113:Y114"/>
    <mergeCell ref="Z155:Z156"/>
    <mergeCell ref="D47:D48"/>
    <mergeCell ref="Z93:Z94"/>
    <mergeCell ref="F47:F48"/>
    <mergeCell ref="Z117:Z118"/>
    <mergeCell ref="Z111:Z112"/>
    <mergeCell ref="Z147:Z148"/>
    <mergeCell ref="Z157:Z158"/>
    <mergeCell ref="D103:D104"/>
    <mergeCell ref="Y77:Y78"/>
    <mergeCell ref="E41:E42"/>
    <mergeCell ref="D167:D168"/>
    <mergeCell ref="Z177:Z178"/>
    <mergeCell ref="Y141:Y142"/>
    <mergeCell ref="D63:D64"/>
    <mergeCell ref="D169:D170"/>
    <mergeCell ref="E135:E136"/>
    <mergeCell ref="Y143:Y144"/>
    <mergeCell ref="D27:D28"/>
    <mergeCell ref="E117:E118"/>
    <mergeCell ref="F83:F84"/>
    <mergeCell ref="E55:E56"/>
    <mergeCell ref="Y21:Y22"/>
    <mergeCell ref="Z41:Z42"/>
    <mergeCell ref="F85:F86"/>
    <mergeCell ref="Y167:Y168"/>
    <mergeCell ref="F35:F36"/>
    <mergeCell ref="Z43:Z44"/>
    <mergeCell ref="E161:E162"/>
    <mergeCell ref="Y109:Y110"/>
    <mergeCell ref="Y169:Y170"/>
    <mergeCell ref="D53:D54"/>
    <mergeCell ref="D9:D10"/>
    <mergeCell ref="F109:F110"/>
    <mergeCell ref="F9:F10"/>
    <mergeCell ref="Y27:Y28"/>
    <mergeCell ref="F167:F168"/>
    <mergeCell ref="D117:D118"/>
    <mergeCell ref="D55:D56"/>
    <mergeCell ref="F117:F118"/>
    <mergeCell ref="Y91:Y92"/>
    <mergeCell ref="F111:F112"/>
    <mergeCell ref="F11:F12"/>
    <mergeCell ref="Z59:Z60"/>
    <mergeCell ref="Z119:Z120"/>
    <mergeCell ref="F175:F176"/>
    <mergeCell ref="Z61:Z62"/>
    <mergeCell ref="F177:F178"/>
    <mergeCell ref="E67:E68"/>
    <mergeCell ref="E5:E6"/>
    <mergeCell ref="Y53:Y54"/>
    <mergeCell ref="Y9:Y10"/>
    <mergeCell ref="D131:D132"/>
    <mergeCell ref="E51:E52"/>
    <mergeCell ref="Y93:Y94"/>
    <mergeCell ref="E69:E70"/>
    <mergeCell ref="Y11:Y12"/>
    <mergeCell ref="Y157:Y158"/>
    <mergeCell ref="F91:F92"/>
    <mergeCell ref="F17:F18"/>
    <mergeCell ref="D41:D42"/>
    <mergeCell ref="F41:F42"/>
    <mergeCell ref="F155:F156"/>
    <mergeCell ref="F93:F94"/>
    <mergeCell ref="D43:D44"/>
    <mergeCell ref="F105:F106"/>
    <mergeCell ref="F43:F44"/>
    <mergeCell ref="Z51:Z52"/>
    <mergeCell ref="Z107:Z108"/>
    <mergeCell ref="E169:E170"/>
    <mergeCell ref="Z143:Z144"/>
    <mergeCell ref="Y37:Y38"/>
    <mergeCell ref="Y41:Y42"/>
    <mergeCell ref="D119:D120"/>
    <mergeCell ref="F119:F120"/>
    <mergeCell ref="F25:F26"/>
    <mergeCell ref="Y43:Y44"/>
    <mergeCell ref="Z169:Z170"/>
    <mergeCell ref="Z125:Z126"/>
    <mergeCell ref="E153:E154"/>
    <mergeCell ref="E9:E10"/>
    <mergeCell ref="Z127:Z128"/>
    <mergeCell ref="Y17:Y18"/>
    <mergeCell ref="E167:E168"/>
    <mergeCell ref="E77:E78"/>
    <mergeCell ref="E11:E12"/>
    <mergeCell ref="Y59:Y60"/>
    <mergeCell ref="E133:E134"/>
    <mergeCell ref="D137:D138"/>
    <mergeCell ref="Y25:Y26"/>
    <mergeCell ref="E119:E120"/>
    <mergeCell ref="E75:E76"/>
    <mergeCell ref="Y61:Y62"/>
    <mergeCell ref="E85:E86"/>
    <mergeCell ref="D89:D90"/>
    <mergeCell ref="D67:D68"/>
    <mergeCell ref="D5:D6"/>
    <mergeCell ref="F67:F68"/>
    <mergeCell ref="Y125:Y126"/>
    <mergeCell ref="Z153:Z154"/>
    <mergeCell ref="Z9:Z10"/>
    <mergeCell ref="D51:D52"/>
    <mergeCell ref="F107:F108"/>
    <mergeCell ref="D69:D70"/>
    <mergeCell ref="E37:E38"/>
    <mergeCell ref="F69:F70"/>
    <mergeCell ref="Z11:Z12"/>
    <mergeCell ref="F171:F172"/>
  </mergeCells>
  <conditionalFormatting sqref="D5:F178">
    <cfRule type="expression" priority="1" dxfId="5" stopIfTrue="1">
      <formula>$B5</formula>
    </cfRule>
    <cfRule type="expression" priority="13" dxfId="1" stopIfTrue="1">
      <formula>($A5=0)</formula>
    </cfRule>
  </conditionalFormatting>
  <conditionalFormatting sqref="F5:F178">
    <cfRule type="expression" priority="12" dxfId="86" stopIfTrue="1">
      <formula>OR(AND(Ставка=0,F5="осн."),AND(Ставка_С=0,F5="совм."))</formula>
    </cfRule>
  </conditionalFormatting>
  <conditionalFormatting sqref="H5:Z178">
    <cfRule type="expression" priority="10" dxfId="5" stopIfTrue="1">
      <formula>$B5</formula>
    </cfRule>
  </conditionalFormatting>
  <dataValidations count="3">
    <dataValidation sqref="F5:F15 F17:F178" showDropDown="0" showInputMessage="1" showErrorMessage="1" allowBlank="1" type="list">
      <formula1>ВидыНагр</formula1>
    </dataValidation>
    <dataValidation sqref="D5:D178" showDropDown="0" showInputMessage="0" showErrorMessage="0" allowBlank="1" type="list">
      <formula1>OFFSET(ДисциплиныОсень,0,0,ДисциплиныОсеньКол,1)</formula1>
    </dataValidation>
    <dataValidation sqref="E5:E178" showDropDown="0" showInputMessage="0" showErrorMessage="0" allowBlank="1" type="list">
      <formula1>OFFSET(ГруппыОсень,0,0,ГруппыОсеньКол,1)</formula1>
    </dataValidation>
  </dataValidations>
  <printOptions horizontalCentered="1"/>
  <pageMargins left="0.3937007874015748" right="0.3937007874015748" top="1.181102362204725" bottom="0.7086614173228347" header="0.8661417322834646" footer="0.3937007874015748"/>
  <pageSetup orientation="landscape" paperSize="9" scale="75" fitToHeight="10" horizontalDpi="300" verticalDpi="300"/>
  <headerFooter>
    <oddHeader>&amp;L&amp;"Open Sans,полужирный"Осенний семестр&amp;"Open Sans,обычный" (с. &amp;P из &amp;N)&amp;R&amp;F</oddHeader>
    <oddFooter>&amp;LПреподаватель  ________________&amp;CЗав. кафедрой  ________________</oddFooter>
    <evenHeader/>
    <evenFooter/>
    <firstHeader/>
    <firstFooter/>
  </headerFooter>
</worksheet>
</file>

<file path=xl/worksheets/sheet6.xml><?xml version="1.0" encoding="utf-8"?>
<worksheet xmlns="http://schemas.openxmlformats.org/spreadsheetml/2006/main">
  <sheetPr codeName="Лист24">
    <tabColor indexed="15"/>
    <outlinePr summaryBelow="1" summaryRight="1"/>
    <pageSetUpPr fitToPage="1"/>
  </sheetPr>
  <dimension ref="A1:Z194"/>
  <sheetViews>
    <sheetView zoomScaleNormal="100" workbookViewId="0">
      <pane xSplit="7" ySplit="4" topLeftCell="H5" activePane="bottomRight" state="frozen"/>
      <selection activeCell="D3" sqref="D3:F4"/>
      <selection pane="topRight" activeCell="D3" sqref="D3:F4"/>
      <selection pane="bottomLeft" activeCell="D3" sqref="D3:F4"/>
      <selection pane="bottomRight" activeCell="Y11" sqref="Y11:Y12"/>
    </sheetView>
  </sheetViews>
  <sheetFormatPr baseColWidth="8" defaultColWidth="9.109375" defaultRowHeight="13.2"/>
  <cols>
    <col hidden="1" width="4.6640625" customWidth="1" style="146" min="1" max="2"/>
    <col hidden="1" width="27" customWidth="1" style="9" min="3" max="3"/>
    <col width="32.6640625" customWidth="1" style="9" min="4" max="4"/>
    <col width="18.6640625" customWidth="1" style="9" min="5" max="5"/>
    <col width="6.6640625" customWidth="1" style="9" min="6" max="6"/>
    <col width="5.6640625" customWidth="1" style="9" min="7" max="7"/>
    <col width="3.6640625" customWidth="1" style="9" min="8" max="9"/>
    <col width="6.6640625" customWidth="1" style="9" min="10" max="23"/>
    <col width="7.6640625" customWidth="1" style="9" min="24" max="25"/>
    <col width="20.6640625" customWidth="1" style="9" min="26" max="26"/>
    <col width="9.109375" customWidth="1" style="9" min="27" max="16384"/>
  </cols>
  <sheetData>
    <row r="1" ht="12.75" customHeight="1" s="296">
      <c r="D1" s="319" t="inlineStr">
        <is>
          <t>Заполнить</t>
        </is>
      </c>
      <c r="E1" s="392" t="n"/>
      <c r="F1" s="392" t="n"/>
      <c r="G1" s="392" t="n"/>
      <c r="H1" s="392" t="n"/>
      <c r="I1" s="392" t="n"/>
      <c r="J1" s="393" t="inlineStr">
        <is>
          <t>Заполнить только строки "план" (значения в строках "факт" рассчитываются автоматически)</t>
        </is>
      </c>
      <c r="K1" s="392" t="n"/>
      <c r="L1" s="392" t="n"/>
      <c r="M1" s="392" t="n"/>
      <c r="N1" s="392" t="n"/>
      <c r="O1" s="392" t="n"/>
      <c r="P1" s="392" t="n"/>
      <c r="Q1" s="392" t="n"/>
      <c r="R1" s="392" t="n"/>
      <c r="S1" s="392" t="n"/>
      <c r="T1" s="392" t="n"/>
      <c r="U1" s="392" t="n"/>
      <c r="V1" s="392" t="n"/>
      <c r="W1" s="394" t="n"/>
    </row>
    <row r="2" ht="112.5" customHeight="1" s="296">
      <c r="A2" s="147" t="inlineStr">
        <is>
          <t>индекс</t>
        </is>
      </c>
      <c r="B2" s="147" t="inlineStr">
        <is>
          <t>пусто</t>
        </is>
      </c>
      <c r="C2" s="148" t="inlineStr">
        <is>
          <t>ключ</t>
        </is>
      </c>
      <c r="D2" s="167" t="inlineStr">
        <is>
          <t xml:space="preserve">Дисциплина, 
вид учебной работы </t>
        </is>
      </c>
      <c r="E2" s="168" t="inlineStr">
        <is>
          <t>Группа (институт, направление, профиль или специальность, уровень, курс)</t>
        </is>
      </c>
      <c r="F2" s="170" t="inlineStr">
        <is>
          <t>Вид нагрузки</t>
        </is>
      </c>
      <c r="G2" s="280" t="inlineStr">
        <is>
          <t>План / Факт</t>
        </is>
      </c>
      <c r="H2" s="175" t="inlineStr">
        <is>
          <t>Количество подгрупп</t>
        </is>
      </c>
      <c r="I2" s="170" t="inlineStr">
        <is>
          <t>Количество студентов</t>
        </is>
      </c>
      <c r="J2" s="175" t="inlineStr">
        <is>
          <t>лекции</t>
        </is>
      </c>
      <c r="K2" s="174" t="inlineStr">
        <is>
          <t>практические занятия 
и семинары</t>
        </is>
      </c>
      <c r="L2" s="169" t="inlineStr">
        <is>
          <t>лабораторные работы</t>
        </is>
      </c>
      <c r="M2" s="175" t="inlineStr">
        <is>
          <t>консультации</t>
        </is>
      </c>
      <c r="N2" s="174" t="inlineStr">
        <is>
          <t>контрольные работы</t>
        </is>
      </c>
      <c r="O2" s="169" t="inlineStr">
        <is>
          <t>курсовые проекты и работы</t>
        </is>
      </c>
      <c r="P2" s="175" t="inlineStr">
        <is>
          <t>зачеты, дифферен-цированные зачеты</t>
        </is>
      </c>
      <c r="Q2" s="174" t="inlineStr">
        <is>
          <t>семестровые экзамены</t>
        </is>
      </c>
      <c r="R2" s="169" t="inlineStr">
        <is>
          <t>КСР</t>
        </is>
      </c>
      <c r="S2" s="175" t="inlineStr">
        <is>
          <t>руководство 
практиками</t>
        </is>
      </c>
      <c r="T2" s="174" t="inlineStr">
        <is>
          <t>руководство 
научной работой</t>
        </is>
      </c>
      <c r="U2" s="176" t="inlineStr">
        <is>
          <t>руководство ВКР (дипломные проекты)</t>
        </is>
      </c>
      <c r="V2" s="169" t="inlineStr">
        <is>
          <t>ГЭК, ИАК</t>
        </is>
      </c>
      <c r="W2" s="281" t="inlineStr">
        <is>
          <t>прочие</t>
        </is>
      </c>
      <c r="X2" s="282" t="inlineStr">
        <is>
          <t>всего</t>
        </is>
      </c>
      <c r="Y2" s="280" t="inlineStr">
        <is>
          <t>Отклонение от плана</t>
        </is>
      </c>
      <c r="Z2" s="215" t="inlineStr">
        <is>
          <t>Примечания</t>
        </is>
      </c>
    </row>
    <row r="3">
      <c r="D3" s="395" t="inlineStr">
        <is>
          <t>Всего за семестр</t>
        </is>
      </c>
      <c r="E3" s="396" t="n"/>
      <c r="F3" s="397" t="n"/>
      <c r="G3" s="235" t="inlineStr">
        <is>
          <t>план</t>
        </is>
      </c>
      <c r="H3" s="236" t="n"/>
      <c r="I3" s="150" t="n"/>
      <c r="J3" s="398">
        <f>SUMIF($G$5:$G$178,$G3,J$5:J$178)</f>
        <v/>
      </c>
      <c r="K3" s="399">
        <f>SUMIF($G$5:$G$178,$G3,K$5:K$178)</f>
        <v/>
      </c>
      <c r="L3" s="400">
        <f>SUMIF($G$5:$G$178,$G3,L$5:L$178)</f>
        <v/>
      </c>
      <c r="M3" s="398">
        <f>SUMIF($G$5:$G$178,$G3,M$5:M$178)</f>
        <v/>
      </c>
      <c r="N3" s="399">
        <f>SUMIF($G$5:$G$178,$G3,N$5:N$178)</f>
        <v/>
      </c>
      <c r="O3" s="400">
        <f>SUMIF($G$5:$G$178,$G3,O$5:O$178)</f>
        <v/>
      </c>
      <c r="P3" s="398">
        <f>SUMIF($G$5:$G$178,$G3,P$5:P$178)</f>
        <v/>
      </c>
      <c r="Q3" s="399">
        <f>SUMIF($G$5:$G$178,$G3,Q$5:Q$178)</f>
        <v/>
      </c>
      <c r="R3" s="400">
        <f>SUMIF($G$5:$G$178,$G3,R$5:R$178)</f>
        <v/>
      </c>
      <c r="S3" s="398">
        <f>SUMIF($G$5:$G$178,$G3,S$5:S$178)</f>
        <v/>
      </c>
      <c r="T3" s="399">
        <f>SUMIF($G$5:$G$178,$G3,T$5:T$178)</f>
        <v/>
      </c>
      <c r="U3" s="401">
        <f>SUMIF($G$5:$G$178,$G3,U$5:U$178)</f>
        <v/>
      </c>
      <c r="V3" s="400">
        <f>SUMIF($G$5:$G$178,$G3,V$5:V$178)</f>
        <v/>
      </c>
      <c r="W3" s="400">
        <f>SUMIF($G$5:$G$178,$G3,W$5:W$178)</f>
        <v/>
      </c>
      <c r="X3" s="402">
        <f>SUM(J3:W3)</f>
        <v/>
      </c>
      <c r="Y3" s="403">
        <f>X4-X3</f>
        <v/>
      </c>
      <c r="Z3" s="404">
        <f>Утв_План</f>
        <v/>
      </c>
    </row>
    <row r="4">
      <c r="D4" s="405" t="n"/>
      <c r="E4" s="406" t="n"/>
      <c r="F4" s="407" t="n"/>
      <c r="G4" s="242" t="inlineStr">
        <is>
          <t>факт</t>
        </is>
      </c>
      <c r="H4" s="243" t="n"/>
      <c r="I4" s="152" t="n"/>
      <c r="J4" s="408">
        <f>SUMIF($G$5:$G$178,$G4,J$5:J$178)</f>
        <v/>
      </c>
      <c r="K4" s="409">
        <f>SUMIF($G$5:$G$178,$G4,K$5:K$178)</f>
        <v/>
      </c>
      <c r="L4" s="410">
        <f>SUMIF($G$5:$G$178,$G4,L$5:L$178)</f>
        <v/>
      </c>
      <c r="M4" s="408">
        <f>SUMIF($G$5:$G$178,$G4,M$5:M$178)</f>
        <v/>
      </c>
      <c r="N4" s="409">
        <f>SUMIF($G$5:$G$178,$G4,N$5:N$178)</f>
        <v/>
      </c>
      <c r="O4" s="410">
        <f>SUMIF($G$5:$G$178,$G4,O$5:O$178)</f>
        <v/>
      </c>
      <c r="P4" s="408">
        <f>SUMIF($G$5:$G$178,$G4,P$5:P$178)</f>
        <v/>
      </c>
      <c r="Q4" s="409">
        <f>SUMIF($G$5:$G$178,$G4,Q$5:Q$178)</f>
        <v/>
      </c>
      <c r="R4" s="410">
        <f>SUMIF($G$5:$G$178,$G4,R$5:R$178)</f>
        <v/>
      </c>
      <c r="S4" s="408">
        <f>SUMIF($G$5:$G$178,$G4,S$5:S$178)</f>
        <v/>
      </c>
      <c r="T4" s="409">
        <f>SUMIF($G$5:$G$178,$G4,T$5:T$178)</f>
        <v/>
      </c>
      <c r="U4" s="411">
        <f>SUMIF($G$5:$G$178,$G4,U$5:U$178)</f>
        <v/>
      </c>
      <c r="V4" s="410">
        <f>SUMIF($G$5:$G$178,$G4,V$5:V$178)</f>
        <v/>
      </c>
      <c r="W4" s="410">
        <f>SUMIF($G$5:$G$178,$G4,W$5:W$178)</f>
        <v/>
      </c>
      <c r="X4" s="412">
        <f>SUM(J4:W4)</f>
        <v/>
      </c>
      <c r="Y4" s="413" t="n"/>
      <c r="Z4" s="414">
        <f>Утв_Весна</f>
        <v/>
      </c>
    </row>
    <row r="5" ht="14.25" customHeight="1" s="296">
      <c r="A5" s="154">
        <f>IF(OR(C5="0",COUNTIF(КлючВесна,C5)&gt;1),0,MATCH(F5,ВидыНагр,0))</f>
        <v/>
      </c>
      <c r="B5" s="154">
        <f>(COUNTA(D5:F6,J5:W5,H5:I6)=0)</f>
        <v/>
      </c>
      <c r="C5" s="155">
        <f>IF(OR(TRIM(D5)="",COUNTIF(ВидыНагр,F5)&lt;&gt;1),"0",CONCATENATE("$",TRIM(D5),"$",TRIM(E5),"$",F5,"$"))</f>
        <v/>
      </c>
      <c r="D5" s="415" t="inlineStr">
        <is>
          <t>Математический анализ</t>
        </is>
      </c>
      <c r="E5" s="416" t="inlineStr">
        <is>
          <t>607-42 (БезопИнфСист-24-1)</t>
        </is>
      </c>
      <c r="F5" s="417" t="inlineStr">
        <is>
          <t>почас.</t>
        </is>
      </c>
      <c r="G5" s="156" t="inlineStr">
        <is>
          <t>план</t>
        </is>
      </c>
      <c r="H5" s="157" t="n"/>
      <c r="I5" s="158" t="n"/>
      <c r="J5" s="418" t="n"/>
      <c r="K5" s="419" t="n">
        <v>8</v>
      </c>
      <c r="L5" s="420" t="n"/>
      <c r="M5" s="418" t="n"/>
      <c r="N5" s="419" t="n"/>
      <c r="O5" s="420" t="n"/>
      <c r="P5" s="418" t="n"/>
      <c r="Q5" s="419" t="n"/>
      <c r="R5" s="420" t="n"/>
      <c r="S5" s="418" t="n"/>
      <c r="T5" s="419" t="n"/>
      <c r="U5" s="421" t="n"/>
      <c r="V5" s="420" t="n"/>
      <c r="W5" s="420" t="n"/>
      <c r="X5" s="422">
        <f>SUM(J5:W5)</f>
        <v/>
      </c>
      <c r="Y5" s="423">
        <f>X6-X5</f>
        <v/>
      </c>
      <c r="Z5" s="209" t="n"/>
    </row>
    <row r="6" ht="14.25" customHeight="1" s="296">
      <c r="A6" s="154">
        <f>-A5</f>
        <v/>
      </c>
      <c r="B6" s="154">
        <f>B5</f>
        <v/>
      </c>
      <c r="C6" s="163" t="n"/>
      <c r="D6" s="424" t="n"/>
      <c r="E6" s="425" t="n"/>
      <c r="F6" s="426" t="n"/>
      <c r="G6" s="164" t="inlineStr">
        <is>
          <t>факт</t>
        </is>
      </c>
      <c r="H6" s="165" t="n"/>
      <c r="I6" s="250" t="n"/>
      <c r="J6" s="427">
        <f>SUMIF('02'!$D$7:$D$159,$C5,'02'!L$7:L$159)+SUMIF('03'!$D$7:$D$159,$C5,'03'!L$7:L$159)+SUMIF('04'!$D$7:$D$159,$C5,'04'!L$7:L$159)+SUMIF('05'!$D$7:$D$159,$C5,'05'!L$7:L$159)+SUMIF('06'!$D$7:$D$159,$C5,'06'!L$7:L$159)+SUMIF('07'!$D$7:$D$159,$C5,'07'!L$7:L$159)+SUMIF('08'!$D$7:$D$159,$C5,'08'!L$7:L$159)</f>
        <v/>
      </c>
      <c r="K6" s="428">
        <f>SUMIF('02'!$D$7:$D$159,$C5,'02'!M$7:M$159)+SUMIF('03'!$D$7:$D$159,$C5,'03'!M$7:M$159)+SUMIF('04'!$D$7:$D$159,$C5,'04'!M$7:M$159)+SUMIF('05'!$D$7:$D$159,$C5,'05'!M$7:M$159)+SUMIF('06'!$D$7:$D$159,$C5,'06'!M$7:M$159)+SUMIF('07'!$D$7:$D$159,$C5,'07'!M$7:M$159)+SUMIF('08'!$D$7:$D$159,$C5,'08'!M$7:M$159)</f>
        <v/>
      </c>
      <c r="L6" s="429">
        <f>SUMIF('02'!$D$7:$D$159,$C5,'02'!N$7:N$159)+SUMIF('03'!$D$7:$D$159,$C5,'03'!N$7:N$159)+SUMIF('04'!$D$7:$D$159,$C5,'04'!N$7:N$159)+SUMIF('05'!$D$7:$D$159,$C5,'05'!N$7:N$159)+SUMIF('06'!$D$7:$D$159,$C5,'06'!N$7:N$159)+SUMIF('07'!$D$7:$D$159,$C5,'07'!N$7:N$159)+SUMIF('08'!$D$7:$D$159,$C5,'08'!N$7:N$159)</f>
        <v/>
      </c>
      <c r="M6" s="427">
        <f>SUMIF('02'!$D$7:$D$159,$C5,'02'!O$7:O$159)+SUMIF('03'!$D$7:$D$159,$C5,'03'!O$7:O$159)+SUMIF('04'!$D$7:$D$159,$C5,'04'!O$7:O$159)+SUMIF('05'!$D$7:$D$159,$C5,'05'!O$7:O$159)+SUMIF('06'!$D$7:$D$159,$C5,'06'!O$7:O$159)+SUMIF('07'!$D$7:$D$159,$C5,'07'!O$7:O$159)+SUMIF('08'!$D$7:$D$159,$C5,'08'!O$7:O$159)</f>
        <v/>
      </c>
      <c r="N6" s="428">
        <f>SUMIF('02'!$D$7:$D$159,$C5,'02'!P$7:P$159)+SUMIF('03'!$D$7:$D$159,$C5,'03'!P$7:P$159)+SUMIF('04'!$D$7:$D$159,$C5,'04'!P$7:P$159)+SUMIF('05'!$D$7:$D$159,$C5,'05'!P$7:P$159)+SUMIF('06'!$D$7:$D$159,$C5,'06'!P$7:P$159)+SUMIF('07'!$D$7:$D$159,$C5,'07'!P$7:P$159)+SUMIF('08'!$D$7:$D$159,$C5,'08'!P$7:P$159)</f>
        <v/>
      </c>
      <c r="O6" s="429">
        <f>SUMIF('02'!$D$7:$D$159,$C5,'02'!Q$7:Q$159)+SUMIF('03'!$D$7:$D$159,$C5,'03'!Q$7:Q$159)+SUMIF('04'!$D$7:$D$159,$C5,'04'!Q$7:Q$159)+SUMIF('05'!$D$7:$D$159,$C5,'05'!Q$7:Q$159)+SUMIF('06'!$D$7:$D$159,$C5,'06'!Q$7:Q$159)+SUMIF('07'!$D$7:$D$159,$C5,'07'!Q$7:Q$159)+SUMIF('08'!$D$7:$D$159,$C5,'08'!Q$7:Q$159)</f>
        <v/>
      </c>
      <c r="P6" s="427">
        <f>SUMIF('02'!$D$7:$D$159,$C5,'02'!R$7:R$159)+SUMIF('03'!$D$7:$D$159,$C5,'03'!R$7:R$159)+SUMIF('04'!$D$7:$D$159,$C5,'04'!R$7:R$159)+SUMIF('05'!$D$7:$D$159,$C5,'05'!R$7:R$159)+SUMIF('06'!$D$7:$D$159,$C5,'06'!R$7:R$159)+SUMIF('07'!$D$7:$D$159,$C5,'07'!R$7:R$159)+SUMIF('08'!$D$7:$D$159,$C5,'08'!R$7:R$159)</f>
        <v/>
      </c>
      <c r="Q6" s="428">
        <f>SUMIF('02'!$D$7:$D$159,$C5,'02'!S$7:S$159)+SUMIF('03'!$D$7:$D$159,$C5,'03'!S$7:S$159)+SUMIF('04'!$D$7:$D$159,$C5,'04'!S$7:S$159)+SUMIF('05'!$D$7:$D$159,$C5,'05'!S$7:S$159)+SUMIF('06'!$D$7:$D$159,$C5,'06'!S$7:S$159)+SUMIF('07'!$D$7:$D$159,$C5,'07'!S$7:S$159)+SUMIF('08'!$D$7:$D$159,$C5,'08'!S$7:S$159)</f>
        <v/>
      </c>
      <c r="R6" s="429">
        <f>SUMIF('02'!$D$7:$D$159,$C5,'02'!T$7:T$159)+SUMIF('03'!$D$7:$D$159,$C5,'03'!T$7:T$159)+SUMIF('04'!$D$7:$D$159,$C5,'04'!T$7:T$159)+SUMIF('05'!$D$7:$D$159,$C5,'05'!T$7:T$159)+SUMIF('06'!$D$7:$D$159,$C5,'06'!T$7:T$159)+SUMIF('07'!$D$7:$D$159,$C5,'07'!T$7:T$159)+SUMIF('08'!$D$7:$D$159,$C5,'08'!T$7:T$159)</f>
        <v/>
      </c>
      <c r="S6" s="427">
        <f>SUMIF('02'!$D$7:$D$159,$C5,'02'!U$7:U$159)+SUMIF('03'!$D$7:$D$159,$C5,'03'!U$7:U$159)+SUMIF('04'!$D$7:$D$159,$C5,'04'!U$7:U$159)+SUMIF('05'!$D$7:$D$159,$C5,'05'!U$7:U$159)+SUMIF('06'!$D$7:$D$159,$C5,'06'!U$7:U$159)+SUMIF('07'!$D$7:$D$159,$C5,'07'!U$7:U$159)+SUMIF('08'!$D$7:$D$159,$C5,'08'!U$7:U$159)</f>
        <v/>
      </c>
      <c r="T6" s="428">
        <f>SUMIF('02'!$D$7:$D$159,$C5,'02'!V$7:V$159)+SUMIF('03'!$D$7:$D$159,$C5,'03'!V$7:V$159)+SUMIF('04'!$D$7:$D$159,$C5,'04'!V$7:V$159)+SUMIF('05'!$D$7:$D$159,$C5,'05'!V$7:V$159)+SUMIF('06'!$D$7:$D$159,$C5,'06'!V$7:V$159)+SUMIF('07'!$D$7:$D$159,$C5,'07'!V$7:V$159)+SUMIF('08'!$D$7:$D$159,$C5,'08'!V$7:V$159)</f>
        <v/>
      </c>
      <c r="U6" s="430">
        <f>SUMIF('02'!$D$7:$D$159,$C5,'02'!W$7:W$159)+SUMIF('03'!$D$7:$D$159,$C5,'03'!W$7:W$159)+SUMIF('04'!$D$7:$D$159,$C5,'04'!W$7:W$159)+SUMIF('05'!$D$7:$D$159,$C5,'05'!W$7:W$159)+SUMIF('06'!$D$7:$D$159,$C5,'06'!W$7:W$159)+SUMIF('07'!$D$7:$D$159,$C5,'07'!W$7:W$159)+SUMIF('08'!$D$7:$D$159,$C5,'08'!W$7:W$159)</f>
        <v/>
      </c>
      <c r="V6" s="429">
        <f>SUMIF('02'!$D$7:$D$159,$C5,'02'!X$7:X$159)+SUMIF('03'!$D$7:$D$159,$C5,'03'!X$7:X$159)+SUMIF('04'!$D$7:$D$159,$C5,'04'!X$7:X$159)+SUMIF('05'!$D$7:$D$159,$C5,'05'!X$7:X$159)+SUMIF('06'!$D$7:$D$159,$C5,'06'!X$7:X$159)+SUMIF('07'!$D$7:$D$159,$C5,'07'!X$7:X$159)+SUMIF('08'!$D$7:$D$159,$C5,'08'!X$7:X$159)</f>
        <v/>
      </c>
      <c r="W6" s="429">
        <f>SUMIF('02'!$D$7:$D$159,$C5,'02'!Y$7:Y$159)+SUMIF('03'!$D$7:$D$159,$C5,'03'!Y$7:Y$159)+SUMIF('04'!$D$7:$D$159,$C5,'04'!Y$7:Y$159)+SUMIF('05'!$D$7:$D$159,$C5,'05'!Y$7:Y$159)+SUMIF('06'!$D$7:$D$159,$C5,'06'!Y$7:Y$159)+SUMIF('07'!$D$7:$D$159,$C5,'07'!Y$7:Y$159)+SUMIF('08'!$D$7:$D$159,$C5,'08'!Y$7:Y$159)</f>
        <v/>
      </c>
      <c r="X6" s="431">
        <f>SUM(J6:W6)</f>
        <v/>
      </c>
      <c r="Y6" s="413" t="n"/>
      <c r="Z6" s="432" t="n"/>
    </row>
    <row r="7" ht="14.25" customHeight="1" s="296">
      <c r="A7" s="154">
        <f>IF(OR(C7="0",COUNTIF(КлючВесна,C7)&gt;1),0,MATCH(F7,ВидыНагр,0))</f>
        <v/>
      </c>
      <c r="B7" s="154">
        <f>(COUNTA(D7:F8,J7:W7,H7:I8)=0)</f>
        <v/>
      </c>
      <c r="C7" s="155">
        <f>IF(OR(TRIM(D7)="",COUNTIF(ВидыНагр,F7)&lt;&gt;1),"0",CONCATENATE("$",TRIM(D7),"$",TRIM(E7),"$",F7,"$"))</f>
        <v/>
      </c>
      <c r="D7" s="415" t="inlineStr">
        <is>
          <t>Математический анализ</t>
        </is>
      </c>
      <c r="E7" s="416" t="inlineStr">
        <is>
          <t>607-42 (БезопИнфСист-24-1)</t>
        </is>
      </c>
      <c r="F7" s="417" t="inlineStr">
        <is>
          <t>совм.</t>
        </is>
      </c>
      <c r="G7" s="156" t="inlineStr">
        <is>
          <t>план</t>
        </is>
      </c>
      <c r="H7" s="157" t="n"/>
      <c r="I7" s="158" t="n"/>
      <c r="J7" s="418" t="n"/>
      <c r="K7" s="419" t="n">
        <v>40</v>
      </c>
      <c r="L7" s="420" t="n"/>
      <c r="M7" s="418" t="n"/>
      <c r="N7" s="419" t="n"/>
      <c r="O7" s="420" t="n"/>
      <c r="P7" s="418" t="n"/>
      <c r="Q7" s="419" t="n"/>
      <c r="R7" s="420" t="n"/>
      <c r="S7" s="418" t="n"/>
      <c r="T7" s="419" t="n"/>
      <c r="U7" s="421" t="n"/>
      <c r="V7" s="420" t="n"/>
      <c r="W7" s="420" t="n"/>
      <c r="X7" s="422">
        <f>SUM(J7:W7)</f>
        <v/>
      </c>
      <c r="Y7" s="423">
        <f>X8-X7</f>
        <v/>
      </c>
      <c r="Z7" s="209" t="n"/>
    </row>
    <row r="8" ht="14.25" customHeight="1" s="296">
      <c r="A8" s="154">
        <f>-A7</f>
        <v/>
      </c>
      <c r="B8" s="154">
        <f>B7</f>
        <v/>
      </c>
      <c r="C8" s="163" t="n"/>
      <c r="D8" s="424" t="n"/>
      <c r="E8" s="425" t="n"/>
      <c r="F8" s="426" t="n"/>
      <c r="G8" s="164" t="inlineStr">
        <is>
          <t>факт</t>
        </is>
      </c>
      <c r="H8" s="165" t="n"/>
      <c r="I8" s="250" t="n"/>
      <c r="J8" s="427">
        <f>SUMIF('02'!$D$7:$D$159,$C7,'02'!L$7:L$159)+SUMIF('03'!$D$7:$D$159,$C7,'03'!L$7:L$159)+SUMIF('04'!$D$7:$D$159,$C7,'04'!L$7:L$159)+SUMIF('05'!$D$7:$D$159,$C7,'05'!L$7:L$159)+SUMIF('06'!$D$7:$D$159,$C7,'06'!L$7:L$159)+SUMIF('07'!$D$7:$D$159,$C7,'07'!L$7:L$159)+SUMIF('08'!$D$7:$D$159,$C7,'08'!L$7:L$159)</f>
        <v/>
      </c>
      <c r="K8" s="428">
        <f>SUMIF('02'!$D$7:$D$159,$C7,'02'!M$7:M$159)+SUMIF('03'!$D$7:$D$159,$C7,'03'!M$7:M$159)+SUMIF('04'!$D$7:$D$159,$C7,'04'!M$7:M$159)+SUMIF('05'!$D$7:$D$159,$C7,'05'!M$7:M$159)+SUMIF('06'!$D$7:$D$159,$C7,'06'!M$7:M$159)+SUMIF('07'!$D$7:$D$159,$C7,'07'!M$7:M$159)+SUMIF('08'!$D$7:$D$159,$C7,'08'!M$7:M$159)</f>
        <v/>
      </c>
      <c r="L8" s="429">
        <f>SUMIF('02'!$D$7:$D$159,$C7,'02'!N$7:N$159)+SUMIF('03'!$D$7:$D$159,$C7,'03'!N$7:N$159)+SUMIF('04'!$D$7:$D$159,$C7,'04'!N$7:N$159)+SUMIF('05'!$D$7:$D$159,$C7,'05'!N$7:N$159)+SUMIF('06'!$D$7:$D$159,$C7,'06'!N$7:N$159)+SUMIF('07'!$D$7:$D$159,$C7,'07'!N$7:N$159)+SUMIF('08'!$D$7:$D$159,$C7,'08'!N$7:N$159)</f>
        <v/>
      </c>
      <c r="M8" s="427">
        <f>SUMIF('02'!$D$7:$D$159,$C7,'02'!O$7:O$159)+SUMIF('03'!$D$7:$D$159,$C7,'03'!O$7:O$159)+SUMIF('04'!$D$7:$D$159,$C7,'04'!O$7:O$159)+SUMIF('05'!$D$7:$D$159,$C7,'05'!O$7:O$159)+SUMIF('06'!$D$7:$D$159,$C7,'06'!O$7:O$159)+SUMIF('07'!$D$7:$D$159,$C7,'07'!O$7:O$159)+SUMIF('08'!$D$7:$D$159,$C7,'08'!O$7:O$159)</f>
        <v/>
      </c>
      <c r="N8" s="428">
        <f>SUMIF('02'!$D$7:$D$159,$C7,'02'!P$7:P$159)+SUMIF('03'!$D$7:$D$159,$C7,'03'!P$7:P$159)+SUMIF('04'!$D$7:$D$159,$C7,'04'!P$7:P$159)+SUMIF('05'!$D$7:$D$159,$C7,'05'!P$7:P$159)+SUMIF('06'!$D$7:$D$159,$C7,'06'!P$7:P$159)+SUMIF('07'!$D$7:$D$159,$C7,'07'!P$7:P$159)+SUMIF('08'!$D$7:$D$159,$C7,'08'!P$7:P$159)</f>
        <v/>
      </c>
      <c r="O8" s="429">
        <f>SUMIF('02'!$D$7:$D$159,$C7,'02'!Q$7:Q$159)+SUMIF('03'!$D$7:$D$159,$C7,'03'!Q$7:Q$159)+SUMIF('04'!$D$7:$D$159,$C7,'04'!Q$7:Q$159)+SUMIF('05'!$D$7:$D$159,$C7,'05'!Q$7:Q$159)+SUMIF('06'!$D$7:$D$159,$C7,'06'!Q$7:Q$159)+SUMIF('07'!$D$7:$D$159,$C7,'07'!Q$7:Q$159)+SUMIF('08'!$D$7:$D$159,$C7,'08'!Q$7:Q$159)</f>
        <v/>
      </c>
      <c r="P8" s="427">
        <f>SUMIF('02'!$D$7:$D$159,$C7,'02'!R$7:R$159)+SUMIF('03'!$D$7:$D$159,$C7,'03'!R$7:R$159)+SUMIF('04'!$D$7:$D$159,$C7,'04'!R$7:R$159)+SUMIF('05'!$D$7:$D$159,$C7,'05'!R$7:R$159)+SUMIF('06'!$D$7:$D$159,$C7,'06'!R$7:R$159)+SUMIF('07'!$D$7:$D$159,$C7,'07'!R$7:R$159)+SUMIF('08'!$D$7:$D$159,$C7,'08'!R$7:R$159)</f>
        <v/>
      </c>
      <c r="Q8" s="428">
        <f>SUMIF('02'!$D$7:$D$159,$C7,'02'!S$7:S$159)+SUMIF('03'!$D$7:$D$159,$C7,'03'!S$7:S$159)+SUMIF('04'!$D$7:$D$159,$C7,'04'!S$7:S$159)+SUMIF('05'!$D$7:$D$159,$C7,'05'!S$7:S$159)+SUMIF('06'!$D$7:$D$159,$C7,'06'!S$7:S$159)+SUMIF('07'!$D$7:$D$159,$C7,'07'!S$7:S$159)+SUMIF('08'!$D$7:$D$159,$C7,'08'!S$7:S$159)</f>
        <v/>
      </c>
      <c r="R8" s="429">
        <f>SUMIF('02'!$D$7:$D$159,$C7,'02'!T$7:T$159)+SUMIF('03'!$D$7:$D$159,$C7,'03'!T$7:T$159)+SUMIF('04'!$D$7:$D$159,$C7,'04'!T$7:T$159)+SUMIF('05'!$D$7:$D$159,$C7,'05'!T$7:T$159)+SUMIF('06'!$D$7:$D$159,$C7,'06'!T$7:T$159)+SUMIF('07'!$D$7:$D$159,$C7,'07'!T$7:T$159)+SUMIF('08'!$D$7:$D$159,$C7,'08'!T$7:T$159)</f>
        <v/>
      </c>
      <c r="S8" s="427">
        <f>SUMIF('02'!$D$7:$D$159,$C7,'02'!U$7:U$159)+SUMIF('03'!$D$7:$D$159,$C7,'03'!U$7:U$159)+SUMIF('04'!$D$7:$D$159,$C7,'04'!U$7:U$159)+SUMIF('05'!$D$7:$D$159,$C7,'05'!U$7:U$159)+SUMIF('06'!$D$7:$D$159,$C7,'06'!U$7:U$159)+SUMIF('07'!$D$7:$D$159,$C7,'07'!U$7:U$159)+SUMIF('08'!$D$7:$D$159,$C7,'08'!U$7:U$159)</f>
        <v/>
      </c>
      <c r="T8" s="428">
        <f>SUMIF('02'!$D$7:$D$159,$C7,'02'!V$7:V$159)+SUMIF('03'!$D$7:$D$159,$C7,'03'!V$7:V$159)+SUMIF('04'!$D$7:$D$159,$C7,'04'!V$7:V$159)+SUMIF('05'!$D$7:$D$159,$C7,'05'!V$7:V$159)+SUMIF('06'!$D$7:$D$159,$C7,'06'!V$7:V$159)+SUMIF('07'!$D$7:$D$159,$C7,'07'!V$7:V$159)+SUMIF('08'!$D$7:$D$159,$C7,'08'!V$7:V$159)</f>
        <v/>
      </c>
      <c r="U8" s="430">
        <f>SUMIF('02'!$D$7:$D$159,$C7,'02'!W$7:W$159)+SUMIF('03'!$D$7:$D$159,$C7,'03'!W$7:W$159)+SUMIF('04'!$D$7:$D$159,$C7,'04'!W$7:W$159)+SUMIF('05'!$D$7:$D$159,$C7,'05'!W$7:W$159)+SUMIF('06'!$D$7:$D$159,$C7,'06'!W$7:W$159)+SUMIF('07'!$D$7:$D$159,$C7,'07'!W$7:W$159)+SUMIF('08'!$D$7:$D$159,$C7,'08'!W$7:W$159)</f>
        <v/>
      </c>
      <c r="V8" s="429">
        <f>SUMIF('02'!$D$7:$D$159,$C7,'02'!X$7:X$159)+SUMIF('03'!$D$7:$D$159,$C7,'03'!X$7:X$159)+SUMIF('04'!$D$7:$D$159,$C7,'04'!X$7:X$159)+SUMIF('05'!$D$7:$D$159,$C7,'05'!X$7:X$159)+SUMIF('06'!$D$7:$D$159,$C7,'06'!X$7:X$159)+SUMIF('07'!$D$7:$D$159,$C7,'07'!X$7:X$159)+SUMIF('08'!$D$7:$D$159,$C7,'08'!X$7:X$159)</f>
        <v/>
      </c>
      <c r="W8" s="429">
        <f>SUMIF('02'!$D$7:$D$159,$C7,'02'!Y$7:Y$159)+SUMIF('03'!$D$7:$D$159,$C7,'03'!Y$7:Y$159)+SUMIF('04'!$D$7:$D$159,$C7,'04'!Y$7:Y$159)+SUMIF('05'!$D$7:$D$159,$C7,'05'!Y$7:Y$159)+SUMIF('06'!$D$7:$D$159,$C7,'06'!Y$7:Y$159)+SUMIF('07'!$D$7:$D$159,$C7,'07'!Y$7:Y$159)+SUMIF('08'!$D$7:$D$159,$C7,'08'!Y$7:Y$159)</f>
        <v/>
      </c>
      <c r="X8" s="431">
        <f>SUM(J8:W8)</f>
        <v/>
      </c>
      <c r="Y8" s="413" t="n"/>
      <c r="Z8" s="432" t="n"/>
    </row>
    <row r="9" ht="14.25" customHeight="1" s="296">
      <c r="A9" s="154">
        <f>IF(OR(C9="0",COUNTIF(КлючВесна,C9)&gt;1),0,MATCH(F9,ВидыНагр,0))</f>
        <v/>
      </c>
      <c r="B9" s="154">
        <f>(COUNTA(D9:F10,J9:W9,H9:I10)=0)</f>
        <v/>
      </c>
      <c r="C9" s="155">
        <f>IF(OR(TRIM(D9)="",COUNTIF(ВидыНагр,F9)&lt;&gt;1),"0",CONCATENATE("$",TRIM(D9),"$",TRIM(E9),"$",F9,"$"))</f>
        <v/>
      </c>
      <c r="D9" s="415" t="inlineStr">
        <is>
          <t>Математический анализ</t>
        </is>
      </c>
      <c r="E9" s="416" t="inlineStr">
        <is>
          <t>607-41 (ИнфСист-24-1)</t>
        </is>
      </c>
      <c r="F9" s="417" t="inlineStr">
        <is>
          <t>совм.</t>
        </is>
      </c>
      <c r="G9" s="156" t="inlineStr">
        <is>
          <t>план</t>
        </is>
      </c>
      <c r="H9" s="157" t="n"/>
      <c r="I9" s="158" t="n"/>
      <c r="J9" s="418" t="n"/>
      <c r="K9" s="419" t="n">
        <v>48</v>
      </c>
      <c r="L9" s="420" t="n"/>
      <c r="M9" s="418" t="n"/>
      <c r="N9" s="419" t="n"/>
      <c r="O9" s="420" t="n"/>
      <c r="P9" s="418" t="n"/>
      <c r="Q9" s="419" t="n"/>
      <c r="R9" s="420" t="n"/>
      <c r="S9" s="418" t="n"/>
      <c r="T9" s="419" t="n"/>
      <c r="U9" s="421" t="n"/>
      <c r="V9" s="420" t="n"/>
      <c r="W9" s="420" t="n"/>
      <c r="X9" s="422">
        <f>SUM(J9:W9)</f>
        <v/>
      </c>
      <c r="Y9" s="423">
        <f>X10-X9</f>
        <v/>
      </c>
      <c r="Z9" s="209" t="n"/>
    </row>
    <row r="10" ht="14.25" customHeight="1" s="296">
      <c r="A10" s="154">
        <f>-A9</f>
        <v/>
      </c>
      <c r="B10" s="154">
        <f>B9</f>
        <v/>
      </c>
      <c r="C10" s="163" t="n"/>
      <c r="D10" s="424" t="n"/>
      <c r="E10" s="425" t="n"/>
      <c r="F10" s="426" t="n"/>
      <c r="G10" s="164" t="inlineStr">
        <is>
          <t>факт</t>
        </is>
      </c>
      <c r="H10" s="165" t="n"/>
      <c r="I10" s="250" t="n"/>
      <c r="J10" s="427">
        <f>SUMIF('02'!$D$7:$D$159,$C9,'02'!L$7:L$159)+SUMIF('03'!$D$7:$D$159,$C9,'03'!L$7:L$159)+SUMIF('04'!$D$7:$D$159,$C9,'04'!L$7:L$159)+SUMIF('05'!$D$7:$D$159,$C9,'05'!L$7:L$159)+SUMIF('06'!$D$7:$D$159,$C9,'06'!L$7:L$159)+SUMIF('07'!$D$7:$D$159,$C9,'07'!L$7:L$159)+SUMIF('08'!$D$7:$D$159,$C9,'08'!L$7:L$159)</f>
        <v/>
      </c>
      <c r="K10" s="428">
        <f>SUMIF('02'!$D$7:$D$159,$C9,'02'!M$7:M$159)+SUMIF('03'!$D$7:$D$159,$C9,'03'!M$7:M$159)+SUMIF('04'!$D$7:$D$159,$C9,'04'!M$7:M$159)+SUMIF('05'!$D$7:$D$159,$C9,'05'!M$7:M$159)+SUMIF('06'!$D$7:$D$159,$C9,'06'!M$7:M$159)+SUMIF('07'!$D$7:$D$159,$C9,'07'!M$7:M$159)+SUMIF('08'!$D$7:$D$159,$C9,'08'!M$7:M$159)</f>
        <v/>
      </c>
      <c r="L10" s="429">
        <f>SUMIF('02'!$D$7:$D$159,$C9,'02'!N$7:N$159)+SUMIF('03'!$D$7:$D$159,$C9,'03'!N$7:N$159)+SUMIF('04'!$D$7:$D$159,$C9,'04'!N$7:N$159)+SUMIF('05'!$D$7:$D$159,$C9,'05'!N$7:N$159)+SUMIF('06'!$D$7:$D$159,$C9,'06'!N$7:N$159)+SUMIF('07'!$D$7:$D$159,$C9,'07'!N$7:N$159)+SUMIF('08'!$D$7:$D$159,$C9,'08'!N$7:N$159)</f>
        <v/>
      </c>
      <c r="M10" s="427">
        <f>SUMIF('02'!$D$7:$D$159,$C9,'02'!O$7:O$159)+SUMIF('03'!$D$7:$D$159,$C9,'03'!O$7:O$159)+SUMIF('04'!$D$7:$D$159,$C9,'04'!O$7:O$159)+SUMIF('05'!$D$7:$D$159,$C9,'05'!O$7:O$159)+SUMIF('06'!$D$7:$D$159,$C9,'06'!O$7:O$159)+SUMIF('07'!$D$7:$D$159,$C9,'07'!O$7:O$159)+SUMIF('08'!$D$7:$D$159,$C9,'08'!O$7:O$159)</f>
        <v/>
      </c>
      <c r="N10" s="428">
        <f>SUMIF('02'!$D$7:$D$159,$C9,'02'!P$7:P$159)+SUMIF('03'!$D$7:$D$159,$C9,'03'!P$7:P$159)+SUMIF('04'!$D$7:$D$159,$C9,'04'!P$7:P$159)+SUMIF('05'!$D$7:$D$159,$C9,'05'!P$7:P$159)+SUMIF('06'!$D$7:$D$159,$C9,'06'!P$7:P$159)+SUMIF('07'!$D$7:$D$159,$C9,'07'!P$7:P$159)+SUMIF('08'!$D$7:$D$159,$C9,'08'!P$7:P$159)</f>
        <v/>
      </c>
      <c r="O10" s="429">
        <f>SUMIF('02'!$D$7:$D$159,$C9,'02'!Q$7:Q$159)+SUMIF('03'!$D$7:$D$159,$C9,'03'!Q$7:Q$159)+SUMIF('04'!$D$7:$D$159,$C9,'04'!Q$7:Q$159)+SUMIF('05'!$D$7:$D$159,$C9,'05'!Q$7:Q$159)+SUMIF('06'!$D$7:$D$159,$C9,'06'!Q$7:Q$159)+SUMIF('07'!$D$7:$D$159,$C9,'07'!Q$7:Q$159)+SUMIF('08'!$D$7:$D$159,$C9,'08'!Q$7:Q$159)</f>
        <v/>
      </c>
      <c r="P10" s="427">
        <f>SUMIF('02'!$D$7:$D$159,$C9,'02'!R$7:R$159)+SUMIF('03'!$D$7:$D$159,$C9,'03'!R$7:R$159)+SUMIF('04'!$D$7:$D$159,$C9,'04'!R$7:R$159)+SUMIF('05'!$D$7:$D$159,$C9,'05'!R$7:R$159)+SUMIF('06'!$D$7:$D$159,$C9,'06'!R$7:R$159)+SUMIF('07'!$D$7:$D$159,$C9,'07'!R$7:R$159)+SUMIF('08'!$D$7:$D$159,$C9,'08'!R$7:R$159)</f>
        <v/>
      </c>
      <c r="Q10" s="428">
        <f>SUMIF('02'!$D$7:$D$159,$C9,'02'!S$7:S$159)+SUMIF('03'!$D$7:$D$159,$C9,'03'!S$7:S$159)+SUMIF('04'!$D$7:$D$159,$C9,'04'!S$7:S$159)+SUMIF('05'!$D$7:$D$159,$C9,'05'!S$7:S$159)+SUMIF('06'!$D$7:$D$159,$C9,'06'!S$7:S$159)+SUMIF('07'!$D$7:$D$159,$C9,'07'!S$7:S$159)+SUMIF('08'!$D$7:$D$159,$C9,'08'!S$7:S$159)</f>
        <v/>
      </c>
      <c r="R10" s="429">
        <f>SUMIF('02'!$D$7:$D$159,$C9,'02'!T$7:T$159)+SUMIF('03'!$D$7:$D$159,$C9,'03'!T$7:T$159)+SUMIF('04'!$D$7:$D$159,$C9,'04'!T$7:T$159)+SUMIF('05'!$D$7:$D$159,$C9,'05'!T$7:T$159)+SUMIF('06'!$D$7:$D$159,$C9,'06'!T$7:T$159)+SUMIF('07'!$D$7:$D$159,$C9,'07'!T$7:T$159)+SUMIF('08'!$D$7:$D$159,$C9,'08'!T$7:T$159)</f>
        <v/>
      </c>
      <c r="S10" s="427">
        <f>SUMIF('02'!$D$7:$D$159,$C9,'02'!U$7:U$159)+SUMIF('03'!$D$7:$D$159,$C9,'03'!U$7:U$159)+SUMIF('04'!$D$7:$D$159,$C9,'04'!U$7:U$159)+SUMIF('05'!$D$7:$D$159,$C9,'05'!U$7:U$159)+SUMIF('06'!$D$7:$D$159,$C9,'06'!U$7:U$159)+SUMIF('07'!$D$7:$D$159,$C9,'07'!U$7:U$159)+SUMIF('08'!$D$7:$D$159,$C9,'08'!U$7:U$159)</f>
        <v/>
      </c>
      <c r="T10" s="428">
        <f>SUMIF('02'!$D$7:$D$159,$C9,'02'!V$7:V$159)+SUMIF('03'!$D$7:$D$159,$C9,'03'!V$7:V$159)+SUMIF('04'!$D$7:$D$159,$C9,'04'!V$7:V$159)+SUMIF('05'!$D$7:$D$159,$C9,'05'!V$7:V$159)+SUMIF('06'!$D$7:$D$159,$C9,'06'!V$7:V$159)+SUMIF('07'!$D$7:$D$159,$C9,'07'!V$7:V$159)+SUMIF('08'!$D$7:$D$159,$C9,'08'!V$7:V$159)</f>
        <v/>
      </c>
      <c r="U10" s="430">
        <f>SUMIF('02'!$D$7:$D$159,$C9,'02'!W$7:W$159)+SUMIF('03'!$D$7:$D$159,$C9,'03'!W$7:W$159)+SUMIF('04'!$D$7:$D$159,$C9,'04'!W$7:W$159)+SUMIF('05'!$D$7:$D$159,$C9,'05'!W$7:W$159)+SUMIF('06'!$D$7:$D$159,$C9,'06'!W$7:W$159)+SUMIF('07'!$D$7:$D$159,$C9,'07'!W$7:W$159)+SUMIF('08'!$D$7:$D$159,$C9,'08'!W$7:W$159)</f>
        <v/>
      </c>
      <c r="V10" s="429">
        <f>SUMIF('02'!$D$7:$D$159,$C9,'02'!X$7:X$159)+SUMIF('03'!$D$7:$D$159,$C9,'03'!X$7:X$159)+SUMIF('04'!$D$7:$D$159,$C9,'04'!X$7:X$159)+SUMIF('05'!$D$7:$D$159,$C9,'05'!X$7:X$159)+SUMIF('06'!$D$7:$D$159,$C9,'06'!X$7:X$159)+SUMIF('07'!$D$7:$D$159,$C9,'07'!X$7:X$159)+SUMIF('08'!$D$7:$D$159,$C9,'08'!X$7:X$159)</f>
        <v/>
      </c>
      <c r="W10" s="429">
        <f>SUMIF('02'!$D$7:$D$159,$C9,'02'!Y$7:Y$159)+SUMIF('03'!$D$7:$D$159,$C9,'03'!Y$7:Y$159)+SUMIF('04'!$D$7:$D$159,$C9,'04'!Y$7:Y$159)+SUMIF('05'!$D$7:$D$159,$C9,'05'!Y$7:Y$159)+SUMIF('06'!$D$7:$D$159,$C9,'06'!Y$7:Y$159)+SUMIF('07'!$D$7:$D$159,$C9,'07'!Y$7:Y$159)+SUMIF('08'!$D$7:$D$159,$C9,'08'!Y$7:Y$159)</f>
        <v/>
      </c>
      <c r="X10" s="431">
        <f>SUM(J10:W10)</f>
        <v/>
      </c>
      <c r="Y10" s="413" t="n"/>
      <c r="Z10" s="432" t="n"/>
    </row>
    <row r="11" ht="14.25" customHeight="1" s="296">
      <c r="A11" s="154">
        <f>IF(OR(C11="0",COUNTIF(КлючВесна,C11)&gt;1),0,MATCH(F11,ВидыНагр,0))</f>
        <v/>
      </c>
      <c r="B11" s="154">
        <f>(COUNTA(D11:F12,J11:W11,H11:I12)=0)</f>
        <v/>
      </c>
      <c r="C11" s="155">
        <f>IF(OR(TRIM(D11)="",COUNTIF(ВидыНагр,F11)&lt;&gt;1),"0",CONCATENATE("$",TRIM(D11),"$",TRIM(E11),"$",F11,"$"))</f>
        <v/>
      </c>
      <c r="D11" s="415" t="inlineStr">
        <is>
          <t>Математический анализ</t>
        </is>
      </c>
      <c r="E11" s="416" t="inlineStr">
        <is>
          <t>606-42 (ИИиЭС-24-1)</t>
        </is>
      </c>
      <c r="F11" s="417" t="inlineStr">
        <is>
          <t>совм.</t>
        </is>
      </c>
      <c r="G11" s="156" t="inlineStr">
        <is>
          <t>план</t>
        </is>
      </c>
      <c r="H11" s="157" t="n"/>
      <c r="I11" s="158" t="n"/>
      <c r="J11" s="418" t="n"/>
      <c r="K11" s="419" t="n">
        <v>64</v>
      </c>
      <c r="L11" s="420" t="n"/>
      <c r="M11" s="418" t="n"/>
      <c r="N11" s="419" t="n"/>
      <c r="O11" s="420" t="n"/>
      <c r="P11" s="418" t="n"/>
      <c r="Q11" s="419" t="n"/>
      <c r="R11" s="420" t="n"/>
      <c r="S11" s="418" t="n"/>
      <c r="T11" s="419" t="n"/>
      <c r="U11" s="421" t="n"/>
      <c r="V11" s="420" t="n"/>
      <c r="W11" s="420" t="n"/>
      <c r="X11" s="422">
        <f>SUM(J11:W11)</f>
        <v/>
      </c>
      <c r="Y11" s="423">
        <f>X12-X11</f>
        <v/>
      </c>
      <c r="Z11" s="209" t="n"/>
    </row>
    <row r="12" ht="14.25" customHeight="1" s="296">
      <c r="A12" s="154">
        <f>-A11</f>
        <v/>
      </c>
      <c r="B12" s="154">
        <f>B11</f>
        <v/>
      </c>
      <c r="C12" s="163" t="n"/>
      <c r="D12" s="424" t="n"/>
      <c r="E12" s="425" t="n"/>
      <c r="F12" s="426" t="n"/>
      <c r="G12" s="164" t="inlineStr">
        <is>
          <t>факт</t>
        </is>
      </c>
      <c r="H12" s="165" t="n"/>
      <c r="I12" s="250" t="n"/>
      <c r="J12" s="427">
        <f>SUMIF('02'!$D$7:$D$159,$C11,'02'!L$7:L$159)+SUMIF('03'!$D$7:$D$159,$C11,'03'!L$7:L$159)+SUMIF('04'!$D$7:$D$159,$C11,'04'!L$7:L$159)+SUMIF('05'!$D$7:$D$159,$C11,'05'!L$7:L$159)+SUMIF('06'!$D$7:$D$159,$C11,'06'!L$7:L$159)+SUMIF('07'!$D$7:$D$159,$C11,'07'!L$7:L$159)+SUMIF('08'!$D$7:$D$159,$C11,'08'!L$7:L$159)</f>
        <v/>
      </c>
      <c r="K12" s="428">
        <f>SUMIF('02'!$D$7:$D$159,$C11,'02'!M$7:M$159)+SUMIF('03'!$D$7:$D$159,$C11,'03'!M$7:M$159)+SUMIF('04'!$D$7:$D$159,$C11,'04'!M$7:M$159)+SUMIF('05'!$D$7:$D$159,$C11,'05'!M$7:M$159)+SUMIF('06'!$D$7:$D$159,$C11,'06'!M$7:M$159)+SUMIF('07'!$D$7:$D$159,$C11,'07'!M$7:M$159)+SUMIF('08'!$D$7:$D$159,$C11,'08'!M$7:M$159)</f>
        <v/>
      </c>
      <c r="L12" s="429">
        <f>SUMIF('02'!$D$7:$D$159,$C11,'02'!N$7:N$159)+SUMIF('03'!$D$7:$D$159,$C11,'03'!N$7:N$159)+SUMIF('04'!$D$7:$D$159,$C11,'04'!N$7:N$159)+SUMIF('05'!$D$7:$D$159,$C11,'05'!N$7:N$159)+SUMIF('06'!$D$7:$D$159,$C11,'06'!N$7:N$159)+SUMIF('07'!$D$7:$D$159,$C11,'07'!N$7:N$159)+SUMIF('08'!$D$7:$D$159,$C11,'08'!N$7:N$159)</f>
        <v/>
      </c>
      <c r="M12" s="427">
        <f>SUMIF('02'!$D$7:$D$159,$C11,'02'!O$7:O$159)+SUMIF('03'!$D$7:$D$159,$C11,'03'!O$7:O$159)+SUMIF('04'!$D$7:$D$159,$C11,'04'!O$7:O$159)+SUMIF('05'!$D$7:$D$159,$C11,'05'!O$7:O$159)+SUMIF('06'!$D$7:$D$159,$C11,'06'!O$7:O$159)+SUMIF('07'!$D$7:$D$159,$C11,'07'!O$7:O$159)+SUMIF('08'!$D$7:$D$159,$C11,'08'!O$7:O$159)</f>
        <v/>
      </c>
      <c r="N12" s="428">
        <f>SUMIF('02'!$D$7:$D$159,$C11,'02'!P$7:P$159)+SUMIF('03'!$D$7:$D$159,$C11,'03'!P$7:P$159)+SUMIF('04'!$D$7:$D$159,$C11,'04'!P$7:P$159)+SUMIF('05'!$D$7:$D$159,$C11,'05'!P$7:P$159)+SUMIF('06'!$D$7:$D$159,$C11,'06'!P$7:P$159)+SUMIF('07'!$D$7:$D$159,$C11,'07'!P$7:P$159)+SUMIF('08'!$D$7:$D$159,$C11,'08'!P$7:P$159)</f>
        <v/>
      </c>
      <c r="O12" s="429">
        <f>SUMIF('02'!$D$7:$D$159,$C11,'02'!Q$7:Q$159)+SUMIF('03'!$D$7:$D$159,$C11,'03'!Q$7:Q$159)+SUMIF('04'!$D$7:$D$159,$C11,'04'!Q$7:Q$159)+SUMIF('05'!$D$7:$D$159,$C11,'05'!Q$7:Q$159)+SUMIF('06'!$D$7:$D$159,$C11,'06'!Q$7:Q$159)+SUMIF('07'!$D$7:$D$159,$C11,'07'!Q$7:Q$159)+SUMIF('08'!$D$7:$D$159,$C11,'08'!Q$7:Q$159)</f>
        <v/>
      </c>
      <c r="P12" s="427">
        <f>SUMIF('02'!$D$7:$D$159,$C11,'02'!R$7:R$159)+SUMIF('03'!$D$7:$D$159,$C11,'03'!R$7:R$159)+SUMIF('04'!$D$7:$D$159,$C11,'04'!R$7:R$159)+SUMIF('05'!$D$7:$D$159,$C11,'05'!R$7:R$159)+SUMIF('06'!$D$7:$D$159,$C11,'06'!R$7:R$159)+SUMIF('07'!$D$7:$D$159,$C11,'07'!R$7:R$159)+SUMIF('08'!$D$7:$D$159,$C11,'08'!R$7:R$159)</f>
        <v/>
      </c>
      <c r="Q12" s="428">
        <f>SUMIF('02'!$D$7:$D$159,$C11,'02'!S$7:S$159)+SUMIF('03'!$D$7:$D$159,$C11,'03'!S$7:S$159)+SUMIF('04'!$D$7:$D$159,$C11,'04'!S$7:S$159)+SUMIF('05'!$D$7:$D$159,$C11,'05'!S$7:S$159)+SUMIF('06'!$D$7:$D$159,$C11,'06'!S$7:S$159)+SUMIF('07'!$D$7:$D$159,$C11,'07'!S$7:S$159)+SUMIF('08'!$D$7:$D$159,$C11,'08'!S$7:S$159)</f>
        <v/>
      </c>
      <c r="R12" s="429">
        <f>SUMIF('02'!$D$7:$D$159,$C11,'02'!T$7:T$159)+SUMIF('03'!$D$7:$D$159,$C11,'03'!T$7:T$159)+SUMIF('04'!$D$7:$D$159,$C11,'04'!T$7:T$159)+SUMIF('05'!$D$7:$D$159,$C11,'05'!T$7:T$159)+SUMIF('06'!$D$7:$D$159,$C11,'06'!T$7:T$159)+SUMIF('07'!$D$7:$D$159,$C11,'07'!T$7:T$159)+SUMIF('08'!$D$7:$D$159,$C11,'08'!T$7:T$159)</f>
        <v/>
      </c>
      <c r="S12" s="427">
        <f>SUMIF('02'!$D$7:$D$159,$C11,'02'!U$7:U$159)+SUMIF('03'!$D$7:$D$159,$C11,'03'!U$7:U$159)+SUMIF('04'!$D$7:$D$159,$C11,'04'!U$7:U$159)+SUMIF('05'!$D$7:$D$159,$C11,'05'!U$7:U$159)+SUMIF('06'!$D$7:$D$159,$C11,'06'!U$7:U$159)+SUMIF('07'!$D$7:$D$159,$C11,'07'!U$7:U$159)+SUMIF('08'!$D$7:$D$159,$C11,'08'!U$7:U$159)</f>
        <v/>
      </c>
      <c r="T12" s="428">
        <f>SUMIF('02'!$D$7:$D$159,$C11,'02'!V$7:V$159)+SUMIF('03'!$D$7:$D$159,$C11,'03'!V$7:V$159)+SUMIF('04'!$D$7:$D$159,$C11,'04'!V$7:V$159)+SUMIF('05'!$D$7:$D$159,$C11,'05'!V$7:V$159)+SUMIF('06'!$D$7:$D$159,$C11,'06'!V$7:V$159)+SUMIF('07'!$D$7:$D$159,$C11,'07'!V$7:V$159)+SUMIF('08'!$D$7:$D$159,$C11,'08'!V$7:V$159)</f>
        <v/>
      </c>
      <c r="U12" s="430">
        <f>SUMIF('02'!$D$7:$D$159,$C11,'02'!W$7:W$159)+SUMIF('03'!$D$7:$D$159,$C11,'03'!W$7:W$159)+SUMIF('04'!$D$7:$D$159,$C11,'04'!W$7:W$159)+SUMIF('05'!$D$7:$D$159,$C11,'05'!W$7:W$159)+SUMIF('06'!$D$7:$D$159,$C11,'06'!W$7:W$159)+SUMIF('07'!$D$7:$D$159,$C11,'07'!W$7:W$159)+SUMIF('08'!$D$7:$D$159,$C11,'08'!W$7:W$159)</f>
        <v/>
      </c>
      <c r="V12" s="429">
        <f>SUMIF('02'!$D$7:$D$159,$C11,'02'!X$7:X$159)+SUMIF('03'!$D$7:$D$159,$C11,'03'!X$7:X$159)+SUMIF('04'!$D$7:$D$159,$C11,'04'!X$7:X$159)+SUMIF('05'!$D$7:$D$159,$C11,'05'!X$7:X$159)+SUMIF('06'!$D$7:$D$159,$C11,'06'!X$7:X$159)+SUMIF('07'!$D$7:$D$159,$C11,'07'!X$7:X$159)+SUMIF('08'!$D$7:$D$159,$C11,'08'!X$7:X$159)</f>
        <v/>
      </c>
      <c r="W12" s="429">
        <f>SUMIF('02'!$D$7:$D$159,$C11,'02'!Y$7:Y$159)+SUMIF('03'!$D$7:$D$159,$C11,'03'!Y$7:Y$159)+SUMIF('04'!$D$7:$D$159,$C11,'04'!Y$7:Y$159)+SUMIF('05'!$D$7:$D$159,$C11,'05'!Y$7:Y$159)+SUMIF('06'!$D$7:$D$159,$C11,'06'!Y$7:Y$159)+SUMIF('07'!$D$7:$D$159,$C11,'07'!Y$7:Y$159)+SUMIF('08'!$D$7:$D$159,$C11,'08'!Y$7:Y$159)</f>
        <v/>
      </c>
      <c r="X12" s="431">
        <f>SUM(J12:W12)</f>
        <v/>
      </c>
      <c r="Y12" s="413" t="n"/>
      <c r="Z12" s="432" t="n"/>
    </row>
    <row r="13" ht="14.25" customHeight="1" s="296">
      <c r="A13" s="154">
        <f>IF(OR(C13="0",COUNTIF(КлючВесна,C13)&gt;1),0,MATCH(F13,ВидыНагр,0))</f>
        <v/>
      </c>
      <c r="B13" s="154">
        <f>(COUNTA(D13:F14,J13:W13,H13:I14)=0)</f>
        <v/>
      </c>
      <c r="C13" s="155">
        <f>IF(OR(TRIM(D13)="",COUNTIF(ВидыНагр,F13)&lt;&gt;1),"0",CONCATENATE("$",TRIM(D13),"$",TRIM(E13),"$",F13,"$"))</f>
        <v/>
      </c>
      <c r="D13" s="415" t="inlineStr">
        <is>
          <t>Математический анализ</t>
        </is>
      </c>
      <c r="E13" s="416" t="inlineStr">
        <is>
          <t>606-41 (АСОИУ-24-1)</t>
        </is>
      </c>
      <c r="F13" s="417" t="inlineStr">
        <is>
          <t>совм.</t>
        </is>
      </c>
      <c r="G13" s="156" t="inlineStr">
        <is>
          <t>план</t>
        </is>
      </c>
      <c r="H13" s="157" t="n"/>
      <c r="I13" s="158" t="n"/>
      <c r="J13" s="418" t="n"/>
      <c r="K13" s="419" t="n">
        <v>64</v>
      </c>
      <c r="L13" s="420" t="n"/>
      <c r="M13" s="418" t="n"/>
      <c r="N13" s="419" t="n"/>
      <c r="O13" s="420" t="n"/>
      <c r="P13" s="418" t="n"/>
      <c r="Q13" s="419" t="n"/>
      <c r="R13" s="420" t="n"/>
      <c r="S13" s="418" t="n"/>
      <c r="T13" s="419" t="n"/>
      <c r="U13" s="421" t="n"/>
      <c r="V13" s="420" t="n"/>
      <c r="W13" s="420" t="n"/>
      <c r="X13" s="422">
        <f>SUM(J13:W13)</f>
        <v/>
      </c>
      <c r="Y13" s="423">
        <f>X14-X13</f>
        <v/>
      </c>
      <c r="Z13" s="209" t="n"/>
    </row>
    <row r="14" ht="14.25" customHeight="1" s="296">
      <c r="A14" s="154">
        <f>-A13</f>
        <v/>
      </c>
      <c r="B14" s="154">
        <f>B13</f>
        <v/>
      </c>
      <c r="C14" s="163" t="n"/>
      <c r="D14" s="424" t="n"/>
      <c r="E14" s="425" t="n"/>
      <c r="F14" s="426" t="n"/>
      <c r="G14" s="164" t="inlineStr">
        <is>
          <t>факт</t>
        </is>
      </c>
      <c r="H14" s="165" t="n"/>
      <c r="I14" s="250" t="n"/>
      <c r="J14" s="427">
        <f>SUMIF('02'!$D$7:$D$159,$C13,'02'!L$7:L$159)+SUMIF('03'!$D$7:$D$159,$C13,'03'!L$7:L$159)+SUMIF('04'!$D$7:$D$159,$C13,'04'!L$7:L$159)+SUMIF('05'!$D$7:$D$159,$C13,'05'!L$7:L$159)+SUMIF('06'!$D$7:$D$159,$C13,'06'!L$7:L$159)+SUMIF('07'!$D$7:$D$159,$C13,'07'!L$7:L$159)+SUMIF('08'!$D$7:$D$159,$C13,'08'!L$7:L$159)</f>
        <v/>
      </c>
      <c r="K14" s="428">
        <f>SUMIF('02'!$D$7:$D$159,$C13,'02'!M$7:M$159)+SUMIF('03'!$D$7:$D$159,$C13,'03'!M$7:M$159)+SUMIF('04'!$D$7:$D$159,$C13,'04'!M$7:M$159)+SUMIF('05'!$D$7:$D$159,$C13,'05'!M$7:M$159)+SUMIF('06'!$D$7:$D$159,$C13,'06'!M$7:M$159)+SUMIF('07'!$D$7:$D$159,$C13,'07'!M$7:M$159)+SUMIF('08'!$D$7:$D$159,$C13,'08'!M$7:M$159)</f>
        <v/>
      </c>
      <c r="L14" s="429">
        <f>SUMIF('02'!$D$7:$D$159,$C13,'02'!N$7:N$159)+SUMIF('03'!$D$7:$D$159,$C13,'03'!N$7:N$159)+SUMIF('04'!$D$7:$D$159,$C13,'04'!N$7:N$159)+SUMIF('05'!$D$7:$D$159,$C13,'05'!N$7:N$159)+SUMIF('06'!$D$7:$D$159,$C13,'06'!N$7:N$159)+SUMIF('07'!$D$7:$D$159,$C13,'07'!N$7:N$159)+SUMIF('08'!$D$7:$D$159,$C13,'08'!N$7:N$159)</f>
        <v/>
      </c>
      <c r="M14" s="427">
        <f>SUMIF('02'!$D$7:$D$159,$C13,'02'!O$7:O$159)+SUMIF('03'!$D$7:$D$159,$C13,'03'!O$7:O$159)+SUMIF('04'!$D$7:$D$159,$C13,'04'!O$7:O$159)+SUMIF('05'!$D$7:$D$159,$C13,'05'!O$7:O$159)+SUMIF('06'!$D$7:$D$159,$C13,'06'!O$7:O$159)+SUMIF('07'!$D$7:$D$159,$C13,'07'!O$7:O$159)+SUMIF('08'!$D$7:$D$159,$C13,'08'!O$7:O$159)</f>
        <v/>
      </c>
      <c r="N14" s="428">
        <f>SUMIF('02'!$D$7:$D$159,$C13,'02'!P$7:P$159)+SUMIF('03'!$D$7:$D$159,$C13,'03'!P$7:P$159)+SUMIF('04'!$D$7:$D$159,$C13,'04'!P$7:P$159)+SUMIF('05'!$D$7:$D$159,$C13,'05'!P$7:P$159)+SUMIF('06'!$D$7:$D$159,$C13,'06'!P$7:P$159)+SUMIF('07'!$D$7:$D$159,$C13,'07'!P$7:P$159)+SUMIF('08'!$D$7:$D$159,$C13,'08'!P$7:P$159)</f>
        <v/>
      </c>
      <c r="O14" s="429">
        <f>SUMIF('02'!$D$7:$D$159,$C13,'02'!Q$7:Q$159)+SUMIF('03'!$D$7:$D$159,$C13,'03'!Q$7:Q$159)+SUMIF('04'!$D$7:$D$159,$C13,'04'!Q$7:Q$159)+SUMIF('05'!$D$7:$D$159,$C13,'05'!Q$7:Q$159)+SUMIF('06'!$D$7:$D$159,$C13,'06'!Q$7:Q$159)+SUMIF('07'!$D$7:$D$159,$C13,'07'!Q$7:Q$159)+SUMIF('08'!$D$7:$D$159,$C13,'08'!Q$7:Q$159)</f>
        <v/>
      </c>
      <c r="P14" s="427">
        <f>SUMIF('02'!$D$7:$D$159,$C13,'02'!R$7:R$159)+SUMIF('03'!$D$7:$D$159,$C13,'03'!R$7:R$159)+SUMIF('04'!$D$7:$D$159,$C13,'04'!R$7:R$159)+SUMIF('05'!$D$7:$D$159,$C13,'05'!R$7:R$159)+SUMIF('06'!$D$7:$D$159,$C13,'06'!R$7:R$159)+SUMIF('07'!$D$7:$D$159,$C13,'07'!R$7:R$159)+SUMIF('08'!$D$7:$D$159,$C13,'08'!R$7:R$159)</f>
        <v/>
      </c>
      <c r="Q14" s="428">
        <f>SUMIF('02'!$D$7:$D$159,$C13,'02'!S$7:S$159)+SUMIF('03'!$D$7:$D$159,$C13,'03'!S$7:S$159)+SUMIF('04'!$D$7:$D$159,$C13,'04'!S$7:S$159)+SUMIF('05'!$D$7:$D$159,$C13,'05'!S$7:S$159)+SUMIF('06'!$D$7:$D$159,$C13,'06'!S$7:S$159)+SUMIF('07'!$D$7:$D$159,$C13,'07'!S$7:S$159)+SUMIF('08'!$D$7:$D$159,$C13,'08'!S$7:S$159)</f>
        <v/>
      </c>
      <c r="R14" s="429">
        <f>SUMIF('02'!$D$7:$D$159,$C13,'02'!T$7:T$159)+SUMIF('03'!$D$7:$D$159,$C13,'03'!T$7:T$159)+SUMIF('04'!$D$7:$D$159,$C13,'04'!T$7:T$159)+SUMIF('05'!$D$7:$D$159,$C13,'05'!T$7:T$159)+SUMIF('06'!$D$7:$D$159,$C13,'06'!T$7:T$159)+SUMIF('07'!$D$7:$D$159,$C13,'07'!T$7:T$159)+SUMIF('08'!$D$7:$D$159,$C13,'08'!T$7:T$159)</f>
        <v/>
      </c>
      <c r="S14" s="427">
        <f>SUMIF('02'!$D$7:$D$159,$C13,'02'!U$7:U$159)+SUMIF('03'!$D$7:$D$159,$C13,'03'!U$7:U$159)+SUMIF('04'!$D$7:$D$159,$C13,'04'!U$7:U$159)+SUMIF('05'!$D$7:$D$159,$C13,'05'!U$7:U$159)+SUMIF('06'!$D$7:$D$159,$C13,'06'!U$7:U$159)+SUMIF('07'!$D$7:$D$159,$C13,'07'!U$7:U$159)+SUMIF('08'!$D$7:$D$159,$C13,'08'!U$7:U$159)</f>
        <v/>
      </c>
      <c r="T14" s="428">
        <f>SUMIF('02'!$D$7:$D$159,$C13,'02'!V$7:V$159)+SUMIF('03'!$D$7:$D$159,$C13,'03'!V$7:V$159)+SUMIF('04'!$D$7:$D$159,$C13,'04'!V$7:V$159)+SUMIF('05'!$D$7:$D$159,$C13,'05'!V$7:V$159)+SUMIF('06'!$D$7:$D$159,$C13,'06'!V$7:V$159)+SUMIF('07'!$D$7:$D$159,$C13,'07'!V$7:V$159)+SUMIF('08'!$D$7:$D$159,$C13,'08'!V$7:V$159)</f>
        <v/>
      </c>
      <c r="U14" s="430">
        <f>SUMIF('02'!$D$7:$D$159,$C13,'02'!W$7:W$159)+SUMIF('03'!$D$7:$D$159,$C13,'03'!W$7:W$159)+SUMIF('04'!$D$7:$D$159,$C13,'04'!W$7:W$159)+SUMIF('05'!$D$7:$D$159,$C13,'05'!W$7:W$159)+SUMIF('06'!$D$7:$D$159,$C13,'06'!W$7:W$159)+SUMIF('07'!$D$7:$D$159,$C13,'07'!W$7:W$159)+SUMIF('08'!$D$7:$D$159,$C13,'08'!W$7:W$159)</f>
        <v/>
      </c>
      <c r="V14" s="429">
        <f>SUMIF('02'!$D$7:$D$159,$C13,'02'!X$7:X$159)+SUMIF('03'!$D$7:$D$159,$C13,'03'!X$7:X$159)+SUMIF('04'!$D$7:$D$159,$C13,'04'!X$7:X$159)+SUMIF('05'!$D$7:$D$159,$C13,'05'!X$7:X$159)+SUMIF('06'!$D$7:$D$159,$C13,'06'!X$7:X$159)+SUMIF('07'!$D$7:$D$159,$C13,'07'!X$7:X$159)+SUMIF('08'!$D$7:$D$159,$C13,'08'!X$7:X$159)</f>
        <v/>
      </c>
      <c r="W14" s="429">
        <f>SUMIF('02'!$D$7:$D$159,$C13,'02'!Y$7:Y$159)+SUMIF('03'!$D$7:$D$159,$C13,'03'!Y$7:Y$159)+SUMIF('04'!$D$7:$D$159,$C13,'04'!Y$7:Y$159)+SUMIF('05'!$D$7:$D$159,$C13,'05'!Y$7:Y$159)+SUMIF('06'!$D$7:$D$159,$C13,'06'!Y$7:Y$159)+SUMIF('07'!$D$7:$D$159,$C13,'07'!Y$7:Y$159)+SUMIF('08'!$D$7:$D$159,$C13,'08'!Y$7:Y$159)</f>
        <v/>
      </c>
      <c r="X14" s="431">
        <f>SUM(J14:W14)</f>
        <v/>
      </c>
      <c r="Y14" s="413" t="n"/>
      <c r="Z14" s="432" t="n"/>
    </row>
    <row r="15" ht="14.25" customHeight="1" s="296">
      <c r="A15" s="154">
        <f>IF(OR(C15="0",COUNTIF(КлючВесна,C15)&gt;1),0,MATCH(F15,ВидыНагр,0))</f>
        <v/>
      </c>
      <c r="B15" s="154">
        <f>(COUNTA(D15:F16,J15:W15,H15:I16)=0)</f>
        <v/>
      </c>
      <c r="C15" s="155">
        <f>IF(OR(TRIM(D15)="",COUNTIF(ВидыНагр,F15)&lt;&gt;1),"0",CONCATENATE("$",TRIM(D15),"$",TRIM(E15),"$",F15,"$"))</f>
        <v/>
      </c>
      <c r="D15" s="415" t="n"/>
      <c r="E15" s="416" t="n"/>
      <c r="F15" s="417" t="n"/>
      <c r="G15" s="156" t="inlineStr">
        <is>
          <t>план</t>
        </is>
      </c>
      <c r="H15" s="157" t="n"/>
      <c r="I15" s="158" t="n"/>
      <c r="J15" s="418" t="n"/>
      <c r="K15" s="419" t="n"/>
      <c r="L15" s="420" t="n"/>
      <c r="M15" s="418" t="n"/>
      <c r="N15" s="419" t="n"/>
      <c r="O15" s="420" t="n"/>
      <c r="P15" s="418" t="n"/>
      <c r="Q15" s="419" t="n"/>
      <c r="R15" s="420" t="n"/>
      <c r="S15" s="418" t="n"/>
      <c r="T15" s="419" t="n"/>
      <c r="U15" s="421" t="n"/>
      <c r="V15" s="420" t="n"/>
      <c r="W15" s="420" t="n"/>
      <c r="X15" s="422">
        <f>SUM(J15:W15)</f>
        <v/>
      </c>
      <c r="Y15" s="423">
        <f>X16-X15</f>
        <v/>
      </c>
      <c r="Z15" s="209" t="n"/>
    </row>
    <row r="16" ht="14.25" customHeight="1" s="296">
      <c r="A16" s="154">
        <f>-A15</f>
        <v/>
      </c>
      <c r="B16" s="154">
        <f>B15</f>
        <v/>
      </c>
      <c r="C16" s="163" t="n"/>
      <c r="D16" s="424" t="n"/>
      <c r="E16" s="425" t="n"/>
      <c r="F16" s="426" t="n"/>
      <c r="G16" s="164" t="inlineStr">
        <is>
          <t>факт</t>
        </is>
      </c>
      <c r="H16" s="165" t="n"/>
      <c r="I16" s="250" t="n"/>
      <c r="J16" s="427">
        <f>SUMIF('02'!$D$7:$D$159,$C15,'02'!L$7:L$159)+SUMIF('03'!$D$7:$D$159,$C15,'03'!L$7:L$159)+SUMIF('04'!$D$7:$D$159,$C15,'04'!L$7:L$159)+SUMIF('05'!$D$7:$D$159,$C15,'05'!L$7:L$159)+SUMIF('06'!$D$7:$D$159,$C15,'06'!L$7:L$159)+SUMIF('07'!$D$7:$D$159,$C15,'07'!L$7:L$159)+SUMIF('08'!$D$7:$D$159,$C15,'08'!L$7:L$159)</f>
        <v/>
      </c>
      <c r="K16" s="428">
        <f>SUMIF('02'!$D$7:$D$159,$C15,'02'!M$7:M$159)+SUMIF('03'!$D$7:$D$159,$C15,'03'!M$7:M$159)+SUMIF('04'!$D$7:$D$159,$C15,'04'!M$7:M$159)+SUMIF('05'!$D$7:$D$159,$C15,'05'!M$7:M$159)+SUMIF('06'!$D$7:$D$159,$C15,'06'!M$7:M$159)+SUMIF('07'!$D$7:$D$159,$C15,'07'!M$7:M$159)+SUMIF('08'!$D$7:$D$159,$C15,'08'!M$7:M$159)</f>
        <v/>
      </c>
      <c r="L16" s="429">
        <f>SUMIF('02'!$D$7:$D$159,$C15,'02'!N$7:N$159)+SUMIF('03'!$D$7:$D$159,$C15,'03'!N$7:N$159)+SUMIF('04'!$D$7:$D$159,$C15,'04'!N$7:N$159)+SUMIF('05'!$D$7:$D$159,$C15,'05'!N$7:N$159)+SUMIF('06'!$D$7:$D$159,$C15,'06'!N$7:N$159)+SUMIF('07'!$D$7:$D$159,$C15,'07'!N$7:N$159)+SUMIF('08'!$D$7:$D$159,$C15,'08'!N$7:N$159)</f>
        <v/>
      </c>
      <c r="M16" s="427">
        <f>SUMIF('02'!$D$7:$D$159,$C15,'02'!O$7:O$159)+SUMIF('03'!$D$7:$D$159,$C15,'03'!O$7:O$159)+SUMIF('04'!$D$7:$D$159,$C15,'04'!O$7:O$159)+SUMIF('05'!$D$7:$D$159,$C15,'05'!O$7:O$159)+SUMIF('06'!$D$7:$D$159,$C15,'06'!O$7:O$159)+SUMIF('07'!$D$7:$D$159,$C15,'07'!O$7:O$159)+SUMIF('08'!$D$7:$D$159,$C15,'08'!O$7:O$159)</f>
        <v/>
      </c>
      <c r="N16" s="428">
        <f>SUMIF('02'!$D$7:$D$159,$C15,'02'!P$7:P$159)+SUMIF('03'!$D$7:$D$159,$C15,'03'!P$7:P$159)+SUMIF('04'!$D$7:$D$159,$C15,'04'!P$7:P$159)+SUMIF('05'!$D$7:$D$159,$C15,'05'!P$7:P$159)+SUMIF('06'!$D$7:$D$159,$C15,'06'!P$7:P$159)+SUMIF('07'!$D$7:$D$159,$C15,'07'!P$7:P$159)+SUMIF('08'!$D$7:$D$159,$C15,'08'!P$7:P$159)</f>
        <v/>
      </c>
      <c r="O16" s="429">
        <f>SUMIF('02'!$D$7:$D$159,$C15,'02'!Q$7:Q$159)+SUMIF('03'!$D$7:$D$159,$C15,'03'!Q$7:Q$159)+SUMIF('04'!$D$7:$D$159,$C15,'04'!Q$7:Q$159)+SUMIF('05'!$D$7:$D$159,$C15,'05'!Q$7:Q$159)+SUMIF('06'!$D$7:$D$159,$C15,'06'!Q$7:Q$159)+SUMIF('07'!$D$7:$D$159,$C15,'07'!Q$7:Q$159)+SUMIF('08'!$D$7:$D$159,$C15,'08'!Q$7:Q$159)</f>
        <v/>
      </c>
      <c r="P16" s="427">
        <f>SUMIF('02'!$D$7:$D$159,$C15,'02'!R$7:R$159)+SUMIF('03'!$D$7:$D$159,$C15,'03'!R$7:R$159)+SUMIF('04'!$D$7:$D$159,$C15,'04'!R$7:R$159)+SUMIF('05'!$D$7:$D$159,$C15,'05'!R$7:R$159)+SUMIF('06'!$D$7:$D$159,$C15,'06'!R$7:R$159)+SUMIF('07'!$D$7:$D$159,$C15,'07'!R$7:R$159)+SUMIF('08'!$D$7:$D$159,$C15,'08'!R$7:R$159)</f>
        <v/>
      </c>
      <c r="Q16" s="428">
        <f>SUMIF('02'!$D$7:$D$159,$C15,'02'!S$7:S$159)+SUMIF('03'!$D$7:$D$159,$C15,'03'!S$7:S$159)+SUMIF('04'!$D$7:$D$159,$C15,'04'!S$7:S$159)+SUMIF('05'!$D$7:$D$159,$C15,'05'!S$7:S$159)+SUMIF('06'!$D$7:$D$159,$C15,'06'!S$7:S$159)+SUMIF('07'!$D$7:$D$159,$C15,'07'!S$7:S$159)+SUMIF('08'!$D$7:$D$159,$C15,'08'!S$7:S$159)</f>
        <v/>
      </c>
      <c r="R16" s="429">
        <f>SUMIF('02'!$D$7:$D$159,$C15,'02'!T$7:T$159)+SUMIF('03'!$D$7:$D$159,$C15,'03'!T$7:T$159)+SUMIF('04'!$D$7:$D$159,$C15,'04'!T$7:T$159)+SUMIF('05'!$D$7:$D$159,$C15,'05'!T$7:T$159)+SUMIF('06'!$D$7:$D$159,$C15,'06'!T$7:T$159)+SUMIF('07'!$D$7:$D$159,$C15,'07'!T$7:T$159)+SUMIF('08'!$D$7:$D$159,$C15,'08'!T$7:T$159)</f>
        <v/>
      </c>
      <c r="S16" s="427">
        <f>SUMIF('02'!$D$7:$D$159,$C15,'02'!U$7:U$159)+SUMIF('03'!$D$7:$D$159,$C15,'03'!U$7:U$159)+SUMIF('04'!$D$7:$D$159,$C15,'04'!U$7:U$159)+SUMIF('05'!$D$7:$D$159,$C15,'05'!U$7:U$159)+SUMIF('06'!$D$7:$D$159,$C15,'06'!U$7:U$159)+SUMIF('07'!$D$7:$D$159,$C15,'07'!U$7:U$159)+SUMIF('08'!$D$7:$D$159,$C15,'08'!U$7:U$159)</f>
        <v/>
      </c>
      <c r="T16" s="428">
        <f>SUMIF('02'!$D$7:$D$159,$C15,'02'!V$7:V$159)+SUMIF('03'!$D$7:$D$159,$C15,'03'!V$7:V$159)+SUMIF('04'!$D$7:$D$159,$C15,'04'!V$7:V$159)+SUMIF('05'!$D$7:$D$159,$C15,'05'!V$7:V$159)+SUMIF('06'!$D$7:$D$159,$C15,'06'!V$7:V$159)+SUMIF('07'!$D$7:$D$159,$C15,'07'!V$7:V$159)+SUMIF('08'!$D$7:$D$159,$C15,'08'!V$7:V$159)</f>
        <v/>
      </c>
      <c r="U16" s="430">
        <f>SUMIF('02'!$D$7:$D$159,$C15,'02'!W$7:W$159)+SUMIF('03'!$D$7:$D$159,$C15,'03'!W$7:W$159)+SUMIF('04'!$D$7:$D$159,$C15,'04'!W$7:W$159)+SUMIF('05'!$D$7:$D$159,$C15,'05'!W$7:W$159)+SUMIF('06'!$D$7:$D$159,$C15,'06'!W$7:W$159)+SUMIF('07'!$D$7:$D$159,$C15,'07'!W$7:W$159)+SUMIF('08'!$D$7:$D$159,$C15,'08'!W$7:W$159)</f>
        <v/>
      </c>
      <c r="V16" s="429">
        <f>SUMIF('02'!$D$7:$D$159,$C15,'02'!X$7:X$159)+SUMIF('03'!$D$7:$D$159,$C15,'03'!X$7:X$159)+SUMIF('04'!$D$7:$D$159,$C15,'04'!X$7:X$159)+SUMIF('05'!$D$7:$D$159,$C15,'05'!X$7:X$159)+SUMIF('06'!$D$7:$D$159,$C15,'06'!X$7:X$159)+SUMIF('07'!$D$7:$D$159,$C15,'07'!X$7:X$159)+SUMIF('08'!$D$7:$D$159,$C15,'08'!X$7:X$159)</f>
        <v/>
      </c>
      <c r="W16" s="429">
        <f>SUMIF('02'!$D$7:$D$159,$C15,'02'!Y$7:Y$159)+SUMIF('03'!$D$7:$D$159,$C15,'03'!Y$7:Y$159)+SUMIF('04'!$D$7:$D$159,$C15,'04'!Y$7:Y$159)+SUMIF('05'!$D$7:$D$159,$C15,'05'!Y$7:Y$159)+SUMIF('06'!$D$7:$D$159,$C15,'06'!Y$7:Y$159)+SUMIF('07'!$D$7:$D$159,$C15,'07'!Y$7:Y$159)+SUMIF('08'!$D$7:$D$159,$C15,'08'!Y$7:Y$159)</f>
        <v/>
      </c>
      <c r="X16" s="431">
        <f>SUM(J16:W16)</f>
        <v/>
      </c>
      <c r="Y16" s="413" t="n"/>
      <c r="Z16" s="432" t="n"/>
    </row>
    <row r="17" ht="14.25" customHeight="1" s="296">
      <c r="A17" s="154">
        <f>IF(OR(C17="0",COUNTIF(КлючВесна,C17)&gt;1),0,MATCH(F17,ВидыНагр,0))</f>
        <v/>
      </c>
      <c r="B17" s="154">
        <f>(COUNTA(D17:F18,J17:W17,H17:I18)=0)</f>
        <v/>
      </c>
      <c r="C17" s="155">
        <f>IF(OR(TRIM(D17)="",COUNTIF(ВидыНагр,F17)&lt;&gt;1),"0",CONCATENATE("$",TRIM(D17),"$",TRIM(E17),"$",F17,"$"))</f>
        <v/>
      </c>
      <c r="D17" s="415" t="n"/>
      <c r="E17" s="416" t="n"/>
      <c r="F17" s="417" t="n"/>
      <c r="G17" s="156" t="inlineStr">
        <is>
          <t>план</t>
        </is>
      </c>
      <c r="H17" s="157" t="n"/>
      <c r="I17" s="158" t="n"/>
      <c r="J17" s="418" t="n"/>
      <c r="K17" s="419" t="n"/>
      <c r="L17" s="420" t="n"/>
      <c r="M17" s="418" t="n"/>
      <c r="N17" s="419" t="n"/>
      <c r="O17" s="420" t="n"/>
      <c r="P17" s="418" t="n"/>
      <c r="Q17" s="419" t="n"/>
      <c r="R17" s="420" t="n"/>
      <c r="S17" s="418" t="n"/>
      <c r="T17" s="419" t="n"/>
      <c r="U17" s="421" t="n"/>
      <c r="V17" s="420" t="n"/>
      <c r="W17" s="420" t="n"/>
      <c r="X17" s="422">
        <f>SUM(J17:W17)</f>
        <v/>
      </c>
      <c r="Y17" s="423">
        <f>X18-X17</f>
        <v/>
      </c>
      <c r="Z17" s="209" t="n"/>
    </row>
    <row r="18" ht="14.25" customHeight="1" s="296">
      <c r="A18" s="154">
        <f>-A17</f>
        <v/>
      </c>
      <c r="B18" s="154">
        <f>B17</f>
        <v/>
      </c>
      <c r="C18" s="163" t="n"/>
      <c r="D18" s="424" t="n"/>
      <c r="E18" s="425" t="n"/>
      <c r="F18" s="426" t="n"/>
      <c r="G18" s="164" t="inlineStr">
        <is>
          <t>факт</t>
        </is>
      </c>
      <c r="H18" s="165" t="n"/>
      <c r="I18" s="250" t="n"/>
      <c r="J18" s="427">
        <f>SUMIF('02'!$D$7:$D$159,$C17,'02'!L$7:L$159)+SUMIF('03'!$D$7:$D$159,$C17,'03'!L$7:L$159)+SUMIF('04'!$D$7:$D$159,$C17,'04'!L$7:L$159)+SUMIF('05'!$D$7:$D$159,$C17,'05'!L$7:L$159)+SUMIF('06'!$D$7:$D$159,$C17,'06'!L$7:L$159)+SUMIF('07'!$D$7:$D$159,$C17,'07'!L$7:L$159)+SUMIF('08'!$D$7:$D$159,$C17,'08'!L$7:L$159)</f>
        <v/>
      </c>
      <c r="K18" s="428">
        <f>SUMIF('02'!$D$7:$D$159,$C17,'02'!M$7:M$159)+SUMIF('03'!$D$7:$D$159,$C17,'03'!M$7:M$159)+SUMIF('04'!$D$7:$D$159,$C17,'04'!M$7:M$159)+SUMIF('05'!$D$7:$D$159,$C17,'05'!M$7:M$159)+SUMIF('06'!$D$7:$D$159,$C17,'06'!M$7:M$159)+SUMIF('07'!$D$7:$D$159,$C17,'07'!M$7:M$159)+SUMIF('08'!$D$7:$D$159,$C17,'08'!M$7:M$159)</f>
        <v/>
      </c>
      <c r="L18" s="429">
        <f>SUMIF('02'!$D$7:$D$159,$C17,'02'!N$7:N$159)+SUMIF('03'!$D$7:$D$159,$C17,'03'!N$7:N$159)+SUMIF('04'!$D$7:$D$159,$C17,'04'!N$7:N$159)+SUMIF('05'!$D$7:$D$159,$C17,'05'!N$7:N$159)+SUMIF('06'!$D$7:$D$159,$C17,'06'!N$7:N$159)+SUMIF('07'!$D$7:$D$159,$C17,'07'!N$7:N$159)+SUMIF('08'!$D$7:$D$159,$C17,'08'!N$7:N$159)</f>
        <v/>
      </c>
      <c r="M18" s="427">
        <f>SUMIF('02'!$D$7:$D$159,$C17,'02'!O$7:O$159)+SUMIF('03'!$D$7:$D$159,$C17,'03'!O$7:O$159)+SUMIF('04'!$D$7:$D$159,$C17,'04'!O$7:O$159)+SUMIF('05'!$D$7:$D$159,$C17,'05'!O$7:O$159)+SUMIF('06'!$D$7:$D$159,$C17,'06'!O$7:O$159)+SUMIF('07'!$D$7:$D$159,$C17,'07'!O$7:O$159)+SUMIF('08'!$D$7:$D$159,$C17,'08'!O$7:O$159)</f>
        <v/>
      </c>
      <c r="N18" s="428">
        <f>SUMIF('02'!$D$7:$D$159,$C17,'02'!P$7:P$159)+SUMIF('03'!$D$7:$D$159,$C17,'03'!P$7:P$159)+SUMIF('04'!$D$7:$D$159,$C17,'04'!P$7:P$159)+SUMIF('05'!$D$7:$D$159,$C17,'05'!P$7:P$159)+SUMIF('06'!$D$7:$D$159,$C17,'06'!P$7:P$159)+SUMIF('07'!$D$7:$D$159,$C17,'07'!P$7:P$159)+SUMIF('08'!$D$7:$D$159,$C17,'08'!P$7:P$159)</f>
        <v/>
      </c>
      <c r="O18" s="429">
        <f>SUMIF('02'!$D$7:$D$159,$C17,'02'!Q$7:Q$159)+SUMIF('03'!$D$7:$D$159,$C17,'03'!Q$7:Q$159)+SUMIF('04'!$D$7:$D$159,$C17,'04'!Q$7:Q$159)+SUMIF('05'!$D$7:$D$159,$C17,'05'!Q$7:Q$159)+SUMIF('06'!$D$7:$D$159,$C17,'06'!Q$7:Q$159)+SUMIF('07'!$D$7:$D$159,$C17,'07'!Q$7:Q$159)+SUMIF('08'!$D$7:$D$159,$C17,'08'!Q$7:Q$159)</f>
        <v/>
      </c>
      <c r="P18" s="427">
        <f>SUMIF('02'!$D$7:$D$159,$C17,'02'!R$7:R$159)+SUMIF('03'!$D$7:$D$159,$C17,'03'!R$7:R$159)+SUMIF('04'!$D$7:$D$159,$C17,'04'!R$7:R$159)+SUMIF('05'!$D$7:$D$159,$C17,'05'!R$7:R$159)+SUMIF('06'!$D$7:$D$159,$C17,'06'!R$7:R$159)+SUMIF('07'!$D$7:$D$159,$C17,'07'!R$7:R$159)+SUMIF('08'!$D$7:$D$159,$C17,'08'!R$7:R$159)</f>
        <v/>
      </c>
      <c r="Q18" s="428">
        <f>SUMIF('02'!$D$7:$D$159,$C17,'02'!S$7:S$159)+SUMIF('03'!$D$7:$D$159,$C17,'03'!S$7:S$159)+SUMIF('04'!$D$7:$D$159,$C17,'04'!S$7:S$159)+SUMIF('05'!$D$7:$D$159,$C17,'05'!S$7:S$159)+SUMIF('06'!$D$7:$D$159,$C17,'06'!S$7:S$159)+SUMIF('07'!$D$7:$D$159,$C17,'07'!S$7:S$159)+SUMIF('08'!$D$7:$D$159,$C17,'08'!S$7:S$159)</f>
        <v/>
      </c>
      <c r="R18" s="429">
        <f>SUMIF('02'!$D$7:$D$159,$C17,'02'!T$7:T$159)+SUMIF('03'!$D$7:$D$159,$C17,'03'!T$7:T$159)+SUMIF('04'!$D$7:$D$159,$C17,'04'!T$7:T$159)+SUMIF('05'!$D$7:$D$159,$C17,'05'!T$7:T$159)+SUMIF('06'!$D$7:$D$159,$C17,'06'!T$7:T$159)+SUMIF('07'!$D$7:$D$159,$C17,'07'!T$7:T$159)+SUMIF('08'!$D$7:$D$159,$C17,'08'!T$7:T$159)</f>
        <v/>
      </c>
      <c r="S18" s="427">
        <f>SUMIF('02'!$D$7:$D$159,$C17,'02'!U$7:U$159)+SUMIF('03'!$D$7:$D$159,$C17,'03'!U$7:U$159)+SUMIF('04'!$D$7:$D$159,$C17,'04'!U$7:U$159)+SUMIF('05'!$D$7:$D$159,$C17,'05'!U$7:U$159)+SUMIF('06'!$D$7:$D$159,$C17,'06'!U$7:U$159)+SUMIF('07'!$D$7:$D$159,$C17,'07'!U$7:U$159)+SUMIF('08'!$D$7:$D$159,$C17,'08'!U$7:U$159)</f>
        <v/>
      </c>
      <c r="T18" s="428">
        <f>SUMIF('02'!$D$7:$D$159,$C17,'02'!V$7:V$159)+SUMIF('03'!$D$7:$D$159,$C17,'03'!V$7:V$159)+SUMIF('04'!$D$7:$D$159,$C17,'04'!V$7:V$159)+SUMIF('05'!$D$7:$D$159,$C17,'05'!V$7:V$159)+SUMIF('06'!$D$7:$D$159,$C17,'06'!V$7:V$159)+SUMIF('07'!$D$7:$D$159,$C17,'07'!V$7:V$159)+SUMIF('08'!$D$7:$D$159,$C17,'08'!V$7:V$159)</f>
        <v/>
      </c>
      <c r="U18" s="430">
        <f>SUMIF('02'!$D$7:$D$159,$C17,'02'!W$7:W$159)+SUMIF('03'!$D$7:$D$159,$C17,'03'!W$7:W$159)+SUMIF('04'!$D$7:$D$159,$C17,'04'!W$7:W$159)+SUMIF('05'!$D$7:$D$159,$C17,'05'!W$7:W$159)+SUMIF('06'!$D$7:$D$159,$C17,'06'!W$7:W$159)+SUMIF('07'!$D$7:$D$159,$C17,'07'!W$7:W$159)+SUMIF('08'!$D$7:$D$159,$C17,'08'!W$7:W$159)</f>
        <v/>
      </c>
      <c r="V18" s="429">
        <f>SUMIF('02'!$D$7:$D$159,$C17,'02'!X$7:X$159)+SUMIF('03'!$D$7:$D$159,$C17,'03'!X$7:X$159)+SUMIF('04'!$D$7:$D$159,$C17,'04'!X$7:X$159)+SUMIF('05'!$D$7:$D$159,$C17,'05'!X$7:X$159)+SUMIF('06'!$D$7:$D$159,$C17,'06'!X$7:X$159)+SUMIF('07'!$D$7:$D$159,$C17,'07'!X$7:X$159)+SUMIF('08'!$D$7:$D$159,$C17,'08'!X$7:X$159)</f>
        <v/>
      </c>
      <c r="W18" s="429">
        <f>SUMIF('02'!$D$7:$D$159,$C17,'02'!Y$7:Y$159)+SUMIF('03'!$D$7:$D$159,$C17,'03'!Y$7:Y$159)+SUMIF('04'!$D$7:$D$159,$C17,'04'!Y$7:Y$159)+SUMIF('05'!$D$7:$D$159,$C17,'05'!Y$7:Y$159)+SUMIF('06'!$D$7:$D$159,$C17,'06'!Y$7:Y$159)+SUMIF('07'!$D$7:$D$159,$C17,'07'!Y$7:Y$159)+SUMIF('08'!$D$7:$D$159,$C17,'08'!Y$7:Y$159)</f>
        <v/>
      </c>
      <c r="X18" s="431">
        <f>SUM(J18:W18)</f>
        <v/>
      </c>
      <c r="Y18" s="413" t="n"/>
      <c r="Z18" s="432" t="n"/>
    </row>
    <row r="19" ht="14.25" customHeight="1" s="296">
      <c r="A19" s="154">
        <f>IF(OR(C19="0",COUNTIF(КлючВесна,C19)&gt;1),0,MATCH(F19,ВидыНагр,0))</f>
        <v/>
      </c>
      <c r="B19" s="154">
        <f>(COUNTA(D19:F20,J19:W19,H19:I20)=0)</f>
        <v/>
      </c>
      <c r="C19" s="155">
        <f>IF(OR(TRIM(D19)="",COUNTIF(ВидыНагр,F19)&lt;&gt;1),"0",CONCATENATE("$",TRIM(D19),"$",TRIM(E19),"$",F19,"$"))</f>
        <v/>
      </c>
      <c r="D19" s="415" t="n"/>
      <c r="E19" s="416" t="n"/>
      <c r="F19" s="417" t="n"/>
      <c r="G19" s="156" t="inlineStr">
        <is>
          <t>план</t>
        </is>
      </c>
      <c r="H19" s="157" t="n"/>
      <c r="I19" s="158" t="n"/>
      <c r="J19" s="418" t="n"/>
      <c r="K19" s="419" t="n"/>
      <c r="L19" s="420" t="n"/>
      <c r="M19" s="418" t="n"/>
      <c r="N19" s="419" t="n"/>
      <c r="O19" s="420" t="n"/>
      <c r="P19" s="418" t="n"/>
      <c r="Q19" s="419" t="n"/>
      <c r="R19" s="420" t="n"/>
      <c r="S19" s="418" t="n"/>
      <c r="T19" s="419" t="n"/>
      <c r="U19" s="421" t="n"/>
      <c r="V19" s="420" t="n"/>
      <c r="W19" s="420" t="n"/>
      <c r="X19" s="422">
        <f>SUM(J19:W19)</f>
        <v/>
      </c>
      <c r="Y19" s="423">
        <f>X20-X19</f>
        <v/>
      </c>
      <c r="Z19" s="209" t="n"/>
    </row>
    <row r="20" ht="14.25" customHeight="1" s="296">
      <c r="A20" s="154">
        <f>-A19</f>
        <v/>
      </c>
      <c r="B20" s="154">
        <f>B19</f>
        <v/>
      </c>
      <c r="C20" s="163" t="n"/>
      <c r="D20" s="424" t="n"/>
      <c r="E20" s="425" t="n"/>
      <c r="F20" s="426" t="n"/>
      <c r="G20" s="164" t="inlineStr">
        <is>
          <t>факт</t>
        </is>
      </c>
      <c r="H20" s="165" t="n"/>
      <c r="I20" s="250" t="n"/>
      <c r="J20" s="427">
        <f>SUMIF('02'!$D$7:$D$159,$C19,'02'!L$7:L$159)+SUMIF('03'!$D$7:$D$159,$C19,'03'!L$7:L$159)+SUMIF('04'!$D$7:$D$159,$C19,'04'!L$7:L$159)+SUMIF('05'!$D$7:$D$159,$C19,'05'!L$7:L$159)+SUMIF('06'!$D$7:$D$159,$C19,'06'!L$7:L$159)+SUMIF('07'!$D$7:$D$159,$C19,'07'!L$7:L$159)+SUMIF('08'!$D$7:$D$159,$C19,'08'!L$7:L$159)</f>
        <v/>
      </c>
      <c r="K20" s="428">
        <f>SUMIF('02'!$D$7:$D$159,$C19,'02'!M$7:M$159)+SUMIF('03'!$D$7:$D$159,$C19,'03'!M$7:M$159)+SUMIF('04'!$D$7:$D$159,$C19,'04'!M$7:M$159)+SUMIF('05'!$D$7:$D$159,$C19,'05'!M$7:M$159)+SUMIF('06'!$D$7:$D$159,$C19,'06'!M$7:M$159)+SUMIF('07'!$D$7:$D$159,$C19,'07'!M$7:M$159)+SUMIF('08'!$D$7:$D$159,$C19,'08'!M$7:M$159)</f>
        <v/>
      </c>
      <c r="L20" s="429">
        <f>SUMIF('02'!$D$7:$D$159,$C19,'02'!N$7:N$159)+SUMIF('03'!$D$7:$D$159,$C19,'03'!N$7:N$159)+SUMIF('04'!$D$7:$D$159,$C19,'04'!N$7:N$159)+SUMIF('05'!$D$7:$D$159,$C19,'05'!N$7:N$159)+SUMIF('06'!$D$7:$D$159,$C19,'06'!N$7:N$159)+SUMIF('07'!$D$7:$D$159,$C19,'07'!N$7:N$159)+SUMIF('08'!$D$7:$D$159,$C19,'08'!N$7:N$159)</f>
        <v/>
      </c>
      <c r="M20" s="427">
        <f>SUMIF('02'!$D$7:$D$159,$C19,'02'!O$7:O$159)+SUMIF('03'!$D$7:$D$159,$C19,'03'!O$7:O$159)+SUMIF('04'!$D$7:$D$159,$C19,'04'!O$7:O$159)+SUMIF('05'!$D$7:$D$159,$C19,'05'!O$7:O$159)+SUMIF('06'!$D$7:$D$159,$C19,'06'!O$7:O$159)+SUMIF('07'!$D$7:$D$159,$C19,'07'!O$7:O$159)+SUMIF('08'!$D$7:$D$159,$C19,'08'!O$7:O$159)</f>
        <v/>
      </c>
      <c r="N20" s="428">
        <f>SUMIF('02'!$D$7:$D$159,$C19,'02'!P$7:P$159)+SUMIF('03'!$D$7:$D$159,$C19,'03'!P$7:P$159)+SUMIF('04'!$D$7:$D$159,$C19,'04'!P$7:P$159)+SUMIF('05'!$D$7:$D$159,$C19,'05'!P$7:P$159)+SUMIF('06'!$D$7:$D$159,$C19,'06'!P$7:P$159)+SUMIF('07'!$D$7:$D$159,$C19,'07'!P$7:P$159)+SUMIF('08'!$D$7:$D$159,$C19,'08'!P$7:P$159)</f>
        <v/>
      </c>
      <c r="O20" s="429">
        <f>SUMIF('02'!$D$7:$D$159,$C19,'02'!Q$7:Q$159)+SUMIF('03'!$D$7:$D$159,$C19,'03'!Q$7:Q$159)+SUMIF('04'!$D$7:$D$159,$C19,'04'!Q$7:Q$159)+SUMIF('05'!$D$7:$D$159,$C19,'05'!Q$7:Q$159)+SUMIF('06'!$D$7:$D$159,$C19,'06'!Q$7:Q$159)+SUMIF('07'!$D$7:$D$159,$C19,'07'!Q$7:Q$159)+SUMIF('08'!$D$7:$D$159,$C19,'08'!Q$7:Q$159)</f>
        <v/>
      </c>
      <c r="P20" s="427">
        <f>SUMIF('02'!$D$7:$D$159,$C19,'02'!R$7:R$159)+SUMIF('03'!$D$7:$D$159,$C19,'03'!R$7:R$159)+SUMIF('04'!$D$7:$D$159,$C19,'04'!R$7:R$159)+SUMIF('05'!$D$7:$D$159,$C19,'05'!R$7:R$159)+SUMIF('06'!$D$7:$D$159,$C19,'06'!R$7:R$159)+SUMIF('07'!$D$7:$D$159,$C19,'07'!R$7:R$159)+SUMIF('08'!$D$7:$D$159,$C19,'08'!R$7:R$159)</f>
        <v/>
      </c>
      <c r="Q20" s="428">
        <f>SUMIF('02'!$D$7:$D$159,$C19,'02'!S$7:S$159)+SUMIF('03'!$D$7:$D$159,$C19,'03'!S$7:S$159)+SUMIF('04'!$D$7:$D$159,$C19,'04'!S$7:S$159)+SUMIF('05'!$D$7:$D$159,$C19,'05'!S$7:S$159)+SUMIF('06'!$D$7:$D$159,$C19,'06'!S$7:S$159)+SUMIF('07'!$D$7:$D$159,$C19,'07'!S$7:S$159)+SUMIF('08'!$D$7:$D$159,$C19,'08'!S$7:S$159)</f>
        <v/>
      </c>
      <c r="R20" s="429">
        <f>SUMIF('02'!$D$7:$D$159,$C19,'02'!T$7:T$159)+SUMIF('03'!$D$7:$D$159,$C19,'03'!T$7:T$159)+SUMIF('04'!$D$7:$D$159,$C19,'04'!T$7:T$159)+SUMIF('05'!$D$7:$D$159,$C19,'05'!T$7:T$159)+SUMIF('06'!$D$7:$D$159,$C19,'06'!T$7:T$159)+SUMIF('07'!$D$7:$D$159,$C19,'07'!T$7:T$159)+SUMIF('08'!$D$7:$D$159,$C19,'08'!T$7:T$159)</f>
        <v/>
      </c>
      <c r="S20" s="427">
        <f>SUMIF('02'!$D$7:$D$159,$C19,'02'!U$7:U$159)+SUMIF('03'!$D$7:$D$159,$C19,'03'!U$7:U$159)+SUMIF('04'!$D$7:$D$159,$C19,'04'!U$7:U$159)+SUMIF('05'!$D$7:$D$159,$C19,'05'!U$7:U$159)+SUMIF('06'!$D$7:$D$159,$C19,'06'!U$7:U$159)+SUMIF('07'!$D$7:$D$159,$C19,'07'!U$7:U$159)+SUMIF('08'!$D$7:$D$159,$C19,'08'!U$7:U$159)</f>
        <v/>
      </c>
      <c r="T20" s="428">
        <f>SUMIF('02'!$D$7:$D$159,$C19,'02'!V$7:V$159)+SUMIF('03'!$D$7:$D$159,$C19,'03'!V$7:V$159)+SUMIF('04'!$D$7:$D$159,$C19,'04'!V$7:V$159)+SUMIF('05'!$D$7:$D$159,$C19,'05'!V$7:V$159)+SUMIF('06'!$D$7:$D$159,$C19,'06'!V$7:V$159)+SUMIF('07'!$D$7:$D$159,$C19,'07'!V$7:V$159)+SUMIF('08'!$D$7:$D$159,$C19,'08'!V$7:V$159)</f>
        <v/>
      </c>
      <c r="U20" s="430">
        <f>SUMIF('02'!$D$7:$D$159,$C19,'02'!W$7:W$159)+SUMIF('03'!$D$7:$D$159,$C19,'03'!W$7:W$159)+SUMIF('04'!$D$7:$D$159,$C19,'04'!W$7:W$159)+SUMIF('05'!$D$7:$D$159,$C19,'05'!W$7:W$159)+SUMIF('06'!$D$7:$D$159,$C19,'06'!W$7:W$159)+SUMIF('07'!$D$7:$D$159,$C19,'07'!W$7:W$159)+SUMIF('08'!$D$7:$D$159,$C19,'08'!W$7:W$159)</f>
        <v/>
      </c>
      <c r="V20" s="429">
        <f>SUMIF('02'!$D$7:$D$159,$C19,'02'!X$7:X$159)+SUMIF('03'!$D$7:$D$159,$C19,'03'!X$7:X$159)+SUMIF('04'!$D$7:$D$159,$C19,'04'!X$7:X$159)+SUMIF('05'!$D$7:$D$159,$C19,'05'!X$7:X$159)+SUMIF('06'!$D$7:$D$159,$C19,'06'!X$7:X$159)+SUMIF('07'!$D$7:$D$159,$C19,'07'!X$7:X$159)+SUMIF('08'!$D$7:$D$159,$C19,'08'!X$7:X$159)</f>
        <v/>
      </c>
      <c r="W20" s="429">
        <f>SUMIF('02'!$D$7:$D$159,$C19,'02'!Y$7:Y$159)+SUMIF('03'!$D$7:$D$159,$C19,'03'!Y$7:Y$159)+SUMIF('04'!$D$7:$D$159,$C19,'04'!Y$7:Y$159)+SUMIF('05'!$D$7:$D$159,$C19,'05'!Y$7:Y$159)+SUMIF('06'!$D$7:$D$159,$C19,'06'!Y$7:Y$159)+SUMIF('07'!$D$7:$D$159,$C19,'07'!Y$7:Y$159)+SUMIF('08'!$D$7:$D$159,$C19,'08'!Y$7:Y$159)</f>
        <v/>
      </c>
      <c r="X20" s="431">
        <f>SUM(J20:W20)</f>
        <v/>
      </c>
      <c r="Y20" s="413" t="n"/>
      <c r="Z20" s="432" t="n"/>
    </row>
    <row r="21" ht="14.25" customHeight="1" s="296">
      <c r="A21" s="154">
        <f>IF(OR(C21="0",COUNTIF(КлючВесна,C21)&gt;1),0,MATCH(F21,ВидыНагр,0))</f>
        <v/>
      </c>
      <c r="B21" s="154">
        <f>(COUNTA(D21:F22,J21:W21,H21:I22)=0)</f>
        <v/>
      </c>
      <c r="C21" s="155">
        <f>IF(OR(TRIM(D21)="",COUNTIF(ВидыНагр,F21)&lt;&gt;1),"0",CONCATENATE("$",TRIM(D21),"$",TRIM(E21),"$",F21,"$"))</f>
        <v/>
      </c>
      <c r="D21" s="415" t="n"/>
      <c r="E21" s="416" t="n"/>
      <c r="F21" s="417" t="n"/>
      <c r="G21" s="156" t="inlineStr">
        <is>
          <t>план</t>
        </is>
      </c>
      <c r="H21" s="157" t="n"/>
      <c r="I21" s="158" t="n"/>
      <c r="J21" s="418" t="n"/>
      <c r="K21" s="419" t="n"/>
      <c r="L21" s="420" t="n"/>
      <c r="M21" s="418" t="n"/>
      <c r="N21" s="419" t="n"/>
      <c r="O21" s="420" t="n"/>
      <c r="P21" s="418" t="n"/>
      <c r="Q21" s="419" t="n"/>
      <c r="R21" s="420" t="n"/>
      <c r="S21" s="418" t="n"/>
      <c r="T21" s="419" t="n"/>
      <c r="U21" s="421" t="n"/>
      <c r="V21" s="420" t="n"/>
      <c r="W21" s="420" t="n"/>
      <c r="X21" s="422">
        <f>SUM(J21:W21)</f>
        <v/>
      </c>
      <c r="Y21" s="423">
        <f>X22-X21</f>
        <v/>
      </c>
      <c r="Z21" s="209" t="n"/>
    </row>
    <row r="22" ht="14.25" customHeight="1" s="296">
      <c r="A22" s="154">
        <f>-A21</f>
        <v/>
      </c>
      <c r="B22" s="154">
        <f>B21</f>
        <v/>
      </c>
      <c r="C22" s="163" t="n"/>
      <c r="D22" s="424" t="n"/>
      <c r="E22" s="425" t="n"/>
      <c r="F22" s="426" t="n"/>
      <c r="G22" s="164" t="inlineStr">
        <is>
          <t>факт</t>
        </is>
      </c>
      <c r="H22" s="165" t="n"/>
      <c r="I22" s="250" t="n"/>
      <c r="J22" s="427">
        <f>SUMIF('02'!$D$7:$D$159,$C21,'02'!L$7:L$159)+SUMIF('03'!$D$7:$D$159,$C21,'03'!L$7:L$159)+SUMIF('04'!$D$7:$D$159,$C21,'04'!L$7:L$159)+SUMIF('05'!$D$7:$D$159,$C21,'05'!L$7:L$159)+SUMIF('06'!$D$7:$D$159,$C21,'06'!L$7:L$159)+SUMIF('07'!$D$7:$D$159,$C21,'07'!L$7:L$159)+SUMIF('08'!$D$7:$D$159,$C21,'08'!L$7:L$159)</f>
        <v/>
      </c>
      <c r="K22" s="428">
        <f>SUMIF('02'!$D$7:$D$159,$C21,'02'!M$7:M$159)+SUMIF('03'!$D$7:$D$159,$C21,'03'!M$7:M$159)+SUMIF('04'!$D$7:$D$159,$C21,'04'!M$7:M$159)+SUMIF('05'!$D$7:$D$159,$C21,'05'!M$7:M$159)+SUMIF('06'!$D$7:$D$159,$C21,'06'!M$7:M$159)+SUMIF('07'!$D$7:$D$159,$C21,'07'!M$7:M$159)+SUMIF('08'!$D$7:$D$159,$C21,'08'!M$7:M$159)</f>
        <v/>
      </c>
      <c r="L22" s="429">
        <f>SUMIF('02'!$D$7:$D$159,$C21,'02'!N$7:N$159)+SUMIF('03'!$D$7:$D$159,$C21,'03'!N$7:N$159)+SUMIF('04'!$D$7:$D$159,$C21,'04'!N$7:N$159)+SUMIF('05'!$D$7:$D$159,$C21,'05'!N$7:N$159)+SUMIF('06'!$D$7:$D$159,$C21,'06'!N$7:N$159)+SUMIF('07'!$D$7:$D$159,$C21,'07'!N$7:N$159)+SUMIF('08'!$D$7:$D$159,$C21,'08'!N$7:N$159)</f>
        <v/>
      </c>
      <c r="M22" s="427">
        <f>SUMIF('02'!$D$7:$D$159,$C21,'02'!O$7:O$159)+SUMIF('03'!$D$7:$D$159,$C21,'03'!O$7:O$159)+SUMIF('04'!$D$7:$D$159,$C21,'04'!O$7:O$159)+SUMIF('05'!$D$7:$D$159,$C21,'05'!O$7:O$159)+SUMIF('06'!$D$7:$D$159,$C21,'06'!O$7:O$159)+SUMIF('07'!$D$7:$D$159,$C21,'07'!O$7:O$159)+SUMIF('08'!$D$7:$D$159,$C21,'08'!O$7:O$159)</f>
        <v/>
      </c>
      <c r="N22" s="428">
        <f>SUMIF('02'!$D$7:$D$159,$C21,'02'!P$7:P$159)+SUMIF('03'!$D$7:$D$159,$C21,'03'!P$7:P$159)+SUMIF('04'!$D$7:$D$159,$C21,'04'!P$7:P$159)+SUMIF('05'!$D$7:$D$159,$C21,'05'!P$7:P$159)+SUMIF('06'!$D$7:$D$159,$C21,'06'!P$7:P$159)+SUMIF('07'!$D$7:$D$159,$C21,'07'!P$7:P$159)+SUMIF('08'!$D$7:$D$159,$C21,'08'!P$7:P$159)</f>
        <v/>
      </c>
      <c r="O22" s="429">
        <f>SUMIF('02'!$D$7:$D$159,$C21,'02'!Q$7:Q$159)+SUMIF('03'!$D$7:$D$159,$C21,'03'!Q$7:Q$159)+SUMIF('04'!$D$7:$D$159,$C21,'04'!Q$7:Q$159)+SUMIF('05'!$D$7:$D$159,$C21,'05'!Q$7:Q$159)+SUMIF('06'!$D$7:$D$159,$C21,'06'!Q$7:Q$159)+SUMIF('07'!$D$7:$D$159,$C21,'07'!Q$7:Q$159)+SUMIF('08'!$D$7:$D$159,$C21,'08'!Q$7:Q$159)</f>
        <v/>
      </c>
      <c r="P22" s="427">
        <f>SUMIF('02'!$D$7:$D$159,$C21,'02'!R$7:R$159)+SUMIF('03'!$D$7:$D$159,$C21,'03'!R$7:R$159)+SUMIF('04'!$D$7:$D$159,$C21,'04'!R$7:R$159)+SUMIF('05'!$D$7:$D$159,$C21,'05'!R$7:R$159)+SUMIF('06'!$D$7:$D$159,$C21,'06'!R$7:R$159)+SUMIF('07'!$D$7:$D$159,$C21,'07'!R$7:R$159)+SUMIF('08'!$D$7:$D$159,$C21,'08'!R$7:R$159)</f>
        <v/>
      </c>
      <c r="Q22" s="428">
        <f>SUMIF('02'!$D$7:$D$159,$C21,'02'!S$7:S$159)+SUMIF('03'!$D$7:$D$159,$C21,'03'!S$7:S$159)+SUMIF('04'!$D$7:$D$159,$C21,'04'!S$7:S$159)+SUMIF('05'!$D$7:$D$159,$C21,'05'!S$7:S$159)+SUMIF('06'!$D$7:$D$159,$C21,'06'!S$7:S$159)+SUMIF('07'!$D$7:$D$159,$C21,'07'!S$7:S$159)+SUMIF('08'!$D$7:$D$159,$C21,'08'!S$7:S$159)</f>
        <v/>
      </c>
      <c r="R22" s="429">
        <f>SUMIF('02'!$D$7:$D$159,$C21,'02'!T$7:T$159)+SUMIF('03'!$D$7:$D$159,$C21,'03'!T$7:T$159)+SUMIF('04'!$D$7:$D$159,$C21,'04'!T$7:T$159)+SUMIF('05'!$D$7:$D$159,$C21,'05'!T$7:T$159)+SUMIF('06'!$D$7:$D$159,$C21,'06'!T$7:T$159)+SUMIF('07'!$D$7:$D$159,$C21,'07'!T$7:T$159)+SUMIF('08'!$D$7:$D$159,$C21,'08'!T$7:T$159)</f>
        <v/>
      </c>
      <c r="S22" s="427">
        <f>SUMIF('02'!$D$7:$D$159,$C21,'02'!U$7:U$159)+SUMIF('03'!$D$7:$D$159,$C21,'03'!U$7:U$159)+SUMIF('04'!$D$7:$D$159,$C21,'04'!U$7:U$159)+SUMIF('05'!$D$7:$D$159,$C21,'05'!U$7:U$159)+SUMIF('06'!$D$7:$D$159,$C21,'06'!U$7:U$159)+SUMIF('07'!$D$7:$D$159,$C21,'07'!U$7:U$159)+SUMIF('08'!$D$7:$D$159,$C21,'08'!U$7:U$159)</f>
        <v/>
      </c>
      <c r="T22" s="428">
        <f>SUMIF('02'!$D$7:$D$159,$C21,'02'!V$7:V$159)+SUMIF('03'!$D$7:$D$159,$C21,'03'!V$7:V$159)+SUMIF('04'!$D$7:$D$159,$C21,'04'!V$7:V$159)+SUMIF('05'!$D$7:$D$159,$C21,'05'!V$7:V$159)+SUMIF('06'!$D$7:$D$159,$C21,'06'!V$7:V$159)+SUMIF('07'!$D$7:$D$159,$C21,'07'!V$7:V$159)+SUMIF('08'!$D$7:$D$159,$C21,'08'!V$7:V$159)</f>
        <v/>
      </c>
      <c r="U22" s="430">
        <f>SUMIF('02'!$D$7:$D$159,$C21,'02'!W$7:W$159)+SUMIF('03'!$D$7:$D$159,$C21,'03'!W$7:W$159)+SUMIF('04'!$D$7:$D$159,$C21,'04'!W$7:W$159)+SUMIF('05'!$D$7:$D$159,$C21,'05'!W$7:W$159)+SUMIF('06'!$D$7:$D$159,$C21,'06'!W$7:W$159)+SUMIF('07'!$D$7:$D$159,$C21,'07'!W$7:W$159)+SUMIF('08'!$D$7:$D$159,$C21,'08'!W$7:W$159)</f>
        <v/>
      </c>
      <c r="V22" s="429">
        <f>SUMIF('02'!$D$7:$D$159,$C21,'02'!X$7:X$159)+SUMIF('03'!$D$7:$D$159,$C21,'03'!X$7:X$159)+SUMIF('04'!$D$7:$D$159,$C21,'04'!X$7:X$159)+SUMIF('05'!$D$7:$D$159,$C21,'05'!X$7:X$159)+SUMIF('06'!$D$7:$D$159,$C21,'06'!X$7:X$159)+SUMIF('07'!$D$7:$D$159,$C21,'07'!X$7:X$159)+SUMIF('08'!$D$7:$D$159,$C21,'08'!X$7:X$159)</f>
        <v/>
      </c>
      <c r="W22" s="429">
        <f>SUMIF('02'!$D$7:$D$159,$C21,'02'!Y$7:Y$159)+SUMIF('03'!$D$7:$D$159,$C21,'03'!Y$7:Y$159)+SUMIF('04'!$D$7:$D$159,$C21,'04'!Y$7:Y$159)+SUMIF('05'!$D$7:$D$159,$C21,'05'!Y$7:Y$159)+SUMIF('06'!$D$7:$D$159,$C21,'06'!Y$7:Y$159)+SUMIF('07'!$D$7:$D$159,$C21,'07'!Y$7:Y$159)+SUMIF('08'!$D$7:$D$159,$C21,'08'!Y$7:Y$159)</f>
        <v/>
      </c>
      <c r="X22" s="431">
        <f>SUM(J22:W22)</f>
        <v/>
      </c>
      <c r="Y22" s="413" t="n"/>
      <c r="Z22" s="432" t="n"/>
    </row>
    <row r="23" ht="14.25" customHeight="1" s="296">
      <c r="A23" s="154">
        <f>IF(OR(C23="0",COUNTIF(КлючВесна,C23)&gt;1),0,MATCH(F23,ВидыНагр,0))</f>
        <v/>
      </c>
      <c r="B23" s="154">
        <f>(COUNTA(D23:F24,J23:W23,H23:I24)=0)</f>
        <v/>
      </c>
      <c r="C23" s="155">
        <f>IF(OR(TRIM(D23)="",COUNTIF(ВидыНагр,F23)&lt;&gt;1),"0",CONCATENATE("$",TRIM(D23),"$",TRIM(E23),"$",F23,"$"))</f>
        <v/>
      </c>
      <c r="D23" s="415" t="n"/>
      <c r="E23" s="416" t="n"/>
      <c r="F23" s="417" t="n"/>
      <c r="G23" s="156" t="inlineStr">
        <is>
          <t>план</t>
        </is>
      </c>
      <c r="H23" s="157" t="n"/>
      <c r="I23" s="158" t="n"/>
      <c r="J23" s="418" t="n"/>
      <c r="K23" s="419" t="n"/>
      <c r="L23" s="420" t="n"/>
      <c r="M23" s="418" t="n"/>
      <c r="N23" s="419" t="n"/>
      <c r="O23" s="420" t="n"/>
      <c r="P23" s="418" t="n"/>
      <c r="Q23" s="419" t="n"/>
      <c r="R23" s="420" t="n"/>
      <c r="S23" s="418" t="n"/>
      <c r="T23" s="419" t="n"/>
      <c r="U23" s="421" t="n"/>
      <c r="V23" s="420" t="n"/>
      <c r="W23" s="420" t="n"/>
      <c r="X23" s="422">
        <f>SUM(J23:W23)</f>
        <v/>
      </c>
      <c r="Y23" s="423">
        <f>X24-X23</f>
        <v/>
      </c>
      <c r="Z23" s="209" t="n"/>
    </row>
    <row r="24" ht="14.25" customHeight="1" s="296">
      <c r="A24" s="154">
        <f>-A23</f>
        <v/>
      </c>
      <c r="B24" s="154">
        <f>B23</f>
        <v/>
      </c>
      <c r="C24" s="163" t="n"/>
      <c r="D24" s="424" t="n"/>
      <c r="E24" s="425" t="n"/>
      <c r="F24" s="426" t="n"/>
      <c r="G24" s="164" t="inlineStr">
        <is>
          <t>факт</t>
        </is>
      </c>
      <c r="H24" s="165" t="n"/>
      <c r="I24" s="250" t="n"/>
      <c r="J24" s="427">
        <f>SUMIF('02'!$D$7:$D$159,$C23,'02'!L$7:L$159)+SUMIF('03'!$D$7:$D$159,$C23,'03'!L$7:L$159)+SUMIF('04'!$D$7:$D$159,$C23,'04'!L$7:L$159)+SUMIF('05'!$D$7:$D$159,$C23,'05'!L$7:L$159)+SUMIF('06'!$D$7:$D$159,$C23,'06'!L$7:L$159)+SUMIF('07'!$D$7:$D$159,$C23,'07'!L$7:L$159)+SUMIF('08'!$D$7:$D$159,$C23,'08'!L$7:L$159)</f>
        <v/>
      </c>
      <c r="K24" s="428">
        <f>SUMIF('02'!$D$7:$D$159,$C23,'02'!M$7:M$159)+SUMIF('03'!$D$7:$D$159,$C23,'03'!M$7:M$159)+SUMIF('04'!$D$7:$D$159,$C23,'04'!M$7:M$159)+SUMIF('05'!$D$7:$D$159,$C23,'05'!M$7:M$159)+SUMIF('06'!$D$7:$D$159,$C23,'06'!M$7:M$159)+SUMIF('07'!$D$7:$D$159,$C23,'07'!M$7:M$159)+SUMIF('08'!$D$7:$D$159,$C23,'08'!M$7:M$159)</f>
        <v/>
      </c>
      <c r="L24" s="429">
        <f>SUMIF('02'!$D$7:$D$159,$C23,'02'!N$7:N$159)+SUMIF('03'!$D$7:$D$159,$C23,'03'!N$7:N$159)+SUMIF('04'!$D$7:$D$159,$C23,'04'!N$7:N$159)+SUMIF('05'!$D$7:$D$159,$C23,'05'!N$7:N$159)+SUMIF('06'!$D$7:$D$159,$C23,'06'!N$7:N$159)+SUMIF('07'!$D$7:$D$159,$C23,'07'!N$7:N$159)+SUMIF('08'!$D$7:$D$159,$C23,'08'!N$7:N$159)</f>
        <v/>
      </c>
      <c r="M24" s="427">
        <f>SUMIF('02'!$D$7:$D$159,$C23,'02'!O$7:O$159)+SUMIF('03'!$D$7:$D$159,$C23,'03'!O$7:O$159)+SUMIF('04'!$D$7:$D$159,$C23,'04'!O$7:O$159)+SUMIF('05'!$D$7:$D$159,$C23,'05'!O$7:O$159)+SUMIF('06'!$D$7:$D$159,$C23,'06'!O$7:O$159)+SUMIF('07'!$D$7:$D$159,$C23,'07'!O$7:O$159)+SUMIF('08'!$D$7:$D$159,$C23,'08'!O$7:O$159)</f>
        <v/>
      </c>
      <c r="N24" s="428">
        <f>SUMIF('02'!$D$7:$D$159,$C23,'02'!P$7:P$159)+SUMIF('03'!$D$7:$D$159,$C23,'03'!P$7:P$159)+SUMIF('04'!$D$7:$D$159,$C23,'04'!P$7:P$159)+SUMIF('05'!$D$7:$D$159,$C23,'05'!P$7:P$159)+SUMIF('06'!$D$7:$D$159,$C23,'06'!P$7:P$159)+SUMIF('07'!$D$7:$D$159,$C23,'07'!P$7:P$159)+SUMIF('08'!$D$7:$D$159,$C23,'08'!P$7:P$159)</f>
        <v/>
      </c>
      <c r="O24" s="429">
        <f>SUMIF('02'!$D$7:$D$159,$C23,'02'!Q$7:Q$159)+SUMIF('03'!$D$7:$D$159,$C23,'03'!Q$7:Q$159)+SUMIF('04'!$D$7:$D$159,$C23,'04'!Q$7:Q$159)+SUMIF('05'!$D$7:$D$159,$C23,'05'!Q$7:Q$159)+SUMIF('06'!$D$7:$D$159,$C23,'06'!Q$7:Q$159)+SUMIF('07'!$D$7:$D$159,$C23,'07'!Q$7:Q$159)+SUMIF('08'!$D$7:$D$159,$C23,'08'!Q$7:Q$159)</f>
        <v/>
      </c>
      <c r="P24" s="427">
        <f>SUMIF('02'!$D$7:$D$159,$C23,'02'!R$7:R$159)+SUMIF('03'!$D$7:$D$159,$C23,'03'!R$7:R$159)+SUMIF('04'!$D$7:$D$159,$C23,'04'!R$7:R$159)+SUMIF('05'!$D$7:$D$159,$C23,'05'!R$7:R$159)+SUMIF('06'!$D$7:$D$159,$C23,'06'!R$7:R$159)+SUMIF('07'!$D$7:$D$159,$C23,'07'!R$7:R$159)+SUMIF('08'!$D$7:$D$159,$C23,'08'!R$7:R$159)</f>
        <v/>
      </c>
      <c r="Q24" s="428">
        <f>SUMIF('02'!$D$7:$D$159,$C23,'02'!S$7:S$159)+SUMIF('03'!$D$7:$D$159,$C23,'03'!S$7:S$159)+SUMIF('04'!$D$7:$D$159,$C23,'04'!S$7:S$159)+SUMIF('05'!$D$7:$D$159,$C23,'05'!S$7:S$159)+SUMIF('06'!$D$7:$D$159,$C23,'06'!S$7:S$159)+SUMIF('07'!$D$7:$D$159,$C23,'07'!S$7:S$159)+SUMIF('08'!$D$7:$D$159,$C23,'08'!S$7:S$159)</f>
        <v/>
      </c>
      <c r="R24" s="429">
        <f>SUMIF('02'!$D$7:$D$159,$C23,'02'!T$7:T$159)+SUMIF('03'!$D$7:$D$159,$C23,'03'!T$7:T$159)+SUMIF('04'!$D$7:$D$159,$C23,'04'!T$7:T$159)+SUMIF('05'!$D$7:$D$159,$C23,'05'!T$7:T$159)+SUMIF('06'!$D$7:$D$159,$C23,'06'!T$7:T$159)+SUMIF('07'!$D$7:$D$159,$C23,'07'!T$7:T$159)+SUMIF('08'!$D$7:$D$159,$C23,'08'!T$7:T$159)</f>
        <v/>
      </c>
      <c r="S24" s="427">
        <f>SUMIF('02'!$D$7:$D$159,$C23,'02'!U$7:U$159)+SUMIF('03'!$D$7:$D$159,$C23,'03'!U$7:U$159)+SUMIF('04'!$D$7:$D$159,$C23,'04'!U$7:U$159)+SUMIF('05'!$D$7:$D$159,$C23,'05'!U$7:U$159)+SUMIF('06'!$D$7:$D$159,$C23,'06'!U$7:U$159)+SUMIF('07'!$D$7:$D$159,$C23,'07'!U$7:U$159)+SUMIF('08'!$D$7:$D$159,$C23,'08'!U$7:U$159)</f>
        <v/>
      </c>
      <c r="T24" s="428">
        <f>SUMIF('02'!$D$7:$D$159,$C23,'02'!V$7:V$159)+SUMIF('03'!$D$7:$D$159,$C23,'03'!V$7:V$159)+SUMIF('04'!$D$7:$D$159,$C23,'04'!V$7:V$159)+SUMIF('05'!$D$7:$D$159,$C23,'05'!V$7:V$159)+SUMIF('06'!$D$7:$D$159,$C23,'06'!V$7:V$159)+SUMIF('07'!$D$7:$D$159,$C23,'07'!V$7:V$159)+SUMIF('08'!$D$7:$D$159,$C23,'08'!V$7:V$159)</f>
        <v/>
      </c>
      <c r="U24" s="430">
        <f>SUMIF('02'!$D$7:$D$159,$C23,'02'!W$7:W$159)+SUMIF('03'!$D$7:$D$159,$C23,'03'!W$7:W$159)+SUMIF('04'!$D$7:$D$159,$C23,'04'!W$7:W$159)+SUMIF('05'!$D$7:$D$159,$C23,'05'!W$7:W$159)+SUMIF('06'!$D$7:$D$159,$C23,'06'!W$7:W$159)+SUMIF('07'!$D$7:$D$159,$C23,'07'!W$7:W$159)+SUMIF('08'!$D$7:$D$159,$C23,'08'!W$7:W$159)</f>
        <v/>
      </c>
      <c r="V24" s="429">
        <f>SUMIF('02'!$D$7:$D$159,$C23,'02'!X$7:X$159)+SUMIF('03'!$D$7:$D$159,$C23,'03'!X$7:X$159)+SUMIF('04'!$D$7:$D$159,$C23,'04'!X$7:X$159)+SUMIF('05'!$D$7:$D$159,$C23,'05'!X$7:X$159)+SUMIF('06'!$D$7:$D$159,$C23,'06'!X$7:X$159)+SUMIF('07'!$D$7:$D$159,$C23,'07'!X$7:X$159)+SUMIF('08'!$D$7:$D$159,$C23,'08'!X$7:X$159)</f>
        <v/>
      </c>
      <c r="W24" s="429">
        <f>SUMIF('02'!$D$7:$D$159,$C23,'02'!Y$7:Y$159)+SUMIF('03'!$D$7:$D$159,$C23,'03'!Y$7:Y$159)+SUMIF('04'!$D$7:$D$159,$C23,'04'!Y$7:Y$159)+SUMIF('05'!$D$7:$D$159,$C23,'05'!Y$7:Y$159)+SUMIF('06'!$D$7:$D$159,$C23,'06'!Y$7:Y$159)+SUMIF('07'!$D$7:$D$159,$C23,'07'!Y$7:Y$159)+SUMIF('08'!$D$7:$D$159,$C23,'08'!Y$7:Y$159)</f>
        <v/>
      </c>
      <c r="X24" s="431">
        <f>SUM(J24:W24)</f>
        <v/>
      </c>
      <c r="Y24" s="413" t="n"/>
      <c r="Z24" s="432" t="n"/>
    </row>
    <row r="25" ht="14.25" customHeight="1" s="296">
      <c r="A25" s="154">
        <f>IF(OR(C25="0",COUNTIF(КлючВесна,C25)&gt;1),0,MATCH(F25,ВидыНагр,0))</f>
        <v/>
      </c>
      <c r="B25" s="154">
        <f>(COUNTA(D25:F26,J25:W25,H25:I26)=0)</f>
        <v/>
      </c>
      <c r="C25" s="155">
        <f>IF(OR(TRIM(D25)="",COUNTIF(ВидыНагр,F25)&lt;&gt;1),"0",CONCATENATE("$",TRIM(D25),"$",TRIM(E25),"$",F25,"$"))</f>
        <v/>
      </c>
      <c r="D25" s="415" t="n"/>
      <c r="E25" s="416" t="n"/>
      <c r="F25" s="417" t="n"/>
      <c r="G25" s="156" t="inlineStr">
        <is>
          <t>план</t>
        </is>
      </c>
      <c r="H25" s="157" t="n"/>
      <c r="I25" s="158" t="n"/>
      <c r="J25" s="418" t="n"/>
      <c r="K25" s="419" t="n"/>
      <c r="L25" s="420" t="n"/>
      <c r="M25" s="418" t="n"/>
      <c r="N25" s="419" t="n"/>
      <c r="O25" s="420" t="n"/>
      <c r="P25" s="418" t="n"/>
      <c r="Q25" s="419" t="n"/>
      <c r="R25" s="420" t="n"/>
      <c r="S25" s="418" t="n"/>
      <c r="T25" s="419" t="n"/>
      <c r="U25" s="421" t="n"/>
      <c r="V25" s="420" t="n"/>
      <c r="W25" s="420" t="n"/>
      <c r="X25" s="422">
        <f>SUM(J25:W25)</f>
        <v/>
      </c>
      <c r="Y25" s="423">
        <f>X26-X25</f>
        <v/>
      </c>
      <c r="Z25" s="209" t="n"/>
    </row>
    <row r="26" ht="14.25" customHeight="1" s="296">
      <c r="A26" s="154">
        <f>-A25</f>
        <v/>
      </c>
      <c r="B26" s="154">
        <f>B25</f>
        <v/>
      </c>
      <c r="C26" s="163" t="n"/>
      <c r="D26" s="424" t="n"/>
      <c r="E26" s="425" t="n"/>
      <c r="F26" s="426" t="n"/>
      <c r="G26" s="164" t="inlineStr">
        <is>
          <t>факт</t>
        </is>
      </c>
      <c r="H26" s="165" t="n"/>
      <c r="I26" s="250" t="n"/>
      <c r="J26" s="427">
        <f>SUMIF('02'!$D$7:$D$159,$C25,'02'!L$7:L$159)+SUMIF('03'!$D$7:$D$159,$C25,'03'!L$7:L$159)+SUMIF('04'!$D$7:$D$159,$C25,'04'!L$7:L$159)+SUMIF('05'!$D$7:$D$159,$C25,'05'!L$7:L$159)+SUMIF('06'!$D$7:$D$159,$C25,'06'!L$7:L$159)+SUMIF('07'!$D$7:$D$159,$C25,'07'!L$7:L$159)+SUMIF('08'!$D$7:$D$159,$C25,'08'!L$7:L$159)</f>
        <v/>
      </c>
      <c r="K26" s="428">
        <f>SUMIF('02'!$D$7:$D$159,$C25,'02'!M$7:M$159)+SUMIF('03'!$D$7:$D$159,$C25,'03'!M$7:M$159)+SUMIF('04'!$D$7:$D$159,$C25,'04'!M$7:M$159)+SUMIF('05'!$D$7:$D$159,$C25,'05'!M$7:M$159)+SUMIF('06'!$D$7:$D$159,$C25,'06'!M$7:M$159)+SUMIF('07'!$D$7:$D$159,$C25,'07'!M$7:M$159)+SUMIF('08'!$D$7:$D$159,$C25,'08'!M$7:M$159)</f>
        <v/>
      </c>
      <c r="L26" s="429">
        <f>SUMIF('02'!$D$7:$D$159,$C25,'02'!N$7:N$159)+SUMIF('03'!$D$7:$D$159,$C25,'03'!N$7:N$159)+SUMIF('04'!$D$7:$D$159,$C25,'04'!N$7:N$159)+SUMIF('05'!$D$7:$D$159,$C25,'05'!N$7:N$159)+SUMIF('06'!$D$7:$D$159,$C25,'06'!N$7:N$159)+SUMIF('07'!$D$7:$D$159,$C25,'07'!N$7:N$159)+SUMIF('08'!$D$7:$D$159,$C25,'08'!N$7:N$159)</f>
        <v/>
      </c>
      <c r="M26" s="427">
        <f>SUMIF('02'!$D$7:$D$159,$C25,'02'!O$7:O$159)+SUMIF('03'!$D$7:$D$159,$C25,'03'!O$7:O$159)+SUMIF('04'!$D$7:$D$159,$C25,'04'!O$7:O$159)+SUMIF('05'!$D$7:$D$159,$C25,'05'!O$7:O$159)+SUMIF('06'!$D$7:$D$159,$C25,'06'!O$7:O$159)+SUMIF('07'!$D$7:$D$159,$C25,'07'!O$7:O$159)+SUMIF('08'!$D$7:$D$159,$C25,'08'!O$7:O$159)</f>
        <v/>
      </c>
      <c r="N26" s="428">
        <f>SUMIF('02'!$D$7:$D$159,$C25,'02'!P$7:P$159)+SUMIF('03'!$D$7:$D$159,$C25,'03'!P$7:P$159)+SUMIF('04'!$D$7:$D$159,$C25,'04'!P$7:P$159)+SUMIF('05'!$D$7:$D$159,$C25,'05'!P$7:P$159)+SUMIF('06'!$D$7:$D$159,$C25,'06'!P$7:P$159)+SUMIF('07'!$D$7:$D$159,$C25,'07'!P$7:P$159)+SUMIF('08'!$D$7:$D$159,$C25,'08'!P$7:P$159)</f>
        <v/>
      </c>
      <c r="O26" s="429">
        <f>SUMIF('02'!$D$7:$D$159,$C25,'02'!Q$7:Q$159)+SUMIF('03'!$D$7:$D$159,$C25,'03'!Q$7:Q$159)+SUMIF('04'!$D$7:$D$159,$C25,'04'!Q$7:Q$159)+SUMIF('05'!$D$7:$D$159,$C25,'05'!Q$7:Q$159)+SUMIF('06'!$D$7:$D$159,$C25,'06'!Q$7:Q$159)+SUMIF('07'!$D$7:$D$159,$C25,'07'!Q$7:Q$159)+SUMIF('08'!$D$7:$D$159,$C25,'08'!Q$7:Q$159)</f>
        <v/>
      </c>
      <c r="P26" s="427">
        <f>SUMIF('02'!$D$7:$D$159,$C25,'02'!R$7:R$159)+SUMIF('03'!$D$7:$D$159,$C25,'03'!R$7:R$159)+SUMIF('04'!$D$7:$D$159,$C25,'04'!R$7:R$159)+SUMIF('05'!$D$7:$D$159,$C25,'05'!R$7:R$159)+SUMIF('06'!$D$7:$D$159,$C25,'06'!R$7:R$159)+SUMIF('07'!$D$7:$D$159,$C25,'07'!R$7:R$159)+SUMIF('08'!$D$7:$D$159,$C25,'08'!R$7:R$159)</f>
        <v/>
      </c>
      <c r="Q26" s="428">
        <f>SUMIF('02'!$D$7:$D$159,$C25,'02'!S$7:S$159)+SUMIF('03'!$D$7:$D$159,$C25,'03'!S$7:S$159)+SUMIF('04'!$D$7:$D$159,$C25,'04'!S$7:S$159)+SUMIF('05'!$D$7:$D$159,$C25,'05'!S$7:S$159)+SUMIF('06'!$D$7:$D$159,$C25,'06'!S$7:S$159)+SUMIF('07'!$D$7:$D$159,$C25,'07'!S$7:S$159)+SUMIF('08'!$D$7:$D$159,$C25,'08'!S$7:S$159)</f>
        <v/>
      </c>
      <c r="R26" s="429">
        <f>SUMIF('02'!$D$7:$D$159,$C25,'02'!T$7:T$159)+SUMIF('03'!$D$7:$D$159,$C25,'03'!T$7:T$159)+SUMIF('04'!$D$7:$D$159,$C25,'04'!T$7:T$159)+SUMIF('05'!$D$7:$D$159,$C25,'05'!T$7:T$159)+SUMIF('06'!$D$7:$D$159,$C25,'06'!T$7:T$159)+SUMIF('07'!$D$7:$D$159,$C25,'07'!T$7:T$159)+SUMIF('08'!$D$7:$D$159,$C25,'08'!T$7:T$159)</f>
        <v/>
      </c>
      <c r="S26" s="427">
        <f>SUMIF('02'!$D$7:$D$159,$C25,'02'!U$7:U$159)+SUMIF('03'!$D$7:$D$159,$C25,'03'!U$7:U$159)+SUMIF('04'!$D$7:$D$159,$C25,'04'!U$7:U$159)+SUMIF('05'!$D$7:$D$159,$C25,'05'!U$7:U$159)+SUMIF('06'!$D$7:$D$159,$C25,'06'!U$7:U$159)+SUMIF('07'!$D$7:$D$159,$C25,'07'!U$7:U$159)+SUMIF('08'!$D$7:$D$159,$C25,'08'!U$7:U$159)</f>
        <v/>
      </c>
      <c r="T26" s="428">
        <f>SUMIF('02'!$D$7:$D$159,$C25,'02'!V$7:V$159)+SUMIF('03'!$D$7:$D$159,$C25,'03'!V$7:V$159)+SUMIF('04'!$D$7:$D$159,$C25,'04'!V$7:V$159)+SUMIF('05'!$D$7:$D$159,$C25,'05'!V$7:V$159)+SUMIF('06'!$D$7:$D$159,$C25,'06'!V$7:V$159)+SUMIF('07'!$D$7:$D$159,$C25,'07'!V$7:V$159)+SUMIF('08'!$D$7:$D$159,$C25,'08'!V$7:V$159)</f>
        <v/>
      </c>
      <c r="U26" s="430">
        <f>SUMIF('02'!$D$7:$D$159,$C25,'02'!W$7:W$159)+SUMIF('03'!$D$7:$D$159,$C25,'03'!W$7:W$159)+SUMIF('04'!$D$7:$D$159,$C25,'04'!W$7:W$159)+SUMIF('05'!$D$7:$D$159,$C25,'05'!W$7:W$159)+SUMIF('06'!$D$7:$D$159,$C25,'06'!W$7:W$159)+SUMIF('07'!$D$7:$D$159,$C25,'07'!W$7:W$159)+SUMIF('08'!$D$7:$D$159,$C25,'08'!W$7:W$159)</f>
        <v/>
      </c>
      <c r="V26" s="429">
        <f>SUMIF('02'!$D$7:$D$159,$C25,'02'!X$7:X$159)+SUMIF('03'!$D$7:$D$159,$C25,'03'!X$7:X$159)+SUMIF('04'!$D$7:$D$159,$C25,'04'!X$7:X$159)+SUMIF('05'!$D$7:$D$159,$C25,'05'!X$7:X$159)+SUMIF('06'!$D$7:$D$159,$C25,'06'!X$7:X$159)+SUMIF('07'!$D$7:$D$159,$C25,'07'!X$7:X$159)+SUMIF('08'!$D$7:$D$159,$C25,'08'!X$7:X$159)</f>
        <v/>
      </c>
      <c r="W26" s="429">
        <f>SUMIF('02'!$D$7:$D$159,$C25,'02'!Y$7:Y$159)+SUMIF('03'!$D$7:$D$159,$C25,'03'!Y$7:Y$159)+SUMIF('04'!$D$7:$D$159,$C25,'04'!Y$7:Y$159)+SUMIF('05'!$D$7:$D$159,$C25,'05'!Y$7:Y$159)+SUMIF('06'!$D$7:$D$159,$C25,'06'!Y$7:Y$159)+SUMIF('07'!$D$7:$D$159,$C25,'07'!Y$7:Y$159)+SUMIF('08'!$D$7:$D$159,$C25,'08'!Y$7:Y$159)</f>
        <v/>
      </c>
      <c r="X26" s="431">
        <f>SUM(J26:W26)</f>
        <v/>
      </c>
      <c r="Y26" s="413" t="n"/>
      <c r="Z26" s="432" t="n"/>
    </row>
    <row r="27" ht="14.25" customHeight="1" s="296">
      <c r="A27" s="154">
        <f>IF(OR(C27="0",COUNTIF(КлючВесна,C27)&gt;1),0,MATCH(F27,ВидыНагр,0))</f>
        <v/>
      </c>
      <c r="B27" s="154">
        <f>(COUNTA(D27:F28,J27:W27,H27:I28)=0)</f>
        <v/>
      </c>
      <c r="C27" s="155">
        <f>IF(OR(TRIM(D27)="",COUNTIF(ВидыНагр,F27)&lt;&gt;1),"0",CONCATENATE("$",TRIM(D27),"$",TRIM(E27),"$",F27,"$"))</f>
        <v/>
      </c>
      <c r="D27" s="415" t="n"/>
      <c r="E27" s="416" t="n"/>
      <c r="F27" s="417" t="n"/>
      <c r="G27" s="156" t="inlineStr">
        <is>
          <t>план</t>
        </is>
      </c>
      <c r="H27" s="157" t="n"/>
      <c r="I27" s="158" t="n"/>
      <c r="J27" s="418" t="n"/>
      <c r="K27" s="419" t="n"/>
      <c r="L27" s="420" t="n"/>
      <c r="M27" s="418" t="n"/>
      <c r="N27" s="419" t="n"/>
      <c r="O27" s="420" t="n"/>
      <c r="P27" s="418" t="n"/>
      <c r="Q27" s="419" t="n"/>
      <c r="R27" s="420" t="n"/>
      <c r="S27" s="418" t="n"/>
      <c r="T27" s="419" t="n"/>
      <c r="U27" s="421" t="n"/>
      <c r="V27" s="420" t="n"/>
      <c r="W27" s="420" t="n"/>
      <c r="X27" s="422">
        <f>SUM(J27:W27)</f>
        <v/>
      </c>
      <c r="Y27" s="423">
        <f>X28-X27</f>
        <v/>
      </c>
      <c r="Z27" s="209" t="n"/>
    </row>
    <row r="28" ht="14.25" customHeight="1" s="296">
      <c r="A28" s="154">
        <f>-A27</f>
        <v/>
      </c>
      <c r="B28" s="154">
        <f>B27</f>
        <v/>
      </c>
      <c r="C28" s="163" t="n"/>
      <c r="D28" s="424" t="n"/>
      <c r="E28" s="425" t="n"/>
      <c r="F28" s="426" t="n"/>
      <c r="G28" s="164" t="inlineStr">
        <is>
          <t>факт</t>
        </is>
      </c>
      <c r="H28" s="165" t="n"/>
      <c r="I28" s="250" t="n"/>
      <c r="J28" s="427">
        <f>SUMIF('02'!$D$7:$D$159,$C27,'02'!L$7:L$159)+SUMIF('03'!$D$7:$D$159,$C27,'03'!L$7:L$159)+SUMIF('04'!$D$7:$D$159,$C27,'04'!L$7:L$159)+SUMIF('05'!$D$7:$D$159,$C27,'05'!L$7:L$159)+SUMIF('06'!$D$7:$D$159,$C27,'06'!L$7:L$159)+SUMIF('07'!$D$7:$D$159,$C27,'07'!L$7:L$159)+SUMIF('08'!$D$7:$D$159,$C27,'08'!L$7:L$159)</f>
        <v/>
      </c>
      <c r="K28" s="428">
        <f>SUMIF('02'!$D$7:$D$159,$C27,'02'!M$7:M$159)+SUMIF('03'!$D$7:$D$159,$C27,'03'!M$7:M$159)+SUMIF('04'!$D$7:$D$159,$C27,'04'!M$7:M$159)+SUMIF('05'!$D$7:$D$159,$C27,'05'!M$7:M$159)+SUMIF('06'!$D$7:$D$159,$C27,'06'!M$7:M$159)+SUMIF('07'!$D$7:$D$159,$C27,'07'!M$7:M$159)+SUMIF('08'!$D$7:$D$159,$C27,'08'!M$7:M$159)</f>
        <v/>
      </c>
      <c r="L28" s="429">
        <f>SUMIF('02'!$D$7:$D$159,$C27,'02'!N$7:N$159)+SUMIF('03'!$D$7:$D$159,$C27,'03'!N$7:N$159)+SUMIF('04'!$D$7:$D$159,$C27,'04'!N$7:N$159)+SUMIF('05'!$D$7:$D$159,$C27,'05'!N$7:N$159)+SUMIF('06'!$D$7:$D$159,$C27,'06'!N$7:N$159)+SUMIF('07'!$D$7:$D$159,$C27,'07'!N$7:N$159)+SUMIF('08'!$D$7:$D$159,$C27,'08'!N$7:N$159)</f>
        <v/>
      </c>
      <c r="M28" s="427">
        <f>SUMIF('02'!$D$7:$D$159,$C27,'02'!O$7:O$159)+SUMIF('03'!$D$7:$D$159,$C27,'03'!O$7:O$159)+SUMIF('04'!$D$7:$D$159,$C27,'04'!O$7:O$159)+SUMIF('05'!$D$7:$D$159,$C27,'05'!O$7:O$159)+SUMIF('06'!$D$7:$D$159,$C27,'06'!O$7:O$159)+SUMIF('07'!$D$7:$D$159,$C27,'07'!O$7:O$159)+SUMIF('08'!$D$7:$D$159,$C27,'08'!O$7:O$159)</f>
        <v/>
      </c>
      <c r="N28" s="428">
        <f>SUMIF('02'!$D$7:$D$159,$C27,'02'!P$7:P$159)+SUMIF('03'!$D$7:$D$159,$C27,'03'!P$7:P$159)+SUMIF('04'!$D$7:$D$159,$C27,'04'!P$7:P$159)+SUMIF('05'!$D$7:$D$159,$C27,'05'!P$7:P$159)+SUMIF('06'!$D$7:$D$159,$C27,'06'!P$7:P$159)+SUMIF('07'!$D$7:$D$159,$C27,'07'!P$7:P$159)+SUMIF('08'!$D$7:$D$159,$C27,'08'!P$7:P$159)</f>
        <v/>
      </c>
      <c r="O28" s="429">
        <f>SUMIF('02'!$D$7:$D$159,$C27,'02'!Q$7:Q$159)+SUMIF('03'!$D$7:$D$159,$C27,'03'!Q$7:Q$159)+SUMIF('04'!$D$7:$D$159,$C27,'04'!Q$7:Q$159)+SUMIF('05'!$D$7:$D$159,$C27,'05'!Q$7:Q$159)+SUMIF('06'!$D$7:$D$159,$C27,'06'!Q$7:Q$159)+SUMIF('07'!$D$7:$D$159,$C27,'07'!Q$7:Q$159)+SUMIF('08'!$D$7:$D$159,$C27,'08'!Q$7:Q$159)</f>
        <v/>
      </c>
      <c r="P28" s="427">
        <f>SUMIF('02'!$D$7:$D$159,$C27,'02'!R$7:R$159)+SUMIF('03'!$D$7:$D$159,$C27,'03'!R$7:R$159)+SUMIF('04'!$D$7:$D$159,$C27,'04'!R$7:R$159)+SUMIF('05'!$D$7:$D$159,$C27,'05'!R$7:R$159)+SUMIF('06'!$D$7:$D$159,$C27,'06'!R$7:R$159)+SUMIF('07'!$D$7:$D$159,$C27,'07'!R$7:R$159)+SUMIF('08'!$D$7:$D$159,$C27,'08'!R$7:R$159)</f>
        <v/>
      </c>
      <c r="Q28" s="428">
        <f>SUMIF('02'!$D$7:$D$159,$C27,'02'!S$7:S$159)+SUMIF('03'!$D$7:$D$159,$C27,'03'!S$7:S$159)+SUMIF('04'!$D$7:$D$159,$C27,'04'!S$7:S$159)+SUMIF('05'!$D$7:$D$159,$C27,'05'!S$7:S$159)+SUMIF('06'!$D$7:$D$159,$C27,'06'!S$7:S$159)+SUMIF('07'!$D$7:$D$159,$C27,'07'!S$7:S$159)+SUMIF('08'!$D$7:$D$159,$C27,'08'!S$7:S$159)</f>
        <v/>
      </c>
      <c r="R28" s="429">
        <f>SUMIF('02'!$D$7:$D$159,$C27,'02'!T$7:T$159)+SUMIF('03'!$D$7:$D$159,$C27,'03'!T$7:T$159)+SUMIF('04'!$D$7:$D$159,$C27,'04'!T$7:T$159)+SUMIF('05'!$D$7:$D$159,$C27,'05'!T$7:T$159)+SUMIF('06'!$D$7:$D$159,$C27,'06'!T$7:T$159)+SUMIF('07'!$D$7:$D$159,$C27,'07'!T$7:T$159)+SUMIF('08'!$D$7:$D$159,$C27,'08'!T$7:T$159)</f>
        <v/>
      </c>
      <c r="S28" s="427">
        <f>SUMIF('02'!$D$7:$D$159,$C27,'02'!U$7:U$159)+SUMIF('03'!$D$7:$D$159,$C27,'03'!U$7:U$159)+SUMIF('04'!$D$7:$D$159,$C27,'04'!U$7:U$159)+SUMIF('05'!$D$7:$D$159,$C27,'05'!U$7:U$159)+SUMIF('06'!$D$7:$D$159,$C27,'06'!U$7:U$159)+SUMIF('07'!$D$7:$D$159,$C27,'07'!U$7:U$159)+SUMIF('08'!$D$7:$D$159,$C27,'08'!U$7:U$159)</f>
        <v/>
      </c>
      <c r="T28" s="428">
        <f>SUMIF('02'!$D$7:$D$159,$C27,'02'!V$7:V$159)+SUMIF('03'!$D$7:$D$159,$C27,'03'!V$7:V$159)+SUMIF('04'!$D$7:$D$159,$C27,'04'!V$7:V$159)+SUMIF('05'!$D$7:$D$159,$C27,'05'!V$7:V$159)+SUMIF('06'!$D$7:$D$159,$C27,'06'!V$7:V$159)+SUMIF('07'!$D$7:$D$159,$C27,'07'!V$7:V$159)+SUMIF('08'!$D$7:$D$159,$C27,'08'!V$7:V$159)</f>
        <v/>
      </c>
      <c r="U28" s="430">
        <f>SUMIF('02'!$D$7:$D$159,$C27,'02'!W$7:W$159)+SUMIF('03'!$D$7:$D$159,$C27,'03'!W$7:W$159)+SUMIF('04'!$D$7:$D$159,$C27,'04'!W$7:W$159)+SUMIF('05'!$D$7:$D$159,$C27,'05'!W$7:W$159)+SUMIF('06'!$D$7:$D$159,$C27,'06'!W$7:W$159)+SUMIF('07'!$D$7:$D$159,$C27,'07'!W$7:W$159)+SUMIF('08'!$D$7:$D$159,$C27,'08'!W$7:W$159)</f>
        <v/>
      </c>
      <c r="V28" s="429">
        <f>SUMIF('02'!$D$7:$D$159,$C27,'02'!X$7:X$159)+SUMIF('03'!$D$7:$D$159,$C27,'03'!X$7:X$159)+SUMIF('04'!$D$7:$D$159,$C27,'04'!X$7:X$159)+SUMIF('05'!$D$7:$D$159,$C27,'05'!X$7:X$159)+SUMIF('06'!$D$7:$D$159,$C27,'06'!X$7:X$159)+SUMIF('07'!$D$7:$D$159,$C27,'07'!X$7:X$159)+SUMIF('08'!$D$7:$D$159,$C27,'08'!X$7:X$159)</f>
        <v/>
      </c>
      <c r="W28" s="429">
        <f>SUMIF('02'!$D$7:$D$159,$C27,'02'!Y$7:Y$159)+SUMIF('03'!$D$7:$D$159,$C27,'03'!Y$7:Y$159)+SUMIF('04'!$D$7:$D$159,$C27,'04'!Y$7:Y$159)+SUMIF('05'!$D$7:$D$159,$C27,'05'!Y$7:Y$159)+SUMIF('06'!$D$7:$D$159,$C27,'06'!Y$7:Y$159)+SUMIF('07'!$D$7:$D$159,$C27,'07'!Y$7:Y$159)+SUMIF('08'!$D$7:$D$159,$C27,'08'!Y$7:Y$159)</f>
        <v/>
      </c>
      <c r="X28" s="431">
        <f>SUM(J28:W28)</f>
        <v/>
      </c>
      <c r="Y28" s="413" t="n"/>
      <c r="Z28" s="432" t="n"/>
    </row>
    <row r="29" ht="14.25" customHeight="1" s="296">
      <c r="A29" s="154">
        <f>IF(OR(C29="0",COUNTIF(КлючВесна,C29)&gt;1),0,MATCH(F29,ВидыНагр,0))</f>
        <v/>
      </c>
      <c r="B29" s="154">
        <f>(COUNTA(D29:F30,J29:W29,H29:I30)=0)</f>
        <v/>
      </c>
      <c r="C29" s="155">
        <f>IF(OR(TRIM(D29)="",COUNTIF(ВидыНагр,F29)&lt;&gt;1),"0",CONCATENATE("$",TRIM(D29),"$",TRIM(E29),"$",F29,"$"))</f>
        <v/>
      </c>
      <c r="D29" s="415" t="n"/>
      <c r="E29" s="416" t="n"/>
      <c r="F29" s="417" t="n"/>
      <c r="G29" s="156" t="inlineStr">
        <is>
          <t>план</t>
        </is>
      </c>
      <c r="H29" s="157" t="n"/>
      <c r="I29" s="158" t="n"/>
      <c r="J29" s="418" t="n"/>
      <c r="K29" s="419" t="n"/>
      <c r="L29" s="420" t="n"/>
      <c r="M29" s="418" t="n"/>
      <c r="N29" s="419" t="n"/>
      <c r="O29" s="420" t="n"/>
      <c r="P29" s="418" t="n"/>
      <c r="Q29" s="419" t="n"/>
      <c r="R29" s="420" t="n"/>
      <c r="S29" s="418" t="n"/>
      <c r="T29" s="419" t="n"/>
      <c r="U29" s="421" t="n"/>
      <c r="V29" s="420" t="n"/>
      <c r="W29" s="420" t="n"/>
      <c r="X29" s="422">
        <f>SUM(J29:W29)</f>
        <v/>
      </c>
      <c r="Y29" s="423">
        <f>X30-X29</f>
        <v/>
      </c>
      <c r="Z29" s="209" t="n"/>
    </row>
    <row r="30" ht="14.25" customHeight="1" s="296">
      <c r="A30" s="154">
        <f>-A29</f>
        <v/>
      </c>
      <c r="B30" s="154">
        <f>B29</f>
        <v/>
      </c>
      <c r="C30" s="163" t="n"/>
      <c r="D30" s="424" t="n"/>
      <c r="E30" s="425" t="n"/>
      <c r="F30" s="426" t="n"/>
      <c r="G30" s="164" t="inlineStr">
        <is>
          <t>факт</t>
        </is>
      </c>
      <c r="H30" s="165" t="n"/>
      <c r="I30" s="250" t="n"/>
      <c r="J30" s="427">
        <f>SUMIF('02'!$D$7:$D$159,$C29,'02'!L$7:L$159)+SUMIF('03'!$D$7:$D$159,$C29,'03'!L$7:L$159)+SUMIF('04'!$D$7:$D$159,$C29,'04'!L$7:L$159)+SUMIF('05'!$D$7:$D$159,$C29,'05'!L$7:L$159)+SUMIF('06'!$D$7:$D$159,$C29,'06'!L$7:L$159)+SUMIF('07'!$D$7:$D$159,$C29,'07'!L$7:L$159)+SUMIF('08'!$D$7:$D$159,$C29,'08'!L$7:L$159)</f>
        <v/>
      </c>
      <c r="K30" s="428">
        <f>SUMIF('02'!$D$7:$D$159,$C29,'02'!M$7:M$159)+SUMIF('03'!$D$7:$D$159,$C29,'03'!M$7:M$159)+SUMIF('04'!$D$7:$D$159,$C29,'04'!M$7:M$159)+SUMIF('05'!$D$7:$D$159,$C29,'05'!M$7:M$159)+SUMIF('06'!$D$7:$D$159,$C29,'06'!M$7:M$159)+SUMIF('07'!$D$7:$D$159,$C29,'07'!M$7:M$159)+SUMIF('08'!$D$7:$D$159,$C29,'08'!M$7:M$159)</f>
        <v/>
      </c>
      <c r="L30" s="429">
        <f>SUMIF('02'!$D$7:$D$159,$C29,'02'!N$7:N$159)+SUMIF('03'!$D$7:$D$159,$C29,'03'!N$7:N$159)+SUMIF('04'!$D$7:$D$159,$C29,'04'!N$7:N$159)+SUMIF('05'!$D$7:$D$159,$C29,'05'!N$7:N$159)+SUMIF('06'!$D$7:$D$159,$C29,'06'!N$7:N$159)+SUMIF('07'!$D$7:$D$159,$C29,'07'!N$7:N$159)+SUMIF('08'!$D$7:$D$159,$C29,'08'!N$7:N$159)</f>
        <v/>
      </c>
      <c r="M30" s="427">
        <f>SUMIF('02'!$D$7:$D$159,$C29,'02'!O$7:O$159)+SUMIF('03'!$D$7:$D$159,$C29,'03'!O$7:O$159)+SUMIF('04'!$D$7:$D$159,$C29,'04'!O$7:O$159)+SUMIF('05'!$D$7:$D$159,$C29,'05'!O$7:O$159)+SUMIF('06'!$D$7:$D$159,$C29,'06'!O$7:O$159)+SUMIF('07'!$D$7:$D$159,$C29,'07'!O$7:O$159)+SUMIF('08'!$D$7:$D$159,$C29,'08'!O$7:O$159)</f>
        <v/>
      </c>
      <c r="N30" s="428">
        <f>SUMIF('02'!$D$7:$D$159,$C29,'02'!P$7:P$159)+SUMIF('03'!$D$7:$D$159,$C29,'03'!P$7:P$159)+SUMIF('04'!$D$7:$D$159,$C29,'04'!P$7:P$159)+SUMIF('05'!$D$7:$D$159,$C29,'05'!P$7:P$159)+SUMIF('06'!$D$7:$D$159,$C29,'06'!P$7:P$159)+SUMIF('07'!$D$7:$D$159,$C29,'07'!P$7:P$159)+SUMIF('08'!$D$7:$D$159,$C29,'08'!P$7:P$159)</f>
        <v/>
      </c>
      <c r="O30" s="429">
        <f>SUMIF('02'!$D$7:$D$159,$C29,'02'!Q$7:Q$159)+SUMIF('03'!$D$7:$D$159,$C29,'03'!Q$7:Q$159)+SUMIF('04'!$D$7:$D$159,$C29,'04'!Q$7:Q$159)+SUMIF('05'!$D$7:$D$159,$C29,'05'!Q$7:Q$159)+SUMIF('06'!$D$7:$D$159,$C29,'06'!Q$7:Q$159)+SUMIF('07'!$D$7:$D$159,$C29,'07'!Q$7:Q$159)+SUMIF('08'!$D$7:$D$159,$C29,'08'!Q$7:Q$159)</f>
        <v/>
      </c>
      <c r="P30" s="427">
        <f>SUMIF('02'!$D$7:$D$159,$C29,'02'!R$7:R$159)+SUMIF('03'!$D$7:$D$159,$C29,'03'!R$7:R$159)+SUMIF('04'!$D$7:$D$159,$C29,'04'!R$7:R$159)+SUMIF('05'!$D$7:$D$159,$C29,'05'!R$7:R$159)+SUMIF('06'!$D$7:$D$159,$C29,'06'!R$7:R$159)+SUMIF('07'!$D$7:$D$159,$C29,'07'!R$7:R$159)+SUMIF('08'!$D$7:$D$159,$C29,'08'!R$7:R$159)</f>
        <v/>
      </c>
      <c r="Q30" s="428">
        <f>SUMIF('02'!$D$7:$D$159,$C29,'02'!S$7:S$159)+SUMIF('03'!$D$7:$D$159,$C29,'03'!S$7:S$159)+SUMIF('04'!$D$7:$D$159,$C29,'04'!S$7:S$159)+SUMIF('05'!$D$7:$D$159,$C29,'05'!S$7:S$159)+SUMIF('06'!$D$7:$D$159,$C29,'06'!S$7:S$159)+SUMIF('07'!$D$7:$D$159,$C29,'07'!S$7:S$159)+SUMIF('08'!$D$7:$D$159,$C29,'08'!S$7:S$159)</f>
        <v/>
      </c>
      <c r="R30" s="429">
        <f>SUMIF('02'!$D$7:$D$159,$C29,'02'!T$7:T$159)+SUMIF('03'!$D$7:$D$159,$C29,'03'!T$7:T$159)+SUMIF('04'!$D$7:$D$159,$C29,'04'!T$7:T$159)+SUMIF('05'!$D$7:$D$159,$C29,'05'!T$7:T$159)+SUMIF('06'!$D$7:$D$159,$C29,'06'!T$7:T$159)+SUMIF('07'!$D$7:$D$159,$C29,'07'!T$7:T$159)+SUMIF('08'!$D$7:$D$159,$C29,'08'!T$7:T$159)</f>
        <v/>
      </c>
      <c r="S30" s="427">
        <f>SUMIF('02'!$D$7:$D$159,$C29,'02'!U$7:U$159)+SUMIF('03'!$D$7:$D$159,$C29,'03'!U$7:U$159)+SUMIF('04'!$D$7:$D$159,$C29,'04'!U$7:U$159)+SUMIF('05'!$D$7:$D$159,$C29,'05'!U$7:U$159)+SUMIF('06'!$D$7:$D$159,$C29,'06'!U$7:U$159)+SUMIF('07'!$D$7:$D$159,$C29,'07'!U$7:U$159)+SUMIF('08'!$D$7:$D$159,$C29,'08'!U$7:U$159)</f>
        <v/>
      </c>
      <c r="T30" s="428">
        <f>SUMIF('02'!$D$7:$D$159,$C29,'02'!V$7:V$159)+SUMIF('03'!$D$7:$D$159,$C29,'03'!V$7:V$159)+SUMIF('04'!$D$7:$D$159,$C29,'04'!V$7:V$159)+SUMIF('05'!$D$7:$D$159,$C29,'05'!V$7:V$159)+SUMIF('06'!$D$7:$D$159,$C29,'06'!V$7:V$159)+SUMIF('07'!$D$7:$D$159,$C29,'07'!V$7:V$159)+SUMIF('08'!$D$7:$D$159,$C29,'08'!V$7:V$159)</f>
        <v/>
      </c>
      <c r="U30" s="430">
        <f>SUMIF('02'!$D$7:$D$159,$C29,'02'!W$7:W$159)+SUMIF('03'!$D$7:$D$159,$C29,'03'!W$7:W$159)+SUMIF('04'!$D$7:$D$159,$C29,'04'!W$7:W$159)+SUMIF('05'!$D$7:$D$159,$C29,'05'!W$7:W$159)+SUMIF('06'!$D$7:$D$159,$C29,'06'!W$7:W$159)+SUMIF('07'!$D$7:$D$159,$C29,'07'!W$7:W$159)+SUMIF('08'!$D$7:$D$159,$C29,'08'!W$7:W$159)</f>
        <v/>
      </c>
      <c r="V30" s="429">
        <f>SUMIF('02'!$D$7:$D$159,$C29,'02'!X$7:X$159)+SUMIF('03'!$D$7:$D$159,$C29,'03'!X$7:X$159)+SUMIF('04'!$D$7:$D$159,$C29,'04'!X$7:X$159)+SUMIF('05'!$D$7:$D$159,$C29,'05'!X$7:X$159)+SUMIF('06'!$D$7:$D$159,$C29,'06'!X$7:X$159)+SUMIF('07'!$D$7:$D$159,$C29,'07'!X$7:X$159)+SUMIF('08'!$D$7:$D$159,$C29,'08'!X$7:X$159)</f>
        <v/>
      </c>
      <c r="W30" s="429">
        <f>SUMIF('02'!$D$7:$D$159,$C29,'02'!Y$7:Y$159)+SUMIF('03'!$D$7:$D$159,$C29,'03'!Y$7:Y$159)+SUMIF('04'!$D$7:$D$159,$C29,'04'!Y$7:Y$159)+SUMIF('05'!$D$7:$D$159,$C29,'05'!Y$7:Y$159)+SUMIF('06'!$D$7:$D$159,$C29,'06'!Y$7:Y$159)+SUMIF('07'!$D$7:$D$159,$C29,'07'!Y$7:Y$159)+SUMIF('08'!$D$7:$D$159,$C29,'08'!Y$7:Y$159)</f>
        <v/>
      </c>
      <c r="X30" s="431">
        <f>SUM(J30:W30)</f>
        <v/>
      </c>
      <c r="Y30" s="413" t="n"/>
      <c r="Z30" s="432" t="n"/>
    </row>
    <row r="31" ht="14.25" customHeight="1" s="296">
      <c r="A31" s="154">
        <f>IF(OR(C31="0",COUNTIF(КлючВесна,C31)&gt;1),0,MATCH(F31,ВидыНагр,0))</f>
        <v/>
      </c>
      <c r="B31" s="154">
        <f>(COUNTA(D31:F32,J31:W31,H31:I32)=0)</f>
        <v/>
      </c>
      <c r="C31" s="155">
        <f>IF(OR(TRIM(D31)="",COUNTIF(ВидыНагр,F31)&lt;&gt;1),"0",CONCATENATE("$",TRIM(D31),"$",TRIM(E31),"$",F31,"$"))</f>
        <v/>
      </c>
      <c r="D31" s="415" t="n"/>
      <c r="E31" s="416" t="n"/>
      <c r="F31" s="417" t="n"/>
      <c r="G31" s="156" t="inlineStr">
        <is>
          <t>план</t>
        </is>
      </c>
      <c r="H31" s="157" t="n"/>
      <c r="I31" s="158" t="n"/>
      <c r="J31" s="418" t="n"/>
      <c r="K31" s="419" t="n"/>
      <c r="L31" s="420" t="n"/>
      <c r="M31" s="418" t="n"/>
      <c r="N31" s="419" t="n"/>
      <c r="O31" s="420" t="n"/>
      <c r="P31" s="418" t="n"/>
      <c r="Q31" s="419" t="n"/>
      <c r="R31" s="420" t="n"/>
      <c r="S31" s="418" t="n"/>
      <c r="T31" s="419" t="n"/>
      <c r="U31" s="421" t="n"/>
      <c r="V31" s="420" t="n"/>
      <c r="W31" s="420" t="n"/>
      <c r="X31" s="422">
        <f>SUM(J31:W31)</f>
        <v/>
      </c>
      <c r="Y31" s="423">
        <f>X32-X31</f>
        <v/>
      </c>
      <c r="Z31" s="209" t="n"/>
    </row>
    <row r="32" ht="14.25" customHeight="1" s="296">
      <c r="A32" s="154">
        <f>-A31</f>
        <v/>
      </c>
      <c r="B32" s="154">
        <f>B31</f>
        <v/>
      </c>
      <c r="C32" s="163" t="n"/>
      <c r="D32" s="424" t="n"/>
      <c r="E32" s="425" t="n"/>
      <c r="F32" s="426" t="n"/>
      <c r="G32" s="164" t="inlineStr">
        <is>
          <t>факт</t>
        </is>
      </c>
      <c r="H32" s="165" t="n"/>
      <c r="I32" s="250" t="n"/>
      <c r="J32" s="427">
        <f>SUMIF('02'!$D$7:$D$159,$C31,'02'!L$7:L$159)+SUMIF('03'!$D$7:$D$159,$C31,'03'!L$7:L$159)+SUMIF('04'!$D$7:$D$159,$C31,'04'!L$7:L$159)+SUMIF('05'!$D$7:$D$159,$C31,'05'!L$7:L$159)+SUMIF('06'!$D$7:$D$159,$C31,'06'!L$7:L$159)+SUMIF('07'!$D$7:$D$159,$C31,'07'!L$7:L$159)+SUMIF('08'!$D$7:$D$159,$C31,'08'!L$7:L$159)</f>
        <v/>
      </c>
      <c r="K32" s="428">
        <f>SUMIF('02'!$D$7:$D$159,$C31,'02'!M$7:M$159)+SUMIF('03'!$D$7:$D$159,$C31,'03'!M$7:M$159)+SUMIF('04'!$D$7:$D$159,$C31,'04'!M$7:M$159)+SUMIF('05'!$D$7:$D$159,$C31,'05'!M$7:M$159)+SUMIF('06'!$D$7:$D$159,$C31,'06'!M$7:M$159)+SUMIF('07'!$D$7:$D$159,$C31,'07'!M$7:M$159)+SUMIF('08'!$D$7:$D$159,$C31,'08'!M$7:M$159)</f>
        <v/>
      </c>
      <c r="L32" s="429">
        <f>SUMIF('02'!$D$7:$D$159,$C31,'02'!N$7:N$159)+SUMIF('03'!$D$7:$D$159,$C31,'03'!N$7:N$159)+SUMIF('04'!$D$7:$D$159,$C31,'04'!N$7:N$159)+SUMIF('05'!$D$7:$D$159,$C31,'05'!N$7:N$159)+SUMIF('06'!$D$7:$D$159,$C31,'06'!N$7:N$159)+SUMIF('07'!$D$7:$D$159,$C31,'07'!N$7:N$159)+SUMIF('08'!$D$7:$D$159,$C31,'08'!N$7:N$159)</f>
        <v/>
      </c>
      <c r="M32" s="427">
        <f>SUMIF('02'!$D$7:$D$159,$C31,'02'!O$7:O$159)+SUMIF('03'!$D$7:$D$159,$C31,'03'!O$7:O$159)+SUMIF('04'!$D$7:$D$159,$C31,'04'!O$7:O$159)+SUMIF('05'!$D$7:$D$159,$C31,'05'!O$7:O$159)+SUMIF('06'!$D$7:$D$159,$C31,'06'!O$7:O$159)+SUMIF('07'!$D$7:$D$159,$C31,'07'!O$7:O$159)+SUMIF('08'!$D$7:$D$159,$C31,'08'!O$7:O$159)</f>
        <v/>
      </c>
      <c r="N32" s="428">
        <f>SUMIF('02'!$D$7:$D$159,$C31,'02'!P$7:P$159)+SUMIF('03'!$D$7:$D$159,$C31,'03'!P$7:P$159)+SUMIF('04'!$D$7:$D$159,$C31,'04'!P$7:P$159)+SUMIF('05'!$D$7:$D$159,$C31,'05'!P$7:P$159)+SUMIF('06'!$D$7:$D$159,$C31,'06'!P$7:P$159)+SUMIF('07'!$D$7:$D$159,$C31,'07'!P$7:P$159)+SUMIF('08'!$D$7:$D$159,$C31,'08'!P$7:P$159)</f>
        <v/>
      </c>
      <c r="O32" s="429">
        <f>SUMIF('02'!$D$7:$D$159,$C31,'02'!Q$7:Q$159)+SUMIF('03'!$D$7:$D$159,$C31,'03'!Q$7:Q$159)+SUMIF('04'!$D$7:$D$159,$C31,'04'!Q$7:Q$159)+SUMIF('05'!$D$7:$D$159,$C31,'05'!Q$7:Q$159)+SUMIF('06'!$D$7:$D$159,$C31,'06'!Q$7:Q$159)+SUMIF('07'!$D$7:$D$159,$C31,'07'!Q$7:Q$159)+SUMIF('08'!$D$7:$D$159,$C31,'08'!Q$7:Q$159)</f>
        <v/>
      </c>
      <c r="P32" s="427">
        <f>SUMIF('02'!$D$7:$D$159,$C31,'02'!R$7:R$159)+SUMIF('03'!$D$7:$D$159,$C31,'03'!R$7:R$159)+SUMIF('04'!$D$7:$D$159,$C31,'04'!R$7:R$159)+SUMIF('05'!$D$7:$D$159,$C31,'05'!R$7:R$159)+SUMIF('06'!$D$7:$D$159,$C31,'06'!R$7:R$159)+SUMIF('07'!$D$7:$D$159,$C31,'07'!R$7:R$159)+SUMIF('08'!$D$7:$D$159,$C31,'08'!R$7:R$159)</f>
        <v/>
      </c>
      <c r="Q32" s="428">
        <f>SUMIF('02'!$D$7:$D$159,$C31,'02'!S$7:S$159)+SUMIF('03'!$D$7:$D$159,$C31,'03'!S$7:S$159)+SUMIF('04'!$D$7:$D$159,$C31,'04'!S$7:S$159)+SUMIF('05'!$D$7:$D$159,$C31,'05'!S$7:S$159)+SUMIF('06'!$D$7:$D$159,$C31,'06'!S$7:S$159)+SUMIF('07'!$D$7:$D$159,$C31,'07'!S$7:S$159)+SUMIF('08'!$D$7:$D$159,$C31,'08'!S$7:S$159)</f>
        <v/>
      </c>
      <c r="R32" s="429">
        <f>SUMIF('02'!$D$7:$D$159,$C31,'02'!T$7:T$159)+SUMIF('03'!$D$7:$D$159,$C31,'03'!T$7:T$159)+SUMIF('04'!$D$7:$D$159,$C31,'04'!T$7:T$159)+SUMIF('05'!$D$7:$D$159,$C31,'05'!T$7:T$159)+SUMIF('06'!$D$7:$D$159,$C31,'06'!T$7:T$159)+SUMIF('07'!$D$7:$D$159,$C31,'07'!T$7:T$159)+SUMIF('08'!$D$7:$D$159,$C31,'08'!T$7:T$159)</f>
        <v/>
      </c>
      <c r="S32" s="427">
        <f>SUMIF('02'!$D$7:$D$159,$C31,'02'!U$7:U$159)+SUMIF('03'!$D$7:$D$159,$C31,'03'!U$7:U$159)+SUMIF('04'!$D$7:$D$159,$C31,'04'!U$7:U$159)+SUMIF('05'!$D$7:$D$159,$C31,'05'!U$7:U$159)+SUMIF('06'!$D$7:$D$159,$C31,'06'!U$7:U$159)+SUMIF('07'!$D$7:$D$159,$C31,'07'!U$7:U$159)+SUMIF('08'!$D$7:$D$159,$C31,'08'!U$7:U$159)</f>
        <v/>
      </c>
      <c r="T32" s="428">
        <f>SUMIF('02'!$D$7:$D$159,$C31,'02'!V$7:V$159)+SUMIF('03'!$D$7:$D$159,$C31,'03'!V$7:V$159)+SUMIF('04'!$D$7:$D$159,$C31,'04'!V$7:V$159)+SUMIF('05'!$D$7:$D$159,$C31,'05'!V$7:V$159)+SUMIF('06'!$D$7:$D$159,$C31,'06'!V$7:V$159)+SUMIF('07'!$D$7:$D$159,$C31,'07'!V$7:V$159)+SUMIF('08'!$D$7:$D$159,$C31,'08'!V$7:V$159)</f>
        <v/>
      </c>
      <c r="U32" s="430">
        <f>SUMIF('02'!$D$7:$D$159,$C31,'02'!W$7:W$159)+SUMIF('03'!$D$7:$D$159,$C31,'03'!W$7:W$159)+SUMIF('04'!$D$7:$D$159,$C31,'04'!W$7:W$159)+SUMIF('05'!$D$7:$D$159,$C31,'05'!W$7:W$159)+SUMIF('06'!$D$7:$D$159,$C31,'06'!W$7:W$159)+SUMIF('07'!$D$7:$D$159,$C31,'07'!W$7:W$159)+SUMIF('08'!$D$7:$D$159,$C31,'08'!W$7:W$159)</f>
        <v/>
      </c>
      <c r="V32" s="429">
        <f>SUMIF('02'!$D$7:$D$159,$C31,'02'!X$7:X$159)+SUMIF('03'!$D$7:$D$159,$C31,'03'!X$7:X$159)+SUMIF('04'!$D$7:$D$159,$C31,'04'!X$7:X$159)+SUMIF('05'!$D$7:$D$159,$C31,'05'!X$7:X$159)+SUMIF('06'!$D$7:$D$159,$C31,'06'!X$7:X$159)+SUMIF('07'!$D$7:$D$159,$C31,'07'!X$7:X$159)+SUMIF('08'!$D$7:$D$159,$C31,'08'!X$7:X$159)</f>
        <v/>
      </c>
      <c r="W32" s="429">
        <f>SUMIF('02'!$D$7:$D$159,$C31,'02'!Y$7:Y$159)+SUMIF('03'!$D$7:$D$159,$C31,'03'!Y$7:Y$159)+SUMIF('04'!$D$7:$D$159,$C31,'04'!Y$7:Y$159)+SUMIF('05'!$D$7:$D$159,$C31,'05'!Y$7:Y$159)+SUMIF('06'!$D$7:$D$159,$C31,'06'!Y$7:Y$159)+SUMIF('07'!$D$7:$D$159,$C31,'07'!Y$7:Y$159)+SUMIF('08'!$D$7:$D$159,$C31,'08'!Y$7:Y$159)</f>
        <v/>
      </c>
      <c r="X32" s="431">
        <f>SUM(J32:W32)</f>
        <v/>
      </c>
      <c r="Y32" s="413" t="n"/>
      <c r="Z32" s="432" t="n"/>
    </row>
    <row r="33" ht="14.25" customHeight="1" s="296">
      <c r="A33" s="154">
        <f>IF(OR(C33="0",COUNTIF(КлючВесна,C33)&gt;1),0,MATCH(F33,ВидыНагр,0))</f>
        <v/>
      </c>
      <c r="B33" s="154">
        <f>(COUNTA(D33:F34,J33:W33,H33:I34)=0)</f>
        <v/>
      </c>
      <c r="C33" s="155">
        <f>IF(OR(TRIM(D33)="",COUNTIF(ВидыНагр,F33)&lt;&gt;1),"0",CONCATENATE("$",TRIM(D33),"$",TRIM(E33),"$",F33,"$"))</f>
        <v/>
      </c>
      <c r="D33" s="415" t="n"/>
      <c r="E33" s="416" t="n"/>
      <c r="F33" s="417" t="n"/>
      <c r="G33" s="156" t="inlineStr">
        <is>
          <t>план</t>
        </is>
      </c>
      <c r="H33" s="157" t="n"/>
      <c r="I33" s="158" t="n"/>
      <c r="J33" s="418" t="n"/>
      <c r="K33" s="419" t="n"/>
      <c r="L33" s="420" t="n"/>
      <c r="M33" s="418" t="n"/>
      <c r="N33" s="419" t="n"/>
      <c r="O33" s="420" t="n"/>
      <c r="P33" s="418" t="n"/>
      <c r="Q33" s="419" t="n"/>
      <c r="R33" s="420" t="n"/>
      <c r="S33" s="418" t="n"/>
      <c r="T33" s="419" t="n"/>
      <c r="U33" s="421" t="n"/>
      <c r="V33" s="420" t="n"/>
      <c r="W33" s="420" t="n"/>
      <c r="X33" s="422">
        <f>SUM(J33:W33)</f>
        <v/>
      </c>
      <c r="Y33" s="423">
        <f>X34-X33</f>
        <v/>
      </c>
      <c r="Z33" s="209" t="n"/>
    </row>
    <row r="34" ht="14.25" customHeight="1" s="296">
      <c r="A34" s="154">
        <f>-A33</f>
        <v/>
      </c>
      <c r="B34" s="154">
        <f>B33</f>
        <v/>
      </c>
      <c r="C34" s="163" t="n"/>
      <c r="D34" s="424" t="n"/>
      <c r="E34" s="425" t="n"/>
      <c r="F34" s="426" t="n"/>
      <c r="G34" s="164" t="inlineStr">
        <is>
          <t>факт</t>
        </is>
      </c>
      <c r="H34" s="165" t="n"/>
      <c r="I34" s="250" t="n"/>
      <c r="J34" s="427">
        <f>SUMIF('02'!$D$7:$D$159,$C33,'02'!L$7:L$159)+SUMIF('03'!$D$7:$D$159,$C33,'03'!L$7:L$159)+SUMIF('04'!$D$7:$D$159,$C33,'04'!L$7:L$159)+SUMIF('05'!$D$7:$D$159,$C33,'05'!L$7:L$159)+SUMIF('06'!$D$7:$D$159,$C33,'06'!L$7:L$159)+SUMIF('07'!$D$7:$D$159,$C33,'07'!L$7:L$159)+SUMIF('08'!$D$7:$D$159,$C33,'08'!L$7:L$159)</f>
        <v/>
      </c>
      <c r="K34" s="428">
        <f>SUMIF('02'!$D$7:$D$159,$C33,'02'!M$7:M$159)+SUMIF('03'!$D$7:$D$159,$C33,'03'!M$7:M$159)+SUMIF('04'!$D$7:$D$159,$C33,'04'!M$7:M$159)+SUMIF('05'!$D$7:$D$159,$C33,'05'!M$7:M$159)+SUMIF('06'!$D$7:$D$159,$C33,'06'!M$7:M$159)+SUMIF('07'!$D$7:$D$159,$C33,'07'!M$7:M$159)+SUMIF('08'!$D$7:$D$159,$C33,'08'!M$7:M$159)</f>
        <v/>
      </c>
      <c r="L34" s="429">
        <f>SUMIF('02'!$D$7:$D$159,$C33,'02'!N$7:N$159)+SUMIF('03'!$D$7:$D$159,$C33,'03'!N$7:N$159)+SUMIF('04'!$D$7:$D$159,$C33,'04'!N$7:N$159)+SUMIF('05'!$D$7:$D$159,$C33,'05'!N$7:N$159)+SUMIF('06'!$D$7:$D$159,$C33,'06'!N$7:N$159)+SUMIF('07'!$D$7:$D$159,$C33,'07'!N$7:N$159)+SUMIF('08'!$D$7:$D$159,$C33,'08'!N$7:N$159)</f>
        <v/>
      </c>
      <c r="M34" s="427">
        <f>SUMIF('02'!$D$7:$D$159,$C33,'02'!O$7:O$159)+SUMIF('03'!$D$7:$D$159,$C33,'03'!O$7:O$159)+SUMIF('04'!$D$7:$D$159,$C33,'04'!O$7:O$159)+SUMIF('05'!$D$7:$D$159,$C33,'05'!O$7:O$159)+SUMIF('06'!$D$7:$D$159,$C33,'06'!O$7:O$159)+SUMIF('07'!$D$7:$D$159,$C33,'07'!O$7:O$159)+SUMIF('08'!$D$7:$D$159,$C33,'08'!O$7:O$159)</f>
        <v/>
      </c>
      <c r="N34" s="428">
        <f>SUMIF('02'!$D$7:$D$159,$C33,'02'!P$7:P$159)+SUMIF('03'!$D$7:$D$159,$C33,'03'!P$7:P$159)+SUMIF('04'!$D$7:$D$159,$C33,'04'!P$7:P$159)+SUMIF('05'!$D$7:$D$159,$C33,'05'!P$7:P$159)+SUMIF('06'!$D$7:$D$159,$C33,'06'!P$7:P$159)+SUMIF('07'!$D$7:$D$159,$C33,'07'!P$7:P$159)+SUMIF('08'!$D$7:$D$159,$C33,'08'!P$7:P$159)</f>
        <v/>
      </c>
      <c r="O34" s="429">
        <f>SUMIF('02'!$D$7:$D$159,$C33,'02'!Q$7:Q$159)+SUMIF('03'!$D$7:$D$159,$C33,'03'!Q$7:Q$159)+SUMIF('04'!$D$7:$D$159,$C33,'04'!Q$7:Q$159)+SUMIF('05'!$D$7:$D$159,$C33,'05'!Q$7:Q$159)+SUMIF('06'!$D$7:$D$159,$C33,'06'!Q$7:Q$159)+SUMIF('07'!$D$7:$D$159,$C33,'07'!Q$7:Q$159)+SUMIF('08'!$D$7:$D$159,$C33,'08'!Q$7:Q$159)</f>
        <v/>
      </c>
      <c r="P34" s="427">
        <f>SUMIF('02'!$D$7:$D$159,$C33,'02'!R$7:R$159)+SUMIF('03'!$D$7:$D$159,$C33,'03'!R$7:R$159)+SUMIF('04'!$D$7:$D$159,$C33,'04'!R$7:R$159)+SUMIF('05'!$D$7:$D$159,$C33,'05'!R$7:R$159)+SUMIF('06'!$D$7:$D$159,$C33,'06'!R$7:R$159)+SUMIF('07'!$D$7:$D$159,$C33,'07'!R$7:R$159)+SUMIF('08'!$D$7:$D$159,$C33,'08'!R$7:R$159)</f>
        <v/>
      </c>
      <c r="Q34" s="428">
        <f>SUMIF('02'!$D$7:$D$159,$C33,'02'!S$7:S$159)+SUMIF('03'!$D$7:$D$159,$C33,'03'!S$7:S$159)+SUMIF('04'!$D$7:$D$159,$C33,'04'!S$7:S$159)+SUMIF('05'!$D$7:$D$159,$C33,'05'!S$7:S$159)+SUMIF('06'!$D$7:$D$159,$C33,'06'!S$7:S$159)+SUMIF('07'!$D$7:$D$159,$C33,'07'!S$7:S$159)+SUMIF('08'!$D$7:$D$159,$C33,'08'!S$7:S$159)</f>
        <v/>
      </c>
      <c r="R34" s="429">
        <f>SUMIF('02'!$D$7:$D$159,$C33,'02'!T$7:T$159)+SUMIF('03'!$D$7:$D$159,$C33,'03'!T$7:T$159)+SUMIF('04'!$D$7:$D$159,$C33,'04'!T$7:T$159)+SUMIF('05'!$D$7:$D$159,$C33,'05'!T$7:T$159)+SUMIF('06'!$D$7:$D$159,$C33,'06'!T$7:T$159)+SUMIF('07'!$D$7:$D$159,$C33,'07'!T$7:T$159)+SUMIF('08'!$D$7:$D$159,$C33,'08'!T$7:T$159)</f>
        <v/>
      </c>
      <c r="S34" s="427">
        <f>SUMIF('02'!$D$7:$D$159,$C33,'02'!U$7:U$159)+SUMIF('03'!$D$7:$D$159,$C33,'03'!U$7:U$159)+SUMIF('04'!$D$7:$D$159,$C33,'04'!U$7:U$159)+SUMIF('05'!$D$7:$D$159,$C33,'05'!U$7:U$159)+SUMIF('06'!$D$7:$D$159,$C33,'06'!U$7:U$159)+SUMIF('07'!$D$7:$D$159,$C33,'07'!U$7:U$159)+SUMIF('08'!$D$7:$D$159,$C33,'08'!U$7:U$159)</f>
        <v/>
      </c>
      <c r="T34" s="428">
        <f>SUMIF('02'!$D$7:$D$159,$C33,'02'!V$7:V$159)+SUMIF('03'!$D$7:$D$159,$C33,'03'!V$7:V$159)+SUMIF('04'!$D$7:$D$159,$C33,'04'!V$7:V$159)+SUMIF('05'!$D$7:$D$159,$C33,'05'!V$7:V$159)+SUMIF('06'!$D$7:$D$159,$C33,'06'!V$7:V$159)+SUMIF('07'!$D$7:$D$159,$C33,'07'!V$7:V$159)+SUMIF('08'!$D$7:$D$159,$C33,'08'!V$7:V$159)</f>
        <v/>
      </c>
      <c r="U34" s="430">
        <f>SUMIF('02'!$D$7:$D$159,$C33,'02'!W$7:W$159)+SUMIF('03'!$D$7:$D$159,$C33,'03'!W$7:W$159)+SUMIF('04'!$D$7:$D$159,$C33,'04'!W$7:W$159)+SUMIF('05'!$D$7:$D$159,$C33,'05'!W$7:W$159)+SUMIF('06'!$D$7:$D$159,$C33,'06'!W$7:W$159)+SUMIF('07'!$D$7:$D$159,$C33,'07'!W$7:W$159)+SUMIF('08'!$D$7:$D$159,$C33,'08'!W$7:W$159)</f>
        <v/>
      </c>
      <c r="V34" s="429">
        <f>SUMIF('02'!$D$7:$D$159,$C33,'02'!X$7:X$159)+SUMIF('03'!$D$7:$D$159,$C33,'03'!X$7:X$159)+SUMIF('04'!$D$7:$D$159,$C33,'04'!X$7:X$159)+SUMIF('05'!$D$7:$D$159,$C33,'05'!X$7:X$159)+SUMIF('06'!$D$7:$D$159,$C33,'06'!X$7:X$159)+SUMIF('07'!$D$7:$D$159,$C33,'07'!X$7:X$159)+SUMIF('08'!$D$7:$D$159,$C33,'08'!X$7:X$159)</f>
        <v/>
      </c>
      <c r="W34" s="429">
        <f>SUMIF('02'!$D$7:$D$159,$C33,'02'!Y$7:Y$159)+SUMIF('03'!$D$7:$D$159,$C33,'03'!Y$7:Y$159)+SUMIF('04'!$D$7:$D$159,$C33,'04'!Y$7:Y$159)+SUMIF('05'!$D$7:$D$159,$C33,'05'!Y$7:Y$159)+SUMIF('06'!$D$7:$D$159,$C33,'06'!Y$7:Y$159)+SUMIF('07'!$D$7:$D$159,$C33,'07'!Y$7:Y$159)+SUMIF('08'!$D$7:$D$159,$C33,'08'!Y$7:Y$159)</f>
        <v/>
      </c>
      <c r="X34" s="431">
        <f>SUM(J34:W34)</f>
        <v/>
      </c>
      <c r="Y34" s="413" t="n"/>
      <c r="Z34" s="432" t="n"/>
    </row>
    <row r="35" ht="14.25" customHeight="1" s="296">
      <c r="A35" s="154">
        <f>IF(OR(C35="0",COUNTIF(КлючВесна,C35)&gt;1),0,MATCH(F35,ВидыНагр,0))</f>
        <v/>
      </c>
      <c r="B35" s="154">
        <f>(COUNTA(D35:F36,J35:W35,H35:I36)=0)</f>
        <v/>
      </c>
      <c r="C35" s="155">
        <f>IF(OR(TRIM(D35)="",COUNTIF(ВидыНагр,F35)&lt;&gt;1),"0",CONCATENATE("$",TRIM(D35),"$",TRIM(E35),"$",F35,"$"))</f>
        <v/>
      </c>
      <c r="D35" s="415" t="n"/>
      <c r="E35" s="416" t="n"/>
      <c r="F35" s="417" t="n"/>
      <c r="G35" s="156" t="inlineStr">
        <is>
          <t>план</t>
        </is>
      </c>
      <c r="H35" s="157" t="n"/>
      <c r="I35" s="158" t="n"/>
      <c r="J35" s="418" t="n"/>
      <c r="K35" s="419" t="n"/>
      <c r="L35" s="420" t="n"/>
      <c r="M35" s="418" t="n"/>
      <c r="N35" s="419" t="n"/>
      <c r="O35" s="420" t="n"/>
      <c r="P35" s="418" t="n"/>
      <c r="Q35" s="419" t="n"/>
      <c r="R35" s="420" t="n"/>
      <c r="S35" s="418" t="n"/>
      <c r="T35" s="419" t="n"/>
      <c r="U35" s="421" t="n"/>
      <c r="V35" s="420" t="n"/>
      <c r="W35" s="420" t="n"/>
      <c r="X35" s="422">
        <f>SUM(J35:W35)</f>
        <v/>
      </c>
      <c r="Y35" s="423">
        <f>X36-X35</f>
        <v/>
      </c>
      <c r="Z35" s="209" t="n"/>
    </row>
    <row r="36" ht="14.25" customHeight="1" s="296">
      <c r="A36" s="154">
        <f>-A35</f>
        <v/>
      </c>
      <c r="B36" s="154">
        <f>B35</f>
        <v/>
      </c>
      <c r="C36" s="163" t="n"/>
      <c r="D36" s="424" t="n"/>
      <c r="E36" s="425" t="n"/>
      <c r="F36" s="426" t="n"/>
      <c r="G36" s="164" t="inlineStr">
        <is>
          <t>факт</t>
        </is>
      </c>
      <c r="H36" s="165" t="n"/>
      <c r="I36" s="250" t="n"/>
      <c r="J36" s="427">
        <f>SUMIF('02'!$D$7:$D$159,$C35,'02'!L$7:L$159)+SUMIF('03'!$D$7:$D$159,$C35,'03'!L$7:L$159)+SUMIF('04'!$D$7:$D$159,$C35,'04'!L$7:L$159)+SUMIF('05'!$D$7:$D$159,$C35,'05'!L$7:L$159)+SUMIF('06'!$D$7:$D$159,$C35,'06'!L$7:L$159)+SUMIF('07'!$D$7:$D$159,$C35,'07'!L$7:L$159)+SUMIF('08'!$D$7:$D$159,$C35,'08'!L$7:L$159)</f>
        <v/>
      </c>
      <c r="K36" s="428">
        <f>SUMIF('02'!$D$7:$D$159,$C35,'02'!M$7:M$159)+SUMIF('03'!$D$7:$D$159,$C35,'03'!M$7:M$159)+SUMIF('04'!$D$7:$D$159,$C35,'04'!M$7:M$159)+SUMIF('05'!$D$7:$D$159,$C35,'05'!M$7:M$159)+SUMIF('06'!$D$7:$D$159,$C35,'06'!M$7:M$159)+SUMIF('07'!$D$7:$D$159,$C35,'07'!M$7:M$159)+SUMIF('08'!$D$7:$D$159,$C35,'08'!M$7:M$159)</f>
        <v/>
      </c>
      <c r="L36" s="429">
        <f>SUMIF('02'!$D$7:$D$159,$C35,'02'!N$7:N$159)+SUMIF('03'!$D$7:$D$159,$C35,'03'!N$7:N$159)+SUMIF('04'!$D$7:$D$159,$C35,'04'!N$7:N$159)+SUMIF('05'!$D$7:$D$159,$C35,'05'!N$7:N$159)+SUMIF('06'!$D$7:$D$159,$C35,'06'!N$7:N$159)+SUMIF('07'!$D$7:$D$159,$C35,'07'!N$7:N$159)+SUMIF('08'!$D$7:$D$159,$C35,'08'!N$7:N$159)</f>
        <v/>
      </c>
      <c r="M36" s="427">
        <f>SUMIF('02'!$D$7:$D$159,$C35,'02'!O$7:O$159)+SUMIF('03'!$D$7:$D$159,$C35,'03'!O$7:O$159)+SUMIF('04'!$D$7:$D$159,$C35,'04'!O$7:O$159)+SUMIF('05'!$D$7:$D$159,$C35,'05'!O$7:O$159)+SUMIF('06'!$D$7:$D$159,$C35,'06'!O$7:O$159)+SUMIF('07'!$D$7:$D$159,$C35,'07'!O$7:O$159)+SUMIF('08'!$D$7:$D$159,$C35,'08'!O$7:O$159)</f>
        <v/>
      </c>
      <c r="N36" s="428">
        <f>SUMIF('02'!$D$7:$D$159,$C35,'02'!P$7:P$159)+SUMIF('03'!$D$7:$D$159,$C35,'03'!P$7:P$159)+SUMIF('04'!$D$7:$D$159,$C35,'04'!P$7:P$159)+SUMIF('05'!$D$7:$D$159,$C35,'05'!P$7:P$159)+SUMIF('06'!$D$7:$D$159,$C35,'06'!P$7:P$159)+SUMIF('07'!$D$7:$D$159,$C35,'07'!P$7:P$159)+SUMIF('08'!$D$7:$D$159,$C35,'08'!P$7:P$159)</f>
        <v/>
      </c>
      <c r="O36" s="429">
        <f>SUMIF('02'!$D$7:$D$159,$C35,'02'!Q$7:Q$159)+SUMIF('03'!$D$7:$D$159,$C35,'03'!Q$7:Q$159)+SUMIF('04'!$D$7:$D$159,$C35,'04'!Q$7:Q$159)+SUMIF('05'!$D$7:$D$159,$C35,'05'!Q$7:Q$159)+SUMIF('06'!$D$7:$D$159,$C35,'06'!Q$7:Q$159)+SUMIF('07'!$D$7:$D$159,$C35,'07'!Q$7:Q$159)+SUMIF('08'!$D$7:$D$159,$C35,'08'!Q$7:Q$159)</f>
        <v/>
      </c>
      <c r="P36" s="427">
        <f>SUMIF('02'!$D$7:$D$159,$C35,'02'!R$7:R$159)+SUMIF('03'!$D$7:$D$159,$C35,'03'!R$7:R$159)+SUMIF('04'!$D$7:$D$159,$C35,'04'!R$7:R$159)+SUMIF('05'!$D$7:$D$159,$C35,'05'!R$7:R$159)+SUMIF('06'!$D$7:$D$159,$C35,'06'!R$7:R$159)+SUMIF('07'!$D$7:$D$159,$C35,'07'!R$7:R$159)+SUMIF('08'!$D$7:$D$159,$C35,'08'!R$7:R$159)</f>
        <v/>
      </c>
      <c r="Q36" s="428">
        <f>SUMIF('02'!$D$7:$D$159,$C35,'02'!S$7:S$159)+SUMIF('03'!$D$7:$D$159,$C35,'03'!S$7:S$159)+SUMIF('04'!$D$7:$D$159,$C35,'04'!S$7:S$159)+SUMIF('05'!$D$7:$D$159,$C35,'05'!S$7:S$159)+SUMIF('06'!$D$7:$D$159,$C35,'06'!S$7:S$159)+SUMIF('07'!$D$7:$D$159,$C35,'07'!S$7:S$159)+SUMIF('08'!$D$7:$D$159,$C35,'08'!S$7:S$159)</f>
        <v/>
      </c>
      <c r="R36" s="429">
        <f>SUMIF('02'!$D$7:$D$159,$C35,'02'!T$7:T$159)+SUMIF('03'!$D$7:$D$159,$C35,'03'!T$7:T$159)+SUMIF('04'!$D$7:$D$159,$C35,'04'!T$7:T$159)+SUMIF('05'!$D$7:$D$159,$C35,'05'!T$7:T$159)+SUMIF('06'!$D$7:$D$159,$C35,'06'!T$7:T$159)+SUMIF('07'!$D$7:$D$159,$C35,'07'!T$7:T$159)+SUMIF('08'!$D$7:$D$159,$C35,'08'!T$7:T$159)</f>
        <v/>
      </c>
      <c r="S36" s="427">
        <f>SUMIF('02'!$D$7:$D$159,$C35,'02'!U$7:U$159)+SUMIF('03'!$D$7:$D$159,$C35,'03'!U$7:U$159)+SUMIF('04'!$D$7:$D$159,$C35,'04'!U$7:U$159)+SUMIF('05'!$D$7:$D$159,$C35,'05'!U$7:U$159)+SUMIF('06'!$D$7:$D$159,$C35,'06'!U$7:U$159)+SUMIF('07'!$D$7:$D$159,$C35,'07'!U$7:U$159)+SUMIF('08'!$D$7:$D$159,$C35,'08'!U$7:U$159)</f>
        <v/>
      </c>
      <c r="T36" s="428">
        <f>SUMIF('02'!$D$7:$D$159,$C35,'02'!V$7:V$159)+SUMIF('03'!$D$7:$D$159,$C35,'03'!V$7:V$159)+SUMIF('04'!$D$7:$D$159,$C35,'04'!V$7:V$159)+SUMIF('05'!$D$7:$D$159,$C35,'05'!V$7:V$159)+SUMIF('06'!$D$7:$D$159,$C35,'06'!V$7:V$159)+SUMIF('07'!$D$7:$D$159,$C35,'07'!V$7:V$159)+SUMIF('08'!$D$7:$D$159,$C35,'08'!V$7:V$159)</f>
        <v/>
      </c>
      <c r="U36" s="430">
        <f>SUMIF('02'!$D$7:$D$159,$C35,'02'!W$7:W$159)+SUMIF('03'!$D$7:$D$159,$C35,'03'!W$7:W$159)+SUMIF('04'!$D$7:$D$159,$C35,'04'!W$7:W$159)+SUMIF('05'!$D$7:$D$159,$C35,'05'!W$7:W$159)+SUMIF('06'!$D$7:$D$159,$C35,'06'!W$7:W$159)+SUMIF('07'!$D$7:$D$159,$C35,'07'!W$7:W$159)+SUMIF('08'!$D$7:$D$159,$C35,'08'!W$7:W$159)</f>
        <v/>
      </c>
      <c r="V36" s="429">
        <f>SUMIF('02'!$D$7:$D$159,$C35,'02'!X$7:X$159)+SUMIF('03'!$D$7:$D$159,$C35,'03'!X$7:X$159)+SUMIF('04'!$D$7:$D$159,$C35,'04'!X$7:X$159)+SUMIF('05'!$D$7:$D$159,$C35,'05'!X$7:X$159)+SUMIF('06'!$D$7:$D$159,$C35,'06'!X$7:X$159)+SUMIF('07'!$D$7:$D$159,$C35,'07'!X$7:X$159)+SUMIF('08'!$D$7:$D$159,$C35,'08'!X$7:X$159)</f>
        <v/>
      </c>
      <c r="W36" s="429">
        <f>SUMIF('02'!$D$7:$D$159,$C35,'02'!Y$7:Y$159)+SUMIF('03'!$D$7:$D$159,$C35,'03'!Y$7:Y$159)+SUMIF('04'!$D$7:$D$159,$C35,'04'!Y$7:Y$159)+SUMIF('05'!$D$7:$D$159,$C35,'05'!Y$7:Y$159)+SUMIF('06'!$D$7:$D$159,$C35,'06'!Y$7:Y$159)+SUMIF('07'!$D$7:$D$159,$C35,'07'!Y$7:Y$159)+SUMIF('08'!$D$7:$D$159,$C35,'08'!Y$7:Y$159)</f>
        <v/>
      </c>
      <c r="X36" s="431">
        <f>SUM(J36:W36)</f>
        <v/>
      </c>
      <c r="Y36" s="413" t="n"/>
      <c r="Z36" s="432" t="n"/>
    </row>
    <row r="37" ht="14.25" customHeight="1" s="296">
      <c r="A37" s="154">
        <f>IF(OR(C37="0",COUNTIF(КлючВесна,C37)&gt;1),0,MATCH(F37,ВидыНагр,0))</f>
        <v/>
      </c>
      <c r="B37" s="154">
        <f>(COUNTA(D37:F38,J37:W37,H37:I38)=0)</f>
        <v/>
      </c>
      <c r="C37" s="155">
        <f>IF(OR(TRIM(D37)="",COUNTIF(ВидыНагр,F37)&lt;&gt;1),"0",CONCATENATE("$",TRIM(D37),"$",TRIM(E37),"$",F37,"$"))</f>
        <v/>
      </c>
      <c r="D37" s="415" t="n"/>
      <c r="E37" s="416" t="n"/>
      <c r="F37" s="417" t="n"/>
      <c r="G37" s="156" t="inlineStr">
        <is>
          <t>план</t>
        </is>
      </c>
      <c r="H37" s="157" t="n"/>
      <c r="I37" s="158" t="n"/>
      <c r="J37" s="418" t="n"/>
      <c r="K37" s="419" t="n"/>
      <c r="L37" s="420" t="n"/>
      <c r="M37" s="418" t="n"/>
      <c r="N37" s="419" t="n"/>
      <c r="O37" s="420" t="n"/>
      <c r="P37" s="418" t="n"/>
      <c r="Q37" s="419" t="n"/>
      <c r="R37" s="420" t="n"/>
      <c r="S37" s="418" t="n"/>
      <c r="T37" s="419" t="n"/>
      <c r="U37" s="421" t="n"/>
      <c r="V37" s="420" t="n"/>
      <c r="W37" s="420" t="n"/>
      <c r="X37" s="422">
        <f>SUM(J37:W37)</f>
        <v/>
      </c>
      <c r="Y37" s="423">
        <f>X38-X37</f>
        <v/>
      </c>
      <c r="Z37" s="209" t="n"/>
    </row>
    <row r="38" ht="14.25" customHeight="1" s="296">
      <c r="A38" s="154">
        <f>-A37</f>
        <v/>
      </c>
      <c r="B38" s="154">
        <f>B37</f>
        <v/>
      </c>
      <c r="C38" s="163" t="n"/>
      <c r="D38" s="424" t="n"/>
      <c r="E38" s="425" t="n"/>
      <c r="F38" s="426" t="n"/>
      <c r="G38" s="164" t="inlineStr">
        <is>
          <t>факт</t>
        </is>
      </c>
      <c r="H38" s="165" t="n"/>
      <c r="I38" s="250" t="n"/>
      <c r="J38" s="427">
        <f>SUMIF('02'!$D$7:$D$159,$C37,'02'!L$7:L$159)+SUMIF('03'!$D$7:$D$159,$C37,'03'!L$7:L$159)+SUMIF('04'!$D$7:$D$159,$C37,'04'!L$7:L$159)+SUMIF('05'!$D$7:$D$159,$C37,'05'!L$7:L$159)+SUMIF('06'!$D$7:$D$159,$C37,'06'!L$7:L$159)+SUMIF('07'!$D$7:$D$159,$C37,'07'!L$7:L$159)+SUMIF('08'!$D$7:$D$159,$C37,'08'!L$7:L$159)</f>
        <v/>
      </c>
      <c r="K38" s="428">
        <f>SUMIF('02'!$D$7:$D$159,$C37,'02'!M$7:M$159)+SUMIF('03'!$D$7:$D$159,$C37,'03'!M$7:M$159)+SUMIF('04'!$D$7:$D$159,$C37,'04'!M$7:M$159)+SUMIF('05'!$D$7:$D$159,$C37,'05'!M$7:M$159)+SUMIF('06'!$D$7:$D$159,$C37,'06'!M$7:M$159)+SUMIF('07'!$D$7:$D$159,$C37,'07'!M$7:M$159)+SUMIF('08'!$D$7:$D$159,$C37,'08'!M$7:M$159)</f>
        <v/>
      </c>
      <c r="L38" s="429">
        <f>SUMIF('02'!$D$7:$D$159,$C37,'02'!N$7:N$159)+SUMIF('03'!$D$7:$D$159,$C37,'03'!N$7:N$159)+SUMIF('04'!$D$7:$D$159,$C37,'04'!N$7:N$159)+SUMIF('05'!$D$7:$D$159,$C37,'05'!N$7:N$159)+SUMIF('06'!$D$7:$D$159,$C37,'06'!N$7:N$159)+SUMIF('07'!$D$7:$D$159,$C37,'07'!N$7:N$159)+SUMIF('08'!$D$7:$D$159,$C37,'08'!N$7:N$159)</f>
        <v/>
      </c>
      <c r="M38" s="427">
        <f>SUMIF('02'!$D$7:$D$159,$C37,'02'!O$7:O$159)+SUMIF('03'!$D$7:$D$159,$C37,'03'!O$7:O$159)+SUMIF('04'!$D$7:$D$159,$C37,'04'!O$7:O$159)+SUMIF('05'!$D$7:$D$159,$C37,'05'!O$7:O$159)+SUMIF('06'!$D$7:$D$159,$C37,'06'!O$7:O$159)+SUMIF('07'!$D$7:$D$159,$C37,'07'!O$7:O$159)+SUMIF('08'!$D$7:$D$159,$C37,'08'!O$7:O$159)</f>
        <v/>
      </c>
      <c r="N38" s="428">
        <f>SUMIF('02'!$D$7:$D$159,$C37,'02'!P$7:P$159)+SUMIF('03'!$D$7:$D$159,$C37,'03'!P$7:P$159)+SUMIF('04'!$D$7:$D$159,$C37,'04'!P$7:P$159)+SUMIF('05'!$D$7:$D$159,$C37,'05'!P$7:P$159)+SUMIF('06'!$D$7:$D$159,$C37,'06'!P$7:P$159)+SUMIF('07'!$D$7:$D$159,$C37,'07'!P$7:P$159)+SUMIF('08'!$D$7:$D$159,$C37,'08'!P$7:P$159)</f>
        <v/>
      </c>
      <c r="O38" s="429">
        <f>SUMIF('02'!$D$7:$D$159,$C37,'02'!Q$7:Q$159)+SUMIF('03'!$D$7:$D$159,$C37,'03'!Q$7:Q$159)+SUMIF('04'!$D$7:$D$159,$C37,'04'!Q$7:Q$159)+SUMIF('05'!$D$7:$D$159,$C37,'05'!Q$7:Q$159)+SUMIF('06'!$D$7:$D$159,$C37,'06'!Q$7:Q$159)+SUMIF('07'!$D$7:$D$159,$C37,'07'!Q$7:Q$159)+SUMIF('08'!$D$7:$D$159,$C37,'08'!Q$7:Q$159)</f>
        <v/>
      </c>
      <c r="P38" s="427">
        <f>SUMIF('02'!$D$7:$D$159,$C37,'02'!R$7:R$159)+SUMIF('03'!$D$7:$D$159,$C37,'03'!R$7:R$159)+SUMIF('04'!$D$7:$D$159,$C37,'04'!R$7:R$159)+SUMIF('05'!$D$7:$D$159,$C37,'05'!R$7:R$159)+SUMIF('06'!$D$7:$D$159,$C37,'06'!R$7:R$159)+SUMIF('07'!$D$7:$D$159,$C37,'07'!R$7:R$159)+SUMIF('08'!$D$7:$D$159,$C37,'08'!R$7:R$159)</f>
        <v/>
      </c>
      <c r="Q38" s="428">
        <f>SUMIF('02'!$D$7:$D$159,$C37,'02'!S$7:S$159)+SUMIF('03'!$D$7:$D$159,$C37,'03'!S$7:S$159)+SUMIF('04'!$D$7:$D$159,$C37,'04'!S$7:S$159)+SUMIF('05'!$D$7:$D$159,$C37,'05'!S$7:S$159)+SUMIF('06'!$D$7:$D$159,$C37,'06'!S$7:S$159)+SUMIF('07'!$D$7:$D$159,$C37,'07'!S$7:S$159)+SUMIF('08'!$D$7:$D$159,$C37,'08'!S$7:S$159)</f>
        <v/>
      </c>
      <c r="R38" s="429">
        <f>SUMIF('02'!$D$7:$D$159,$C37,'02'!T$7:T$159)+SUMIF('03'!$D$7:$D$159,$C37,'03'!T$7:T$159)+SUMIF('04'!$D$7:$D$159,$C37,'04'!T$7:T$159)+SUMIF('05'!$D$7:$D$159,$C37,'05'!T$7:T$159)+SUMIF('06'!$D$7:$D$159,$C37,'06'!T$7:T$159)+SUMIF('07'!$D$7:$D$159,$C37,'07'!T$7:T$159)+SUMIF('08'!$D$7:$D$159,$C37,'08'!T$7:T$159)</f>
        <v/>
      </c>
      <c r="S38" s="427">
        <f>SUMIF('02'!$D$7:$D$159,$C37,'02'!U$7:U$159)+SUMIF('03'!$D$7:$D$159,$C37,'03'!U$7:U$159)+SUMIF('04'!$D$7:$D$159,$C37,'04'!U$7:U$159)+SUMIF('05'!$D$7:$D$159,$C37,'05'!U$7:U$159)+SUMIF('06'!$D$7:$D$159,$C37,'06'!U$7:U$159)+SUMIF('07'!$D$7:$D$159,$C37,'07'!U$7:U$159)+SUMIF('08'!$D$7:$D$159,$C37,'08'!U$7:U$159)</f>
        <v/>
      </c>
      <c r="T38" s="428">
        <f>SUMIF('02'!$D$7:$D$159,$C37,'02'!V$7:V$159)+SUMIF('03'!$D$7:$D$159,$C37,'03'!V$7:V$159)+SUMIF('04'!$D$7:$D$159,$C37,'04'!V$7:V$159)+SUMIF('05'!$D$7:$D$159,$C37,'05'!V$7:V$159)+SUMIF('06'!$D$7:$D$159,$C37,'06'!V$7:V$159)+SUMIF('07'!$D$7:$D$159,$C37,'07'!V$7:V$159)+SUMIF('08'!$D$7:$D$159,$C37,'08'!V$7:V$159)</f>
        <v/>
      </c>
      <c r="U38" s="430">
        <f>SUMIF('02'!$D$7:$D$159,$C37,'02'!W$7:W$159)+SUMIF('03'!$D$7:$D$159,$C37,'03'!W$7:W$159)+SUMIF('04'!$D$7:$D$159,$C37,'04'!W$7:W$159)+SUMIF('05'!$D$7:$D$159,$C37,'05'!W$7:W$159)+SUMIF('06'!$D$7:$D$159,$C37,'06'!W$7:W$159)+SUMIF('07'!$D$7:$D$159,$C37,'07'!W$7:W$159)+SUMIF('08'!$D$7:$D$159,$C37,'08'!W$7:W$159)</f>
        <v/>
      </c>
      <c r="V38" s="429">
        <f>SUMIF('02'!$D$7:$D$159,$C37,'02'!X$7:X$159)+SUMIF('03'!$D$7:$D$159,$C37,'03'!X$7:X$159)+SUMIF('04'!$D$7:$D$159,$C37,'04'!X$7:X$159)+SUMIF('05'!$D$7:$D$159,$C37,'05'!X$7:X$159)+SUMIF('06'!$D$7:$D$159,$C37,'06'!X$7:X$159)+SUMIF('07'!$D$7:$D$159,$C37,'07'!X$7:X$159)+SUMIF('08'!$D$7:$D$159,$C37,'08'!X$7:X$159)</f>
        <v/>
      </c>
      <c r="W38" s="429">
        <f>SUMIF('02'!$D$7:$D$159,$C37,'02'!Y$7:Y$159)+SUMIF('03'!$D$7:$D$159,$C37,'03'!Y$7:Y$159)+SUMIF('04'!$D$7:$D$159,$C37,'04'!Y$7:Y$159)+SUMIF('05'!$D$7:$D$159,$C37,'05'!Y$7:Y$159)+SUMIF('06'!$D$7:$D$159,$C37,'06'!Y$7:Y$159)+SUMIF('07'!$D$7:$D$159,$C37,'07'!Y$7:Y$159)+SUMIF('08'!$D$7:$D$159,$C37,'08'!Y$7:Y$159)</f>
        <v/>
      </c>
      <c r="X38" s="431">
        <f>SUM(J38:W38)</f>
        <v/>
      </c>
      <c r="Y38" s="413" t="n"/>
      <c r="Z38" s="432" t="n"/>
    </row>
    <row r="39" ht="14.25" customHeight="1" s="296">
      <c r="A39" s="154">
        <f>IF(OR(C39="0",COUNTIF(КлючВесна,C39)&gt;1),0,MATCH(F39,ВидыНагр,0))</f>
        <v/>
      </c>
      <c r="B39" s="154">
        <f>(COUNTA(D39:F40,J39:W39,H39:I40)=0)</f>
        <v/>
      </c>
      <c r="C39" s="155">
        <f>IF(OR(TRIM(D39)="",COUNTIF(ВидыНагр,F39)&lt;&gt;1),"0",CONCATENATE("$",TRIM(D39),"$",TRIM(E39),"$",F39,"$"))</f>
        <v/>
      </c>
      <c r="D39" s="415" t="n"/>
      <c r="E39" s="416" t="n"/>
      <c r="F39" s="417" t="n"/>
      <c r="G39" s="156" t="inlineStr">
        <is>
          <t>план</t>
        </is>
      </c>
      <c r="H39" s="157" t="n"/>
      <c r="I39" s="158" t="n"/>
      <c r="J39" s="418" t="n"/>
      <c r="K39" s="419" t="n"/>
      <c r="L39" s="420" t="n"/>
      <c r="M39" s="418" t="n"/>
      <c r="N39" s="419" t="n"/>
      <c r="O39" s="420" t="n"/>
      <c r="P39" s="418" t="n"/>
      <c r="Q39" s="419" t="n"/>
      <c r="R39" s="420" t="n"/>
      <c r="S39" s="418" t="n"/>
      <c r="T39" s="419" t="n"/>
      <c r="U39" s="421" t="n"/>
      <c r="V39" s="420" t="n"/>
      <c r="W39" s="420" t="n"/>
      <c r="X39" s="422">
        <f>SUM(J39:W39)</f>
        <v/>
      </c>
      <c r="Y39" s="423">
        <f>X40-X39</f>
        <v/>
      </c>
      <c r="Z39" s="209" t="n"/>
    </row>
    <row r="40" ht="14.25" customHeight="1" s="296">
      <c r="A40" s="154">
        <f>-A39</f>
        <v/>
      </c>
      <c r="B40" s="154">
        <f>B39</f>
        <v/>
      </c>
      <c r="C40" s="163" t="n"/>
      <c r="D40" s="424" t="n"/>
      <c r="E40" s="425" t="n"/>
      <c r="F40" s="426" t="n"/>
      <c r="G40" s="164" t="inlineStr">
        <is>
          <t>факт</t>
        </is>
      </c>
      <c r="H40" s="165" t="n"/>
      <c r="I40" s="250" t="n"/>
      <c r="J40" s="427">
        <f>SUMIF('02'!$D$7:$D$159,$C39,'02'!L$7:L$159)+SUMIF('03'!$D$7:$D$159,$C39,'03'!L$7:L$159)+SUMIF('04'!$D$7:$D$159,$C39,'04'!L$7:L$159)+SUMIF('05'!$D$7:$D$159,$C39,'05'!L$7:L$159)+SUMIF('06'!$D$7:$D$159,$C39,'06'!L$7:L$159)+SUMIF('07'!$D$7:$D$159,$C39,'07'!L$7:L$159)+SUMIF('08'!$D$7:$D$159,$C39,'08'!L$7:L$159)</f>
        <v/>
      </c>
      <c r="K40" s="428">
        <f>SUMIF('02'!$D$7:$D$159,$C39,'02'!M$7:M$159)+SUMIF('03'!$D$7:$D$159,$C39,'03'!M$7:M$159)+SUMIF('04'!$D$7:$D$159,$C39,'04'!M$7:M$159)+SUMIF('05'!$D$7:$D$159,$C39,'05'!M$7:M$159)+SUMIF('06'!$D$7:$D$159,$C39,'06'!M$7:M$159)+SUMIF('07'!$D$7:$D$159,$C39,'07'!M$7:M$159)+SUMIF('08'!$D$7:$D$159,$C39,'08'!M$7:M$159)</f>
        <v/>
      </c>
      <c r="L40" s="429">
        <f>SUMIF('02'!$D$7:$D$159,$C39,'02'!N$7:N$159)+SUMIF('03'!$D$7:$D$159,$C39,'03'!N$7:N$159)+SUMIF('04'!$D$7:$D$159,$C39,'04'!N$7:N$159)+SUMIF('05'!$D$7:$D$159,$C39,'05'!N$7:N$159)+SUMIF('06'!$D$7:$D$159,$C39,'06'!N$7:N$159)+SUMIF('07'!$D$7:$D$159,$C39,'07'!N$7:N$159)+SUMIF('08'!$D$7:$D$159,$C39,'08'!N$7:N$159)</f>
        <v/>
      </c>
      <c r="M40" s="427">
        <f>SUMIF('02'!$D$7:$D$159,$C39,'02'!O$7:O$159)+SUMIF('03'!$D$7:$D$159,$C39,'03'!O$7:O$159)+SUMIF('04'!$D$7:$D$159,$C39,'04'!O$7:O$159)+SUMIF('05'!$D$7:$D$159,$C39,'05'!O$7:O$159)+SUMIF('06'!$D$7:$D$159,$C39,'06'!O$7:O$159)+SUMIF('07'!$D$7:$D$159,$C39,'07'!O$7:O$159)+SUMIF('08'!$D$7:$D$159,$C39,'08'!O$7:O$159)</f>
        <v/>
      </c>
      <c r="N40" s="428">
        <f>SUMIF('02'!$D$7:$D$159,$C39,'02'!P$7:P$159)+SUMIF('03'!$D$7:$D$159,$C39,'03'!P$7:P$159)+SUMIF('04'!$D$7:$D$159,$C39,'04'!P$7:P$159)+SUMIF('05'!$D$7:$D$159,$C39,'05'!P$7:P$159)+SUMIF('06'!$D$7:$D$159,$C39,'06'!P$7:P$159)+SUMIF('07'!$D$7:$D$159,$C39,'07'!P$7:P$159)+SUMIF('08'!$D$7:$D$159,$C39,'08'!P$7:P$159)</f>
        <v/>
      </c>
      <c r="O40" s="429">
        <f>SUMIF('02'!$D$7:$D$159,$C39,'02'!Q$7:Q$159)+SUMIF('03'!$D$7:$D$159,$C39,'03'!Q$7:Q$159)+SUMIF('04'!$D$7:$D$159,$C39,'04'!Q$7:Q$159)+SUMIF('05'!$D$7:$D$159,$C39,'05'!Q$7:Q$159)+SUMIF('06'!$D$7:$D$159,$C39,'06'!Q$7:Q$159)+SUMIF('07'!$D$7:$D$159,$C39,'07'!Q$7:Q$159)+SUMIF('08'!$D$7:$D$159,$C39,'08'!Q$7:Q$159)</f>
        <v/>
      </c>
      <c r="P40" s="427">
        <f>SUMIF('02'!$D$7:$D$159,$C39,'02'!R$7:R$159)+SUMIF('03'!$D$7:$D$159,$C39,'03'!R$7:R$159)+SUMIF('04'!$D$7:$D$159,$C39,'04'!R$7:R$159)+SUMIF('05'!$D$7:$D$159,$C39,'05'!R$7:R$159)+SUMIF('06'!$D$7:$D$159,$C39,'06'!R$7:R$159)+SUMIF('07'!$D$7:$D$159,$C39,'07'!R$7:R$159)+SUMIF('08'!$D$7:$D$159,$C39,'08'!R$7:R$159)</f>
        <v/>
      </c>
      <c r="Q40" s="428">
        <f>SUMIF('02'!$D$7:$D$159,$C39,'02'!S$7:S$159)+SUMIF('03'!$D$7:$D$159,$C39,'03'!S$7:S$159)+SUMIF('04'!$D$7:$D$159,$C39,'04'!S$7:S$159)+SUMIF('05'!$D$7:$D$159,$C39,'05'!S$7:S$159)+SUMIF('06'!$D$7:$D$159,$C39,'06'!S$7:S$159)+SUMIF('07'!$D$7:$D$159,$C39,'07'!S$7:S$159)+SUMIF('08'!$D$7:$D$159,$C39,'08'!S$7:S$159)</f>
        <v/>
      </c>
      <c r="R40" s="429">
        <f>SUMIF('02'!$D$7:$D$159,$C39,'02'!T$7:T$159)+SUMIF('03'!$D$7:$D$159,$C39,'03'!T$7:T$159)+SUMIF('04'!$D$7:$D$159,$C39,'04'!T$7:T$159)+SUMIF('05'!$D$7:$D$159,$C39,'05'!T$7:T$159)+SUMIF('06'!$D$7:$D$159,$C39,'06'!T$7:T$159)+SUMIF('07'!$D$7:$D$159,$C39,'07'!T$7:T$159)+SUMIF('08'!$D$7:$D$159,$C39,'08'!T$7:T$159)</f>
        <v/>
      </c>
      <c r="S40" s="427">
        <f>SUMIF('02'!$D$7:$D$159,$C39,'02'!U$7:U$159)+SUMIF('03'!$D$7:$D$159,$C39,'03'!U$7:U$159)+SUMIF('04'!$D$7:$D$159,$C39,'04'!U$7:U$159)+SUMIF('05'!$D$7:$D$159,$C39,'05'!U$7:U$159)+SUMIF('06'!$D$7:$D$159,$C39,'06'!U$7:U$159)+SUMIF('07'!$D$7:$D$159,$C39,'07'!U$7:U$159)+SUMIF('08'!$D$7:$D$159,$C39,'08'!U$7:U$159)</f>
        <v/>
      </c>
      <c r="T40" s="428">
        <f>SUMIF('02'!$D$7:$D$159,$C39,'02'!V$7:V$159)+SUMIF('03'!$D$7:$D$159,$C39,'03'!V$7:V$159)+SUMIF('04'!$D$7:$D$159,$C39,'04'!V$7:V$159)+SUMIF('05'!$D$7:$D$159,$C39,'05'!V$7:V$159)+SUMIF('06'!$D$7:$D$159,$C39,'06'!V$7:V$159)+SUMIF('07'!$D$7:$D$159,$C39,'07'!V$7:V$159)+SUMIF('08'!$D$7:$D$159,$C39,'08'!V$7:V$159)</f>
        <v/>
      </c>
      <c r="U40" s="430">
        <f>SUMIF('02'!$D$7:$D$159,$C39,'02'!W$7:W$159)+SUMIF('03'!$D$7:$D$159,$C39,'03'!W$7:W$159)+SUMIF('04'!$D$7:$D$159,$C39,'04'!W$7:W$159)+SUMIF('05'!$D$7:$D$159,$C39,'05'!W$7:W$159)+SUMIF('06'!$D$7:$D$159,$C39,'06'!W$7:W$159)+SUMIF('07'!$D$7:$D$159,$C39,'07'!W$7:W$159)+SUMIF('08'!$D$7:$D$159,$C39,'08'!W$7:W$159)</f>
        <v/>
      </c>
      <c r="V40" s="429">
        <f>SUMIF('02'!$D$7:$D$159,$C39,'02'!X$7:X$159)+SUMIF('03'!$D$7:$D$159,$C39,'03'!X$7:X$159)+SUMIF('04'!$D$7:$D$159,$C39,'04'!X$7:X$159)+SUMIF('05'!$D$7:$D$159,$C39,'05'!X$7:X$159)+SUMIF('06'!$D$7:$D$159,$C39,'06'!X$7:X$159)+SUMIF('07'!$D$7:$D$159,$C39,'07'!X$7:X$159)+SUMIF('08'!$D$7:$D$159,$C39,'08'!X$7:X$159)</f>
        <v/>
      </c>
      <c r="W40" s="429">
        <f>SUMIF('02'!$D$7:$D$159,$C39,'02'!Y$7:Y$159)+SUMIF('03'!$D$7:$D$159,$C39,'03'!Y$7:Y$159)+SUMIF('04'!$D$7:$D$159,$C39,'04'!Y$7:Y$159)+SUMIF('05'!$D$7:$D$159,$C39,'05'!Y$7:Y$159)+SUMIF('06'!$D$7:$D$159,$C39,'06'!Y$7:Y$159)+SUMIF('07'!$D$7:$D$159,$C39,'07'!Y$7:Y$159)+SUMIF('08'!$D$7:$D$159,$C39,'08'!Y$7:Y$159)</f>
        <v/>
      </c>
      <c r="X40" s="431">
        <f>SUM(J40:W40)</f>
        <v/>
      </c>
      <c r="Y40" s="413" t="n"/>
      <c r="Z40" s="432" t="n"/>
    </row>
    <row r="41" ht="14.25" customHeight="1" s="296">
      <c r="A41" s="154">
        <f>IF(OR(C41="0",COUNTIF(КлючВесна,C41)&gt;1),0,MATCH(F41,ВидыНагр,0))</f>
        <v/>
      </c>
      <c r="B41" s="154">
        <f>(COUNTA(D41:F42,J41:W41,H41:I42)=0)</f>
        <v/>
      </c>
      <c r="C41" s="155">
        <f>IF(OR(TRIM(D41)="",COUNTIF(ВидыНагр,F41)&lt;&gt;1),"0",CONCATENATE("$",TRIM(D41),"$",TRIM(E41),"$",F41,"$"))</f>
        <v/>
      </c>
      <c r="D41" s="415" t="n"/>
      <c r="E41" s="416" t="n"/>
      <c r="F41" s="417" t="n"/>
      <c r="G41" s="156" t="inlineStr">
        <is>
          <t>план</t>
        </is>
      </c>
      <c r="H41" s="157" t="n"/>
      <c r="I41" s="158" t="n"/>
      <c r="J41" s="418" t="n"/>
      <c r="K41" s="419" t="n"/>
      <c r="L41" s="420" t="n"/>
      <c r="M41" s="418" t="n"/>
      <c r="N41" s="419" t="n"/>
      <c r="O41" s="420" t="n"/>
      <c r="P41" s="418" t="n"/>
      <c r="Q41" s="419" t="n"/>
      <c r="R41" s="420" t="n"/>
      <c r="S41" s="418" t="n"/>
      <c r="T41" s="419" t="n"/>
      <c r="U41" s="421" t="n"/>
      <c r="V41" s="420" t="n"/>
      <c r="W41" s="420" t="n"/>
      <c r="X41" s="422">
        <f>SUM(J41:W41)</f>
        <v/>
      </c>
      <c r="Y41" s="423">
        <f>X42-X41</f>
        <v/>
      </c>
      <c r="Z41" s="209" t="n"/>
    </row>
    <row r="42" ht="14.25" customHeight="1" s="296">
      <c r="A42" s="154">
        <f>-A41</f>
        <v/>
      </c>
      <c r="B42" s="154">
        <f>B41</f>
        <v/>
      </c>
      <c r="C42" s="163" t="n"/>
      <c r="D42" s="424" t="n"/>
      <c r="E42" s="425" t="n"/>
      <c r="F42" s="426" t="n"/>
      <c r="G42" s="164" t="inlineStr">
        <is>
          <t>факт</t>
        </is>
      </c>
      <c r="H42" s="165" t="n"/>
      <c r="I42" s="250" t="n"/>
      <c r="J42" s="427">
        <f>SUMIF('02'!$D$7:$D$159,$C41,'02'!L$7:L$159)+SUMIF('03'!$D$7:$D$159,$C41,'03'!L$7:L$159)+SUMIF('04'!$D$7:$D$159,$C41,'04'!L$7:L$159)+SUMIF('05'!$D$7:$D$159,$C41,'05'!L$7:L$159)+SUMIF('06'!$D$7:$D$159,$C41,'06'!L$7:L$159)+SUMIF('07'!$D$7:$D$159,$C41,'07'!L$7:L$159)+SUMIF('08'!$D$7:$D$159,$C41,'08'!L$7:L$159)</f>
        <v/>
      </c>
      <c r="K42" s="428">
        <f>SUMIF('02'!$D$7:$D$159,$C41,'02'!M$7:M$159)+SUMIF('03'!$D$7:$D$159,$C41,'03'!M$7:M$159)+SUMIF('04'!$D$7:$D$159,$C41,'04'!M$7:M$159)+SUMIF('05'!$D$7:$D$159,$C41,'05'!M$7:M$159)+SUMIF('06'!$D$7:$D$159,$C41,'06'!M$7:M$159)+SUMIF('07'!$D$7:$D$159,$C41,'07'!M$7:M$159)+SUMIF('08'!$D$7:$D$159,$C41,'08'!M$7:M$159)</f>
        <v/>
      </c>
      <c r="L42" s="429">
        <f>SUMIF('02'!$D$7:$D$159,$C41,'02'!N$7:N$159)+SUMIF('03'!$D$7:$D$159,$C41,'03'!N$7:N$159)+SUMIF('04'!$D$7:$D$159,$C41,'04'!N$7:N$159)+SUMIF('05'!$D$7:$D$159,$C41,'05'!N$7:N$159)+SUMIF('06'!$D$7:$D$159,$C41,'06'!N$7:N$159)+SUMIF('07'!$D$7:$D$159,$C41,'07'!N$7:N$159)+SUMIF('08'!$D$7:$D$159,$C41,'08'!N$7:N$159)</f>
        <v/>
      </c>
      <c r="M42" s="427">
        <f>SUMIF('02'!$D$7:$D$159,$C41,'02'!O$7:O$159)+SUMIF('03'!$D$7:$D$159,$C41,'03'!O$7:O$159)+SUMIF('04'!$D$7:$D$159,$C41,'04'!O$7:O$159)+SUMIF('05'!$D$7:$D$159,$C41,'05'!O$7:O$159)+SUMIF('06'!$D$7:$D$159,$C41,'06'!O$7:O$159)+SUMIF('07'!$D$7:$D$159,$C41,'07'!O$7:O$159)+SUMIF('08'!$D$7:$D$159,$C41,'08'!O$7:O$159)</f>
        <v/>
      </c>
      <c r="N42" s="428">
        <f>SUMIF('02'!$D$7:$D$159,$C41,'02'!P$7:P$159)+SUMIF('03'!$D$7:$D$159,$C41,'03'!P$7:P$159)+SUMIF('04'!$D$7:$D$159,$C41,'04'!P$7:P$159)+SUMIF('05'!$D$7:$D$159,$C41,'05'!P$7:P$159)+SUMIF('06'!$D$7:$D$159,$C41,'06'!P$7:P$159)+SUMIF('07'!$D$7:$D$159,$C41,'07'!P$7:P$159)+SUMIF('08'!$D$7:$D$159,$C41,'08'!P$7:P$159)</f>
        <v/>
      </c>
      <c r="O42" s="429">
        <f>SUMIF('02'!$D$7:$D$159,$C41,'02'!Q$7:Q$159)+SUMIF('03'!$D$7:$D$159,$C41,'03'!Q$7:Q$159)+SUMIF('04'!$D$7:$D$159,$C41,'04'!Q$7:Q$159)+SUMIF('05'!$D$7:$D$159,$C41,'05'!Q$7:Q$159)+SUMIF('06'!$D$7:$D$159,$C41,'06'!Q$7:Q$159)+SUMIF('07'!$D$7:$D$159,$C41,'07'!Q$7:Q$159)+SUMIF('08'!$D$7:$D$159,$C41,'08'!Q$7:Q$159)</f>
        <v/>
      </c>
      <c r="P42" s="427">
        <f>SUMIF('02'!$D$7:$D$159,$C41,'02'!R$7:R$159)+SUMIF('03'!$D$7:$D$159,$C41,'03'!R$7:R$159)+SUMIF('04'!$D$7:$D$159,$C41,'04'!R$7:R$159)+SUMIF('05'!$D$7:$D$159,$C41,'05'!R$7:R$159)+SUMIF('06'!$D$7:$D$159,$C41,'06'!R$7:R$159)+SUMIF('07'!$D$7:$D$159,$C41,'07'!R$7:R$159)+SUMIF('08'!$D$7:$D$159,$C41,'08'!R$7:R$159)</f>
        <v/>
      </c>
      <c r="Q42" s="428">
        <f>SUMIF('02'!$D$7:$D$159,$C41,'02'!S$7:S$159)+SUMIF('03'!$D$7:$D$159,$C41,'03'!S$7:S$159)+SUMIF('04'!$D$7:$D$159,$C41,'04'!S$7:S$159)+SUMIF('05'!$D$7:$D$159,$C41,'05'!S$7:S$159)+SUMIF('06'!$D$7:$D$159,$C41,'06'!S$7:S$159)+SUMIF('07'!$D$7:$D$159,$C41,'07'!S$7:S$159)+SUMIF('08'!$D$7:$D$159,$C41,'08'!S$7:S$159)</f>
        <v/>
      </c>
      <c r="R42" s="429">
        <f>SUMIF('02'!$D$7:$D$159,$C41,'02'!T$7:T$159)+SUMIF('03'!$D$7:$D$159,$C41,'03'!T$7:T$159)+SUMIF('04'!$D$7:$D$159,$C41,'04'!T$7:T$159)+SUMIF('05'!$D$7:$D$159,$C41,'05'!T$7:T$159)+SUMIF('06'!$D$7:$D$159,$C41,'06'!T$7:T$159)+SUMIF('07'!$D$7:$D$159,$C41,'07'!T$7:T$159)+SUMIF('08'!$D$7:$D$159,$C41,'08'!T$7:T$159)</f>
        <v/>
      </c>
      <c r="S42" s="427">
        <f>SUMIF('02'!$D$7:$D$159,$C41,'02'!U$7:U$159)+SUMIF('03'!$D$7:$D$159,$C41,'03'!U$7:U$159)+SUMIF('04'!$D$7:$D$159,$C41,'04'!U$7:U$159)+SUMIF('05'!$D$7:$D$159,$C41,'05'!U$7:U$159)+SUMIF('06'!$D$7:$D$159,$C41,'06'!U$7:U$159)+SUMIF('07'!$D$7:$D$159,$C41,'07'!U$7:U$159)+SUMIF('08'!$D$7:$D$159,$C41,'08'!U$7:U$159)</f>
        <v/>
      </c>
      <c r="T42" s="428">
        <f>SUMIF('02'!$D$7:$D$159,$C41,'02'!V$7:V$159)+SUMIF('03'!$D$7:$D$159,$C41,'03'!V$7:V$159)+SUMIF('04'!$D$7:$D$159,$C41,'04'!V$7:V$159)+SUMIF('05'!$D$7:$D$159,$C41,'05'!V$7:V$159)+SUMIF('06'!$D$7:$D$159,$C41,'06'!V$7:V$159)+SUMIF('07'!$D$7:$D$159,$C41,'07'!V$7:V$159)+SUMIF('08'!$D$7:$D$159,$C41,'08'!V$7:V$159)</f>
        <v/>
      </c>
      <c r="U42" s="430">
        <f>SUMIF('02'!$D$7:$D$159,$C41,'02'!W$7:W$159)+SUMIF('03'!$D$7:$D$159,$C41,'03'!W$7:W$159)+SUMIF('04'!$D$7:$D$159,$C41,'04'!W$7:W$159)+SUMIF('05'!$D$7:$D$159,$C41,'05'!W$7:W$159)+SUMIF('06'!$D$7:$D$159,$C41,'06'!W$7:W$159)+SUMIF('07'!$D$7:$D$159,$C41,'07'!W$7:W$159)+SUMIF('08'!$D$7:$D$159,$C41,'08'!W$7:W$159)</f>
        <v/>
      </c>
      <c r="V42" s="429">
        <f>SUMIF('02'!$D$7:$D$159,$C41,'02'!X$7:X$159)+SUMIF('03'!$D$7:$D$159,$C41,'03'!X$7:X$159)+SUMIF('04'!$D$7:$D$159,$C41,'04'!X$7:X$159)+SUMIF('05'!$D$7:$D$159,$C41,'05'!X$7:X$159)+SUMIF('06'!$D$7:$D$159,$C41,'06'!X$7:X$159)+SUMIF('07'!$D$7:$D$159,$C41,'07'!X$7:X$159)+SUMIF('08'!$D$7:$D$159,$C41,'08'!X$7:X$159)</f>
        <v/>
      </c>
      <c r="W42" s="429">
        <f>SUMIF('02'!$D$7:$D$159,$C41,'02'!Y$7:Y$159)+SUMIF('03'!$D$7:$D$159,$C41,'03'!Y$7:Y$159)+SUMIF('04'!$D$7:$D$159,$C41,'04'!Y$7:Y$159)+SUMIF('05'!$D$7:$D$159,$C41,'05'!Y$7:Y$159)+SUMIF('06'!$D$7:$D$159,$C41,'06'!Y$7:Y$159)+SUMIF('07'!$D$7:$D$159,$C41,'07'!Y$7:Y$159)+SUMIF('08'!$D$7:$D$159,$C41,'08'!Y$7:Y$159)</f>
        <v/>
      </c>
      <c r="X42" s="431">
        <f>SUM(J42:W42)</f>
        <v/>
      </c>
      <c r="Y42" s="413" t="n"/>
      <c r="Z42" s="432" t="n"/>
    </row>
    <row r="43" ht="14.25" customHeight="1" s="296">
      <c r="A43" s="154">
        <f>IF(OR(C43="0",COUNTIF(КлючВесна,C43)&gt;1),0,MATCH(F43,ВидыНагр,0))</f>
        <v/>
      </c>
      <c r="B43" s="154">
        <f>(COUNTA(D43:F44,J43:W43,H43:I44)=0)</f>
        <v/>
      </c>
      <c r="C43" s="155">
        <f>IF(OR(TRIM(D43)="",COUNTIF(ВидыНагр,F43)&lt;&gt;1),"0",CONCATENATE("$",TRIM(D43),"$",TRIM(E43),"$",F43,"$"))</f>
        <v/>
      </c>
      <c r="D43" s="415" t="n"/>
      <c r="E43" s="416" t="n"/>
      <c r="F43" s="417" t="n"/>
      <c r="G43" s="156" t="inlineStr">
        <is>
          <t>план</t>
        </is>
      </c>
      <c r="H43" s="157" t="n"/>
      <c r="I43" s="158" t="n"/>
      <c r="J43" s="418" t="n"/>
      <c r="K43" s="419" t="n"/>
      <c r="L43" s="420" t="n"/>
      <c r="M43" s="418" t="n"/>
      <c r="N43" s="419" t="n"/>
      <c r="O43" s="420" t="n"/>
      <c r="P43" s="418" t="n"/>
      <c r="Q43" s="419" t="n"/>
      <c r="R43" s="420" t="n"/>
      <c r="S43" s="418" t="n"/>
      <c r="T43" s="419" t="n"/>
      <c r="U43" s="421" t="n"/>
      <c r="V43" s="420" t="n"/>
      <c r="W43" s="420" t="n"/>
      <c r="X43" s="422">
        <f>SUM(J43:W43)</f>
        <v/>
      </c>
      <c r="Y43" s="423">
        <f>X44-X43</f>
        <v/>
      </c>
      <c r="Z43" s="209" t="n"/>
    </row>
    <row r="44" ht="14.25" customHeight="1" s="296">
      <c r="A44" s="154">
        <f>-A43</f>
        <v/>
      </c>
      <c r="B44" s="154">
        <f>B43</f>
        <v/>
      </c>
      <c r="C44" s="163" t="n"/>
      <c r="D44" s="424" t="n"/>
      <c r="E44" s="425" t="n"/>
      <c r="F44" s="426" t="n"/>
      <c r="G44" s="164" t="inlineStr">
        <is>
          <t>факт</t>
        </is>
      </c>
      <c r="H44" s="165" t="n"/>
      <c r="I44" s="250" t="n"/>
      <c r="J44" s="427">
        <f>SUMIF('02'!$D$7:$D$159,$C43,'02'!L$7:L$159)+SUMIF('03'!$D$7:$D$159,$C43,'03'!L$7:L$159)+SUMIF('04'!$D$7:$D$159,$C43,'04'!L$7:L$159)+SUMIF('05'!$D$7:$D$159,$C43,'05'!L$7:L$159)+SUMIF('06'!$D$7:$D$159,$C43,'06'!L$7:L$159)+SUMIF('07'!$D$7:$D$159,$C43,'07'!L$7:L$159)+SUMIF('08'!$D$7:$D$159,$C43,'08'!L$7:L$159)</f>
        <v/>
      </c>
      <c r="K44" s="428">
        <f>SUMIF('02'!$D$7:$D$159,$C43,'02'!M$7:M$159)+SUMIF('03'!$D$7:$D$159,$C43,'03'!M$7:M$159)+SUMIF('04'!$D$7:$D$159,$C43,'04'!M$7:M$159)+SUMIF('05'!$D$7:$D$159,$C43,'05'!M$7:M$159)+SUMIF('06'!$D$7:$D$159,$C43,'06'!M$7:M$159)+SUMIF('07'!$D$7:$D$159,$C43,'07'!M$7:M$159)+SUMIF('08'!$D$7:$D$159,$C43,'08'!M$7:M$159)</f>
        <v/>
      </c>
      <c r="L44" s="429">
        <f>SUMIF('02'!$D$7:$D$159,$C43,'02'!N$7:N$159)+SUMIF('03'!$D$7:$D$159,$C43,'03'!N$7:N$159)+SUMIF('04'!$D$7:$D$159,$C43,'04'!N$7:N$159)+SUMIF('05'!$D$7:$D$159,$C43,'05'!N$7:N$159)+SUMIF('06'!$D$7:$D$159,$C43,'06'!N$7:N$159)+SUMIF('07'!$D$7:$D$159,$C43,'07'!N$7:N$159)+SUMIF('08'!$D$7:$D$159,$C43,'08'!N$7:N$159)</f>
        <v/>
      </c>
      <c r="M44" s="427">
        <f>SUMIF('02'!$D$7:$D$159,$C43,'02'!O$7:O$159)+SUMIF('03'!$D$7:$D$159,$C43,'03'!O$7:O$159)+SUMIF('04'!$D$7:$D$159,$C43,'04'!O$7:O$159)+SUMIF('05'!$D$7:$D$159,$C43,'05'!O$7:O$159)+SUMIF('06'!$D$7:$D$159,$C43,'06'!O$7:O$159)+SUMIF('07'!$D$7:$D$159,$C43,'07'!O$7:O$159)+SUMIF('08'!$D$7:$D$159,$C43,'08'!O$7:O$159)</f>
        <v/>
      </c>
      <c r="N44" s="428">
        <f>SUMIF('02'!$D$7:$D$159,$C43,'02'!P$7:P$159)+SUMIF('03'!$D$7:$D$159,$C43,'03'!P$7:P$159)+SUMIF('04'!$D$7:$D$159,$C43,'04'!P$7:P$159)+SUMIF('05'!$D$7:$D$159,$C43,'05'!P$7:P$159)+SUMIF('06'!$D$7:$D$159,$C43,'06'!P$7:P$159)+SUMIF('07'!$D$7:$D$159,$C43,'07'!P$7:P$159)+SUMIF('08'!$D$7:$D$159,$C43,'08'!P$7:P$159)</f>
        <v/>
      </c>
      <c r="O44" s="429">
        <f>SUMIF('02'!$D$7:$D$159,$C43,'02'!Q$7:Q$159)+SUMIF('03'!$D$7:$D$159,$C43,'03'!Q$7:Q$159)+SUMIF('04'!$D$7:$D$159,$C43,'04'!Q$7:Q$159)+SUMIF('05'!$D$7:$D$159,$C43,'05'!Q$7:Q$159)+SUMIF('06'!$D$7:$D$159,$C43,'06'!Q$7:Q$159)+SUMIF('07'!$D$7:$D$159,$C43,'07'!Q$7:Q$159)+SUMIF('08'!$D$7:$D$159,$C43,'08'!Q$7:Q$159)</f>
        <v/>
      </c>
      <c r="P44" s="427">
        <f>SUMIF('02'!$D$7:$D$159,$C43,'02'!R$7:R$159)+SUMIF('03'!$D$7:$D$159,$C43,'03'!R$7:R$159)+SUMIF('04'!$D$7:$D$159,$C43,'04'!R$7:R$159)+SUMIF('05'!$D$7:$D$159,$C43,'05'!R$7:R$159)+SUMIF('06'!$D$7:$D$159,$C43,'06'!R$7:R$159)+SUMIF('07'!$D$7:$D$159,$C43,'07'!R$7:R$159)+SUMIF('08'!$D$7:$D$159,$C43,'08'!R$7:R$159)</f>
        <v/>
      </c>
      <c r="Q44" s="428">
        <f>SUMIF('02'!$D$7:$D$159,$C43,'02'!S$7:S$159)+SUMIF('03'!$D$7:$D$159,$C43,'03'!S$7:S$159)+SUMIF('04'!$D$7:$D$159,$C43,'04'!S$7:S$159)+SUMIF('05'!$D$7:$D$159,$C43,'05'!S$7:S$159)+SUMIF('06'!$D$7:$D$159,$C43,'06'!S$7:S$159)+SUMIF('07'!$D$7:$D$159,$C43,'07'!S$7:S$159)+SUMIF('08'!$D$7:$D$159,$C43,'08'!S$7:S$159)</f>
        <v/>
      </c>
      <c r="R44" s="429">
        <f>SUMIF('02'!$D$7:$D$159,$C43,'02'!T$7:T$159)+SUMIF('03'!$D$7:$D$159,$C43,'03'!T$7:T$159)+SUMIF('04'!$D$7:$D$159,$C43,'04'!T$7:T$159)+SUMIF('05'!$D$7:$D$159,$C43,'05'!T$7:T$159)+SUMIF('06'!$D$7:$D$159,$C43,'06'!T$7:T$159)+SUMIF('07'!$D$7:$D$159,$C43,'07'!T$7:T$159)+SUMIF('08'!$D$7:$D$159,$C43,'08'!T$7:T$159)</f>
        <v/>
      </c>
      <c r="S44" s="427">
        <f>SUMIF('02'!$D$7:$D$159,$C43,'02'!U$7:U$159)+SUMIF('03'!$D$7:$D$159,$C43,'03'!U$7:U$159)+SUMIF('04'!$D$7:$D$159,$C43,'04'!U$7:U$159)+SUMIF('05'!$D$7:$D$159,$C43,'05'!U$7:U$159)+SUMIF('06'!$D$7:$D$159,$C43,'06'!U$7:U$159)+SUMIF('07'!$D$7:$D$159,$C43,'07'!U$7:U$159)+SUMIF('08'!$D$7:$D$159,$C43,'08'!U$7:U$159)</f>
        <v/>
      </c>
      <c r="T44" s="428">
        <f>SUMIF('02'!$D$7:$D$159,$C43,'02'!V$7:V$159)+SUMIF('03'!$D$7:$D$159,$C43,'03'!V$7:V$159)+SUMIF('04'!$D$7:$D$159,$C43,'04'!V$7:V$159)+SUMIF('05'!$D$7:$D$159,$C43,'05'!V$7:V$159)+SUMIF('06'!$D$7:$D$159,$C43,'06'!V$7:V$159)+SUMIF('07'!$D$7:$D$159,$C43,'07'!V$7:V$159)+SUMIF('08'!$D$7:$D$159,$C43,'08'!V$7:V$159)</f>
        <v/>
      </c>
      <c r="U44" s="430">
        <f>SUMIF('02'!$D$7:$D$159,$C43,'02'!W$7:W$159)+SUMIF('03'!$D$7:$D$159,$C43,'03'!W$7:W$159)+SUMIF('04'!$D$7:$D$159,$C43,'04'!W$7:W$159)+SUMIF('05'!$D$7:$D$159,$C43,'05'!W$7:W$159)+SUMIF('06'!$D$7:$D$159,$C43,'06'!W$7:W$159)+SUMIF('07'!$D$7:$D$159,$C43,'07'!W$7:W$159)+SUMIF('08'!$D$7:$D$159,$C43,'08'!W$7:W$159)</f>
        <v/>
      </c>
      <c r="V44" s="429">
        <f>SUMIF('02'!$D$7:$D$159,$C43,'02'!X$7:X$159)+SUMIF('03'!$D$7:$D$159,$C43,'03'!X$7:X$159)+SUMIF('04'!$D$7:$D$159,$C43,'04'!X$7:X$159)+SUMIF('05'!$D$7:$D$159,$C43,'05'!X$7:X$159)+SUMIF('06'!$D$7:$D$159,$C43,'06'!X$7:X$159)+SUMIF('07'!$D$7:$D$159,$C43,'07'!X$7:X$159)+SUMIF('08'!$D$7:$D$159,$C43,'08'!X$7:X$159)</f>
        <v/>
      </c>
      <c r="W44" s="429">
        <f>SUMIF('02'!$D$7:$D$159,$C43,'02'!Y$7:Y$159)+SUMIF('03'!$D$7:$D$159,$C43,'03'!Y$7:Y$159)+SUMIF('04'!$D$7:$D$159,$C43,'04'!Y$7:Y$159)+SUMIF('05'!$D$7:$D$159,$C43,'05'!Y$7:Y$159)+SUMIF('06'!$D$7:$D$159,$C43,'06'!Y$7:Y$159)+SUMIF('07'!$D$7:$D$159,$C43,'07'!Y$7:Y$159)+SUMIF('08'!$D$7:$D$159,$C43,'08'!Y$7:Y$159)</f>
        <v/>
      </c>
      <c r="X44" s="431">
        <f>SUM(J44:W44)</f>
        <v/>
      </c>
      <c r="Y44" s="413" t="n"/>
      <c r="Z44" s="432" t="n"/>
    </row>
    <row r="45" ht="14.25" customHeight="1" s="296">
      <c r="A45" s="154">
        <f>IF(OR(C45="0",COUNTIF(КлючВесна,C45)&gt;1),0,MATCH(F45,ВидыНагр,0))</f>
        <v/>
      </c>
      <c r="B45" s="154">
        <f>(COUNTA(D45:F46,J45:W45,H45:I46)=0)</f>
        <v/>
      </c>
      <c r="C45" s="155">
        <f>IF(OR(TRIM(D45)="",COUNTIF(ВидыНагр,F45)&lt;&gt;1),"0",CONCATENATE("$",TRIM(D45),"$",TRIM(E45),"$",F45,"$"))</f>
        <v/>
      </c>
      <c r="D45" s="415" t="n"/>
      <c r="E45" s="416" t="n"/>
      <c r="F45" s="417" t="n"/>
      <c r="G45" s="156" t="inlineStr">
        <is>
          <t>план</t>
        </is>
      </c>
      <c r="H45" s="157" t="n"/>
      <c r="I45" s="158" t="n"/>
      <c r="J45" s="418" t="n"/>
      <c r="K45" s="419" t="n"/>
      <c r="L45" s="420" t="n"/>
      <c r="M45" s="418" t="n"/>
      <c r="N45" s="419" t="n"/>
      <c r="O45" s="420" t="n"/>
      <c r="P45" s="418" t="n"/>
      <c r="Q45" s="419" t="n"/>
      <c r="R45" s="420" t="n"/>
      <c r="S45" s="418" t="n"/>
      <c r="T45" s="419" t="n"/>
      <c r="U45" s="421" t="n"/>
      <c r="V45" s="420" t="n"/>
      <c r="W45" s="420" t="n"/>
      <c r="X45" s="422">
        <f>SUM(J45:W45)</f>
        <v/>
      </c>
      <c r="Y45" s="423">
        <f>X46-X45</f>
        <v/>
      </c>
      <c r="Z45" s="209" t="n"/>
    </row>
    <row r="46" ht="14.25" customHeight="1" s="296">
      <c r="A46" s="154">
        <f>-A45</f>
        <v/>
      </c>
      <c r="B46" s="154">
        <f>B45</f>
        <v/>
      </c>
      <c r="C46" s="163" t="n"/>
      <c r="D46" s="424" t="n"/>
      <c r="E46" s="425" t="n"/>
      <c r="F46" s="426" t="n"/>
      <c r="G46" s="164" t="inlineStr">
        <is>
          <t>факт</t>
        </is>
      </c>
      <c r="H46" s="165" t="n"/>
      <c r="I46" s="250" t="n"/>
      <c r="J46" s="427">
        <f>SUMIF('02'!$D$7:$D$159,$C45,'02'!L$7:L$159)+SUMIF('03'!$D$7:$D$159,$C45,'03'!L$7:L$159)+SUMIF('04'!$D$7:$D$159,$C45,'04'!L$7:L$159)+SUMIF('05'!$D$7:$D$159,$C45,'05'!L$7:L$159)+SUMIF('06'!$D$7:$D$159,$C45,'06'!L$7:L$159)+SUMIF('07'!$D$7:$D$159,$C45,'07'!L$7:L$159)+SUMIF('08'!$D$7:$D$159,$C45,'08'!L$7:L$159)</f>
        <v/>
      </c>
      <c r="K46" s="428">
        <f>SUMIF('02'!$D$7:$D$159,$C45,'02'!M$7:M$159)+SUMIF('03'!$D$7:$D$159,$C45,'03'!M$7:M$159)+SUMIF('04'!$D$7:$D$159,$C45,'04'!M$7:M$159)+SUMIF('05'!$D$7:$D$159,$C45,'05'!M$7:M$159)+SUMIF('06'!$D$7:$D$159,$C45,'06'!M$7:M$159)+SUMIF('07'!$D$7:$D$159,$C45,'07'!M$7:M$159)+SUMIF('08'!$D$7:$D$159,$C45,'08'!M$7:M$159)</f>
        <v/>
      </c>
      <c r="L46" s="429">
        <f>SUMIF('02'!$D$7:$D$159,$C45,'02'!N$7:N$159)+SUMIF('03'!$D$7:$D$159,$C45,'03'!N$7:N$159)+SUMIF('04'!$D$7:$D$159,$C45,'04'!N$7:N$159)+SUMIF('05'!$D$7:$D$159,$C45,'05'!N$7:N$159)+SUMIF('06'!$D$7:$D$159,$C45,'06'!N$7:N$159)+SUMIF('07'!$D$7:$D$159,$C45,'07'!N$7:N$159)+SUMIF('08'!$D$7:$D$159,$C45,'08'!N$7:N$159)</f>
        <v/>
      </c>
      <c r="M46" s="427">
        <f>SUMIF('02'!$D$7:$D$159,$C45,'02'!O$7:O$159)+SUMIF('03'!$D$7:$D$159,$C45,'03'!O$7:O$159)+SUMIF('04'!$D$7:$D$159,$C45,'04'!O$7:O$159)+SUMIF('05'!$D$7:$D$159,$C45,'05'!O$7:O$159)+SUMIF('06'!$D$7:$D$159,$C45,'06'!O$7:O$159)+SUMIF('07'!$D$7:$D$159,$C45,'07'!O$7:O$159)+SUMIF('08'!$D$7:$D$159,$C45,'08'!O$7:O$159)</f>
        <v/>
      </c>
      <c r="N46" s="428">
        <f>SUMIF('02'!$D$7:$D$159,$C45,'02'!P$7:P$159)+SUMIF('03'!$D$7:$D$159,$C45,'03'!P$7:P$159)+SUMIF('04'!$D$7:$D$159,$C45,'04'!P$7:P$159)+SUMIF('05'!$D$7:$D$159,$C45,'05'!P$7:P$159)+SUMIF('06'!$D$7:$D$159,$C45,'06'!P$7:P$159)+SUMIF('07'!$D$7:$D$159,$C45,'07'!P$7:P$159)+SUMIF('08'!$D$7:$D$159,$C45,'08'!P$7:P$159)</f>
        <v/>
      </c>
      <c r="O46" s="429">
        <f>SUMIF('02'!$D$7:$D$159,$C45,'02'!Q$7:Q$159)+SUMIF('03'!$D$7:$D$159,$C45,'03'!Q$7:Q$159)+SUMIF('04'!$D$7:$D$159,$C45,'04'!Q$7:Q$159)+SUMIF('05'!$D$7:$D$159,$C45,'05'!Q$7:Q$159)+SUMIF('06'!$D$7:$D$159,$C45,'06'!Q$7:Q$159)+SUMIF('07'!$D$7:$D$159,$C45,'07'!Q$7:Q$159)+SUMIF('08'!$D$7:$D$159,$C45,'08'!Q$7:Q$159)</f>
        <v/>
      </c>
      <c r="P46" s="427">
        <f>SUMIF('02'!$D$7:$D$159,$C45,'02'!R$7:R$159)+SUMIF('03'!$D$7:$D$159,$C45,'03'!R$7:R$159)+SUMIF('04'!$D$7:$D$159,$C45,'04'!R$7:R$159)+SUMIF('05'!$D$7:$D$159,$C45,'05'!R$7:R$159)+SUMIF('06'!$D$7:$D$159,$C45,'06'!R$7:R$159)+SUMIF('07'!$D$7:$D$159,$C45,'07'!R$7:R$159)+SUMIF('08'!$D$7:$D$159,$C45,'08'!R$7:R$159)</f>
        <v/>
      </c>
      <c r="Q46" s="428">
        <f>SUMIF('02'!$D$7:$D$159,$C45,'02'!S$7:S$159)+SUMIF('03'!$D$7:$D$159,$C45,'03'!S$7:S$159)+SUMIF('04'!$D$7:$D$159,$C45,'04'!S$7:S$159)+SUMIF('05'!$D$7:$D$159,$C45,'05'!S$7:S$159)+SUMIF('06'!$D$7:$D$159,$C45,'06'!S$7:S$159)+SUMIF('07'!$D$7:$D$159,$C45,'07'!S$7:S$159)+SUMIF('08'!$D$7:$D$159,$C45,'08'!S$7:S$159)</f>
        <v/>
      </c>
      <c r="R46" s="429">
        <f>SUMIF('02'!$D$7:$D$159,$C45,'02'!T$7:T$159)+SUMIF('03'!$D$7:$D$159,$C45,'03'!T$7:T$159)+SUMIF('04'!$D$7:$D$159,$C45,'04'!T$7:T$159)+SUMIF('05'!$D$7:$D$159,$C45,'05'!T$7:T$159)+SUMIF('06'!$D$7:$D$159,$C45,'06'!T$7:T$159)+SUMIF('07'!$D$7:$D$159,$C45,'07'!T$7:T$159)+SUMIF('08'!$D$7:$D$159,$C45,'08'!T$7:T$159)</f>
        <v/>
      </c>
      <c r="S46" s="427">
        <f>SUMIF('02'!$D$7:$D$159,$C45,'02'!U$7:U$159)+SUMIF('03'!$D$7:$D$159,$C45,'03'!U$7:U$159)+SUMIF('04'!$D$7:$D$159,$C45,'04'!U$7:U$159)+SUMIF('05'!$D$7:$D$159,$C45,'05'!U$7:U$159)+SUMIF('06'!$D$7:$D$159,$C45,'06'!U$7:U$159)+SUMIF('07'!$D$7:$D$159,$C45,'07'!U$7:U$159)+SUMIF('08'!$D$7:$D$159,$C45,'08'!U$7:U$159)</f>
        <v/>
      </c>
      <c r="T46" s="428">
        <f>SUMIF('02'!$D$7:$D$159,$C45,'02'!V$7:V$159)+SUMIF('03'!$D$7:$D$159,$C45,'03'!V$7:V$159)+SUMIF('04'!$D$7:$D$159,$C45,'04'!V$7:V$159)+SUMIF('05'!$D$7:$D$159,$C45,'05'!V$7:V$159)+SUMIF('06'!$D$7:$D$159,$C45,'06'!V$7:V$159)+SUMIF('07'!$D$7:$D$159,$C45,'07'!V$7:V$159)+SUMIF('08'!$D$7:$D$159,$C45,'08'!V$7:V$159)</f>
        <v/>
      </c>
      <c r="U46" s="430">
        <f>SUMIF('02'!$D$7:$D$159,$C45,'02'!W$7:W$159)+SUMIF('03'!$D$7:$D$159,$C45,'03'!W$7:W$159)+SUMIF('04'!$D$7:$D$159,$C45,'04'!W$7:W$159)+SUMIF('05'!$D$7:$D$159,$C45,'05'!W$7:W$159)+SUMIF('06'!$D$7:$D$159,$C45,'06'!W$7:W$159)+SUMIF('07'!$D$7:$D$159,$C45,'07'!W$7:W$159)+SUMIF('08'!$D$7:$D$159,$C45,'08'!W$7:W$159)</f>
        <v/>
      </c>
      <c r="V46" s="429">
        <f>SUMIF('02'!$D$7:$D$159,$C45,'02'!X$7:X$159)+SUMIF('03'!$D$7:$D$159,$C45,'03'!X$7:X$159)+SUMIF('04'!$D$7:$D$159,$C45,'04'!X$7:X$159)+SUMIF('05'!$D$7:$D$159,$C45,'05'!X$7:X$159)+SUMIF('06'!$D$7:$D$159,$C45,'06'!X$7:X$159)+SUMIF('07'!$D$7:$D$159,$C45,'07'!X$7:X$159)+SUMIF('08'!$D$7:$D$159,$C45,'08'!X$7:X$159)</f>
        <v/>
      </c>
      <c r="W46" s="429">
        <f>SUMIF('02'!$D$7:$D$159,$C45,'02'!Y$7:Y$159)+SUMIF('03'!$D$7:$D$159,$C45,'03'!Y$7:Y$159)+SUMIF('04'!$D$7:$D$159,$C45,'04'!Y$7:Y$159)+SUMIF('05'!$D$7:$D$159,$C45,'05'!Y$7:Y$159)+SUMIF('06'!$D$7:$D$159,$C45,'06'!Y$7:Y$159)+SUMIF('07'!$D$7:$D$159,$C45,'07'!Y$7:Y$159)+SUMIF('08'!$D$7:$D$159,$C45,'08'!Y$7:Y$159)</f>
        <v/>
      </c>
      <c r="X46" s="431">
        <f>SUM(J46:W46)</f>
        <v/>
      </c>
      <c r="Y46" s="413" t="n"/>
      <c r="Z46" s="432" t="n"/>
    </row>
    <row r="47" ht="14.25" customHeight="1" s="296">
      <c r="A47" s="154">
        <f>IF(OR(C47="0",COUNTIF(КлючВесна,C47)&gt;1),0,MATCH(F47,ВидыНагр,0))</f>
        <v/>
      </c>
      <c r="B47" s="154">
        <f>(COUNTA(D47:F48,J47:W47,H47:I48)=0)</f>
        <v/>
      </c>
      <c r="C47" s="155">
        <f>IF(OR(TRIM(D47)="",COUNTIF(ВидыНагр,F47)&lt;&gt;1),"0",CONCATENATE("$",TRIM(D47),"$",TRIM(E47),"$",F47,"$"))</f>
        <v/>
      </c>
      <c r="D47" s="415" t="n"/>
      <c r="E47" s="416" t="n"/>
      <c r="F47" s="417" t="n"/>
      <c r="G47" s="156" t="inlineStr">
        <is>
          <t>план</t>
        </is>
      </c>
      <c r="H47" s="157" t="n"/>
      <c r="I47" s="158" t="n"/>
      <c r="J47" s="418" t="n"/>
      <c r="K47" s="419" t="n"/>
      <c r="L47" s="420" t="n"/>
      <c r="M47" s="418" t="n"/>
      <c r="N47" s="419" t="n"/>
      <c r="O47" s="420" t="n"/>
      <c r="P47" s="418" t="n"/>
      <c r="Q47" s="419" t="n"/>
      <c r="R47" s="420" t="n"/>
      <c r="S47" s="418" t="n"/>
      <c r="T47" s="419" t="n"/>
      <c r="U47" s="421" t="n"/>
      <c r="V47" s="420" t="n"/>
      <c r="W47" s="420" t="n"/>
      <c r="X47" s="422">
        <f>SUM(J47:W47)</f>
        <v/>
      </c>
      <c r="Y47" s="423">
        <f>X48-X47</f>
        <v/>
      </c>
      <c r="Z47" s="209" t="n"/>
    </row>
    <row r="48" ht="14.25" customHeight="1" s="296">
      <c r="A48" s="154">
        <f>-A47</f>
        <v/>
      </c>
      <c r="B48" s="154">
        <f>B47</f>
        <v/>
      </c>
      <c r="C48" s="163" t="n"/>
      <c r="D48" s="424" t="n"/>
      <c r="E48" s="425" t="n"/>
      <c r="F48" s="426" t="n"/>
      <c r="G48" s="164" t="inlineStr">
        <is>
          <t>факт</t>
        </is>
      </c>
      <c r="H48" s="165" t="n"/>
      <c r="I48" s="250" t="n"/>
      <c r="J48" s="427">
        <f>SUMIF('02'!$D$7:$D$159,$C47,'02'!L$7:L$159)+SUMIF('03'!$D$7:$D$159,$C47,'03'!L$7:L$159)+SUMIF('04'!$D$7:$D$159,$C47,'04'!L$7:L$159)+SUMIF('05'!$D$7:$D$159,$C47,'05'!L$7:L$159)+SUMIF('06'!$D$7:$D$159,$C47,'06'!L$7:L$159)+SUMIF('07'!$D$7:$D$159,$C47,'07'!L$7:L$159)+SUMIF('08'!$D$7:$D$159,$C47,'08'!L$7:L$159)</f>
        <v/>
      </c>
      <c r="K48" s="428">
        <f>SUMIF('02'!$D$7:$D$159,$C47,'02'!M$7:M$159)+SUMIF('03'!$D$7:$D$159,$C47,'03'!M$7:M$159)+SUMIF('04'!$D$7:$D$159,$C47,'04'!M$7:M$159)+SUMIF('05'!$D$7:$D$159,$C47,'05'!M$7:M$159)+SUMIF('06'!$D$7:$D$159,$C47,'06'!M$7:M$159)+SUMIF('07'!$D$7:$D$159,$C47,'07'!M$7:M$159)+SUMIF('08'!$D$7:$D$159,$C47,'08'!M$7:M$159)</f>
        <v/>
      </c>
      <c r="L48" s="429">
        <f>SUMIF('02'!$D$7:$D$159,$C47,'02'!N$7:N$159)+SUMIF('03'!$D$7:$D$159,$C47,'03'!N$7:N$159)+SUMIF('04'!$D$7:$D$159,$C47,'04'!N$7:N$159)+SUMIF('05'!$D$7:$D$159,$C47,'05'!N$7:N$159)+SUMIF('06'!$D$7:$D$159,$C47,'06'!N$7:N$159)+SUMIF('07'!$D$7:$D$159,$C47,'07'!N$7:N$159)+SUMIF('08'!$D$7:$D$159,$C47,'08'!N$7:N$159)</f>
        <v/>
      </c>
      <c r="M48" s="427">
        <f>SUMIF('02'!$D$7:$D$159,$C47,'02'!O$7:O$159)+SUMIF('03'!$D$7:$D$159,$C47,'03'!O$7:O$159)+SUMIF('04'!$D$7:$D$159,$C47,'04'!O$7:O$159)+SUMIF('05'!$D$7:$D$159,$C47,'05'!O$7:O$159)+SUMIF('06'!$D$7:$D$159,$C47,'06'!O$7:O$159)+SUMIF('07'!$D$7:$D$159,$C47,'07'!O$7:O$159)+SUMIF('08'!$D$7:$D$159,$C47,'08'!O$7:O$159)</f>
        <v/>
      </c>
      <c r="N48" s="428">
        <f>SUMIF('02'!$D$7:$D$159,$C47,'02'!P$7:P$159)+SUMIF('03'!$D$7:$D$159,$C47,'03'!P$7:P$159)+SUMIF('04'!$D$7:$D$159,$C47,'04'!P$7:P$159)+SUMIF('05'!$D$7:$D$159,$C47,'05'!P$7:P$159)+SUMIF('06'!$D$7:$D$159,$C47,'06'!P$7:P$159)+SUMIF('07'!$D$7:$D$159,$C47,'07'!P$7:P$159)+SUMIF('08'!$D$7:$D$159,$C47,'08'!P$7:P$159)</f>
        <v/>
      </c>
      <c r="O48" s="429">
        <f>SUMIF('02'!$D$7:$D$159,$C47,'02'!Q$7:Q$159)+SUMIF('03'!$D$7:$D$159,$C47,'03'!Q$7:Q$159)+SUMIF('04'!$D$7:$D$159,$C47,'04'!Q$7:Q$159)+SUMIF('05'!$D$7:$D$159,$C47,'05'!Q$7:Q$159)+SUMIF('06'!$D$7:$D$159,$C47,'06'!Q$7:Q$159)+SUMIF('07'!$D$7:$D$159,$C47,'07'!Q$7:Q$159)+SUMIF('08'!$D$7:$D$159,$C47,'08'!Q$7:Q$159)</f>
        <v/>
      </c>
      <c r="P48" s="427">
        <f>SUMIF('02'!$D$7:$D$159,$C47,'02'!R$7:R$159)+SUMIF('03'!$D$7:$D$159,$C47,'03'!R$7:R$159)+SUMIF('04'!$D$7:$D$159,$C47,'04'!R$7:R$159)+SUMIF('05'!$D$7:$D$159,$C47,'05'!R$7:R$159)+SUMIF('06'!$D$7:$D$159,$C47,'06'!R$7:R$159)+SUMIF('07'!$D$7:$D$159,$C47,'07'!R$7:R$159)+SUMIF('08'!$D$7:$D$159,$C47,'08'!R$7:R$159)</f>
        <v/>
      </c>
      <c r="Q48" s="428">
        <f>SUMIF('02'!$D$7:$D$159,$C47,'02'!S$7:S$159)+SUMIF('03'!$D$7:$D$159,$C47,'03'!S$7:S$159)+SUMIF('04'!$D$7:$D$159,$C47,'04'!S$7:S$159)+SUMIF('05'!$D$7:$D$159,$C47,'05'!S$7:S$159)+SUMIF('06'!$D$7:$D$159,$C47,'06'!S$7:S$159)+SUMIF('07'!$D$7:$D$159,$C47,'07'!S$7:S$159)+SUMIF('08'!$D$7:$D$159,$C47,'08'!S$7:S$159)</f>
        <v/>
      </c>
      <c r="R48" s="429">
        <f>SUMIF('02'!$D$7:$D$159,$C47,'02'!T$7:T$159)+SUMIF('03'!$D$7:$D$159,$C47,'03'!T$7:T$159)+SUMIF('04'!$D$7:$D$159,$C47,'04'!T$7:T$159)+SUMIF('05'!$D$7:$D$159,$C47,'05'!T$7:T$159)+SUMIF('06'!$D$7:$D$159,$C47,'06'!T$7:T$159)+SUMIF('07'!$D$7:$D$159,$C47,'07'!T$7:T$159)+SUMIF('08'!$D$7:$D$159,$C47,'08'!T$7:T$159)</f>
        <v/>
      </c>
      <c r="S48" s="427">
        <f>SUMIF('02'!$D$7:$D$159,$C47,'02'!U$7:U$159)+SUMIF('03'!$D$7:$D$159,$C47,'03'!U$7:U$159)+SUMIF('04'!$D$7:$D$159,$C47,'04'!U$7:U$159)+SUMIF('05'!$D$7:$D$159,$C47,'05'!U$7:U$159)+SUMIF('06'!$D$7:$D$159,$C47,'06'!U$7:U$159)+SUMIF('07'!$D$7:$D$159,$C47,'07'!U$7:U$159)+SUMIF('08'!$D$7:$D$159,$C47,'08'!U$7:U$159)</f>
        <v/>
      </c>
      <c r="T48" s="428">
        <f>SUMIF('02'!$D$7:$D$159,$C47,'02'!V$7:V$159)+SUMIF('03'!$D$7:$D$159,$C47,'03'!V$7:V$159)+SUMIF('04'!$D$7:$D$159,$C47,'04'!V$7:V$159)+SUMIF('05'!$D$7:$D$159,$C47,'05'!V$7:V$159)+SUMIF('06'!$D$7:$D$159,$C47,'06'!V$7:V$159)+SUMIF('07'!$D$7:$D$159,$C47,'07'!V$7:V$159)+SUMIF('08'!$D$7:$D$159,$C47,'08'!V$7:V$159)</f>
        <v/>
      </c>
      <c r="U48" s="430">
        <f>SUMIF('02'!$D$7:$D$159,$C47,'02'!W$7:W$159)+SUMIF('03'!$D$7:$D$159,$C47,'03'!W$7:W$159)+SUMIF('04'!$D$7:$D$159,$C47,'04'!W$7:W$159)+SUMIF('05'!$D$7:$D$159,$C47,'05'!W$7:W$159)+SUMIF('06'!$D$7:$D$159,$C47,'06'!W$7:W$159)+SUMIF('07'!$D$7:$D$159,$C47,'07'!W$7:W$159)+SUMIF('08'!$D$7:$D$159,$C47,'08'!W$7:W$159)</f>
        <v/>
      </c>
      <c r="V48" s="429">
        <f>SUMIF('02'!$D$7:$D$159,$C47,'02'!X$7:X$159)+SUMIF('03'!$D$7:$D$159,$C47,'03'!X$7:X$159)+SUMIF('04'!$D$7:$D$159,$C47,'04'!X$7:X$159)+SUMIF('05'!$D$7:$D$159,$C47,'05'!X$7:X$159)+SUMIF('06'!$D$7:$D$159,$C47,'06'!X$7:X$159)+SUMIF('07'!$D$7:$D$159,$C47,'07'!X$7:X$159)+SUMIF('08'!$D$7:$D$159,$C47,'08'!X$7:X$159)</f>
        <v/>
      </c>
      <c r="W48" s="429">
        <f>SUMIF('02'!$D$7:$D$159,$C47,'02'!Y$7:Y$159)+SUMIF('03'!$D$7:$D$159,$C47,'03'!Y$7:Y$159)+SUMIF('04'!$D$7:$D$159,$C47,'04'!Y$7:Y$159)+SUMIF('05'!$D$7:$D$159,$C47,'05'!Y$7:Y$159)+SUMIF('06'!$D$7:$D$159,$C47,'06'!Y$7:Y$159)+SUMIF('07'!$D$7:$D$159,$C47,'07'!Y$7:Y$159)+SUMIF('08'!$D$7:$D$159,$C47,'08'!Y$7:Y$159)</f>
        <v/>
      </c>
      <c r="X48" s="431">
        <f>SUM(J48:W48)</f>
        <v/>
      </c>
      <c r="Y48" s="413" t="n"/>
      <c r="Z48" s="432" t="n"/>
    </row>
    <row r="49" ht="14.25" customHeight="1" s="296">
      <c r="A49" s="154">
        <f>IF(OR(C49="0",COUNTIF(КлючВесна,C49)&gt;1),0,MATCH(F49,ВидыНагр,0))</f>
        <v/>
      </c>
      <c r="B49" s="154">
        <f>(COUNTA(D49:F50,J49:W49,H49:I50)=0)</f>
        <v/>
      </c>
      <c r="C49" s="155">
        <f>IF(OR(TRIM(D49)="",COUNTIF(ВидыНагр,F49)&lt;&gt;1),"0",CONCATENATE("$",TRIM(D49),"$",TRIM(E49),"$",F49,"$"))</f>
        <v/>
      </c>
      <c r="D49" s="415" t="n"/>
      <c r="E49" s="416" t="n"/>
      <c r="F49" s="417" t="n"/>
      <c r="G49" s="156" t="inlineStr">
        <is>
          <t>план</t>
        </is>
      </c>
      <c r="H49" s="157" t="n"/>
      <c r="I49" s="158" t="n"/>
      <c r="J49" s="418" t="n"/>
      <c r="K49" s="419" t="n"/>
      <c r="L49" s="420" t="n"/>
      <c r="M49" s="418" t="n"/>
      <c r="N49" s="419" t="n"/>
      <c r="O49" s="420" t="n"/>
      <c r="P49" s="418" t="n"/>
      <c r="Q49" s="419" t="n"/>
      <c r="R49" s="420" t="n"/>
      <c r="S49" s="418" t="n"/>
      <c r="T49" s="419" t="n"/>
      <c r="U49" s="421" t="n"/>
      <c r="V49" s="420" t="n"/>
      <c r="W49" s="420" t="n"/>
      <c r="X49" s="422">
        <f>SUM(J49:W49)</f>
        <v/>
      </c>
      <c r="Y49" s="423">
        <f>X50-X49</f>
        <v/>
      </c>
      <c r="Z49" s="209" t="n"/>
    </row>
    <row r="50" ht="14.25" customHeight="1" s="296">
      <c r="A50" s="154">
        <f>-A49</f>
        <v/>
      </c>
      <c r="B50" s="154">
        <f>B49</f>
        <v/>
      </c>
      <c r="C50" s="163" t="n"/>
      <c r="D50" s="424" t="n"/>
      <c r="E50" s="425" t="n"/>
      <c r="F50" s="426" t="n"/>
      <c r="G50" s="164" t="inlineStr">
        <is>
          <t>факт</t>
        </is>
      </c>
      <c r="H50" s="165" t="n"/>
      <c r="I50" s="250" t="n"/>
      <c r="J50" s="427">
        <f>SUMIF('02'!$D$7:$D$159,$C49,'02'!L$7:L$159)+SUMIF('03'!$D$7:$D$159,$C49,'03'!L$7:L$159)+SUMIF('04'!$D$7:$D$159,$C49,'04'!L$7:L$159)+SUMIF('05'!$D$7:$D$159,$C49,'05'!L$7:L$159)+SUMIF('06'!$D$7:$D$159,$C49,'06'!L$7:L$159)+SUMIF('07'!$D$7:$D$159,$C49,'07'!L$7:L$159)+SUMIF('08'!$D$7:$D$159,$C49,'08'!L$7:L$159)</f>
        <v/>
      </c>
      <c r="K50" s="428">
        <f>SUMIF('02'!$D$7:$D$159,$C49,'02'!M$7:M$159)+SUMIF('03'!$D$7:$D$159,$C49,'03'!M$7:M$159)+SUMIF('04'!$D$7:$D$159,$C49,'04'!M$7:M$159)+SUMIF('05'!$D$7:$D$159,$C49,'05'!M$7:M$159)+SUMIF('06'!$D$7:$D$159,$C49,'06'!M$7:M$159)+SUMIF('07'!$D$7:$D$159,$C49,'07'!M$7:M$159)+SUMIF('08'!$D$7:$D$159,$C49,'08'!M$7:M$159)</f>
        <v/>
      </c>
      <c r="L50" s="429">
        <f>SUMIF('02'!$D$7:$D$159,$C49,'02'!N$7:N$159)+SUMIF('03'!$D$7:$D$159,$C49,'03'!N$7:N$159)+SUMIF('04'!$D$7:$D$159,$C49,'04'!N$7:N$159)+SUMIF('05'!$D$7:$D$159,$C49,'05'!N$7:N$159)+SUMIF('06'!$D$7:$D$159,$C49,'06'!N$7:N$159)+SUMIF('07'!$D$7:$D$159,$C49,'07'!N$7:N$159)+SUMIF('08'!$D$7:$D$159,$C49,'08'!N$7:N$159)</f>
        <v/>
      </c>
      <c r="M50" s="427">
        <f>SUMIF('02'!$D$7:$D$159,$C49,'02'!O$7:O$159)+SUMIF('03'!$D$7:$D$159,$C49,'03'!O$7:O$159)+SUMIF('04'!$D$7:$D$159,$C49,'04'!O$7:O$159)+SUMIF('05'!$D$7:$D$159,$C49,'05'!O$7:O$159)+SUMIF('06'!$D$7:$D$159,$C49,'06'!O$7:O$159)+SUMIF('07'!$D$7:$D$159,$C49,'07'!O$7:O$159)+SUMIF('08'!$D$7:$D$159,$C49,'08'!O$7:O$159)</f>
        <v/>
      </c>
      <c r="N50" s="428">
        <f>SUMIF('02'!$D$7:$D$159,$C49,'02'!P$7:P$159)+SUMIF('03'!$D$7:$D$159,$C49,'03'!P$7:P$159)+SUMIF('04'!$D$7:$D$159,$C49,'04'!P$7:P$159)+SUMIF('05'!$D$7:$D$159,$C49,'05'!P$7:P$159)+SUMIF('06'!$D$7:$D$159,$C49,'06'!P$7:P$159)+SUMIF('07'!$D$7:$D$159,$C49,'07'!P$7:P$159)+SUMIF('08'!$D$7:$D$159,$C49,'08'!P$7:P$159)</f>
        <v/>
      </c>
      <c r="O50" s="429">
        <f>SUMIF('02'!$D$7:$D$159,$C49,'02'!Q$7:Q$159)+SUMIF('03'!$D$7:$D$159,$C49,'03'!Q$7:Q$159)+SUMIF('04'!$D$7:$D$159,$C49,'04'!Q$7:Q$159)+SUMIF('05'!$D$7:$D$159,$C49,'05'!Q$7:Q$159)+SUMIF('06'!$D$7:$D$159,$C49,'06'!Q$7:Q$159)+SUMIF('07'!$D$7:$D$159,$C49,'07'!Q$7:Q$159)+SUMIF('08'!$D$7:$D$159,$C49,'08'!Q$7:Q$159)</f>
        <v/>
      </c>
      <c r="P50" s="427">
        <f>SUMIF('02'!$D$7:$D$159,$C49,'02'!R$7:R$159)+SUMIF('03'!$D$7:$D$159,$C49,'03'!R$7:R$159)+SUMIF('04'!$D$7:$D$159,$C49,'04'!R$7:R$159)+SUMIF('05'!$D$7:$D$159,$C49,'05'!R$7:R$159)+SUMIF('06'!$D$7:$D$159,$C49,'06'!R$7:R$159)+SUMIF('07'!$D$7:$D$159,$C49,'07'!R$7:R$159)+SUMIF('08'!$D$7:$D$159,$C49,'08'!R$7:R$159)</f>
        <v/>
      </c>
      <c r="Q50" s="428">
        <f>SUMIF('02'!$D$7:$D$159,$C49,'02'!S$7:S$159)+SUMIF('03'!$D$7:$D$159,$C49,'03'!S$7:S$159)+SUMIF('04'!$D$7:$D$159,$C49,'04'!S$7:S$159)+SUMIF('05'!$D$7:$D$159,$C49,'05'!S$7:S$159)+SUMIF('06'!$D$7:$D$159,$C49,'06'!S$7:S$159)+SUMIF('07'!$D$7:$D$159,$C49,'07'!S$7:S$159)+SUMIF('08'!$D$7:$D$159,$C49,'08'!S$7:S$159)</f>
        <v/>
      </c>
      <c r="R50" s="429">
        <f>SUMIF('02'!$D$7:$D$159,$C49,'02'!T$7:T$159)+SUMIF('03'!$D$7:$D$159,$C49,'03'!T$7:T$159)+SUMIF('04'!$D$7:$D$159,$C49,'04'!T$7:T$159)+SUMIF('05'!$D$7:$D$159,$C49,'05'!T$7:T$159)+SUMIF('06'!$D$7:$D$159,$C49,'06'!T$7:T$159)+SUMIF('07'!$D$7:$D$159,$C49,'07'!T$7:T$159)+SUMIF('08'!$D$7:$D$159,$C49,'08'!T$7:T$159)</f>
        <v/>
      </c>
      <c r="S50" s="427">
        <f>SUMIF('02'!$D$7:$D$159,$C49,'02'!U$7:U$159)+SUMIF('03'!$D$7:$D$159,$C49,'03'!U$7:U$159)+SUMIF('04'!$D$7:$D$159,$C49,'04'!U$7:U$159)+SUMIF('05'!$D$7:$D$159,$C49,'05'!U$7:U$159)+SUMIF('06'!$D$7:$D$159,$C49,'06'!U$7:U$159)+SUMIF('07'!$D$7:$D$159,$C49,'07'!U$7:U$159)+SUMIF('08'!$D$7:$D$159,$C49,'08'!U$7:U$159)</f>
        <v/>
      </c>
      <c r="T50" s="428">
        <f>SUMIF('02'!$D$7:$D$159,$C49,'02'!V$7:V$159)+SUMIF('03'!$D$7:$D$159,$C49,'03'!V$7:V$159)+SUMIF('04'!$D$7:$D$159,$C49,'04'!V$7:V$159)+SUMIF('05'!$D$7:$D$159,$C49,'05'!V$7:V$159)+SUMIF('06'!$D$7:$D$159,$C49,'06'!V$7:V$159)+SUMIF('07'!$D$7:$D$159,$C49,'07'!V$7:V$159)+SUMIF('08'!$D$7:$D$159,$C49,'08'!V$7:V$159)</f>
        <v/>
      </c>
      <c r="U50" s="430">
        <f>SUMIF('02'!$D$7:$D$159,$C49,'02'!W$7:W$159)+SUMIF('03'!$D$7:$D$159,$C49,'03'!W$7:W$159)+SUMIF('04'!$D$7:$D$159,$C49,'04'!W$7:W$159)+SUMIF('05'!$D$7:$D$159,$C49,'05'!W$7:W$159)+SUMIF('06'!$D$7:$D$159,$C49,'06'!W$7:W$159)+SUMIF('07'!$D$7:$D$159,$C49,'07'!W$7:W$159)+SUMIF('08'!$D$7:$D$159,$C49,'08'!W$7:W$159)</f>
        <v/>
      </c>
      <c r="V50" s="429">
        <f>SUMIF('02'!$D$7:$D$159,$C49,'02'!X$7:X$159)+SUMIF('03'!$D$7:$D$159,$C49,'03'!X$7:X$159)+SUMIF('04'!$D$7:$D$159,$C49,'04'!X$7:X$159)+SUMIF('05'!$D$7:$D$159,$C49,'05'!X$7:X$159)+SUMIF('06'!$D$7:$D$159,$C49,'06'!X$7:X$159)+SUMIF('07'!$D$7:$D$159,$C49,'07'!X$7:X$159)+SUMIF('08'!$D$7:$D$159,$C49,'08'!X$7:X$159)</f>
        <v/>
      </c>
      <c r="W50" s="429">
        <f>SUMIF('02'!$D$7:$D$159,$C49,'02'!Y$7:Y$159)+SUMIF('03'!$D$7:$D$159,$C49,'03'!Y$7:Y$159)+SUMIF('04'!$D$7:$D$159,$C49,'04'!Y$7:Y$159)+SUMIF('05'!$D$7:$D$159,$C49,'05'!Y$7:Y$159)+SUMIF('06'!$D$7:$D$159,$C49,'06'!Y$7:Y$159)+SUMIF('07'!$D$7:$D$159,$C49,'07'!Y$7:Y$159)+SUMIF('08'!$D$7:$D$159,$C49,'08'!Y$7:Y$159)</f>
        <v/>
      </c>
      <c r="X50" s="431">
        <f>SUM(J50:W50)</f>
        <v/>
      </c>
      <c r="Y50" s="413" t="n"/>
      <c r="Z50" s="432" t="n"/>
    </row>
    <row r="51" ht="14.25" customHeight="1" s="296">
      <c r="A51" s="154">
        <f>IF(OR(C51="0",COUNTIF(КлючВесна,C51)&gt;1),0,MATCH(F51,ВидыНагр,0))</f>
        <v/>
      </c>
      <c r="B51" s="154">
        <f>(COUNTA(D51:F52,J51:W51,H51:I52)=0)</f>
        <v/>
      </c>
      <c r="C51" s="155">
        <f>IF(OR(TRIM(D51)="",COUNTIF(ВидыНагр,F51)&lt;&gt;1),"0",CONCATENATE("$",TRIM(D51),"$",TRIM(E51),"$",F51,"$"))</f>
        <v/>
      </c>
      <c r="D51" s="415" t="n"/>
      <c r="E51" s="416" t="n"/>
      <c r="F51" s="417" t="n"/>
      <c r="G51" s="156" t="inlineStr">
        <is>
          <t>план</t>
        </is>
      </c>
      <c r="H51" s="157" t="n"/>
      <c r="I51" s="158" t="n"/>
      <c r="J51" s="418" t="n"/>
      <c r="K51" s="419" t="n"/>
      <c r="L51" s="420" t="n"/>
      <c r="M51" s="418" t="n"/>
      <c r="N51" s="419" t="n"/>
      <c r="O51" s="420" t="n"/>
      <c r="P51" s="418" t="n"/>
      <c r="Q51" s="419" t="n"/>
      <c r="R51" s="420" t="n"/>
      <c r="S51" s="418" t="n"/>
      <c r="T51" s="419" t="n"/>
      <c r="U51" s="421" t="n"/>
      <c r="V51" s="420" t="n"/>
      <c r="W51" s="420" t="n"/>
      <c r="X51" s="422">
        <f>SUM(J51:W51)</f>
        <v/>
      </c>
      <c r="Y51" s="423">
        <f>X52-X51</f>
        <v/>
      </c>
      <c r="Z51" s="209" t="n"/>
    </row>
    <row r="52" ht="14.25" customHeight="1" s="296">
      <c r="A52" s="154">
        <f>-A51</f>
        <v/>
      </c>
      <c r="B52" s="154">
        <f>B51</f>
        <v/>
      </c>
      <c r="C52" s="163" t="n"/>
      <c r="D52" s="424" t="n"/>
      <c r="E52" s="425" t="n"/>
      <c r="F52" s="426" t="n"/>
      <c r="G52" s="164" t="inlineStr">
        <is>
          <t>факт</t>
        </is>
      </c>
      <c r="H52" s="165" t="n"/>
      <c r="I52" s="250" t="n"/>
      <c r="J52" s="427">
        <f>SUMIF('02'!$D$7:$D$159,$C51,'02'!L$7:L$159)+SUMIF('03'!$D$7:$D$159,$C51,'03'!L$7:L$159)+SUMIF('04'!$D$7:$D$159,$C51,'04'!L$7:L$159)+SUMIF('05'!$D$7:$D$159,$C51,'05'!L$7:L$159)+SUMIF('06'!$D$7:$D$159,$C51,'06'!L$7:L$159)+SUMIF('07'!$D$7:$D$159,$C51,'07'!L$7:L$159)+SUMIF('08'!$D$7:$D$159,$C51,'08'!L$7:L$159)</f>
        <v/>
      </c>
      <c r="K52" s="428">
        <f>SUMIF('02'!$D$7:$D$159,$C51,'02'!M$7:M$159)+SUMIF('03'!$D$7:$D$159,$C51,'03'!M$7:M$159)+SUMIF('04'!$D$7:$D$159,$C51,'04'!M$7:M$159)+SUMIF('05'!$D$7:$D$159,$C51,'05'!M$7:M$159)+SUMIF('06'!$D$7:$D$159,$C51,'06'!M$7:M$159)+SUMIF('07'!$D$7:$D$159,$C51,'07'!M$7:M$159)+SUMIF('08'!$D$7:$D$159,$C51,'08'!M$7:M$159)</f>
        <v/>
      </c>
      <c r="L52" s="429">
        <f>SUMIF('02'!$D$7:$D$159,$C51,'02'!N$7:N$159)+SUMIF('03'!$D$7:$D$159,$C51,'03'!N$7:N$159)+SUMIF('04'!$D$7:$D$159,$C51,'04'!N$7:N$159)+SUMIF('05'!$D$7:$D$159,$C51,'05'!N$7:N$159)+SUMIF('06'!$D$7:$D$159,$C51,'06'!N$7:N$159)+SUMIF('07'!$D$7:$D$159,$C51,'07'!N$7:N$159)+SUMIF('08'!$D$7:$D$159,$C51,'08'!N$7:N$159)</f>
        <v/>
      </c>
      <c r="M52" s="427">
        <f>SUMIF('02'!$D$7:$D$159,$C51,'02'!O$7:O$159)+SUMIF('03'!$D$7:$D$159,$C51,'03'!O$7:O$159)+SUMIF('04'!$D$7:$D$159,$C51,'04'!O$7:O$159)+SUMIF('05'!$D$7:$D$159,$C51,'05'!O$7:O$159)+SUMIF('06'!$D$7:$D$159,$C51,'06'!O$7:O$159)+SUMIF('07'!$D$7:$D$159,$C51,'07'!O$7:O$159)+SUMIF('08'!$D$7:$D$159,$C51,'08'!O$7:O$159)</f>
        <v/>
      </c>
      <c r="N52" s="428">
        <f>SUMIF('02'!$D$7:$D$159,$C51,'02'!P$7:P$159)+SUMIF('03'!$D$7:$D$159,$C51,'03'!P$7:P$159)+SUMIF('04'!$D$7:$D$159,$C51,'04'!P$7:P$159)+SUMIF('05'!$D$7:$D$159,$C51,'05'!P$7:P$159)+SUMIF('06'!$D$7:$D$159,$C51,'06'!P$7:P$159)+SUMIF('07'!$D$7:$D$159,$C51,'07'!P$7:P$159)+SUMIF('08'!$D$7:$D$159,$C51,'08'!P$7:P$159)</f>
        <v/>
      </c>
      <c r="O52" s="429">
        <f>SUMIF('02'!$D$7:$D$159,$C51,'02'!Q$7:Q$159)+SUMIF('03'!$D$7:$D$159,$C51,'03'!Q$7:Q$159)+SUMIF('04'!$D$7:$D$159,$C51,'04'!Q$7:Q$159)+SUMIF('05'!$D$7:$D$159,$C51,'05'!Q$7:Q$159)+SUMIF('06'!$D$7:$D$159,$C51,'06'!Q$7:Q$159)+SUMIF('07'!$D$7:$D$159,$C51,'07'!Q$7:Q$159)+SUMIF('08'!$D$7:$D$159,$C51,'08'!Q$7:Q$159)</f>
        <v/>
      </c>
      <c r="P52" s="427">
        <f>SUMIF('02'!$D$7:$D$159,$C51,'02'!R$7:R$159)+SUMIF('03'!$D$7:$D$159,$C51,'03'!R$7:R$159)+SUMIF('04'!$D$7:$D$159,$C51,'04'!R$7:R$159)+SUMIF('05'!$D$7:$D$159,$C51,'05'!R$7:R$159)+SUMIF('06'!$D$7:$D$159,$C51,'06'!R$7:R$159)+SUMIF('07'!$D$7:$D$159,$C51,'07'!R$7:R$159)+SUMIF('08'!$D$7:$D$159,$C51,'08'!R$7:R$159)</f>
        <v/>
      </c>
      <c r="Q52" s="428">
        <f>SUMIF('02'!$D$7:$D$159,$C51,'02'!S$7:S$159)+SUMIF('03'!$D$7:$D$159,$C51,'03'!S$7:S$159)+SUMIF('04'!$D$7:$D$159,$C51,'04'!S$7:S$159)+SUMIF('05'!$D$7:$D$159,$C51,'05'!S$7:S$159)+SUMIF('06'!$D$7:$D$159,$C51,'06'!S$7:S$159)+SUMIF('07'!$D$7:$D$159,$C51,'07'!S$7:S$159)+SUMIF('08'!$D$7:$D$159,$C51,'08'!S$7:S$159)</f>
        <v/>
      </c>
      <c r="R52" s="429">
        <f>SUMIF('02'!$D$7:$D$159,$C51,'02'!T$7:T$159)+SUMIF('03'!$D$7:$D$159,$C51,'03'!T$7:T$159)+SUMIF('04'!$D$7:$D$159,$C51,'04'!T$7:T$159)+SUMIF('05'!$D$7:$D$159,$C51,'05'!T$7:T$159)+SUMIF('06'!$D$7:$D$159,$C51,'06'!T$7:T$159)+SUMIF('07'!$D$7:$D$159,$C51,'07'!T$7:T$159)+SUMIF('08'!$D$7:$D$159,$C51,'08'!T$7:T$159)</f>
        <v/>
      </c>
      <c r="S52" s="427">
        <f>SUMIF('02'!$D$7:$D$159,$C51,'02'!U$7:U$159)+SUMIF('03'!$D$7:$D$159,$C51,'03'!U$7:U$159)+SUMIF('04'!$D$7:$D$159,$C51,'04'!U$7:U$159)+SUMIF('05'!$D$7:$D$159,$C51,'05'!U$7:U$159)+SUMIF('06'!$D$7:$D$159,$C51,'06'!U$7:U$159)+SUMIF('07'!$D$7:$D$159,$C51,'07'!U$7:U$159)+SUMIF('08'!$D$7:$D$159,$C51,'08'!U$7:U$159)</f>
        <v/>
      </c>
      <c r="T52" s="428">
        <f>SUMIF('02'!$D$7:$D$159,$C51,'02'!V$7:V$159)+SUMIF('03'!$D$7:$D$159,$C51,'03'!V$7:V$159)+SUMIF('04'!$D$7:$D$159,$C51,'04'!V$7:V$159)+SUMIF('05'!$D$7:$D$159,$C51,'05'!V$7:V$159)+SUMIF('06'!$D$7:$D$159,$C51,'06'!V$7:V$159)+SUMIF('07'!$D$7:$D$159,$C51,'07'!V$7:V$159)+SUMIF('08'!$D$7:$D$159,$C51,'08'!V$7:V$159)</f>
        <v/>
      </c>
      <c r="U52" s="430">
        <f>SUMIF('02'!$D$7:$D$159,$C51,'02'!W$7:W$159)+SUMIF('03'!$D$7:$D$159,$C51,'03'!W$7:W$159)+SUMIF('04'!$D$7:$D$159,$C51,'04'!W$7:W$159)+SUMIF('05'!$D$7:$D$159,$C51,'05'!W$7:W$159)+SUMIF('06'!$D$7:$D$159,$C51,'06'!W$7:W$159)+SUMIF('07'!$D$7:$D$159,$C51,'07'!W$7:W$159)+SUMIF('08'!$D$7:$D$159,$C51,'08'!W$7:W$159)</f>
        <v/>
      </c>
      <c r="V52" s="429">
        <f>SUMIF('02'!$D$7:$D$159,$C51,'02'!X$7:X$159)+SUMIF('03'!$D$7:$D$159,$C51,'03'!X$7:X$159)+SUMIF('04'!$D$7:$D$159,$C51,'04'!X$7:X$159)+SUMIF('05'!$D$7:$D$159,$C51,'05'!X$7:X$159)+SUMIF('06'!$D$7:$D$159,$C51,'06'!X$7:X$159)+SUMIF('07'!$D$7:$D$159,$C51,'07'!X$7:X$159)+SUMIF('08'!$D$7:$D$159,$C51,'08'!X$7:X$159)</f>
        <v/>
      </c>
      <c r="W52" s="429">
        <f>SUMIF('02'!$D$7:$D$159,$C51,'02'!Y$7:Y$159)+SUMIF('03'!$D$7:$D$159,$C51,'03'!Y$7:Y$159)+SUMIF('04'!$D$7:$D$159,$C51,'04'!Y$7:Y$159)+SUMIF('05'!$D$7:$D$159,$C51,'05'!Y$7:Y$159)+SUMIF('06'!$D$7:$D$159,$C51,'06'!Y$7:Y$159)+SUMIF('07'!$D$7:$D$159,$C51,'07'!Y$7:Y$159)+SUMIF('08'!$D$7:$D$159,$C51,'08'!Y$7:Y$159)</f>
        <v/>
      </c>
      <c r="X52" s="431">
        <f>SUM(J52:W52)</f>
        <v/>
      </c>
      <c r="Y52" s="413" t="n"/>
      <c r="Z52" s="432" t="n"/>
    </row>
    <row r="53" ht="14.25" customHeight="1" s="296">
      <c r="A53" s="154">
        <f>IF(OR(C53="0",COUNTIF(КлючВесна,C53)&gt;1),0,MATCH(F53,ВидыНагр,0))</f>
        <v/>
      </c>
      <c r="B53" s="154">
        <f>(COUNTA(D53:F54,J53:W53,H53:I54)=0)</f>
        <v/>
      </c>
      <c r="C53" s="155">
        <f>IF(OR(TRIM(D53)="",COUNTIF(ВидыНагр,F53)&lt;&gt;1),"0",CONCATENATE("$",TRIM(D53),"$",TRIM(E53),"$",F53,"$"))</f>
        <v/>
      </c>
      <c r="D53" s="415" t="n"/>
      <c r="E53" s="416" t="n"/>
      <c r="F53" s="417" t="n"/>
      <c r="G53" s="156" t="inlineStr">
        <is>
          <t>план</t>
        </is>
      </c>
      <c r="H53" s="157" t="n"/>
      <c r="I53" s="158" t="n"/>
      <c r="J53" s="418" t="n"/>
      <c r="K53" s="419" t="n"/>
      <c r="L53" s="420" t="n"/>
      <c r="M53" s="418" t="n"/>
      <c r="N53" s="419" t="n"/>
      <c r="O53" s="420" t="n"/>
      <c r="P53" s="418" t="n"/>
      <c r="Q53" s="419" t="n"/>
      <c r="R53" s="420" t="n"/>
      <c r="S53" s="418" t="n"/>
      <c r="T53" s="419" t="n"/>
      <c r="U53" s="421" t="n"/>
      <c r="V53" s="420" t="n"/>
      <c r="W53" s="420" t="n"/>
      <c r="X53" s="422">
        <f>SUM(J53:W53)</f>
        <v/>
      </c>
      <c r="Y53" s="423">
        <f>X54-X53</f>
        <v/>
      </c>
      <c r="Z53" s="209" t="n"/>
    </row>
    <row r="54" ht="14.25" customHeight="1" s="296">
      <c r="A54" s="154">
        <f>-A53</f>
        <v/>
      </c>
      <c r="B54" s="154">
        <f>B53</f>
        <v/>
      </c>
      <c r="C54" s="163" t="n"/>
      <c r="D54" s="424" t="n"/>
      <c r="E54" s="425" t="n"/>
      <c r="F54" s="426" t="n"/>
      <c r="G54" s="164" t="inlineStr">
        <is>
          <t>факт</t>
        </is>
      </c>
      <c r="H54" s="165" t="n"/>
      <c r="I54" s="250" t="n"/>
      <c r="J54" s="427">
        <f>SUMIF('02'!$D$7:$D$159,$C53,'02'!L$7:L$159)+SUMIF('03'!$D$7:$D$159,$C53,'03'!L$7:L$159)+SUMIF('04'!$D$7:$D$159,$C53,'04'!L$7:L$159)+SUMIF('05'!$D$7:$D$159,$C53,'05'!L$7:L$159)+SUMIF('06'!$D$7:$D$159,$C53,'06'!L$7:L$159)+SUMIF('07'!$D$7:$D$159,$C53,'07'!L$7:L$159)+SUMIF('08'!$D$7:$D$159,$C53,'08'!L$7:L$159)</f>
        <v/>
      </c>
      <c r="K54" s="428">
        <f>SUMIF('02'!$D$7:$D$159,$C53,'02'!M$7:M$159)+SUMIF('03'!$D$7:$D$159,$C53,'03'!M$7:M$159)+SUMIF('04'!$D$7:$D$159,$C53,'04'!M$7:M$159)+SUMIF('05'!$D$7:$D$159,$C53,'05'!M$7:M$159)+SUMIF('06'!$D$7:$D$159,$C53,'06'!M$7:M$159)+SUMIF('07'!$D$7:$D$159,$C53,'07'!M$7:M$159)+SUMIF('08'!$D$7:$D$159,$C53,'08'!M$7:M$159)</f>
        <v/>
      </c>
      <c r="L54" s="429">
        <f>SUMIF('02'!$D$7:$D$159,$C53,'02'!N$7:N$159)+SUMIF('03'!$D$7:$D$159,$C53,'03'!N$7:N$159)+SUMIF('04'!$D$7:$D$159,$C53,'04'!N$7:N$159)+SUMIF('05'!$D$7:$D$159,$C53,'05'!N$7:N$159)+SUMIF('06'!$D$7:$D$159,$C53,'06'!N$7:N$159)+SUMIF('07'!$D$7:$D$159,$C53,'07'!N$7:N$159)+SUMIF('08'!$D$7:$D$159,$C53,'08'!N$7:N$159)</f>
        <v/>
      </c>
      <c r="M54" s="427">
        <f>SUMIF('02'!$D$7:$D$159,$C53,'02'!O$7:O$159)+SUMIF('03'!$D$7:$D$159,$C53,'03'!O$7:O$159)+SUMIF('04'!$D$7:$D$159,$C53,'04'!O$7:O$159)+SUMIF('05'!$D$7:$D$159,$C53,'05'!O$7:O$159)+SUMIF('06'!$D$7:$D$159,$C53,'06'!O$7:O$159)+SUMIF('07'!$D$7:$D$159,$C53,'07'!O$7:O$159)+SUMIF('08'!$D$7:$D$159,$C53,'08'!O$7:O$159)</f>
        <v/>
      </c>
      <c r="N54" s="428">
        <f>SUMIF('02'!$D$7:$D$159,$C53,'02'!P$7:P$159)+SUMIF('03'!$D$7:$D$159,$C53,'03'!P$7:P$159)+SUMIF('04'!$D$7:$D$159,$C53,'04'!P$7:P$159)+SUMIF('05'!$D$7:$D$159,$C53,'05'!P$7:P$159)+SUMIF('06'!$D$7:$D$159,$C53,'06'!P$7:P$159)+SUMIF('07'!$D$7:$D$159,$C53,'07'!P$7:P$159)+SUMIF('08'!$D$7:$D$159,$C53,'08'!P$7:P$159)</f>
        <v/>
      </c>
      <c r="O54" s="429">
        <f>SUMIF('02'!$D$7:$D$159,$C53,'02'!Q$7:Q$159)+SUMIF('03'!$D$7:$D$159,$C53,'03'!Q$7:Q$159)+SUMIF('04'!$D$7:$D$159,$C53,'04'!Q$7:Q$159)+SUMIF('05'!$D$7:$D$159,$C53,'05'!Q$7:Q$159)+SUMIF('06'!$D$7:$D$159,$C53,'06'!Q$7:Q$159)+SUMIF('07'!$D$7:$D$159,$C53,'07'!Q$7:Q$159)+SUMIF('08'!$D$7:$D$159,$C53,'08'!Q$7:Q$159)</f>
        <v/>
      </c>
      <c r="P54" s="427">
        <f>SUMIF('02'!$D$7:$D$159,$C53,'02'!R$7:R$159)+SUMIF('03'!$D$7:$D$159,$C53,'03'!R$7:R$159)+SUMIF('04'!$D$7:$D$159,$C53,'04'!R$7:R$159)+SUMIF('05'!$D$7:$D$159,$C53,'05'!R$7:R$159)+SUMIF('06'!$D$7:$D$159,$C53,'06'!R$7:R$159)+SUMIF('07'!$D$7:$D$159,$C53,'07'!R$7:R$159)+SUMIF('08'!$D$7:$D$159,$C53,'08'!R$7:R$159)</f>
        <v/>
      </c>
      <c r="Q54" s="428">
        <f>SUMIF('02'!$D$7:$D$159,$C53,'02'!S$7:S$159)+SUMIF('03'!$D$7:$D$159,$C53,'03'!S$7:S$159)+SUMIF('04'!$D$7:$D$159,$C53,'04'!S$7:S$159)+SUMIF('05'!$D$7:$D$159,$C53,'05'!S$7:S$159)+SUMIF('06'!$D$7:$D$159,$C53,'06'!S$7:S$159)+SUMIF('07'!$D$7:$D$159,$C53,'07'!S$7:S$159)+SUMIF('08'!$D$7:$D$159,$C53,'08'!S$7:S$159)</f>
        <v/>
      </c>
      <c r="R54" s="429">
        <f>SUMIF('02'!$D$7:$D$159,$C53,'02'!T$7:T$159)+SUMIF('03'!$D$7:$D$159,$C53,'03'!T$7:T$159)+SUMIF('04'!$D$7:$D$159,$C53,'04'!T$7:T$159)+SUMIF('05'!$D$7:$D$159,$C53,'05'!T$7:T$159)+SUMIF('06'!$D$7:$D$159,$C53,'06'!T$7:T$159)+SUMIF('07'!$D$7:$D$159,$C53,'07'!T$7:T$159)+SUMIF('08'!$D$7:$D$159,$C53,'08'!T$7:T$159)</f>
        <v/>
      </c>
      <c r="S54" s="427">
        <f>SUMIF('02'!$D$7:$D$159,$C53,'02'!U$7:U$159)+SUMIF('03'!$D$7:$D$159,$C53,'03'!U$7:U$159)+SUMIF('04'!$D$7:$D$159,$C53,'04'!U$7:U$159)+SUMIF('05'!$D$7:$D$159,$C53,'05'!U$7:U$159)+SUMIF('06'!$D$7:$D$159,$C53,'06'!U$7:U$159)+SUMIF('07'!$D$7:$D$159,$C53,'07'!U$7:U$159)+SUMIF('08'!$D$7:$D$159,$C53,'08'!U$7:U$159)</f>
        <v/>
      </c>
      <c r="T54" s="428">
        <f>SUMIF('02'!$D$7:$D$159,$C53,'02'!V$7:V$159)+SUMIF('03'!$D$7:$D$159,$C53,'03'!V$7:V$159)+SUMIF('04'!$D$7:$D$159,$C53,'04'!V$7:V$159)+SUMIF('05'!$D$7:$D$159,$C53,'05'!V$7:V$159)+SUMIF('06'!$D$7:$D$159,$C53,'06'!V$7:V$159)+SUMIF('07'!$D$7:$D$159,$C53,'07'!V$7:V$159)+SUMIF('08'!$D$7:$D$159,$C53,'08'!V$7:V$159)</f>
        <v/>
      </c>
      <c r="U54" s="430">
        <f>SUMIF('02'!$D$7:$D$159,$C53,'02'!W$7:W$159)+SUMIF('03'!$D$7:$D$159,$C53,'03'!W$7:W$159)+SUMIF('04'!$D$7:$D$159,$C53,'04'!W$7:W$159)+SUMIF('05'!$D$7:$D$159,$C53,'05'!W$7:W$159)+SUMIF('06'!$D$7:$D$159,$C53,'06'!W$7:W$159)+SUMIF('07'!$D$7:$D$159,$C53,'07'!W$7:W$159)+SUMIF('08'!$D$7:$D$159,$C53,'08'!W$7:W$159)</f>
        <v/>
      </c>
      <c r="V54" s="429">
        <f>SUMIF('02'!$D$7:$D$159,$C53,'02'!X$7:X$159)+SUMIF('03'!$D$7:$D$159,$C53,'03'!X$7:X$159)+SUMIF('04'!$D$7:$D$159,$C53,'04'!X$7:X$159)+SUMIF('05'!$D$7:$D$159,$C53,'05'!X$7:X$159)+SUMIF('06'!$D$7:$D$159,$C53,'06'!X$7:X$159)+SUMIF('07'!$D$7:$D$159,$C53,'07'!X$7:X$159)+SUMIF('08'!$D$7:$D$159,$C53,'08'!X$7:X$159)</f>
        <v/>
      </c>
      <c r="W54" s="429">
        <f>SUMIF('02'!$D$7:$D$159,$C53,'02'!Y$7:Y$159)+SUMIF('03'!$D$7:$D$159,$C53,'03'!Y$7:Y$159)+SUMIF('04'!$D$7:$D$159,$C53,'04'!Y$7:Y$159)+SUMIF('05'!$D$7:$D$159,$C53,'05'!Y$7:Y$159)+SUMIF('06'!$D$7:$D$159,$C53,'06'!Y$7:Y$159)+SUMIF('07'!$D$7:$D$159,$C53,'07'!Y$7:Y$159)+SUMIF('08'!$D$7:$D$159,$C53,'08'!Y$7:Y$159)</f>
        <v/>
      </c>
      <c r="X54" s="431">
        <f>SUM(J54:W54)</f>
        <v/>
      </c>
      <c r="Y54" s="413" t="n"/>
      <c r="Z54" s="432" t="n"/>
    </row>
    <row r="55" ht="14.25" customHeight="1" s="296">
      <c r="A55" s="154">
        <f>IF(OR(C55="0",COUNTIF(КлючВесна,C55)&gt;1),0,MATCH(F55,ВидыНагр,0))</f>
        <v/>
      </c>
      <c r="B55" s="154">
        <f>(COUNTA(D55:F56,J55:W55,H55:I56)=0)</f>
        <v/>
      </c>
      <c r="C55" s="155">
        <f>IF(OR(TRIM(D55)="",COUNTIF(ВидыНагр,F55)&lt;&gt;1),"0",CONCATENATE("$",TRIM(D55),"$",TRIM(E55),"$",F55,"$"))</f>
        <v/>
      </c>
      <c r="D55" s="415" t="n"/>
      <c r="E55" s="416" t="n"/>
      <c r="F55" s="417" t="n"/>
      <c r="G55" s="156" t="inlineStr">
        <is>
          <t>план</t>
        </is>
      </c>
      <c r="H55" s="157" t="n"/>
      <c r="I55" s="158" t="n"/>
      <c r="J55" s="418" t="n"/>
      <c r="K55" s="419" t="n"/>
      <c r="L55" s="420" t="n"/>
      <c r="M55" s="418" t="n"/>
      <c r="N55" s="419" t="n"/>
      <c r="O55" s="420" t="n"/>
      <c r="P55" s="418" t="n"/>
      <c r="Q55" s="419" t="n"/>
      <c r="R55" s="420" t="n"/>
      <c r="S55" s="418" t="n"/>
      <c r="T55" s="419" t="n"/>
      <c r="U55" s="421" t="n"/>
      <c r="V55" s="420" t="n"/>
      <c r="W55" s="420" t="n"/>
      <c r="X55" s="422">
        <f>SUM(J55:W55)</f>
        <v/>
      </c>
      <c r="Y55" s="423">
        <f>X56-X55</f>
        <v/>
      </c>
      <c r="Z55" s="209" t="n"/>
    </row>
    <row r="56" ht="14.25" customHeight="1" s="296">
      <c r="A56" s="154">
        <f>-A55</f>
        <v/>
      </c>
      <c r="B56" s="154">
        <f>B55</f>
        <v/>
      </c>
      <c r="C56" s="163" t="n"/>
      <c r="D56" s="424" t="n"/>
      <c r="E56" s="425" t="n"/>
      <c r="F56" s="426" t="n"/>
      <c r="G56" s="164" t="inlineStr">
        <is>
          <t>факт</t>
        </is>
      </c>
      <c r="H56" s="165" t="n"/>
      <c r="I56" s="250" t="n"/>
      <c r="J56" s="427">
        <f>SUMIF('02'!$D$7:$D$159,$C55,'02'!L$7:L$159)+SUMIF('03'!$D$7:$D$159,$C55,'03'!L$7:L$159)+SUMIF('04'!$D$7:$D$159,$C55,'04'!L$7:L$159)+SUMIF('05'!$D$7:$D$159,$C55,'05'!L$7:L$159)+SUMIF('06'!$D$7:$D$159,$C55,'06'!L$7:L$159)+SUMIF('07'!$D$7:$D$159,$C55,'07'!L$7:L$159)+SUMIF('08'!$D$7:$D$159,$C55,'08'!L$7:L$159)</f>
        <v/>
      </c>
      <c r="K56" s="428">
        <f>SUMIF('02'!$D$7:$D$159,$C55,'02'!M$7:M$159)+SUMIF('03'!$D$7:$D$159,$C55,'03'!M$7:M$159)+SUMIF('04'!$D$7:$D$159,$C55,'04'!M$7:M$159)+SUMIF('05'!$D$7:$D$159,$C55,'05'!M$7:M$159)+SUMIF('06'!$D$7:$D$159,$C55,'06'!M$7:M$159)+SUMIF('07'!$D$7:$D$159,$C55,'07'!M$7:M$159)+SUMIF('08'!$D$7:$D$159,$C55,'08'!M$7:M$159)</f>
        <v/>
      </c>
      <c r="L56" s="429">
        <f>SUMIF('02'!$D$7:$D$159,$C55,'02'!N$7:N$159)+SUMIF('03'!$D$7:$D$159,$C55,'03'!N$7:N$159)+SUMIF('04'!$D$7:$D$159,$C55,'04'!N$7:N$159)+SUMIF('05'!$D$7:$D$159,$C55,'05'!N$7:N$159)+SUMIF('06'!$D$7:$D$159,$C55,'06'!N$7:N$159)+SUMIF('07'!$D$7:$D$159,$C55,'07'!N$7:N$159)+SUMIF('08'!$D$7:$D$159,$C55,'08'!N$7:N$159)</f>
        <v/>
      </c>
      <c r="M56" s="427">
        <f>SUMIF('02'!$D$7:$D$159,$C55,'02'!O$7:O$159)+SUMIF('03'!$D$7:$D$159,$C55,'03'!O$7:O$159)+SUMIF('04'!$D$7:$D$159,$C55,'04'!O$7:O$159)+SUMIF('05'!$D$7:$D$159,$C55,'05'!O$7:O$159)+SUMIF('06'!$D$7:$D$159,$C55,'06'!O$7:O$159)+SUMIF('07'!$D$7:$D$159,$C55,'07'!O$7:O$159)+SUMIF('08'!$D$7:$D$159,$C55,'08'!O$7:O$159)</f>
        <v/>
      </c>
      <c r="N56" s="428">
        <f>SUMIF('02'!$D$7:$D$159,$C55,'02'!P$7:P$159)+SUMIF('03'!$D$7:$D$159,$C55,'03'!P$7:P$159)+SUMIF('04'!$D$7:$D$159,$C55,'04'!P$7:P$159)+SUMIF('05'!$D$7:$D$159,$C55,'05'!P$7:P$159)+SUMIF('06'!$D$7:$D$159,$C55,'06'!P$7:P$159)+SUMIF('07'!$D$7:$D$159,$C55,'07'!P$7:P$159)+SUMIF('08'!$D$7:$D$159,$C55,'08'!P$7:P$159)</f>
        <v/>
      </c>
      <c r="O56" s="429">
        <f>SUMIF('02'!$D$7:$D$159,$C55,'02'!Q$7:Q$159)+SUMIF('03'!$D$7:$D$159,$C55,'03'!Q$7:Q$159)+SUMIF('04'!$D$7:$D$159,$C55,'04'!Q$7:Q$159)+SUMIF('05'!$D$7:$D$159,$C55,'05'!Q$7:Q$159)+SUMIF('06'!$D$7:$D$159,$C55,'06'!Q$7:Q$159)+SUMIF('07'!$D$7:$D$159,$C55,'07'!Q$7:Q$159)+SUMIF('08'!$D$7:$D$159,$C55,'08'!Q$7:Q$159)</f>
        <v/>
      </c>
      <c r="P56" s="427">
        <f>SUMIF('02'!$D$7:$D$159,$C55,'02'!R$7:R$159)+SUMIF('03'!$D$7:$D$159,$C55,'03'!R$7:R$159)+SUMIF('04'!$D$7:$D$159,$C55,'04'!R$7:R$159)+SUMIF('05'!$D$7:$D$159,$C55,'05'!R$7:R$159)+SUMIF('06'!$D$7:$D$159,$C55,'06'!R$7:R$159)+SUMIF('07'!$D$7:$D$159,$C55,'07'!R$7:R$159)+SUMIF('08'!$D$7:$D$159,$C55,'08'!R$7:R$159)</f>
        <v/>
      </c>
      <c r="Q56" s="428">
        <f>SUMIF('02'!$D$7:$D$159,$C55,'02'!S$7:S$159)+SUMIF('03'!$D$7:$D$159,$C55,'03'!S$7:S$159)+SUMIF('04'!$D$7:$D$159,$C55,'04'!S$7:S$159)+SUMIF('05'!$D$7:$D$159,$C55,'05'!S$7:S$159)+SUMIF('06'!$D$7:$D$159,$C55,'06'!S$7:S$159)+SUMIF('07'!$D$7:$D$159,$C55,'07'!S$7:S$159)+SUMIF('08'!$D$7:$D$159,$C55,'08'!S$7:S$159)</f>
        <v/>
      </c>
      <c r="R56" s="429">
        <f>SUMIF('02'!$D$7:$D$159,$C55,'02'!T$7:T$159)+SUMIF('03'!$D$7:$D$159,$C55,'03'!T$7:T$159)+SUMIF('04'!$D$7:$D$159,$C55,'04'!T$7:T$159)+SUMIF('05'!$D$7:$D$159,$C55,'05'!T$7:T$159)+SUMIF('06'!$D$7:$D$159,$C55,'06'!T$7:T$159)+SUMIF('07'!$D$7:$D$159,$C55,'07'!T$7:T$159)+SUMIF('08'!$D$7:$D$159,$C55,'08'!T$7:T$159)</f>
        <v/>
      </c>
      <c r="S56" s="427">
        <f>SUMIF('02'!$D$7:$D$159,$C55,'02'!U$7:U$159)+SUMIF('03'!$D$7:$D$159,$C55,'03'!U$7:U$159)+SUMIF('04'!$D$7:$D$159,$C55,'04'!U$7:U$159)+SUMIF('05'!$D$7:$D$159,$C55,'05'!U$7:U$159)+SUMIF('06'!$D$7:$D$159,$C55,'06'!U$7:U$159)+SUMIF('07'!$D$7:$D$159,$C55,'07'!U$7:U$159)+SUMIF('08'!$D$7:$D$159,$C55,'08'!U$7:U$159)</f>
        <v/>
      </c>
      <c r="T56" s="428">
        <f>SUMIF('02'!$D$7:$D$159,$C55,'02'!V$7:V$159)+SUMIF('03'!$D$7:$D$159,$C55,'03'!V$7:V$159)+SUMIF('04'!$D$7:$D$159,$C55,'04'!V$7:V$159)+SUMIF('05'!$D$7:$D$159,$C55,'05'!V$7:V$159)+SUMIF('06'!$D$7:$D$159,$C55,'06'!V$7:V$159)+SUMIF('07'!$D$7:$D$159,$C55,'07'!V$7:V$159)+SUMIF('08'!$D$7:$D$159,$C55,'08'!V$7:V$159)</f>
        <v/>
      </c>
      <c r="U56" s="430">
        <f>SUMIF('02'!$D$7:$D$159,$C55,'02'!W$7:W$159)+SUMIF('03'!$D$7:$D$159,$C55,'03'!W$7:W$159)+SUMIF('04'!$D$7:$D$159,$C55,'04'!W$7:W$159)+SUMIF('05'!$D$7:$D$159,$C55,'05'!W$7:W$159)+SUMIF('06'!$D$7:$D$159,$C55,'06'!W$7:W$159)+SUMIF('07'!$D$7:$D$159,$C55,'07'!W$7:W$159)+SUMIF('08'!$D$7:$D$159,$C55,'08'!W$7:W$159)</f>
        <v/>
      </c>
      <c r="V56" s="429">
        <f>SUMIF('02'!$D$7:$D$159,$C55,'02'!X$7:X$159)+SUMIF('03'!$D$7:$D$159,$C55,'03'!X$7:X$159)+SUMIF('04'!$D$7:$D$159,$C55,'04'!X$7:X$159)+SUMIF('05'!$D$7:$D$159,$C55,'05'!X$7:X$159)+SUMIF('06'!$D$7:$D$159,$C55,'06'!X$7:X$159)+SUMIF('07'!$D$7:$D$159,$C55,'07'!X$7:X$159)+SUMIF('08'!$D$7:$D$159,$C55,'08'!X$7:X$159)</f>
        <v/>
      </c>
      <c r="W56" s="429">
        <f>SUMIF('02'!$D$7:$D$159,$C55,'02'!Y$7:Y$159)+SUMIF('03'!$D$7:$D$159,$C55,'03'!Y$7:Y$159)+SUMIF('04'!$D$7:$D$159,$C55,'04'!Y$7:Y$159)+SUMIF('05'!$D$7:$D$159,$C55,'05'!Y$7:Y$159)+SUMIF('06'!$D$7:$D$159,$C55,'06'!Y$7:Y$159)+SUMIF('07'!$D$7:$D$159,$C55,'07'!Y$7:Y$159)+SUMIF('08'!$D$7:$D$159,$C55,'08'!Y$7:Y$159)</f>
        <v/>
      </c>
      <c r="X56" s="431">
        <f>SUM(J56:W56)</f>
        <v/>
      </c>
      <c r="Y56" s="413" t="n"/>
      <c r="Z56" s="432" t="n"/>
    </row>
    <row r="57" ht="14.25" customHeight="1" s="296">
      <c r="A57" s="154">
        <f>IF(OR(C57="0",COUNTIF(КлючВесна,C57)&gt;1),0,MATCH(F57,ВидыНагр,0))</f>
        <v/>
      </c>
      <c r="B57" s="154">
        <f>(COUNTA(D57:F58,J57:W57,H57:I58)=0)</f>
        <v/>
      </c>
      <c r="C57" s="155">
        <f>IF(OR(TRIM(D57)="",COUNTIF(ВидыНагр,F57)&lt;&gt;1),"0",CONCATENATE("$",TRIM(D57),"$",TRIM(E57),"$",F57,"$"))</f>
        <v/>
      </c>
      <c r="D57" s="415" t="n"/>
      <c r="E57" s="416" t="n"/>
      <c r="F57" s="417" t="n"/>
      <c r="G57" s="156" t="inlineStr">
        <is>
          <t>план</t>
        </is>
      </c>
      <c r="H57" s="157" t="n"/>
      <c r="I57" s="158" t="n"/>
      <c r="J57" s="418" t="n"/>
      <c r="K57" s="419" t="n"/>
      <c r="L57" s="420" t="n"/>
      <c r="M57" s="418" t="n"/>
      <c r="N57" s="419" t="n"/>
      <c r="O57" s="420" t="n"/>
      <c r="P57" s="418" t="n"/>
      <c r="Q57" s="419" t="n"/>
      <c r="R57" s="420" t="n"/>
      <c r="S57" s="418" t="n"/>
      <c r="T57" s="419" t="n"/>
      <c r="U57" s="421" t="n"/>
      <c r="V57" s="420" t="n"/>
      <c r="W57" s="420" t="n"/>
      <c r="X57" s="422">
        <f>SUM(J57:W57)</f>
        <v/>
      </c>
      <c r="Y57" s="423">
        <f>X58-X57</f>
        <v/>
      </c>
      <c r="Z57" s="209" t="n"/>
    </row>
    <row r="58" ht="14.25" customHeight="1" s="296">
      <c r="A58" s="154">
        <f>-A57</f>
        <v/>
      </c>
      <c r="B58" s="154">
        <f>B57</f>
        <v/>
      </c>
      <c r="C58" s="163" t="n"/>
      <c r="D58" s="424" t="n"/>
      <c r="E58" s="425" t="n"/>
      <c r="F58" s="426" t="n"/>
      <c r="G58" s="164" t="inlineStr">
        <is>
          <t>факт</t>
        </is>
      </c>
      <c r="H58" s="165" t="n"/>
      <c r="I58" s="250" t="n"/>
      <c r="J58" s="427">
        <f>SUMIF('02'!$D$7:$D$159,$C57,'02'!L$7:L$159)+SUMIF('03'!$D$7:$D$159,$C57,'03'!L$7:L$159)+SUMIF('04'!$D$7:$D$159,$C57,'04'!L$7:L$159)+SUMIF('05'!$D$7:$D$159,$C57,'05'!L$7:L$159)+SUMIF('06'!$D$7:$D$159,$C57,'06'!L$7:L$159)+SUMIF('07'!$D$7:$D$159,$C57,'07'!L$7:L$159)+SUMIF('08'!$D$7:$D$159,$C57,'08'!L$7:L$159)</f>
        <v/>
      </c>
      <c r="K58" s="428">
        <f>SUMIF('02'!$D$7:$D$159,$C57,'02'!M$7:M$159)+SUMIF('03'!$D$7:$D$159,$C57,'03'!M$7:M$159)+SUMIF('04'!$D$7:$D$159,$C57,'04'!M$7:M$159)+SUMIF('05'!$D$7:$D$159,$C57,'05'!M$7:M$159)+SUMIF('06'!$D$7:$D$159,$C57,'06'!M$7:M$159)+SUMIF('07'!$D$7:$D$159,$C57,'07'!M$7:M$159)+SUMIF('08'!$D$7:$D$159,$C57,'08'!M$7:M$159)</f>
        <v/>
      </c>
      <c r="L58" s="429">
        <f>SUMIF('02'!$D$7:$D$159,$C57,'02'!N$7:N$159)+SUMIF('03'!$D$7:$D$159,$C57,'03'!N$7:N$159)+SUMIF('04'!$D$7:$D$159,$C57,'04'!N$7:N$159)+SUMIF('05'!$D$7:$D$159,$C57,'05'!N$7:N$159)+SUMIF('06'!$D$7:$D$159,$C57,'06'!N$7:N$159)+SUMIF('07'!$D$7:$D$159,$C57,'07'!N$7:N$159)+SUMIF('08'!$D$7:$D$159,$C57,'08'!N$7:N$159)</f>
        <v/>
      </c>
      <c r="M58" s="427">
        <f>SUMIF('02'!$D$7:$D$159,$C57,'02'!O$7:O$159)+SUMIF('03'!$D$7:$D$159,$C57,'03'!O$7:O$159)+SUMIF('04'!$D$7:$D$159,$C57,'04'!O$7:O$159)+SUMIF('05'!$D$7:$D$159,$C57,'05'!O$7:O$159)+SUMIF('06'!$D$7:$D$159,$C57,'06'!O$7:O$159)+SUMIF('07'!$D$7:$D$159,$C57,'07'!O$7:O$159)+SUMIF('08'!$D$7:$D$159,$C57,'08'!O$7:O$159)</f>
        <v/>
      </c>
      <c r="N58" s="428">
        <f>SUMIF('02'!$D$7:$D$159,$C57,'02'!P$7:P$159)+SUMIF('03'!$D$7:$D$159,$C57,'03'!P$7:P$159)+SUMIF('04'!$D$7:$D$159,$C57,'04'!P$7:P$159)+SUMIF('05'!$D$7:$D$159,$C57,'05'!P$7:P$159)+SUMIF('06'!$D$7:$D$159,$C57,'06'!P$7:P$159)+SUMIF('07'!$D$7:$D$159,$C57,'07'!P$7:P$159)+SUMIF('08'!$D$7:$D$159,$C57,'08'!P$7:P$159)</f>
        <v/>
      </c>
      <c r="O58" s="429">
        <f>SUMIF('02'!$D$7:$D$159,$C57,'02'!Q$7:Q$159)+SUMIF('03'!$D$7:$D$159,$C57,'03'!Q$7:Q$159)+SUMIF('04'!$D$7:$D$159,$C57,'04'!Q$7:Q$159)+SUMIF('05'!$D$7:$D$159,$C57,'05'!Q$7:Q$159)+SUMIF('06'!$D$7:$D$159,$C57,'06'!Q$7:Q$159)+SUMIF('07'!$D$7:$D$159,$C57,'07'!Q$7:Q$159)+SUMIF('08'!$D$7:$D$159,$C57,'08'!Q$7:Q$159)</f>
        <v/>
      </c>
      <c r="P58" s="427">
        <f>SUMIF('02'!$D$7:$D$159,$C57,'02'!R$7:R$159)+SUMIF('03'!$D$7:$D$159,$C57,'03'!R$7:R$159)+SUMIF('04'!$D$7:$D$159,$C57,'04'!R$7:R$159)+SUMIF('05'!$D$7:$D$159,$C57,'05'!R$7:R$159)+SUMIF('06'!$D$7:$D$159,$C57,'06'!R$7:R$159)+SUMIF('07'!$D$7:$D$159,$C57,'07'!R$7:R$159)+SUMIF('08'!$D$7:$D$159,$C57,'08'!R$7:R$159)</f>
        <v/>
      </c>
      <c r="Q58" s="428">
        <f>SUMIF('02'!$D$7:$D$159,$C57,'02'!S$7:S$159)+SUMIF('03'!$D$7:$D$159,$C57,'03'!S$7:S$159)+SUMIF('04'!$D$7:$D$159,$C57,'04'!S$7:S$159)+SUMIF('05'!$D$7:$D$159,$C57,'05'!S$7:S$159)+SUMIF('06'!$D$7:$D$159,$C57,'06'!S$7:S$159)+SUMIF('07'!$D$7:$D$159,$C57,'07'!S$7:S$159)+SUMIF('08'!$D$7:$D$159,$C57,'08'!S$7:S$159)</f>
        <v/>
      </c>
      <c r="R58" s="429">
        <f>SUMIF('02'!$D$7:$D$159,$C57,'02'!T$7:T$159)+SUMIF('03'!$D$7:$D$159,$C57,'03'!T$7:T$159)+SUMIF('04'!$D$7:$D$159,$C57,'04'!T$7:T$159)+SUMIF('05'!$D$7:$D$159,$C57,'05'!T$7:T$159)+SUMIF('06'!$D$7:$D$159,$C57,'06'!T$7:T$159)+SUMIF('07'!$D$7:$D$159,$C57,'07'!T$7:T$159)+SUMIF('08'!$D$7:$D$159,$C57,'08'!T$7:T$159)</f>
        <v/>
      </c>
      <c r="S58" s="427">
        <f>SUMIF('02'!$D$7:$D$159,$C57,'02'!U$7:U$159)+SUMIF('03'!$D$7:$D$159,$C57,'03'!U$7:U$159)+SUMIF('04'!$D$7:$D$159,$C57,'04'!U$7:U$159)+SUMIF('05'!$D$7:$D$159,$C57,'05'!U$7:U$159)+SUMIF('06'!$D$7:$D$159,$C57,'06'!U$7:U$159)+SUMIF('07'!$D$7:$D$159,$C57,'07'!U$7:U$159)+SUMIF('08'!$D$7:$D$159,$C57,'08'!U$7:U$159)</f>
        <v/>
      </c>
      <c r="T58" s="428">
        <f>SUMIF('02'!$D$7:$D$159,$C57,'02'!V$7:V$159)+SUMIF('03'!$D$7:$D$159,$C57,'03'!V$7:V$159)+SUMIF('04'!$D$7:$D$159,$C57,'04'!V$7:V$159)+SUMIF('05'!$D$7:$D$159,$C57,'05'!V$7:V$159)+SUMIF('06'!$D$7:$D$159,$C57,'06'!V$7:V$159)+SUMIF('07'!$D$7:$D$159,$C57,'07'!V$7:V$159)+SUMIF('08'!$D$7:$D$159,$C57,'08'!V$7:V$159)</f>
        <v/>
      </c>
      <c r="U58" s="430">
        <f>SUMIF('02'!$D$7:$D$159,$C57,'02'!W$7:W$159)+SUMIF('03'!$D$7:$D$159,$C57,'03'!W$7:W$159)+SUMIF('04'!$D$7:$D$159,$C57,'04'!W$7:W$159)+SUMIF('05'!$D$7:$D$159,$C57,'05'!W$7:W$159)+SUMIF('06'!$D$7:$D$159,$C57,'06'!W$7:W$159)+SUMIF('07'!$D$7:$D$159,$C57,'07'!W$7:W$159)+SUMIF('08'!$D$7:$D$159,$C57,'08'!W$7:W$159)</f>
        <v/>
      </c>
      <c r="V58" s="429">
        <f>SUMIF('02'!$D$7:$D$159,$C57,'02'!X$7:X$159)+SUMIF('03'!$D$7:$D$159,$C57,'03'!X$7:X$159)+SUMIF('04'!$D$7:$D$159,$C57,'04'!X$7:X$159)+SUMIF('05'!$D$7:$D$159,$C57,'05'!X$7:X$159)+SUMIF('06'!$D$7:$D$159,$C57,'06'!X$7:X$159)+SUMIF('07'!$D$7:$D$159,$C57,'07'!X$7:X$159)+SUMIF('08'!$D$7:$D$159,$C57,'08'!X$7:X$159)</f>
        <v/>
      </c>
      <c r="W58" s="429">
        <f>SUMIF('02'!$D$7:$D$159,$C57,'02'!Y$7:Y$159)+SUMIF('03'!$D$7:$D$159,$C57,'03'!Y$7:Y$159)+SUMIF('04'!$D$7:$D$159,$C57,'04'!Y$7:Y$159)+SUMIF('05'!$D$7:$D$159,$C57,'05'!Y$7:Y$159)+SUMIF('06'!$D$7:$D$159,$C57,'06'!Y$7:Y$159)+SUMIF('07'!$D$7:$D$159,$C57,'07'!Y$7:Y$159)+SUMIF('08'!$D$7:$D$159,$C57,'08'!Y$7:Y$159)</f>
        <v/>
      </c>
      <c r="X58" s="431">
        <f>SUM(J58:W58)</f>
        <v/>
      </c>
      <c r="Y58" s="413" t="n"/>
      <c r="Z58" s="432" t="n"/>
    </row>
    <row r="59" ht="14.25" customHeight="1" s="296">
      <c r="A59" s="154">
        <f>IF(OR(C59="0",COUNTIF(КлючВесна,C59)&gt;1),0,MATCH(F59,ВидыНагр,0))</f>
        <v/>
      </c>
      <c r="B59" s="154">
        <f>(COUNTA(D59:F60,J59:W59,H59:I60)=0)</f>
        <v/>
      </c>
      <c r="C59" s="155">
        <f>IF(OR(TRIM(D59)="",COUNTIF(ВидыНагр,F59)&lt;&gt;1),"0",CONCATENATE("$",TRIM(D59),"$",TRIM(E59),"$",F59,"$"))</f>
        <v/>
      </c>
      <c r="D59" s="415" t="n"/>
      <c r="E59" s="416" t="n"/>
      <c r="F59" s="417" t="n"/>
      <c r="G59" s="156" t="inlineStr">
        <is>
          <t>план</t>
        </is>
      </c>
      <c r="H59" s="157" t="n"/>
      <c r="I59" s="158" t="n"/>
      <c r="J59" s="418" t="n"/>
      <c r="K59" s="419" t="n"/>
      <c r="L59" s="420" t="n"/>
      <c r="M59" s="418" t="n"/>
      <c r="N59" s="419" t="n"/>
      <c r="O59" s="420" t="n"/>
      <c r="P59" s="418" t="n"/>
      <c r="Q59" s="419" t="n"/>
      <c r="R59" s="420" t="n"/>
      <c r="S59" s="418" t="n"/>
      <c r="T59" s="419" t="n"/>
      <c r="U59" s="421" t="n"/>
      <c r="V59" s="420" t="n"/>
      <c r="W59" s="420" t="n"/>
      <c r="X59" s="422">
        <f>SUM(J59:W59)</f>
        <v/>
      </c>
      <c r="Y59" s="423">
        <f>X60-X59</f>
        <v/>
      </c>
      <c r="Z59" s="209" t="n"/>
    </row>
    <row r="60" ht="14.25" customHeight="1" s="296">
      <c r="A60" s="154">
        <f>-A59</f>
        <v/>
      </c>
      <c r="B60" s="154">
        <f>B59</f>
        <v/>
      </c>
      <c r="C60" s="163" t="n"/>
      <c r="D60" s="424" t="n"/>
      <c r="E60" s="425" t="n"/>
      <c r="F60" s="426" t="n"/>
      <c r="G60" s="164" t="inlineStr">
        <is>
          <t>факт</t>
        </is>
      </c>
      <c r="H60" s="165" t="n"/>
      <c r="I60" s="250" t="n"/>
      <c r="J60" s="427">
        <f>SUMIF('02'!$D$7:$D$159,$C59,'02'!L$7:L$159)+SUMIF('03'!$D$7:$D$159,$C59,'03'!L$7:L$159)+SUMIF('04'!$D$7:$D$159,$C59,'04'!L$7:L$159)+SUMIF('05'!$D$7:$D$159,$C59,'05'!L$7:L$159)+SUMIF('06'!$D$7:$D$159,$C59,'06'!L$7:L$159)+SUMIF('07'!$D$7:$D$159,$C59,'07'!L$7:L$159)+SUMIF('08'!$D$7:$D$159,$C59,'08'!L$7:L$159)</f>
        <v/>
      </c>
      <c r="K60" s="428">
        <f>SUMIF('02'!$D$7:$D$159,$C59,'02'!M$7:M$159)+SUMIF('03'!$D$7:$D$159,$C59,'03'!M$7:M$159)+SUMIF('04'!$D$7:$D$159,$C59,'04'!M$7:M$159)+SUMIF('05'!$D$7:$D$159,$C59,'05'!M$7:M$159)+SUMIF('06'!$D$7:$D$159,$C59,'06'!M$7:M$159)+SUMIF('07'!$D$7:$D$159,$C59,'07'!M$7:M$159)+SUMIF('08'!$D$7:$D$159,$C59,'08'!M$7:M$159)</f>
        <v/>
      </c>
      <c r="L60" s="429">
        <f>SUMIF('02'!$D$7:$D$159,$C59,'02'!N$7:N$159)+SUMIF('03'!$D$7:$D$159,$C59,'03'!N$7:N$159)+SUMIF('04'!$D$7:$D$159,$C59,'04'!N$7:N$159)+SUMIF('05'!$D$7:$D$159,$C59,'05'!N$7:N$159)+SUMIF('06'!$D$7:$D$159,$C59,'06'!N$7:N$159)+SUMIF('07'!$D$7:$D$159,$C59,'07'!N$7:N$159)+SUMIF('08'!$D$7:$D$159,$C59,'08'!N$7:N$159)</f>
        <v/>
      </c>
      <c r="M60" s="427">
        <f>SUMIF('02'!$D$7:$D$159,$C59,'02'!O$7:O$159)+SUMIF('03'!$D$7:$D$159,$C59,'03'!O$7:O$159)+SUMIF('04'!$D$7:$D$159,$C59,'04'!O$7:O$159)+SUMIF('05'!$D$7:$D$159,$C59,'05'!O$7:O$159)+SUMIF('06'!$D$7:$D$159,$C59,'06'!O$7:O$159)+SUMIF('07'!$D$7:$D$159,$C59,'07'!O$7:O$159)+SUMIF('08'!$D$7:$D$159,$C59,'08'!O$7:O$159)</f>
        <v/>
      </c>
      <c r="N60" s="428">
        <f>SUMIF('02'!$D$7:$D$159,$C59,'02'!P$7:P$159)+SUMIF('03'!$D$7:$D$159,$C59,'03'!P$7:P$159)+SUMIF('04'!$D$7:$D$159,$C59,'04'!P$7:P$159)+SUMIF('05'!$D$7:$D$159,$C59,'05'!P$7:P$159)+SUMIF('06'!$D$7:$D$159,$C59,'06'!P$7:P$159)+SUMIF('07'!$D$7:$D$159,$C59,'07'!P$7:P$159)+SUMIF('08'!$D$7:$D$159,$C59,'08'!P$7:P$159)</f>
        <v/>
      </c>
      <c r="O60" s="429">
        <f>SUMIF('02'!$D$7:$D$159,$C59,'02'!Q$7:Q$159)+SUMIF('03'!$D$7:$D$159,$C59,'03'!Q$7:Q$159)+SUMIF('04'!$D$7:$D$159,$C59,'04'!Q$7:Q$159)+SUMIF('05'!$D$7:$D$159,$C59,'05'!Q$7:Q$159)+SUMIF('06'!$D$7:$D$159,$C59,'06'!Q$7:Q$159)+SUMIF('07'!$D$7:$D$159,$C59,'07'!Q$7:Q$159)+SUMIF('08'!$D$7:$D$159,$C59,'08'!Q$7:Q$159)</f>
        <v/>
      </c>
      <c r="P60" s="427">
        <f>SUMIF('02'!$D$7:$D$159,$C59,'02'!R$7:R$159)+SUMIF('03'!$D$7:$D$159,$C59,'03'!R$7:R$159)+SUMIF('04'!$D$7:$D$159,$C59,'04'!R$7:R$159)+SUMIF('05'!$D$7:$D$159,$C59,'05'!R$7:R$159)+SUMIF('06'!$D$7:$D$159,$C59,'06'!R$7:R$159)+SUMIF('07'!$D$7:$D$159,$C59,'07'!R$7:R$159)+SUMIF('08'!$D$7:$D$159,$C59,'08'!R$7:R$159)</f>
        <v/>
      </c>
      <c r="Q60" s="428">
        <f>SUMIF('02'!$D$7:$D$159,$C59,'02'!S$7:S$159)+SUMIF('03'!$D$7:$D$159,$C59,'03'!S$7:S$159)+SUMIF('04'!$D$7:$D$159,$C59,'04'!S$7:S$159)+SUMIF('05'!$D$7:$D$159,$C59,'05'!S$7:S$159)+SUMIF('06'!$D$7:$D$159,$C59,'06'!S$7:S$159)+SUMIF('07'!$D$7:$D$159,$C59,'07'!S$7:S$159)+SUMIF('08'!$D$7:$D$159,$C59,'08'!S$7:S$159)</f>
        <v/>
      </c>
      <c r="R60" s="429">
        <f>SUMIF('02'!$D$7:$D$159,$C59,'02'!T$7:T$159)+SUMIF('03'!$D$7:$D$159,$C59,'03'!T$7:T$159)+SUMIF('04'!$D$7:$D$159,$C59,'04'!T$7:T$159)+SUMIF('05'!$D$7:$D$159,$C59,'05'!T$7:T$159)+SUMIF('06'!$D$7:$D$159,$C59,'06'!T$7:T$159)+SUMIF('07'!$D$7:$D$159,$C59,'07'!T$7:T$159)+SUMIF('08'!$D$7:$D$159,$C59,'08'!T$7:T$159)</f>
        <v/>
      </c>
      <c r="S60" s="427">
        <f>SUMIF('02'!$D$7:$D$159,$C59,'02'!U$7:U$159)+SUMIF('03'!$D$7:$D$159,$C59,'03'!U$7:U$159)+SUMIF('04'!$D$7:$D$159,$C59,'04'!U$7:U$159)+SUMIF('05'!$D$7:$D$159,$C59,'05'!U$7:U$159)+SUMIF('06'!$D$7:$D$159,$C59,'06'!U$7:U$159)+SUMIF('07'!$D$7:$D$159,$C59,'07'!U$7:U$159)+SUMIF('08'!$D$7:$D$159,$C59,'08'!U$7:U$159)</f>
        <v/>
      </c>
      <c r="T60" s="428">
        <f>SUMIF('02'!$D$7:$D$159,$C59,'02'!V$7:V$159)+SUMIF('03'!$D$7:$D$159,$C59,'03'!V$7:V$159)+SUMIF('04'!$D$7:$D$159,$C59,'04'!V$7:V$159)+SUMIF('05'!$D$7:$D$159,$C59,'05'!V$7:V$159)+SUMIF('06'!$D$7:$D$159,$C59,'06'!V$7:V$159)+SUMIF('07'!$D$7:$D$159,$C59,'07'!V$7:V$159)+SUMIF('08'!$D$7:$D$159,$C59,'08'!V$7:V$159)</f>
        <v/>
      </c>
      <c r="U60" s="430">
        <f>SUMIF('02'!$D$7:$D$159,$C59,'02'!W$7:W$159)+SUMIF('03'!$D$7:$D$159,$C59,'03'!W$7:W$159)+SUMIF('04'!$D$7:$D$159,$C59,'04'!W$7:W$159)+SUMIF('05'!$D$7:$D$159,$C59,'05'!W$7:W$159)+SUMIF('06'!$D$7:$D$159,$C59,'06'!W$7:W$159)+SUMIF('07'!$D$7:$D$159,$C59,'07'!W$7:W$159)+SUMIF('08'!$D$7:$D$159,$C59,'08'!W$7:W$159)</f>
        <v/>
      </c>
      <c r="V60" s="429">
        <f>SUMIF('02'!$D$7:$D$159,$C59,'02'!X$7:X$159)+SUMIF('03'!$D$7:$D$159,$C59,'03'!X$7:X$159)+SUMIF('04'!$D$7:$D$159,$C59,'04'!X$7:X$159)+SUMIF('05'!$D$7:$D$159,$C59,'05'!X$7:X$159)+SUMIF('06'!$D$7:$D$159,$C59,'06'!X$7:X$159)+SUMIF('07'!$D$7:$D$159,$C59,'07'!X$7:X$159)+SUMIF('08'!$D$7:$D$159,$C59,'08'!X$7:X$159)</f>
        <v/>
      </c>
      <c r="W60" s="429">
        <f>SUMIF('02'!$D$7:$D$159,$C59,'02'!Y$7:Y$159)+SUMIF('03'!$D$7:$D$159,$C59,'03'!Y$7:Y$159)+SUMIF('04'!$D$7:$D$159,$C59,'04'!Y$7:Y$159)+SUMIF('05'!$D$7:$D$159,$C59,'05'!Y$7:Y$159)+SUMIF('06'!$D$7:$D$159,$C59,'06'!Y$7:Y$159)+SUMIF('07'!$D$7:$D$159,$C59,'07'!Y$7:Y$159)+SUMIF('08'!$D$7:$D$159,$C59,'08'!Y$7:Y$159)</f>
        <v/>
      </c>
      <c r="X60" s="431">
        <f>SUM(J60:W60)</f>
        <v/>
      </c>
      <c r="Y60" s="413" t="n"/>
      <c r="Z60" s="432" t="n"/>
    </row>
    <row r="61" ht="14.25" customHeight="1" s="296">
      <c r="A61" s="154">
        <f>IF(OR(C61="0",COUNTIF(КлючВесна,C61)&gt;1),0,MATCH(F61,ВидыНагр,0))</f>
        <v/>
      </c>
      <c r="B61" s="154">
        <f>(COUNTA(D61:F62,J61:W61,H61:I62)=0)</f>
        <v/>
      </c>
      <c r="C61" s="155">
        <f>IF(OR(TRIM(D61)="",COUNTIF(ВидыНагр,F61)&lt;&gt;1),"0",CONCATENATE("$",TRIM(D61),"$",TRIM(E61),"$",F61,"$"))</f>
        <v/>
      </c>
      <c r="D61" s="415" t="n"/>
      <c r="E61" s="416" t="n"/>
      <c r="F61" s="417" t="n"/>
      <c r="G61" s="156" t="inlineStr">
        <is>
          <t>план</t>
        </is>
      </c>
      <c r="H61" s="157" t="n"/>
      <c r="I61" s="158" t="n"/>
      <c r="J61" s="418" t="n"/>
      <c r="K61" s="419" t="n"/>
      <c r="L61" s="420" t="n"/>
      <c r="M61" s="418" t="n"/>
      <c r="N61" s="419" t="n"/>
      <c r="O61" s="420" t="n"/>
      <c r="P61" s="418" t="n"/>
      <c r="Q61" s="419" t="n"/>
      <c r="R61" s="420" t="n"/>
      <c r="S61" s="418" t="n"/>
      <c r="T61" s="419" t="n"/>
      <c r="U61" s="421" t="n"/>
      <c r="V61" s="420" t="n"/>
      <c r="W61" s="420" t="n"/>
      <c r="X61" s="422">
        <f>SUM(J61:W61)</f>
        <v/>
      </c>
      <c r="Y61" s="423">
        <f>X62-X61</f>
        <v/>
      </c>
      <c r="Z61" s="209" t="n"/>
    </row>
    <row r="62" ht="14.25" customHeight="1" s="296">
      <c r="A62" s="154">
        <f>-A61</f>
        <v/>
      </c>
      <c r="B62" s="154">
        <f>B61</f>
        <v/>
      </c>
      <c r="C62" s="163" t="n"/>
      <c r="D62" s="424" t="n"/>
      <c r="E62" s="425" t="n"/>
      <c r="F62" s="426" t="n"/>
      <c r="G62" s="164" t="inlineStr">
        <is>
          <t>факт</t>
        </is>
      </c>
      <c r="H62" s="165" t="n"/>
      <c r="I62" s="250" t="n"/>
      <c r="J62" s="427">
        <f>SUMIF('02'!$D$7:$D$159,$C61,'02'!L$7:L$159)+SUMIF('03'!$D$7:$D$159,$C61,'03'!L$7:L$159)+SUMIF('04'!$D$7:$D$159,$C61,'04'!L$7:L$159)+SUMIF('05'!$D$7:$D$159,$C61,'05'!L$7:L$159)+SUMIF('06'!$D$7:$D$159,$C61,'06'!L$7:L$159)+SUMIF('07'!$D$7:$D$159,$C61,'07'!L$7:L$159)+SUMIF('08'!$D$7:$D$159,$C61,'08'!L$7:L$159)</f>
        <v/>
      </c>
      <c r="K62" s="428">
        <f>SUMIF('02'!$D$7:$D$159,$C61,'02'!M$7:M$159)+SUMIF('03'!$D$7:$D$159,$C61,'03'!M$7:M$159)+SUMIF('04'!$D$7:$D$159,$C61,'04'!M$7:M$159)+SUMIF('05'!$D$7:$D$159,$C61,'05'!M$7:M$159)+SUMIF('06'!$D$7:$D$159,$C61,'06'!M$7:M$159)+SUMIF('07'!$D$7:$D$159,$C61,'07'!M$7:M$159)+SUMIF('08'!$D$7:$D$159,$C61,'08'!M$7:M$159)</f>
        <v/>
      </c>
      <c r="L62" s="429">
        <f>SUMIF('02'!$D$7:$D$159,$C61,'02'!N$7:N$159)+SUMIF('03'!$D$7:$D$159,$C61,'03'!N$7:N$159)+SUMIF('04'!$D$7:$D$159,$C61,'04'!N$7:N$159)+SUMIF('05'!$D$7:$D$159,$C61,'05'!N$7:N$159)+SUMIF('06'!$D$7:$D$159,$C61,'06'!N$7:N$159)+SUMIF('07'!$D$7:$D$159,$C61,'07'!N$7:N$159)+SUMIF('08'!$D$7:$D$159,$C61,'08'!N$7:N$159)</f>
        <v/>
      </c>
      <c r="M62" s="427">
        <f>SUMIF('02'!$D$7:$D$159,$C61,'02'!O$7:O$159)+SUMIF('03'!$D$7:$D$159,$C61,'03'!O$7:O$159)+SUMIF('04'!$D$7:$D$159,$C61,'04'!O$7:O$159)+SUMIF('05'!$D$7:$D$159,$C61,'05'!O$7:O$159)+SUMIF('06'!$D$7:$D$159,$C61,'06'!O$7:O$159)+SUMIF('07'!$D$7:$D$159,$C61,'07'!O$7:O$159)+SUMIF('08'!$D$7:$D$159,$C61,'08'!O$7:O$159)</f>
        <v/>
      </c>
      <c r="N62" s="428">
        <f>SUMIF('02'!$D$7:$D$159,$C61,'02'!P$7:P$159)+SUMIF('03'!$D$7:$D$159,$C61,'03'!P$7:P$159)+SUMIF('04'!$D$7:$D$159,$C61,'04'!P$7:P$159)+SUMIF('05'!$D$7:$D$159,$C61,'05'!P$7:P$159)+SUMIF('06'!$D$7:$D$159,$C61,'06'!P$7:P$159)+SUMIF('07'!$D$7:$D$159,$C61,'07'!P$7:P$159)+SUMIF('08'!$D$7:$D$159,$C61,'08'!P$7:P$159)</f>
        <v/>
      </c>
      <c r="O62" s="429">
        <f>SUMIF('02'!$D$7:$D$159,$C61,'02'!Q$7:Q$159)+SUMIF('03'!$D$7:$D$159,$C61,'03'!Q$7:Q$159)+SUMIF('04'!$D$7:$D$159,$C61,'04'!Q$7:Q$159)+SUMIF('05'!$D$7:$D$159,$C61,'05'!Q$7:Q$159)+SUMIF('06'!$D$7:$D$159,$C61,'06'!Q$7:Q$159)+SUMIF('07'!$D$7:$D$159,$C61,'07'!Q$7:Q$159)+SUMIF('08'!$D$7:$D$159,$C61,'08'!Q$7:Q$159)</f>
        <v/>
      </c>
      <c r="P62" s="427">
        <f>SUMIF('02'!$D$7:$D$159,$C61,'02'!R$7:R$159)+SUMIF('03'!$D$7:$D$159,$C61,'03'!R$7:R$159)+SUMIF('04'!$D$7:$D$159,$C61,'04'!R$7:R$159)+SUMIF('05'!$D$7:$D$159,$C61,'05'!R$7:R$159)+SUMIF('06'!$D$7:$D$159,$C61,'06'!R$7:R$159)+SUMIF('07'!$D$7:$D$159,$C61,'07'!R$7:R$159)+SUMIF('08'!$D$7:$D$159,$C61,'08'!R$7:R$159)</f>
        <v/>
      </c>
      <c r="Q62" s="428">
        <f>SUMIF('02'!$D$7:$D$159,$C61,'02'!S$7:S$159)+SUMIF('03'!$D$7:$D$159,$C61,'03'!S$7:S$159)+SUMIF('04'!$D$7:$D$159,$C61,'04'!S$7:S$159)+SUMIF('05'!$D$7:$D$159,$C61,'05'!S$7:S$159)+SUMIF('06'!$D$7:$D$159,$C61,'06'!S$7:S$159)+SUMIF('07'!$D$7:$D$159,$C61,'07'!S$7:S$159)+SUMIF('08'!$D$7:$D$159,$C61,'08'!S$7:S$159)</f>
        <v/>
      </c>
      <c r="R62" s="429">
        <f>SUMIF('02'!$D$7:$D$159,$C61,'02'!T$7:T$159)+SUMIF('03'!$D$7:$D$159,$C61,'03'!T$7:T$159)+SUMIF('04'!$D$7:$D$159,$C61,'04'!T$7:T$159)+SUMIF('05'!$D$7:$D$159,$C61,'05'!T$7:T$159)+SUMIF('06'!$D$7:$D$159,$C61,'06'!T$7:T$159)+SUMIF('07'!$D$7:$D$159,$C61,'07'!T$7:T$159)+SUMIF('08'!$D$7:$D$159,$C61,'08'!T$7:T$159)</f>
        <v/>
      </c>
      <c r="S62" s="427">
        <f>SUMIF('02'!$D$7:$D$159,$C61,'02'!U$7:U$159)+SUMIF('03'!$D$7:$D$159,$C61,'03'!U$7:U$159)+SUMIF('04'!$D$7:$D$159,$C61,'04'!U$7:U$159)+SUMIF('05'!$D$7:$D$159,$C61,'05'!U$7:U$159)+SUMIF('06'!$D$7:$D$159,$C61,'06'!U$7:U$159)+SUMIF('07'!$D$7:$D$159,$C61,'07'!U$7:U$159)+SUMIF('08'!$D$7:$D$159,$C61,'08'!U$7:U$159)</f>
        <v/>
      </c>
      <c r="T62" s="428">
        <f>SUMIF('02'!$D$7:$D$159,$C61,'02'!V$7:V$159)+SUMIF('03'!$D$7:$D$159,$C61,'03'!V$7:V$159)+SUMIF('04'!$D$7:$D$159,$C61,'04'!V$7:V$159)+SUMIF('05'!$D$7:$D$159,$C61,'05'!V$7:V$159)+SUMIF('06'!$D$7:$D$159,$C61,'06'!V$7:V$159)+SUMIF('07'!$D$7:$D$159,$C61,'07'!V$7:V$159)+SUMIF('08'!$D$7:$D$159,$C61,'08'!V$7:V$159)</f>
        <v/>
      </c>
      <c r="U62" s="430">
        <f>SUMIF('02'!$D$7:$D$159,$C61,'02'!W$7:W$159)+SUMIF('03'!$D$7:$D$159,$C61,'03'!W$7:W$159)+SUMIF('04'!$D$7:$D$159,$C61,'04'!W$7:W$159)+SUMIF('05'!$D$7:$D$159,$C61,'05'!W$7:W$159)+SUMIF('06'!$D$7:$D$159,$C61,'06'!W$7:W$159)+SUMIF('07'!$D$7:$D$159,$C61,'07'!W$7:W$159)+SUMIF('08'!$D$7:$D$159,$C61,'08'!W$7:W$159)</f>
        <v/>
      </c>
      <c r="V62" s="429">
        <f>SUMIF('02'!$D$7:$D$159,$C61,'02'!X$7:X$159)+SUMIF('03'!$D$7:$D$159,$C61,'03'!X$7:X$159)+SUMIF('04'!$D$7:$D$159,$C61,'04'!X$7:X$159)+SUMIF('05'!$D$7:$D$159,$C61,'05'!X$7:X$159)+SUMIF('06'!$D$7:$D$159,$C61,'06'!X$7:X$159)+SUMIF('07'!$D$7:$D$159,$C61,'07'!X$7:X$159)+SUMIF('08'!$D$7:$D$159,$C61,'08'!X$7:X$159)</f>
        <v/>
      </c>
      <c r="W62" s="429">
        <f>SUMIF('02'!$D$7:$D$159,$C61,'02'!Y$7:Y$159)+SUMIF('03'!$D$7:$D$159,$C61,'03'!Y$7:Y$159)+SUMIF('04'!$D$7:$D$159,$C61,'04'!Y$7:Y$159)+SUMIF('05'!$D$7:$D$159,$C61,'05'!Y$7:Y$159)+SUMIF('06'!$D$7:$D$159,$C61,'06'!Y$7:Y$159)+SUMIF('07'!$D$7:$D$159,$C61,'07'!Y$7:Y$159)+SUMIF('08'!$D$7:$D$159,$C61,'08'!Y$7:Y$159)</f>
        <v/>
      </c>
      <c r="X62" s="431">
        <f>SUM(J62:W62)</f>
        <v/>
      </c>
      <c r="Y62" s="413" t="n"/>
      <c r="Z62" s="432" t="n"/>
    </row>
    <row r="63" ht="14.25" customHeight="1" s="296">
      <c r="A63" s="154">
        <f>IF(OR(C63="0",COUNTIF(КлючВесна,C63)&gt;1),0,MATCH(F63,ВидыНагр,0))</f>
        <v/>
      </c>
      <c r="B63" s="154">
        <f>(COUNTA(D63:F64,J63:W63,H63:I64)=0)</f>
        <v/>
      </c>
      <c r="C63" s="155">
        <f>IF(OR(TRIM(D63)="",COUNTIF(ВидыНагр,F63)&lt;&gt;1),"0",CONCATENATE("$",TRIM(D63),"$",TRIM(E63),"$",F63,"$"))</f>
        <v/>
      </c>
      <c r="D63" s="415" t="n"/>
      <c r="E63" s="416" t="n"/>
      <c r="F63" s="417" t="n"/>
      <c r="G63" s="156" t="inlineStr">
        <is>
          <t>план</t>
        </is>
      </c>
      <c r="H63" s="157" t="n"/>
      <c r="I63" s="158" t="n"/>
      <c r="J63" s="418" t="n"/>
      <c r="K63" s="419" t="n"/>
      <c r="L63" s="420" t="n"/>
      <c r="M63" s="418" t="n"/>
      <c r="N63" s="419" t="n"/>
      <c r="O63" s="420" t="n"/>
      <c r="P63" s="418" t="n"/>
      <c r="Q63" s="419" t="n"/>
      <c r="R63" s="420" t="n"/>
      <c r="S63" s="418" t="n"/>
      <c r="T63" s="419" t="n"/>
      <c r="U63" s="421" t="n"/>
      <c r="V63" s="420" t="n"/>
      <c r="W63" s="420" t="n"/>
      <c r="X63" s="422">
        <f>SUM(J63:W63)</f>
        <v/>
      </c>
      <c r="Y63" s="423">
        <f>X64-X63</f>
        <v/>
      </c>
      <c r="Z63" s="209" t="n"/>
    </row>
    <row r="64" ht="14.25" customHeight="1" s="296">
      <c r="A64" s="154">
        <f>-A63</f>
        <v/>
      </c>
      <c r="B64" s="154">
        <f>B63</f>
        <v/>
      </c>
      <c r="C64" s="163" t="n"/>
      <c r="D64" s="424" t="n"/>
      <c r="E64" s="425" t="n"/>
      <c r="F64" s="426" t="n"/>
      <c r="G64" s="164" t="inlineStr">
        <is>
          <t>факт</t>
        </is>
      </c>
      <c r="H64" s="165" t="n"/>
      <c r="I64" s="250" t="n"/>
      <c r="J64" s="427">
        <f>SUMIF('02'!$D$7:$D$159,$C63,'02'!L$7:L$159)+SUMIF('03'!$D$7:$D$159,$C63,'03'!L$7:L$159)+SUMIF('04'!$D$7:$D$159,$C63,'04'!L$7:L$159)+SUMIF('05'!$D$7:$D$159,$C63,'05'!L$7:L$159)+SUMIF('06'!$D$7:$D$159,$C63,'06'!L$7:L$159)+SUMIF('07'!$D$7:$D$159,$C63,'07'!L$7:L$159)+SUMIF('08'!$D$7:$D$159,$C63,'08'!L$7:L$159)</f>
        <v/>
      </c>
      <c r="K64" s="428">
        <f>SUMIF('02'!$D$7:$D$159,$C63,'02'!M$7:M$159)+SUMIF('03'!$D$7:$D$159,$C63,'03'!M$7:M$159)+SUMIF('04'!$D$7:$D$159,$C63,'04'!M$7:M$159)+SUMIF('05'!$D$7:$D$159,$C63,'05'!M$7:M$159)+SUMIF('06'!$D$7:$D$159,$C63,'06'!M$7:M$159)+SUMIF('07'!$D$7:$D$159,$C63,'07'!M$7:M$159)+SUMIF('08'!$D$7:$D$159,$C63,'08'!M$7:M$159)</f>
        <v/>
      </c>
      <c r="L64" s="429">
        <f>SUMIF('02'!$D$7:$D$159,$C63,'02'!N$7:N$159)+SUMIF('03'!$D$7:$D$159,$C63,'03'!N$7:N$159)+SUMIF('04'!$D$7:$D$159,$C63,'04'!N$7:N$159)+SUMIF('05'!$D$7:$D$159,$C63,'05'!N$7:N$159)+SUMIF('06'!$D$7:$D$159,$C63,'06'!N$7:N$159)+SUMIF('07'!$D$7:$D$159,$C63,'07'!N$7:N$159)+SUMIF('08'!$D$7:$D$159,$C63,'08'!N$7:N$159)</f>
        <v/>
      </c>
      <c r="M64" s="427">
        <f>SUMIF('02'!$D$7:$D$159,$C63,'02'!O$7:O$159)+SUMIF('03'!$D$7:$D$159,$C63,'03'!O$7:O$159)+SUMIF('04'!$D$7:$D$159,$C63,'04'!O$7:O$159)+SUMIF('05'!$D$7:$D$159,$C63,'05'!O$7:O$159)+SUMIF('06'!$D$7:$D$159,$C63,'06'!O$7:O$159)+SUMIF('07'!$D$7:$D$159,$C63,'07'!O$7:O$159)+SUMIF('08'!$D$7:$D$159,$C63,'08'!O$7:O$159)</f>
        <v/>
      </c>
      <c r="N64" s="428">
        <f>SUMIF('02'!$D$7:$D$159,$C63,'02'!P$7:P$159)+SUMIF('03'!$D$7:$D$159,$C63,'03'!P$7:P$159)+SUMIF('04'!$D$7:$D$159,$C63,'04'!P$7:P$159)+SUMIF('05'!$D$7:$D$159,$C63,'05'!P$7:P$159)+SUMIF('06'!$D$7:$D$159,$C63,'06'!P$7:P$159)+SUMIF('07'!$D$7:$D$159,$C63,'07'!P$7:P$159)+SUMIF('08'!$D$7:$D$159,$C63,'08'!P$7:P$159)</f>
        <v/>
      </c>
      <c r="O64" s="429">
        <f>SUMIF('02'!$D$7:$D$159,$C63,'02'!Q$7:Q$159)+SUMIF('03'!$D$7:$D$159,$C63,'03'!Q$7:Q$159)+SUMIF('04'!$D$7:$D$159,$C63,'04'!Q$7:Q$159)+SUMIF('05'!$D$7:$D$159,$C63,'05'!Q$7:Q$159)+SUMIF('06'!$D$7:$D$159,$C63,'06'!Q$7:Q$159)+SUMIF('07'!$D$7:$D$159,$C63,'07'!Q$7:Q$159)+SUMIF('08'!$D$7:$D$159,$C63,'08'!Q$7:Q$159)</f>
        <v/>
      </c>
      <c r="P64" s="427">
        <f>SUMIF('02'!$D$7:$D$159,$C63,'02'!R$7:R$159)+SUMIF('03'!$D$7:$D$159,$C63,'03'!R$7:R$159)+SUMIF('04'!$D$7:$D$159,$C63,'04'!R$7:R$159)+SUMIF('05'!$D$7:$D$159,$C63,'05'!R$7:R$159)+SUMIF('06'!$D$7:$D$159,$C63,'06'!R$7:R$159)+SUMIF('07'!$D$7:$D$159,$C63,'07'!R$7:R$159)+SUMIF('08'!$D$7:$D$159,$C63,'08'!R$7:R$159)</f>
        <v/>
      </c>
      <c r="Q64" s="428">
        <f>SUMIF('02'!$D$7:$D$159,$C63,'02'!S$7:S$159)+SUMIF('03'!$D$7:$D$159,$C63,'03'!S$7:S$159)+SUMIF('04'!$D$7:$D$159,$C63,'04'!S$7:S$159)+SUMIF('05'!$D$7:$D$159,$C63,'05'!S$7:S$159)+SUMIF('06'!$D$7:$D$159,$C63,'06'!S$7:S$159)+SUMIF('07'!$D$7:$D$159,$C63,'07'!S$7:S$159)+SUMIF('08'!$D$7:$D$159,$C63,'08'!S$7:S$159)</f>
        <v/>
      </c>
      <c r="R64" s="429">
        <f>SUMIF('02'!$D$7:$D$159,$C63,'02'!T$7:T$159)+SUMIF('03'!$D$7:$D$159,$C63,'03'!T$7:T$159)+SUMIF('04'!$D$7:$D$159,$C63,'04'!T$7:T$159)+SUMIF('05'!$D$7:$D$159,$C63,'05'!T$7:T$159)+SUMIF('06'!$D$7:$D$159,$C63,'06'!T$7:T$159)+SUMIF('07'!$D$7:$D$159,$C63,'07'!T$7:T$159)+SUMIF('08'!$D$7:$D$159,$C63,'08'!T$7:T$159)</f>
        <v/>
      </c>
      <c r="S64" s="427">
        <f>SUMIF('02'!$D$7:$D$159,$C63,'02'!U$7:U$159)+SUMIF('03'!$D$7:$D$159,$C63,'03'!U$7:U$159)+SUMIF('04'!$D$7:$D$159,$C63,'04'!U$7:U$159)+SUMIF('05'!$D$7:$D$159,$C63,'05'!U$7:U$159)+SUMIF('06'!$D$7:$D$159,$C63,'06'!U$7:U$159)+SUMIF('07'!$D$7:$D$159,$C63,'07'!U$7:U$159)+SUMIF('08'!$D$7:$D$159,$C63,'08'!U$7:U$159)</f>
        <v/>
      </c>
      <c r="T64" s="428">
        <f>SUMIF('02'!$D$7:$D$159,$C63,'02'!V$7:V$159)+SUMIF('03'!$D$7:$D$159,$C63,'03'!V$7:V$159)+SUMIF('04'!$D$7:$D$159,$C63,'04'!V$7:V$159)+SUMIF('05'!$D$7:$D$159,$C63,'05'!V$7:V$159)+SUMIF('06'!$D$7:$D$159,$C63,'06'!V$7:V$159)+SUMIF('07'!$D$7:$D$159,$C63,'07'!V$7:V$159)+SUMIF('08'!$D$7:$D$159,$C63,'08'!V$7:V$159)</f>
        <v/>
      </c>
      <c r="U64" s="430">
        <f>SUMIF('02'!$D$7:$D$159,$C63,'02'!W$7:W$159)+SUMIF('03'!$D$7:$D$159,$C63,'03'!W$7:W$159)+SUMIF('04'!$D$7:$D$159,$C63,'04'!W$7:W$159)+SUMIF('05'!$D$7:$D$159,$C63,'05'!W$7:W$159)+SUMIF('06'!$D$7:$D$159,$C63,'06'!W$7:W$159)+SUMIF('07'!$D$7:$D$159,$C63,'07'!W$7:W$159)+SUMIF('08'!$D$7:$D$159,$C63,'08'!W$7:W$159)</f>
        <v/>
      </c>
      <c r="V64" s="429">
        <f>SUMIF('02'!$D$7:$D$159,$C63,'02'!X$7:X$159)+SUMIF('03'!$D$7:$D$159,$C63,'03'!X$7:X$159)+SUMIF('04'!$D$7:$D$159,$C63,'04'!X$7:X$159)+SUMIF('05'!$D$7:$D$159,$C63,'05'!X$7:X$159)+SUMIF('06'!$D$7:$D$159,$C63,'06'!X$7:X$159)+SUMIF('07'!$D$7:$D$159,$C63,'07'!X$7:X$159)+SUMIF('08'!$D$7:$D$159,$C63,'08'!X$7:X$159)</f>
        <v/>
      </c>
      <c r="W64" s="429">
        <f>SUMIF('02'!$D$7:$D$159,$C63,'02'!Y$7:Y$159)+SUMIF('03'!$D$7:$D$159,$C63,'03'!Y$7:Y$159)+SUMIF('04'!$D$7:$D$159,$C63,'04'!Y$7:Y$159)+SUMIF('05'!$D$7:$D$159,$C63,'05'!Y$7:Y$159)+SUMIF('06'!$D$7:$D$159,$C63,'06'!Y$7:Y$159)+SUMIF('07'!$D$7:$D$159,$C63,'07'!Y$7:Y$159)+SUMIF('08'!$D$7:$D$159,$C63,'08'!Y$7:Y$159)</f>
        <v/>
      </c>
      <c r="X64" s="431">
        <f>SUM(J64:W64)</f>
        <v/>
      </c>
      <c r="Y64" s="413" t="n"/>
      <c r="Z64" s="432" t="n"/>
    </row>
    <row r="65" ht="14.25" customHeight="1" s="296">
      <c r="A65" s="154">
        <f>IF(OR(C65="0",COUNTIF(КлючВесна,C65)&gt;1),0,MATCH(F65,ВидыНагр,0))</f>
        <v/>
      </c>
      <c r="B65" s="154">
        <f>(COUNTA(D65:F66,J65:W65,H65:I66)=0)</f>
        <v/>
      </c>
      <c r="C65" s="155">
        <f>IF(OR(TRIM(D65)="",COUNTIF(ВидыНагр,F65)&lt;&gt;1),"0",CONCATENATE("$",TRIM(D65),"$",TRIM(E65),"$",F65,"$"))</f>
        <v/>
      </c>
      <c r="D65" s="415" t="n"/>
      <c r="E65" s="416" t="n"/>
      <c r="F65" s="417" t="n"/>
      <c r="G65" s="156" t="inlineStr">
        <is>
          <t>план</t>
        </is>
      </c>
      <c r="H65" s="157" t="n"/>
      <c r="I65" s="158" t="n"/>
      <c r="J65" s="418" t="n"/>
      <c r="K65" s="419" t="n"/>
      <c r="L65" s="420" t="n"/>
      <c r="M65" s="418" t="n"/>
      <c r="N65" s="419" t="n"/>
      <c r="O65" s="420" t="n"/>
      <c r="P65" s="418" t="n"/>
      <c r="Q65" s="419" t="n"/>
      <c r="R65" s="420" t="n"/>
      <c r="S65" s="418" t="n"/>
      <c r="T65" s="419" t="n"/>
      <c r="U65" s="421" t="n"/>
      <c r="V65" s="420" t="n"/>
      <c r="W65" s="420" t="n"/>
      <c r="X65" s="422">
        <f>SUM(J65:W65)</f>
        <v/>
      </c>
      <c r="Y65" s="423">
        <f>X66-X65</f>
        <v/>
      </c>
      <c r="Z65" s="209" t="n"/>
    </row>
    <row r="66" ht="14.25" customHeight="1" s="296">
      <c r="A66" s="154">
        <f>-A65</f>
        <v/>
      </c>
      <c r="B66" s="154">
        <f>B65</f>
        <v/>
      </c>
      <c r="C66" s="163" t="n"/>
      <c r="D66" s="424" t="n"/>
      <c r="E66" s="425" t="n"/>
      <c r="F66" s="426" t="n"/>
      <c r="G66" s="164" t="inlineStr">
        <is>
          <t>факт</t>
        </is>
      </c>
      <c r="H66" s="165" t="n"/>
      <c r="I66" s="250" t="n"/>
      <c r="J66" s="427">
        <f>SUMIF('02'!$D$7:$D$159,$C65,'02'!L$7:L$159)+SUMIF('03'!$D$7:$D$159,$C65,'03'!L$7:L$159)+SUMIF('04'!$D$7:$D$159,$C65,'04'!L$7:L$159)+SUMIF('05'!$D$7:$D$159,$C65,'05'!L$7:L$159)+SUMIF('06'!$D$7:$D$159,$C65,'06'!L$7:L$159)+SUMIF('07'!$D$7:$D$159,$C65,'07'!L$7:L$159)+SUMIF('08'!$D$7:$D$159,$C65,'08'!L$7:L$159)</f>
        <v/>
      </c>
      <c r="K66" s="428">
        <f>SUMIF('02'!$D$7:$D$159,$C65,'02'!M$7:M$159)+SUMIF('03'!$D$7:$D$159,$C65,'03'!M$7:M$159)+SUMIF('04'!$D$7:$D$159,$C65,'04'!M$7:M$159)+SUMIF('05'!$D$7:$D$159,$C65,'05'!M$7:M$159)+SUMIF('06'!$D$7:$D$159,$C65,'06'!M$7:M$159)+SUMIF('07'!$D$7:$D$159,$C65,'07'!M$7:M$159)+SUMIF('08'!$D$7:$D$159,$C65,'08'!M$7:M$159)</f>
        <v/>
      </c>
      <c r="L66" s="429">
        <f>SUMIF('02'!$D$7:$D$159,$C65,'02'!N$7:N$159)+SUMIF('03'!$D$7:$D$159,$C65,'03'!N$7:N$159)+SUMIF('04'!$D$7:$D$159,$C65,'04'!N$7:N$159)+SUMIF('05'!$D$7:$D$159,$C65,'05'!N$7:N$159)+SUMIF('06'!$D$7:$D$159,$C65,'06'!N$7:N$159)+SUMIF('07'!$D$7:$D$159,$C65,'07'!N$7:N$159)+SUMIF('08'!$D$7:$D$159,$C65,'08'!N$7:N$159)</f>
        <v/>
      </c>
      <c r="M66" s="427">
        <f>SUMIF('02'!$D$7:$D$159,$C65,'02'!O$7:O$159)+SUMIF('03'!$D$7:$D$159,$C65,'03'!O$7:O$159)+SUMIF('04'!$D$7:$D$159,$C65,'04'!O$7:O$159)+SUMIF('05'!$D$7:$D$159,$C65,'05'!O$7:O$159)+SUMIF('06'!$D$7:$D$159,$C65,'06'!O$7:O$159)+SUMIF('07'!$D$7:$D$159,$C65,'07'!O$7:O$159)+SUMIF('08'!$D$7:$D$159,$C65,'08'!O$7:O$159)</f>
        <v/>
      </c>
      <c r="N66" s="428">
        <f>SUMIF('02'!$D$7:$D$159,$C65,'02'!P$7:P$159)+SUMIF('03'!$D$7:$D$159,$C65,'03'!P$7:P$159)+SUMIF('04'!$D$7:$D$159,$C65,'04'!P$7:P$159)+SUMIF('05'!$D$7:$D$159,$C65,'05'!P$7:P$159)+SUMIF('06'!$D$7:$D$159,$C65,'06'!P$7:P$159)+SUMIF('07'!$D$7:$D$159,$C65,'07'!P$7:P$159)+SUMIF('08'!$D$7:$D$159,$C65,'08'!P$7:P$159)</f>
        <v/>
      </c>
      <c r="O66" s="429">
        <f>SUMIF('02'!$D$7:$D$159,$C65,'02'!Q$7:Q$159)+SUMIF('03'!$D$7:$D$159,$C65,'03'!Q$7:Q$159)+SUMIF('04'!$D$7:$D$159,$C65,'04'!Q$7:Q$159)+SUMIF('05'!$D$7:$D$159,$C65,'05'!Q$7:Q$159)+SUMIF('06'!$D$7:$D$159,$C65,'06'!Q$7:Q$159)+SUMIF('07'!$D$7:$D$159,$C65,'07'!Q$7:Q$159)+SUMIF('08'!$D$7:$D$159,$C65,'08'!Q$7:Q$159)</f>
        <v/>
      </c>
      <c r="P66" s="427">
        <f>SUMIF('02'!$D$7:$D$159,$C65,'02'!R$7:R$159)+SUMIF('03'!$D$7:$D$159,$C65,'03'!R$7:R$159)+SUMIF('04'!$D$7:$D$159,$C65,'04'!R$7:R$159)+SUMIF('05'!$D$7:$D$159,$C65,'05'!R$7:R$159)+SUMIF('06'!$D$7:$D$159,$C65,'06'!R$7:R$159)+SUMIF('07'!$D$7:$D$159,$C65,'07'!R$7:R$159)+SUMIF('08'!$D$7:$D$159,$C65,'08'!R$7:R$159)</f>
        <v/>
      </c>
      <c r="Q66" s="428">
        <f>SUMIF('02'!$D$7:$D$159,$C65,'02'!S$7:S$159)+SUMIF('03'!$D$7:$D$159,$C65,'03'!S$7:S$159)+SUMIF('04'!$D$7:$D$159,$C65,'04'!S$7:S$159)+SUMIF('05'!$D$7:$D$159,$C65,'05'!S$7:S$159)+SUMIF('06'!$D$7:$D$159,$C65,'06'!S$7:S$159)+SUMIF('07'!$D$7:$D$159,$C65,'07'!S$7:S$159)+SUMIF('08'!$D$7:$D$159,$C65,'08'!S$7:S$159)</f>
        <v/>
      </c>
      <c r="R66" s="429">
        <f>SUMIF('02'!$D$7:$D$159,$C65,'02'!T$7:T$159)+SUMIF('03'!$D$7:$D$159,$C65,'03'!T$7:T$159)+SUMIF('04'!$D$7:$D$159,$C65,'04'!T$7:T$159)+SUMIF('05'!$D$7:$D$159,$C65,'05'!T$7:T$159)+SUMIF('06'!$D$7:$D$159,$C65,'06'!T$7:T$159)+SUMIF('07'!$D$7:$D$159,$C65,'07'!T$7:T$159)+SUMIF('08'!$D$7:$D$159,$C65,'08'!T$7:T$159)</f>
        <v/>
      </c>
      <c r="S66" s="427">
        <f>SUMIF('02'!$D$7:$D$159,$C65,'02'!U$7:U$159)+SUMIF('03'!$D$7:$D$159,$C65,'03'!U$7:U$159)+SUMIF('04'!$D$7:$D$159,$C65,'04'!U$7:U$159)+SUMIF('05'!$D$7:$D$159,$C65,'05'!U$7:U$159)+SUMIF('06'!$D$7:$D$159,$C65,'06'!U$7:U$159)+SUMIF('07'!$D$7:$D$159,$C65,'07'!U$7:U$159)+SUMIF('08'!$D$7:$D$159,$C65,'08'!U$7:U$159)</f>
        <v/>
      </c>
      <c r="T66" s="428">
        <f>SUMIF('02'!$D$7:$D$159,$C65,'02'!V$7:V$159)+SUMIF('03'!$D$7:$D$159,$C65,'03'!V$7:V$159)+SUMIF('04'!$D$7:$D$159,$C65,'04'!V$7:V$159)+SUMIF('05'!$D$7:$D$159,$C65,'05'!V$7:V$159)+SUMIF('06'!$D$7:$D$159,$C65,'06'!V$7:V$159)+SUMIF('07'!$D$7:$D$159,$C65,'07'!V$7:V$159)+SUMIF('08'!$D$7:$D$159,$C65,'08'!V$7:V$159)</f>
        <v/>
      </c>
      <c r="U66" s="430">
        <f>SUMIF('02'!$D$7:$D$159,$C65,'02'!W$7:W$159)+SUMIF('03'!$D$7:$D$159,$C65,'03'!W$7:W$159)+SUMIF('04'!$D$7:$D$159,$C65,'04'!W$7:W$159)+SUMIF('05'!$D$7:$D$159,$C65,'05'!W$7:W$159)+SUMIF('06'!$D$7:$D$159,$C65,'06'!W$7:W$159)+SUMIF('07'!$D$7:$D$159,$C65,'07'!W$7:W$159)+SUMIF('08'!$D$7:$D$159,$C65,'08'!W$7:W$159)</f>
        <v/>
      </c>
      <c r="V66" s="429">
        <f>SUMIF('02'!$D$7:$D$159,$C65,'02'!X$7:X$159)+SUMIF('03'!$D$7:$D$159,$C65,'03'!X$7:X$159)+SUMIF('04'!$D$7:$D$159,$C65,'04'!X$7:X$159)+SUMIF('05'!$D$7:$D$159,$C65,'05'!X$7:X$159)+SUMIF('06'!$D$7:$D$159,$C65,'06'!X$7:X$159)+SUMIF('07'!$D$7:$D$159,$C65,'07'!X$7:X$159)+SUMIF('08'!$D$7:$D$159,$C65,'08'!X$7:X$159)</f>
        <v/>
      </c>
      <c r="W66" s="429">
        <f>SUMIF('02'!$D$7:$D$159,$C65,'02'!Y$7:Y$159)+SUMIF('03'!$D$7:$D$159,$C65,'03'!Y$7:Y$159)+SUMIF('04'!$D$7:$D$159,$C65,'04'!Y$7:Y$159)+SUMIF('05'!$D$7:$D$159,$C65,'05'!Y$7:Y$159)+SUMIF('06'!$D$7:$D$159,$C65,'06'!Y$7:Y$159)+SUMIF('07'!$D$7:$D$159,$C65,'07'!Y$7:Y$159)+SUMIF('08'!$D$7:$D$159,$C65,'08'!Y$7:Y$159)</f>
        <v/>
      </c>
      <c r="X66" s="431">
        <f>SUM(J66:W66)</f>
        <v/>
      </c>
      <c r="Y66" s="413" t="n"/>
      <c r="Z66" s="432" t="n"/>
    </row>
    <row r="67" ht="14.25" customHeight="1" s="296">
      <c r="A67" s="154">
        <f>IF(OR(C67="0",COUNTIF(КлючВесна,C67)&gt;1),0,MATCH(F67,ВидыНагр,0))</f>
        <v/>
      </c>
      <c r="B67" s="154">
        <f>(COUNTA(D67:F68,J67:W67,H67:I68)=0)</f>
        <v/>
      </c>
      <c r="C67" s="155">
        <f>IF(OR(TRIM(D67)="",COUNTIF(ВидыНагр,F67)&lt;&gt;1),"0",CONCATENATE("$",TRIM(D67),"$",TRIM(E67),"$",F67,"$"))</f>
        <v/>
      </c>
      <c r="D67" s="415" t="n"/>
      <c r="E67" s="416" t="n"/>
      <c r="F67" s="417" t="n"/>
      <c r="G67" s="156" t="inlineStr">
        <is>
          <t>план</t>
        </is>
      </c>
      <c r="H67" s="157" t="n"/>
      <c r="I67" s="158" t="n"/>
      <c r="J67" s="418" t="n"/>
      <c r="K67" s="419" t="n"/>
      <c r="L67" s="420" t="n"/>
      <c r="M67" s="418" t="n"/>
      <c r="N67" s="419" t="n"/>
      <c r="O67" s="420" t="n"/>
      <c r="P67" s="418" t="n"/>
      <c r="Q67" s="419" t="n"/>
      <c r="R67" s="420" t="n"/>
      <c r="S67" s="418" t="n"/>
      <c r="T67" s="419" t="n"/>
      <c r="U67" s="421" t="n"/>
      <c r="V67" s="420" t="n"/>
      <c r="W67" s="420" t="n"/>
      <c r="X67" s="422">
        <f>SUM(J67:W67)</f>
        <v/>
      </c>
      <c r="Y67" s="423">
        <f>X68-X67</f>
        <v/>
      </c>
      <c r="Z67" s="209" t="n"/>
    </row>
    <row r="68" ht="14.25" customHeight="1" s="296">
      <c r="A68" s="154">
        <f>-A67</f>
        <v/>
      </c>
      <c r="B68" s="154">
        <f>B67</f>
        <v/>
      </c>
      <c r="C68" s="163" t="n"/>
      <c r="D68" s="424" t="n"/>
      <c r="E68" s="425" t="n"/>
      <c r="F68" s="426" t="n"/>
      <c r="G68" s="164" t="inlineStr">
        <is>
          <t>факт</t>
        </is>
      </c>
      <c r="H68" s="165" t="n"/>
      <c r="I68" s="250" t="n"/>
      <c r="J68" s="427">
        <f>SUMIF('02'!$D$7:$D$159,$C67,'02'!L$7:L$159)+SUMIF('03'!$D$7:$D$159,$C67,'03'!L$7:L$159)+SUMIF('04'!$D$7:$D$159,$C67,'04'!L$7:L$159)+SUMIF('05'!$D$7:$D$159,$C67,'05'!L$7:L$159)+SUMIF('06'!$D$7:$D$159,$C67,'06'!L$7:L$159)+SUMIF('07'!$D$7:$D$159,$C67,'07'!L$7:L$159)+SUMIF('08'!$D$7:$D$159,$C67,'08'!L$7:L$159)</f>
        <v/>
      </c>
      <c r="K68" s="428">
        <f>SUMIF('02'!$D$7:$D$159,$C67,'02'!M$7:M$159)+SUMIF('03'!$D$7:$D$159,$C67,'03'!M$7:M$159)+SUMIF('04'!$D$7:$D$159,$C67,'04'!M$7:M$159)+SUMIF('05'!$D$7:$D$159,$C67,'05'!M$7:M$159)+SUMIF('06'!$D$7:$D$159,$C67,'06'!M$7:M$159)+SUMIF('07'!$D$7:$D$159,$C67,'07'!M$7:M$159)+SUMIF('08'!$D$7:$D$159,$C67,'08'!M$7:M$159)</f>
        <v/>
      </c>
      <c r="L68" s="429">
        <f>SUMIF('02'!$D$7:$D$159,$C67,'02'!N$7:N$159)+SUMIF('03'!$D$7:$D$159,$C67,'03'!N$7:N$159)+SUMIF('04'!$D$7:$D$159,$C67,'04'!N$7:N$159)+SUMIF('05'!$D$7:$D$159,$C67,'05'!N$7:N$159)+SUMIF('06'!$D$7:$D$159,$C67,'06'!N$7:N$159)+SUMIF('07'!$D$7:$D$159,$C67,'07'!N$7:N$159)+SUMIF('08'!$D$7:$D$159,$C67,'08'!N$7:N$159)</f>
        <v/>
      </c>
      <c r="M68" s="427">
        <f>SUMIF('02'!$D$7:$D$159,$C67,'02'!O$7:O$159)+SUMIF('03'!$D$7:$D$159,$C67,'03'!O$7:O$159)+SUMIF('04'!$D$7:$D$159,$C67,'04'!O$7:O$159)+SUMIF('05'!$D$7:$D$159,$C67,'05'!O$7:O$159)+SUMIF('06'!$D$7:$D$159,$C67,'06'!O$7:O$159)+SUMIF('07'!$D$7:$D$159,$C67,'07'!O$7:O$159)+SUMIF('08'!$D$7:$D$159,$C67,'08'!O$7:O$159)</f>
        <v/>
      </c>
      <c r="N68" s="428">
        <f>SUMIF('02'!$D$7:$D$159,$C67,'02'!P$7:P$159)+SUMIF('03'!$D$7:$D$159,$C67,'03'!P$7:P$159)+SUMIF('04'!$D$7:$D$159,$C67,'04'!P$7:P$159)+SUMIF('05'!$D$7:$D$159,$C67,'05'!P$7:P$159)+SUMIF('06'!$D$7:$D$159,$C67,'06'!P$7:P$159)+SUMIF('07'!$D$7:$D$159,$C67,'07'!P$7:P$159)+SUMIF('08'!$D$7:$D$159,$C67,'08'!P$7:P$159)</f>
        <v/>
      </c>
      <c r="O68" s="429">
        <f>SUMIF('02'!$D$7:$D$159,$C67,'02'!Q$7:Q$159)+SUMIF('03'!$D$7:$D$159,$C67,'03'!Q$7:Q$159)+SUMIF('04'!$D$7:$D$159,$C67,'04'!Q$7:Q$159)+SUMIF('05'!$D$7:$D$159,$C67,'05'!Q$7:Q$159)+SUMIF('06'!$D$7:$D$159,$C67,'06'!Q$7:Q$159)+SUMIF('07'!$D$7:$D$159,$C67,'07'!Q$7:Q$159)+SUMIF('08'!$D$7:$D$159,$C67,'08'!Q$7:Q$159)</f>
        <v/>
      </c>
      <c r="P68" s="427">
        <f>SUMIF('02'!$D$7:$D$159,$C67,'02'!R$7:R$159)+SUMIF('03'!$D$7:$D$159,$C67,'03'!R$7:R$159)+SUMIF('04'!$D$7:$D$159,$C67,'04'!R$7:R$159)+SUMIF('05'!$D$7:$D$159,$C67,'05'!R$7:R$159)+SUMIF('06'!$D$7:$D$159,$C67,'06'!R$7:R$159)+SUMIF('07'!$D$7:$D$159,$C67,'07'!R$7:R$159)+SUMIF('08'!$D$7:$D$159,$C67,'08'!R$7:R$159)</f>
        <v/>
      </c>
      <c r="Q68" s="428">
        <f>SUMIF('02'!$D$7:$D$159,$C67,'02'!S$7:S$159)+SUMIF('03'!$D$7:$D$159,$C67,'03'!S$7:S$159)+SUMIF('04'!$D$7:$D$159,$C67,'04'!S$7:S$159)+SUMIF('05'!$D$7:$D$159,$C67,'05'!S$7:S$159)+SUMIF('06'!$D$7:$D$159,$C67,'06'!S$7:S$159)+SUMIF('07'!$D$7:$D$159,$C67,'07'!S$7:S$159)+SUMIF('08'!$D$7:$D$159,$C67,'08'!S$7:S$159)</f>
        <v/>
      </c>
      <c r="R68" s="429">
        <f>SUMIF('02'!$D$7:$D$159,$C67,'02'!T$7:T$159)+SUMIF('03'!$D$7:$D$159,$C67,'03'!T$7:T$159)+SUMIF('04'!$D$7:$D$159,$C67,'04'!T$7:T$159)+SUMIF('05'!$D$7:$D$159,$C67,'05'!T$7:T$159)+SUMIF('06'!$D$7:$D$159,$C67,'06'!T$7:T$159)+SUMIF('07'!$D$7:$D$159,$C67,'07'!T$7:T$159)+SUMIF('08'!$D$7:$D$159,$C67,'08'!T$7:T$159)</f>
        <v/>
      </c>
      <c r="S68" s="427">
        <f>SUMIF('02'!$D$7:$D$159,$C67,'02'!U$7:U$159)+SUMIF('03'!$D$7:$D$159,$C67,'03'!U$7:U$159)+SUMIF('04'!$D$7:$D$159,$C67,'04'!U$7:U$159)+SUMIF('05'!$D$7:$D$159,$C67,'05'!U$7:U$159)+SUMIF('06'!$D$7:$D$159,$C67,'06'!U$7:U$159)+SUMIF('07'!$D$7:$D$159,$C67,'07'!U$7:U$159)+SUMIF('08'!$D$7:$D$159,$C67,'08'!U$7:U$159)</f>
        <v/>
      </c>
      <c r="T68" s="428">
        <f>SUMIF('02'!$D$7:$D$159,$C67,'02'!V$7:V$159)+SUMIF('03'!$D$7:$D$159,$C67,'03'!V$7:V$159)+SUMIF('04'!$D$7:$D$159,$C67,'04'!V$7:V$159)+SUMIF('05'!$D$7:$D$159,$C67,'05'!V$7:V$159)+SUMIF('06'!$D$7:$D$159,$C67,'06'!V$7:V$159)+SUMIF('07'!$D$7:$D$159,$C67,'07'!V$7:V$159)+SUMIF('08'!$D$7:$D$159,$C67,'08'!V$7:V$159)</f>
        <v/>
      </c>
      <c r="U68" s="430">
        <f>SUMIF('02'!$D$7:$D$159,$C67,'02'!W$7:W$159)+SUMIF('03'!$D$7:$D$159,$C67,'03'!W$7:W$159)+SUMIF('04'!$D$7:$D$159,$C67,'04'!W$7:W$159)+SUMIF('05'!$D$7:$D$159,$C67,'05'!W$7:W$159)+SUMIF('06'!$D$7:$D$159,$C67,'06'!W$7:W$159)+SUMIF('07'!$D$7:$D$159,$C67,'07'!W$7:W$159)+SUMIF('08'!$D$7:$D$159,$C67,'08'!W$7:W$159)</f>
        <v/>
      </c>
      <c r="V68" s="429">
        <f>SUMIF('02'!$D$7:$D$159,$C67,'02'!X$7:X$159)+SUMIF('03'!$D$7:$D$159,$C67,'03'!X$7:X$159)+SUMIF('04'!$D$7:$D$159,$C67,'04'!X$7:X$159)+SUMIF('05'!$D$7:$D$159,$C67,'05'!X$7:X$159)+SUMIF('06'!$D$7:$D$159,$C67,'06'!X$7:X$159)+SUMIF('07'!$D$7:$D$159,$C67,'07'!X$7:X$159)+SUMIF('08'!$D$7:$D$159,$C67,'08'!X$7:X$159)</f>
        <v/>
      </c>
      <c r="W68" s="429">
        <f>SUMIF('02'!$D$7:$D$159,$C67,'02'!Y$7:Y$159)+SUMIF('03'!$D$7:$D$159,$C67,'03'!Y$7:Y$159)+SUMIF('04'!$D$7:$D$159,$C67,'04'!Y$7:Y$159)+SUMIF('05'!$D$7:$D$159,$C67,'05'!Y$7:Y$159)+SUMIF('06'!$D$7:$D$159,$C67,'06'!Y$7:Y$159)+SUMIF('07'!$D$7:$D$159,$C67,'07'!Y$7:Y$159)+SUMIF('08'!$D$7:$D$159,$C67,'08'!Y$7:Y$159)</f>
        <v/>
      </c>
      <c r="X68" s="431">
        <f>SUM(J68:W68)</f>
        <v/>
      </c>
      <c r="Y68" s="413" t="n"/>
      <c r="Z68" s="432" t="n"/>
    </row>
    <row r="69" ht="14.25" customHeight="1" s="296">
      <c r="A69" s="154">
        <f>IF(OR(C69="0",COUNTIF(КлючВесна,C69)&gt;1),0,MATCH(F69,ВидыНагр,0))</f>
        <v/>
      </c>
      <c r="B69" s="154">
        <f>(COUNTA(D69:F70,J69:W69,H69:I70)=0)</f>
        <v/>
      </c>
      <c r="C69" s="155">
        <f>IF(OR(TRIM(D69)="",COUNTIF(ВидыНагр,F69)&lt;&gt;1),"0",CONCATENATE("$",TRIM(D69),"$",TRIM(E69),"$",F69,"$"))</f>
        <v/>
      </c>
      <c r="D69" s="415" t="n"/>
      <c r="E69" s="416" t="n"/>
      <c r="F69" s="417" t="n"/>
      <c r="G69" s="156" t="inlineStr">
        <is>
          <t>план</t>
        </is>
      </c>
      <c r="H69" s="157" t="n"/>
      <c r="I69" s="158" t="n"/>
      <c r="J69" s="418" t="n"/>
      <c r="K69" s="419" t="n"/>
      <c r="L69" s="420" t="n"/>
      <c r="M69" s="418" t="n"/>
      <c r="N69" s="419" t="n"/>
      <c r="O69" s="420" t="n"/>
      <c r="P69" s="418" t="n"/>
      <c r="Q69" s="419" t="n"/>
      <c r="R69" s="420" t="n"/>
      <c r="S69" s="418" t="n"/>
      <c r="T69" s="419" t="n"/>
      <c r="U69" s="421" t="n"/>
      <c r="V69" s="420" t="n"/>
      <c r="W69" s="420" t="n"/>
      <c r="X69" s="422">
        <f>SUM(J69:W69)</f>
        <v/>
      </c>
      <c r="Y69" s="423">
        <f>X70-X69</f>
        <v/>
      </c>
      <c r="Z69" s="209" t="n"/>
    </row>
    <row r="70" ht="14.25" customHeight="1" s="296">
      <c r="A70" s="154">
        <f>-A69</f>
        <v/>
      </c>
      <c r="B70" s="154">
        <f>B69</f>
        <v/>
      </c>
      <c r="C70" s="163" t="n"/>
      <c r="D70" s="424" t="n"/>
      <c r="E70" s="425" t="n"/>
      <c r="F70" s="426" t="n"/>
      <c r="G70" s="164" t="inlineStr">
        <is>
          <t>факт</t>
        </is>
      </c>
      <c r="H70" s="165" t="n"/>
      <c r="I70" s="250" t="n"/>
      <c r="J70" s="427">
        <f>SUMIF('02'!$D$7:$D$159,$C69,'02'!L$7:L$159)+SUMIF('03'!$D$7:$D$159,$C69,'03'!L$7:L$159)+SUMIF('04'!$D$7:$D$159,$C69,'04'!L$7:L$159)+SUMIF('05'!$D$7:$D$159,$C69,'05'!L$7:L$159)+SUMIF('06'!$D$7:$D$159,$C69,'06'!L$7:L$159)+SUMIF('07'!$D$7:$D$159,$C69,'07'!L$7:L$159)+SUMIF('08'!$D$7:$D$159,$C69,'08'!L$7:L$159)</f>
        <v/>
      </c>
      <c r="K70" s="428">
        <f>SUMIF('02'!$D$7:$D$159,$C69,'02'!M$7:M$159)+SUMIF('03'!$D$7:$D$159,$C69,'03'!M$7:M$159)+SUMIF('04'!$D$7:$D$159,$C69,'04'!M$7:M$159)+SUMIF('05'!$D$7:$D$159,$C69,'05'!M$7:M$159)+SUMIF('06'!$D$7:$D$159,$C69,'06'!M$7:M$159)+SUMIF('07'!$D$7:$D$159,$C69,'07'!M$7:M$159)+SUMIF('08'!$D$7:$D$159,$C69,'08'!M$7:M$159)</f>
        <v/>
      </c>
      <c r="L70" s="429">
        <f>SUMIF('02'!$D$7:$D$159,$C69,'02'!N$7:N$159)+SUMIF('03'!$D$7:$D$159,$C69,'03'!N$7:N$159)+SUMIF('04'!$D$7:$D$159,$C69,'04'!N$7:N$159)+SUMIF('05'!$D$7:$D$159,$C69,'05'!N$7:N$159)+SUMIF('06'!$D$7:$D$159,$C69,'06'!N$7:N$159)+SUMIF('07'!$D$7:$D$159,$C69,'07'!N$7:N$159)+SUMIF('08'!$D$7:$D$159,$C69,'08'!N$7:N$159)</f>
        <v/>
      </c>
      <c r="M70" s="427">
        <f>SUMIF('02'!$D$7:$D$159,$C69,'02'!O$7:O$159)+SUMIF('03'!$D$7:$D$159,$C69,'03'!O$7:O$159)+SUMIF('04'!$D$7:$D$159,$C69,'04'!O$7:O$159)+SUMIF('05'!$D$7:$D$159,$C69,'05'!O$7:O$159)+SUMIF('06'!$D$7:$D$159,$C69,'06'!O$7:O$159)+SUMIF('07'!$D$7:$D$159,$C69,'07'!O$7:O$159)+SUMIF('08'!$D$7:$D$159,$C69,'08'!O$7:O$159)</f>
        <v/>
      </c>
      <c r="N70" s="428">
        <f>SUMIF('02'!$D$7:$D$159,$C69,'02'!P$7:P$159)+SUMIF('03'!$D$7:$D$159,$C69,'03'!P$7:P$159)+SUMIF('04'!$D$7:$D$159,$C69,'04'!P$7:P$159)+SUMIF('05'!$D$7:$D$159,$C69,'05'!P$7:P$159)+SUMIF('06'!$D$7:$D$159,$C69,'06'!P$7:P$159)+SUMIF('07'!$D$7:$D$159,$C69,'07'!P$7:P$159)+SUMIF('08'!$D$7:$D$159,$C69,'08'!P$7:P$159)</f>
        <v/>
      </c>
      <c r="O70" s="429">
        <f>SUMIF('02'!$D$7:$D$159,$C69,'02'!Q$7:Q$159)+SUMIF('03'!$D$7:$D$159,$C69,'03'!Q$7:Q$159)+SUMIF('04'!$D$7:$D$159,$C69,'04'!Q$7:Q$159)+SUMIF('05'!$D$7:$D$159,$C69,'05'!Q$7:Q$159)+SUMIF('06'!$D$7:$D$159,$C69,'06'!Q$7:Q$159)+SUMIF('07'!$D$7:$D$159,$C69,'07'!Q$7:Q$159)+SUMIF('08'!$D$7:$D$159,$C69,'08'!Q$7:Q$159)</f>
        <v/>
      </c>
      <c r="P70" s="427">
        <f>SUMIF('02'!$D$7:$D$159,$C69,'02'!R$7:R$159)+SUMIF('03'!$D$7:$D$159,$C69,'03'!R$7:R$159)+SUMIF('04'!$D$7:$D$159,$C69,'04'!R$7:R$159)+SUMIF('05'!$D$7:$D$159,$C69,'05'!R$7:R$159)+SUMIF('06'!$D$7:$D$159,$C69,'06'!R$7:R$159)+SUMIF('07'!$D$7:$D$159,$C69,'07'!R$7:R$159)+SUMIF('08'!$D$7:$D$159,$C69,'08'!R$7:R$159)</f>
        <v/>
      </c>
      <c r="Q70" s="428">
        <f>SUMIF('02'!$D$7:$D$159,$C69,'02'!S$7:S$159)+SUMIF('03'!$D$7:$D$159,$C69,'03'!S$7:S$159)+SUMIF('04'!$D$7:$D$159,$C69,'04'!S$7:S$159)+SUMIF('05'!$D$7:$D$159,$C69,'05'!S$7:S$159)+SUMIF('06'!$D$7:$D$159,$C69,'06'!S$7:S$159)+SUMIF('07'!$D$7:$D$159,$C69,'07'!S$7:S$159)+SUMIF('08'!$D$7:$D$159,$C69,'08'!S$7:S$159)</f>
        <v/>
      </c>
      <c r="R70" s="429">
        <f>SUMIF('02'!$D$7:$D$159,$C69,'02'!T$7:T$159)+SUMIF('03'!$D$7:$D$159,$C69,'03'!T$7:T$159)+SUMIF('04'!$D$7:$D$159,$C69,'04'!T$7:T$159)+SUMIF('05'!$D$7:$D$159,$C69,'05'!T$7:T$159)+SUMIF('06'!$D$7:$D$159,$C69,'06'!T$7:T$159)+SUMIF('07'!$D$7:$D$159,$C69,'07'!T$7:T$159)+SUMIF('08'!$D$7:$D$159,$C69,'08'!T$7:T$159)</f>
        <v/>
      </c>
      <c r="S70" s="427">
        <f>SUMIF('02'!$D$7:$D$159,$C69,'02'!U$7:U$159)+SUMIF('03'!$D$7:$D$159,$C69,'03'!U$7:U$159)+SUMIF('04'!$D$7:$D$159,$C69,'04'!U$7:U$159)+SUMIF('05'!$D$7:$D$159,$C69,'05'!U$7:U$159)+SUMIF('06'!$D$7:$D$159,$C69,'06'!U$7:U$159)+SUMIF('07'!$D$7:$D$159,$C69,'07'!U$7:U$159)+SUMIF('08'!$D$7:$D$159,$C69,'08'!U$7:U$159)</f>
        <v/>
      </c>
      <c r="T70" s="428">
        <f>SUMIF('02'!$D$7:$D$159,$C69,'02'!V$7:V$159)+SUMIF('03'!$D$7:$D$159,$C69,'03'!V$7:V$159)+SUMIF('04'!$D$7:$D$159,$C69,'04'!V$7:V$159)+SUMIF('05'!$D$7:$D$159,$C69,'05'!V$7:V$159)+SUMIF('06'!$D$7:$D$159,$C69,'06'!V$7:V$159)+SUMIF('07'!$D$7:$D$159,$C69,'07'!V$7:V$159)+SUMIF('08'!$D$7:$D$159,$C69,'08'!V$7:V$159)</f>
        <v/>
      </c>
      <c r="U70" s="430">
        <f>SUMIF('02'!$D$7:$D$159,$C69,'02'!W$7:W$159)+SUMIF('03'!$D$7:$D$159,$C69,'03'!W$7:W$159)+SUMIF('04'!$D$7:$D$159,$C69,'04'!W$7:W$159)+SUMIF('05'!$D$7:$D$159,$C69,'05'!W$7:W$159)+SUMIF('06'!$D$7:$D$159,$C69,'06'!W$7:W$159)+SUMIF('07'!$D$7:$D$159,$C69,'07'!W$7:W$159)+SUMIF('08'!$D$7:$D$159,$C69,'08'!W$7:W$159)</f>
        <v/>
      </c>
      <c r="V70" s="429">
        <f>SUMIF('02'!$D$7:$D$159,$C69,'02'!X$7:X$159)+SUMIF('03'!$D$7:$D$159,$C69,'03'!X$7:X$159)+SUMIF('04'!$D$7:$D$159,$C69,'04'!X$7:X$159)+SUMIF('05'!$D$7:$D$159,$C69,'05'!X$7:X$159)+SUMIF('06'!$D$7:$D$159,$C69,'06'!X$7:X$159)+SUMIF('07'!$D$7:$D$159,$C69,'07'!X$7:X$159)+SUMIF('08'!$D$7:$D$159,$C69,'08'!X$7:X$159)</f>
        <v/>
      </c>
      <c r="W70" s="429">
        <f>SUMIF('02'!$D$7:$D$159,$C69,'02'!Y$7:Y$159)+SUMIF('03'!$D$7:$D$159,$C69,'03'!Y$7:Y$159)+SUMIF('04'!$D$7:$D$159,$C69,'04'!Y$7:Y$159)+SUMIF('05'!$D$7:$D$159,$C69,'05'!Y$7:Y$159)+SUMIF('06'!$D$7:$D$159,$C69,'06'!Y$7:Y$159)+SUMIF('07'!$D$7:$D$159,$C69,'07'!Y$7:Y$159)+SUMIF('08'!$D$7:$D$159,$C69,'08'!Y$7:Y$159)</f>
        <v/>
      </c>
      <c r="X70" s="431">
        <f>SUM(J70:W70)</f>
        <v/>
      </c>
      <c r="Y70" s="413" t="n"/>
      <c r="Z70" s="432" t="n"/>
    </row>
    <row r="71" ht="14.25" customHeight="1" s="296">
      <c r="A71" s="154">
        <f>IF(OR(C71="0",COUNTIF(КлючВесна,C71)&gt;1),0,MATCH(F71,ВидыНагр,0))</f>
        <v/>
      </c>
      <c r="B71" s="154">
        <f>(COUNTA(D71:F72,J71:W71,H71:I72)=0)</f>
        <v/>
      </c>
      <c r="C71" s="155">
        <f>IF(OR(TRIM(D71)="",COUNTIF(ВидыНагр,F71)&lt;&gt;1),"0",CONCATENATE("$",TRIM(D71),"$",TRIM(E71),"$",F71,"$"))</f>
        <v/>
      </c>
      <c r="D71" s="415" t="n"/>
      <c r="E71" s="416" t="n"/>
      <c r="F71" s="417" t="n"/>
      <c r="G71" s="156" t="inlineStr">
        <is>
          <t>план</t>
        </is>
      </c>
      <c r="H71" s="157" t="n"/>
      <c r="I71" s="158" t="n"/>
      <c r="J71" s="418" t="n"/>
      <c r="K71" s="419" t="n"/>
      <c r="L71" s="420" t="n"/>
      <c r="M71" s="418" t="n"/>
      <c r="N71" s="419" t="n"/>
      <c r="O71" s="420" t="n"/>
      <c r="P71" s="418" t="n"/>
      <c r="Q71" s="419" t="n"/>
      <c r="R71" s="420" t="n"/>
      <c r="S71" s="418" t="n"/>
      <c r="T71" s="419" t="n"/>
      <c r="U71" s="421" t="n"/>
      <c r="V71" s="420" t="n"/>
      <c r="W71" s="420" t="n"/>
      <c r="X71" s="422">
        <f>SUM(J71:W71)</f>
        <v/>
      </c>
      <c r="Y71" s="423">
        <f>X72-X71</f>
        <v/>
      </c>
      <c r="Z71" s="209" t="n"/>
    </row>
    <row r="72" ht="14.25" customHeight="1" s="296">
      <c r="A72" s="154">
        <f>-A71</f>
        <v/>
      </c>
      <c r="B72" s="154">
        <f>B71</f>
        <v/>
      </c>
      <c r="C72" s="163" t="n"/>
      <c r="D72" s="424" t="n"/>
      <c r="E72" s="425" t="n"/>
      <c r="F72" s="426" t="n"/>
      <c r="G72" s="164" t="inlineStr">
        <is>
          <t>факт</t>
        </is>
      </c>
      <c r="H72" s="165" t="n"/>
      <c r="I72" s="250" t="n"/>
      <c r="J72" s="427">
        <f>SUMIF('02'!$D$7:$D$159,$C71,'02'!L$7:L$159)+SUMIF('03'!$D$7:$D$159,$C71,'03'!L$7:L$159)+SUMIF('04'!$D$7:$D$159,$C71,'04'!L$7:L$159)+SUMIF('05'!$D$7:$D$159,$C71,'05'!L$7:L$159)+SUMIF('06'!$D$7:$D$159,$C71,'06'!L$7:L$159)+SUMIF('07'!$D$7:$D$159,$C71,'07'!L$7:L$159)+SUMIF('08'!$D$7:$D$159,$C71,'08'!L$7:L$159)</f>
        <v/>
      </c>
      <c r="K72" s="428">
        <f>SUMIF('02'!$D$7:$D$159,$C71,'02'!M$7:M$159)+SUMIF('03'!$D$7:$D$159,$C71,'03'!M$7:M$159)+SUMIF('04'!$D$7:$D$159,$C71,'04'!M$7:M$159)+SUMIF('05'!$D$7:$D$159,$C71,'05'!M$7:M$159)+SUMIF('06'!$D$7:$D$159,$C71,'06'!M$7:M$159)+SUMIF('07'!$D$7:$D$159,$C71,'07'!M$7:M$159)+SUMIF('08'!$D$7:$D$159,$C71,'08'!M$7:M$159)</f>
        <v/>
      </c>
      <c r="L72" s="429">
        <f>SUMIF('02'!$D$7:$D$159,$C71,'02'!N$7:N$159)+SUMIF('03'!$D$7:$D$159,$C71,'03'!N$7:N$159)+SUMIF('04'!$D$7:$D$159,$C71,'04'!N$7:N$159)+SUMIF('05'!$D$7:$D$159,$C71,'05'!N$7:N$159)+SUMIF('06'!$D$7:$D$159,$C71,'06'!N$7:N$159)+SUMIF('07'!$D$7:$D$159,$C71,'07'!N$7:N$159)+SUMIF('08'!$D$7:$D$159,$C71,'08'!N$7:N$159)</f>
        <v/>
      </c>
      <c r="M72" s="427">
        <f>SUMIF('02'!$D$7:$D$159,$C71,'02'!O$7:O$159)+SUMIF('03'!$D$7:$D$159,$C71,'03'!O$7:O$159)+SUMIF('04'!$D$7:$D$159,$C71,'04'!O$7:O$159)+SUMIF('05'!$D$7:$D$159,$C71,'05'!O$7:O$159)+SUMIF('06'!$D$7:$D$159,$C71,'06'!O$7:O$159)+SUMIF('07'!$D$7:$D$159,$C71,'07'!O$7:O$159)+SUMIF('08'!$D$7:$D$159,$C71,'08'!O$7:O$159)</f>
        <v/>
      </c>
      <c r="N72" s="428">
        <f>SUMIF('02'!$D$7:$D$159,$C71,'02'!P$7:P$159)+SUMIF('03'!$D$7:$D$159,$C71,'03'!P$7:P$159)+SUMIF('04'!$D$7:$D$159,$C71,'04'!P$7:P$159)+SUMIF('05'!$D$7:$D$159,$C71,'05'!P$7:P$159)+SUMIF('06'!$D$7:$D$159,$C71,'06'!P$7:P$159)+SUMIF('07'!$D$7:$D$159,$C71,'07'!P$7:P$159)+SUMIF('08'!$D$7:$D$159,$C71,'08'!P$7:P$159)</f>
        <v/>
      </c>
      <c r="O72" s="429">
        <f>SUMIF('02'!$D$7:$D$159,$C71,'02'!Q$7:Q$159)+SUMIF('03'!$D$7:$D$159,$C71,'03'!Q$7:Q$159)+SUMIF('04'!$D$7:$D$159,$C71,'04'!Q$7:Q$159)+SUMIF('05'!$D$7:$D$159,$C71,'05'!Q$7:Q$159)+SUMIF('06'!$D$7:$D$159,$C71,'06'!Q$7:Q$159)+SUMIF('07'!$D$7:$D$159,$C71,'07'!Q$7:Q$159)+SUMIF('08'!$D$7:$D$159,$C71,'08'!Q$7:Q$159)</f>
        <v/>
      </c>
      <c r="P72" s="427">
        <f>SUMIF('02'!$D$7:$D$159,$C71,'02'!R$7:R$159)+SUMIF('03'!$D$7:$D$159,$C71,'03'!R$7:R$159)+SUMIF('04'!$D$7:$D$159,$C71,'04'!R$7:R$159)+SUMIF('05'!$D$7:$D$159,$C71,'05'!R$7:R$159)+SUMIF('06'!$D$7:$D$159,$C71,'06'!R$7:R$159)+SUMIF('07'!$D$7:$D$159,$C71,'07'!R$7:R$159)+SUMIF('08'!$D$7:$D$159,$C71,'08'!R$7:R$159)</f>
        <v/>
      </c>
      <c r="Q72" s="428">
        <f>SUMIF('02'!$D$7:$D$159,$C71,'02'!S$7:S$159)+SUMIF('03'!$D$7:$D$159,$C71,'03'!S$7:S$159)+SUMIF('04'!$D$7:$D$159,$C71,'04'!S$7:S$159)+SUMIF('05'!$D$7:$D$159,$C71,'05'!S$7:S$159)+SUMIF('06'!$D$7:$D$159,$C71,'06'!S$7:S$159)+SUMIF('07'!$D$7:$D$159,$C71,'07'!S$7:S$159)+SUMIF('08'!$D$7:$D$159,$C71,'08'!S$7:S$159)</f>
        <v/>
      </c>
      <c r="R72" s="429">
        <f>SUMIF('02'!$D$7:$D$159,$C71,'02'!T$7:T$159)+SUMIF('03'!$D$7:$D$159,$C71,'03'!T$7:T$159)+SUMIF('04'!$D$7:$D$159,$C71,'04'!T$7:T$159)+SUMIF('05'!$D$7:$D$159,$C71,'05'!T$7:T$159)+SUMIF('06'!$D$7:$D$159,$C71,'06'!T$7:T$159)+SUMIF('07'!$D$7:$D$159,$C71,'07'!T$7:T$159)+SUMIF('08'!$D$7:$D$159,$C71,'08'!T$7:T$159)</f>
        <v/>
      </c>
      <c r="S72" s="427">
        <f>SUMIF('02'!$D$7:$D$159,$C71,'02'!U$7:U$159)+SUMIF('03'!$D$7:$D$159,$C71,'03'!U$7:U$159)+SUMIF('04'!$D$7:$D$159,$C71,'04'!U$7:U$159)+SUMIF('05'!$D$7:$D$159,$C71,'05'!U$7:U$159)+SUMIF('06'!$D$7:$D$159,$C71,'06'!U$7:U$159)+SUMIF('07'!$D$7:$D$159,$C71,'07'!U$7:U$159)+SUMIF('08'!$D$7:$D$159,$C71,'08'!U$7:U$159)</f>
        <v/>
      </c>
      <c r="T72" s="428">
        <f>SUMIF('02'!$D$7:$D$159,$C71,'02'!V$7:V$159)+SUMIF('03'!$D$7:$D$159,$C71,'03'!V$7:V$159)+SUMIF('04'!$D$7:$D$159,$C71,'04'!V$7:V$159)+SUMIF('05'!$D$7:$D$159,$C71,'05'!V$7:V$159)+SUMIF('06'!$D$7:$D$159,$C71,'06'!V$7:V$159)+SUMIF('07'!$D$7:$D$159,$C71,'07'!V$7:V$159)+SUMIF('08'!$D$7:$D$159,$C71,'08'!V$7:V$159)</f>
        <v/>
      </c>
      <c r="U72" s="430">
        <f>SUMIF('02'!$D$7:$D$159,$C71,'02'!W$7:W$159)+SUMIF('03'!$D$7:$D$159,$C71,'03'!W$7:W$159)+SUMIF('04'!$D$7:$D$159,$C71,'04'!W$7:W$159)+SUMIF('05'!$D$7:$D$159,$C71,'05'!W$7:W$159)+SUMIF('06'!$D$7:$D$159,$C71,'06'!W$7:W$159)+SUMIF('07'!$D$7:$D$159,$C71,'07'!W$7:W$159)+SUMIF('08'!$D$7:$D$159,$C71,'08'!W$7:W$159)</f>
        <v/>
      </c>
      <c r="V72" s="429">
        <f>SUMIF('02'!$D$7:$D$159,$C71,'02'!X$7:X$159)+SUMIF('03'!$D$7:$D$159,$C71,'03'!X$7:X$159)+SUMIF('04'!$D$7:$D$159,$C71,'04'!X$7:X$159)+SUMIF('05'!$D$7:$D$159,$C71,'05'!X$7:X$159)+SUMIF('06'!$D$7:$D$159,$C71,'06'!X$7:X$159)+SUMIF('07'!$D$7:$D$159,$C71,'07'!X$7:X$159)+SUMIF('08'!$D$7:$D$159,$C71,'08'!X$7:X$159)</f>
        <v/>
      </c>
      <c r="W72" s="429">
        <f>SUMIF('02'!$D$7:$D$159,$C71,'02'!Y$7:Y$159)+SUMIF('03'!$D$7:$D$159,$C71,'03'!Y$7:Y$159)+SUMIF('04'!$D$7:$D$159,$C71,'04'!Y$7:Y$159)+SUMIF('05'!$D$7:$D$159,$C71,'05'!Y$7:Y$159)+SUMIF('06'!$D$7:$D$159,$C71,'06'!Y$7:Y$159)+SUMIF('07'!$D$7:$D$159,$C71,'07'!Y$7:Y$159)+SUMIF('08'!$D$7:$D$159,$C71,'08'!Y$7:Y$159)</f>
        <v/>
      </c>
      <c r="X72" s="431">
        <f>SUM(J72:W72)</f>
        <v/>
      </c>
      <c r="Y72" s="413" t="n"/>
      <c r="Z72" s="432" t="n"/>
    </row>
    <row r="73" ht="14.25" customHeight="1" s="296">
      <c r="A73" s="154">
        <f>IF(OR(C73="0",COUNTIF(КлючВесна,C73)&gt;1),0,MATCH(F73,ВидыНагр,0))</f>
        <v/>
      </c>
      <c r="B73" s="154">
        <f>(COUNTA(D73:F74,J73:W73,H73:I74)=0)</f>
        <v/>
      </c>
      <c r="C73" s="155">
        <f>IF(OR(TRIM(D73)="",COUNTIF(ВидыНагр,F73)&lt;&gt;1),"0",CONCATENATE("$",TRIM(D73),"$",TRIM(E73),"$",F73,"$"))</f>
        <v/>
      </c>
      <c r="D73" s="415" t="n"/>
      <c r="E73" s="416" t="n"/>
      <c r="F73" s="417" t="n"/>
      <c r="G73" s="156" t="inlineStr">
        <is>
          <t>план</t>
        </is>
      </c>
      <c r="H73" s="157" t="n"/>
      <c r="I73" s="158" t="n"/>
      <c r="J73" s="418" t="n"/>
      <c r="K73" s="419" t="n"/>
      <c r="L73" s="420" t="n"/>
      <c r="M73" s="418" t="n"/>
      <c r="N73" s="419" t="n"/>
      <c r="O73" s="420" t="n"/>
      <c r="P73" s="418" t="n"/>
      <c r="Q73" s="419" t="n"/>
      <c r="R73" s="420" t="n"/>
      <c r="S73" s="418" t="n"/>
      <c r="T73" s="419" t="n"/>
      <c r="U73" s="421" t="n"/>
      <c r="V73" s="420" t="n"/>
      <c r="W73" s="420" t="n"/>
      <c r="X73" s="422">
        <f>SUM(J73:W73)</f>
        <v/>
      </c>
      <c r="Y73" s="423">
        <f>X74-X73</f>
        <v/>
      </c>
      <c r="Z73" s="209" t="n"/>
    </row>
    <row r="74" ht="14.25" customHeight="1" s="296">
      <c r="A74" s="154">
        <f>-A73</f>
        <v/>
      </c>
      <c r="B74" s="154">
        <f>B73</f>
        <v/>
      </c>
      <c r="C74" s="163" t="n"/>
      <c r="D74" s="424" t="n"/>
      <c r="E74" s="425" t="n"/>
      <c r="F74" s="426" t="n"/>
      <c r="G74" s="164" t="inlineStr">
        <is>
          <t>факт</t>
        </is>
      </c>
      <c r="H74" s="165" t="n"/>
      <c r="I74" s="250" t="n"/>
      <c r="J74" s="427">
        <f>SUMIF('02'!$D$7:$D$159,$C73,'02'!L$7:L$159)+SUMIF('03'!$D$7:$D$159,$C73,'03'!L$7:L$159)+SUMIF('04'!$D$7:$D$159,$C73,'04'!L$7:L$159)+SUMIF('05'!$D$7:$D$159,$C73,'05'!L$7:L$159)+SUMIF('06'!$D$7:$D$159,$C73,'06'!L$7:L$159)+SUMIF('07'!$D$7:$D$159,$C73,'07'!L$7:L$159)+SUMIF('08'!$D$7:$D$159,$C73,'08'!L$7:L$159)</f>
        <v/>
      </c>
      <c r="K74" s="428">
        <f>SUMIF('02'!$D$7:$D$159,$C73,'02'!M$7:M$159)+SUMIF('03'!$D$7:$D$159,$C73,'03'!M$7:M$159)+SUMIF('04'!$D$7:$D$159,$C73,'04'!M$7:M$159)+SUMIF('05'!$D$7:$D$159,$C73,'05'!M$7:M$159)+SUMIF('06'!$D$7:$D$159,$C73,'06'!M$7:M$159)+SUMIF('07'!$D$7:$D$159,$C73,'07'!M$7:M$159)+SUMIF('08'!$D$7:$D$159,$C73,'08'!M$7:M$159)</f>
        <v/>
      </c>
      <c r="L74" s="429">
        <f>SUMIF('02'!$D$7:$D$159,$C73,'02'!N$7:N$159)+SUMIF('03'!$D$7:$D$159,$C73,'03'!N$7:N$159)+SUMIF('04'!$D$7:$D$159,$C73,'04'!N$7:N$159)+SUMIF('05'!$D$7:$D$159,$C73,'05'!N$7:N$159)+SUMIF('06'!$D$7:$D$159,$C73,'06'!N$7:N$159)+SUMIF('07'!$D$7:$D$159,$C73,'07'!N$7:N$159)+SUMIF('08'!$D$7:$D$159,$C73,'08'!N$7:N$159)</f>
        <v/>
      </c>
      <c r="M74" s="427">
        <f>SUMIF('02'!$D$7:$D$159,$C73,'02'!O$7:O$159)+SUMIF('03'!$D$7:$D$159,$C73,'03'!O$7:O$159)+SUMIF('04'!$D$7:$D$159,$C73,'04'!O$7:O$159)+SUMIF('05'!$D$7:$D$159,$C73,'05'!O$7:O$159)+SUMIF('06'!$D$7:$D$159,$C73,'06'!O$7:O$159)+SUMIF('07'!$D$7:$D$159,$C73,'07'!O$7:O$159)+SUMIF('08'!$D$7:$D$159,$C73,'08'!O$7:O$159)</f>
        <v/>
      </c>
      <c r="N74" s="428">
        <f>SUMIF('02'!$D$7:$D$159,$C73,'02'!P$7:P$159)+SUMIF('03'!$D$7:$D$159,$C73,'03'!P$7:P$159)+SUMIF('04'!$D$7:$D$159,$C73,'04'!P$7:P$159)+SUMIF('05'!$D$7:$D$159,$C73,'05'!P$7:P$159)+SUMIF('06'!$D$7:$D$159,$C73,'06'!P$7:P$159)+SUMIF('07'!$D$7:$D$159,$C73,'07'!P$7:P$159)+SUMIF('08'!$D$7:$D$159,$C73,'08'!P$7:P$159)</f>
        <v/>
      </c>
      <c r="O74" s="429">
        <f>SUMIF('02'!$D$7:$D$159,$C73,'02'!Q$7:Q$159)+SUMIF('03'!$D$7:$D$159,$C73,'03'!Q$7:Q$159)+SUMIF('04'!$D$7:$D$159,$C73,'04'!Q$7:Q$159)+SUMIF('05'!$D$7:$D$159,$C73,'05'!Q$7:Q$159)+SUMIF('06'!$D$7:$D$159,$C73,'06'!Q$7:Q$159)+SUMIF('07'!$D$7:$D$159,$C73,'07'!Q$7:Q$159)+SUMIF('08'!$D$7:$D$159,$C73,'08'!Q$7:Q$159)</f>
        <v/>
      </c>
      <c r="P74" s="427">
        <f>SUMIF('02'!$D$7:$D$159,$C73,'02'!R$7:R$159)+SUMIF('03'!$D$7:$D$159,$C73,'03'!R$7:R$159)+SUMIF('04'!$D$7:$D$159,$C73,'04'!R$7:R$159)+SUMIF('05'!$D$7:$D$159,$C73,'05'!R$7:R$159)+SUMIF('06'!$D$7:$D$159,$C73,'06'!R$7:R$159)+SUMIF('07'!$D$7:$D$159,$C73,'07'!R$7:R$159)+SUMIF('08'!$D$7:$D$159,$C73,'08'!R$7:R$159)</f>
        <v/>
      </c>
      <c r="Q74" s="428">
        <f>SUMIF('02'!$D$7:$D$159,$C73,'02'!S$7:S$159)+SUMIF('03'!$D$7:$D$159,$C73,'03'!S$7:S$159)+SUMIF('04'!$D$7:$D$159,$C73,'04'!S$7:S$159)+SUMIF('05'!$D$7:$D$159,$C73,'05'!S$7:S$159)+SUMIF('06'!$D$7:$D$159,$C73,'06'!S$7:S$159)+SUMIF('07'!$D$7:$D$159,$C73,'07'!S$7:S$159)+SUMIF('08'!$D$7:$D$159,$C73,'08'!S$7:S$159)</f>
        <v/>
      </c>
      <c r="R74" s="429">
        <f>SUMIF('02'!$D$7:$D$159,$C73,'02'!T$7:T$159)+SUMIF('03'!$D$7:$D$159,$C73,'03'!T$7:T$159)+SUMIF('04'!$D$7:$D$159,$C73,'04'!T$7:T$159)+SUMIF('05'!$D$7:$D$159,$C73,'05'!T$7:T$159)+SUMIF('06'!$D$7:$D$159,$C73,'06'!T$7:T$159)+SUMIF('07'!$D$7:$D$159,$C73,'07'!T$7:T$159)+SUMIF('08'!$D$7:$D$159,$C73,'08'!T$7:T$159)</f>
        <v/>
      </c>
      <c r="S74" s="427">
        <f>SUMIF('02'!$D$7:$D$159,$C73,'02'!U$7:U$159)+SUMIF('03'!$D$7:$D$159,$C73,'03'!U$7:U$159)+SUMIF('04'!$D$7:$D$159,$C73,'04'!U$7:U$159)+SUMIF('05'!$D$7:$D$159,$C73,'05'!U$7:U$159)+SUMIF('06'!$D$7:$D$159,$C73,'06'!U$7:U$159)+SUMIF('07'!$D$7:$D$159,$C73,'07'!U$7:U$159)+SUMIF('08'!$D$7:$D$159,$C73,'08'!U$7:U$159)</f>
        <v/>
      </c>
      <c r="T74" s="428">
        <f>SUMIF('02'!$D$7:$D$159,$C73,'02'!V$7:V$159)+SUMIF('03'!$D$7:$D$159,$C73,'03'!V$7:V$159)+SUMIF('04'!$D$7:$D$159,$C73,'04'!V$7:V$159)+SUMIF('05'!$D$7:$D$159,$C73,'05'!V$7:V$159)+SUMIF('06'!$D$7:$D$159,$C73,'06'!V$7:V$159)+SUMIF('07'!$D$7:$D$159,$C73,'07'!V$7:V$159)+SUMIF('08'!$D$7:$D$159,$C73,'08'!V$7:V$159)</f>
        <v/>
      </c>
      <c r="U74" s="430">
        <f>SUMIF('02'!$D$7:$D$159,$C73,'02'!W$7:W$159)+SUMIF('03'!$D$7:$D$159,$C73,'03'!W$7:W$159)+SUMIF('04'!$D$7:$D$159,$C73,'04'!W$7:W$159)+SUMIF('05'!$D$7:$D$159,$C73,'05'!W$7:W$159)+SUMIF('06'!$D$7:$D$159,$C73,'06'!W$7:W$159)+SUMIF('07'!$D$7:$D$159,$C73,'07'!W$7:W$159)+SUMIF('08'!$D$7:$D$159,$C73,'08'!W$7:W$159)</f>
        <v/>
      </c>
      <c r="V74" s="429">
        <f>SUMIF('02'!$D$7:$D$159,$C73,'02'!X$7:X$159)+SUMIF('03'!$D$7:$D$159,$C73,'03'!X$7:X$159)+SUMIF('04'!$D$7:$D$159,$C73,'04'!X$7:X$159)+SUMIF('05'!$D$7:$D$159,$C73,'05'!X$7:X$159)+SUMIF('06'!$D$7:$D$159,$C73,'06'!X$7:X$159)+SUMIF('07'!$D$7:$D$159,$C73,'07'!X$7:X$159)+SUMIF('08'!$D$7:$D$159,$C73,'08'!X$7:X$159)</f>
        <v/>
      </c>
      <c r="W74" s="429">
        <f>SUMIF('02'!$D$7:$D$159,$C73,'02'!Y$7:Y$159)+SUMIF('03'!$D$7:$D$159,$C73,'03'!Y$7:Y$159)+SUMIF('04'!$D$7:$D$159,$C73,'04'!Y$7:Y$159)+SUMIF('05'!$D$7:$D$159,$C73,'05'!Y$7:Y$159)+SUMIF('06'!$D$7:$D$159,$C73,'06'!Y$7:Y$159)+SUMIF('07'!$D$7:$D$159,$C73,'07'!Y$7:Y$159)+SUMIF('08'!$D$7:$D$159,$C73,'08'!Y$7:Y$159)</f>
        <v/>
      </c>
      <c r="X74" s="431">
        <f>SUM(J74:W74)</f>
        <v/>
      </c>
      <c r="Y74" s="413" t="n"/>
      <c r="Z74" s="432" t="n"/>
    </row>
    <row r="75" ht="14.25" customHeight="1" s="296">
      <c r="A75" s="154">
        <f>IF(OR(C75="0",COUNTIF(КлючВесна,C75)&gt;1),0,MATCH(F75,ВидыНагр,0))</f>
        <v/>
      </c>
      <c r="B75" s="154">
        <f>(COUNTA(D75:F76,J75:W75,H75:I76)=0)</f>
        <v/>
      </c>
      <c r="C75" s="155">
        <f>IF(OR(TRIM(D75)="",COUNTIF(ВидыНагр,F75)&lt;&gt;1),"0",CONCATENATE("$",TRIM(D75),"$",TRIM(E75),"$",F75,"$"))</f>
        <v/>
      </c>
      <c r="D75" s="415" t="n"/>
      <c r="E75" s="416" t="n"/>
      <c r="F75" s="417" t="n"/>
      <c r="G75" s="156" t="inlineStr">
        <is>
          <t>план</t>
        </is>
      </c>
      <c r="H75" s="157" t="n"/>
      <c r="I75" s="158" t="n"/>
      <c r="J75" s="418" t="n"/>
      <c r="K75" s="419" t="n"/>
      <c r="L75" s="420" t="n"/>
      <c r="M75" s="418" t="n"/>
      <c r="N75" s="419" t="n"/>
      <c r="O75" s="420" t="n"/>
      <c r="P75" s="418" t="n"/>
      <c r="Q75" s="419" t="n"/>
      <c r="R75" s="420" t="n"/>
      <c r="S75" s="418" t="n"/>
      <c r="T75" s="419" t="n"/>
      <c r="U75" s="421" t="n"/>
      <c r="V75" s="420" t="n"/>
      <c r="W75" s="420" t="n"/>
      <c r="X75" s="422">
        <f>SUM(J75:W75)</f>
        <v/>
      </c>
      <c r="Y75" s="423">
        <f>X76-X75</f>
        <v/>
      </c>
      <c r="Z75" s="209" t="n"/>
    </row>
    <row r="76" ht="14.25" customHeight="1" s="296">
      <c r="A76" s="154">
        <f>-A75</f>
        <v/>
      </c>
      <c r="B76" s="154">
        <f>B75</f>
        <v/>
      </c>
      <c r="C76" s="163" t="n"/>
      <c r="D76" s="424" t="n"/>
      <c r="E76" s="425" t="n"/>
      <c r="F76" s="426" t="n"/>
      <c r="G76" s="164" t="inlineStr">
        <is>
          <t>факт</t>
        </is>
      </c>
      <c r="H76" s="165" t="n"/>
      <c r="I76" s="250" t="n"/>
      <c r="J76" s="427">
        <f>SUMIF('02'!$D$7:$D$159,$C75,'02'!L$7:L$159)+SUMIF('03'!$D$7:$D$159,$C75,'03'!L$7:L$159)+SUMIF('04'!$D$7:$D$159,$C75,'04'!L$7:L$159)+SUMIF('05'!$D$7:$D$159,$C75,'05'!L$7:L$159)+SUMIF('06'!$D$7:$D$159,$C75,'06'!L$7:L$159)+SUMIF('07'!$D$7:$D$159,$C75,'07'!L$7:L$159)+SUMIF('08'!$D$7:$D$159,$C75,'08'!L$7:L$159)</f>
        <v/>
      </c>
      <c r="K76" s="428">
        <f>SUMIF('02'!$D$7:$D$159,$C75,'02'!M$7:M$159)+SUMIF('03'!$D$7:$D$159,$C75,'03'!M$7:M$159)+SUMIF('04'!$D$7:$D$159,$C75,'04'!M$7:M$159)+SUMIF('05'!$D$7:$D$159,$C75,'05'!M$7:M$159)+SUMIF('06'!$D$7:$D$159,$C75,'06'!M$7:M$159)+SUMIF('07'!$D$7:$D$159,$C75,'07'!M$7:M$159)+SUMIF('08'!$D$7:$D$159,$C75,'08'!M$7:M$159)</f>
        <v/>
      </c>
      <c r="L76" s="429">
        <f>SUMIF('02'!$D$7:$D$159,$C75,'02'!N$7:N$159)+SUMIF('03'!$D$7:$D$159,$C75,'03'!N$7:N$159)+SUMIF('04'!$D$7:$D$159,$C75,'04'!N$7:N$159)+SUMIF('05'!$D$7:$D$159,$C75,'05'!N$7:N$159)+SUMIF('06'!$D$7:$D$159,$C75,'06'!N$7:N$159)+SUMIF('07'!$D$7:$D$159,$C75,'07'!N$7:N$159)+SUMIF('08'!$D$7:$D$159,$C75,'08'!N$7:N$159)</f>
        <v/>
      </c>
      <c r="M76" s="427">
        <f>SUMIF('02'!$D$7:$D$159,$C75,'02'!O$7:O$159)+SUMIF('03'!$D$7:$D$159,$C75,'03'!O$7:O$159)+SUMIF('04'!$D$7:$D$159,$C75,'04'!O$7:O$159)+SUMIF('05'!$D$7:$D$159,$C75,'05'!O$7:O$159)+SUMIF('06'!$D$7:$D$159,$C75,'06'!O$7:O$159)+SUMIF('07'!$D$7:$D$159,$C75,'07'!O$7:O$159)+SUMIF('08'!$D$7:$D$159,$C75,'08'!O$7:O$159)</f>
        <v/>
      </c>
      <c r="N76" s="428">
        <f>SUMIF('02'!$D$7:$D$159,$C75,'02'!P$7:P$159)+SUMIF('03'!$D$7:$D$159,$C75,'03'!P$7:P$159)+SUMIF('04'!$D$7:$D$159,$C75,'04'!P$7:P$159)+SUMIF('05'!$D$7:$D$159,$C75,'05'!P$7:P$159)+SUMIF('06'!$D$7:$D$159,$C75,'06'!P$7:P$159)+SUMIF('07'!$D$7:$D$159,$C75,'07'!P$7:P$159)+SUMIF('08'!$D$7:$D$159,$C75,'08'!P$7:P$159)</f>
        <v/>
      </c>
      <c r="O76" s="429">
        <f>SUMIF('02'!$D$7:$D$159,$C75,'02'!Q$7:Q$159)+SUMIF('03'!$D$7:$D$159,$C75,'03'!Q$7:Q$159)+SUMIF('04'!$D$7:$D$159,$C75,'04'!Q$7:Q$159)+SUMIF('05'!$D$7:$D$159,$C75,'05'!Q$7:Q$159)+SUMIF('06'!$D$7:$D$159,$C75,'06'!Q$7:Q$159)+SUMIF('07'!$D$7:$D$159,$C75,'07'!Q$7:Q$159)+SUMIF('08'!$D$7:$D$159,$C75,'08'!Q$7:Q$159)</f>
        <v/>
      </c>
      <c r="P76" s="427">
        <f>SUMIF('02'!$D$7:$D$159,$C75,'02'!R$7:R$159)+SUMIF('03'!$D$7:$D$159,$C75,'03'!R$7:R$159)+SUMIF('04'!$D$7:$D$159,$C75,'04'!R$7:R$159)+SUMIF('05'!$D$7:$D$159,$C75,'05'!R$7:R$159)+SUMIF('06'!$D$7:$D$159,$C75,'06'!R$7:R$159)+SUMIF('07'!$D$7:$D$159,$C75,'07'!R$7:R$159)+SUMIF('08'!$D$7:$D$159,$C75,'08'!R$7:R$159)</f>
        <v/>
      </c>
      <c r="Q76" s="428">
        <f>SUMIF('02'!$D$7:$D$159,$C75,'02'!S$7:S$159)+SUMIF('03'!$D$7:$D$159,$C75,'03'!S$7:S$159)+SUMIF('04'!$D$7:$D$159,$C75,'04'!S$7:S$159)+SUMIF('05'!$D$7:$D$159,$C75,'05'!S$7:S$159)+SUMIF('06'!$D$7:$D$159,$C75,'06'!S$7:S$159)+SUMIF('07'!$D$7:$D$159,$C75,'07'!S$7:S$159)+SUMIF('08'!$D$7:$D$159,$C75,'08'!S$7:S$159)</f>
        <v/>
      </c>
      <c r="R76" s="429">
        <f>SUMIF('02'!$D$7:$D$159,$C75,'02'!T$7:T$159)+SUMIF('03'!$D$7:$D$159,$C75,'03'!T$7:T$159)+SUMIF('04'!$D$7:$D$159,$C75,'04'!T$7:T$159)+SUMIF('05'!$D$7:$D$159,$C75,'05'!T$7:T$159)+SUMIF('06'!$D$7:$D$159,$C75,'06'!T$7:T$159)+SUMIF('07'!$D$7:$D$159,$C75,'07'!T$7:T$159)+SUMIF('08'!$D$7:$D$159,$C75,'08'!T$7:T$159)</f>
        <v/>
      </c>
      <c r="S76" s="427">
        <f>SUMIF('02'!$D$7:$D$159,$C75,'02'!U$7:U$159)+SUMIF('03'!$D$7:$D$159,$C75,'03'!U$7:U$159)+SUMIF('04'!$D$7:$D$159,$C75,'04'!U$7:U$159)+SUMIF('05'!$D$7:$D$159,$C75,'05'!U$7:U$159)+SUMIF('06'!$D$7:$D$159,$C75,'06'!U$7:U$159)+SUMIF('07'!$D$7:$D$159,$C75,'07'!U$7:U$159)+SUMIF('08'!$D$7:$D$159,$C75,'08'!U$7:U$159)</f>
        <v/>
      </c>
      <c r="T76" s="428">
        <f>SUMIF('02'!$D$7:$D$159,$C75,'02'!V$7:V$159)+SUMIF('03'!$D$7:$D$159,$C75,'03'!V$7:V$159)+SUMIF('04'!$D$7:$D$159,$C75,'04'!V$7:V$159)+SUMIF('05'!$D$7:$D$159,$C75,'05'!V$7:V$159)+SUMIF('06'!$D$7:$D$159,$C75,'06'!V$7:V$159)+SUMIF('07'!$D$7:$D$159,$C75,'07'!V$7:V$159)+SUMIF('08'!$D$7:$D$159,$C75,'08'!V$7:V$159)</f>
        <v/>
      </c>
      <c r="U76" s="430">
        <f>SUMIF('02'!$D$7:$D$159,$C75,'02'!W$7:W$159)+SUMIF('03'!$D$7:$D$159,$C75,'03'!W$7:W$159)+SUMIF('04'!$D$7:$D$159,$C75,'04'!W$7:W$159)+SUMIF('05'!$D$7:$D$159,$C75,'05'!W$7:W$159)+SUMIF('06'!$D$7:$D$159,$C75,'06'!W$7:W$159)+SUMIF('07'!$D$7:$D$159,$C75,'07'!W$7:W$159)+SUMIF('08'!$D$7:$D$159,$C75,'08'!W$7:W$159)</f>
        <v/>
      </c>
      <c r="V76" s="429">
        <f>SUMIF('02'!$D$7:$D$159,$C75,'02'!X$7:X$159)+SUMIF('03'!$D$7:$D$159,$C75,'03'!X$7:X$159)+SUMIF('04'!$D$7:$D$159,$C75,'04'!X$7:X$159)+SUMIF('05'!$D$7:$D$159,$C75,'05'!X$7:X$159)+SUMIF('06'!$D$7:$D$159,$C75,'06'!X$7:X$159)+SUMIF('07'!$D$7:$D$159,$C75,'07'!X$7:X$159)+SUMIF('08'!$D$7:$D$159,$C75,'08'!X$7:X$159)</f>
        <v/>
      </c>
      <c r="W76" s="429">
        <f>SUMIF('02'!$D$7:$D$159,$C75,'02'!Y$7:Y$159)+SUMIF('03'!$D$7:$D$159,$C75,'03'!Y$7:Y$159)+SUMIF('04'!$D$7:$D$159,$C75,'04'!Y$7:Y$159)+SUMIF('05'!$D$7:$D$159,$C75,'05'!Y$7:Y$159)+SUMIF('06'!$D$7:$D$159,$C75,'06'!Y$7:Y$159)+SUMIF('07'!$D$7:$D$159,$C75,'07'!Y$7:Y$159)+SUMIF('08'!$D$7:$D$159,$C75,'08'!Y$7:Y$159)</f>
        <v/>
      </c>
      <c r="X76" s="431">
        <f>SUM(J76:W76)</f>
        <v/>
      </c>
      <c r="Y76" s="413" t="n"/>
      <c r="Z76" s="432" t="n"/>
    </row>
    <row r="77" ht="14.25" customHeight="1" s="296">
      <c r="A77" s="154">
        <f>IF(OR(C77="0",COUNTIF(КлючВесна,C77)&gt;1),0,MATCH(F77,ВидыНагр,0))</f>
        <v/>
      </c>
      <c r="B77" s="154">
        <f>(COUNTA(D77:F78,J77:W77,H77:I78)=0)</f>
        <v/>
      </c>
      <c r="C77" s="155">
        <f>IF(OR(TRIM(D77)="",COUNTIF(ВидыНагр,F77)&lt;&gt;1),"0",CONCATENATE("$",TRIM(D77),"$",TRIM(E77),"$",F77,"$"))</f>
        <v/>
      </c>
      <c r="D77" s="415" t="n"/>
      <c r="E77" s="416" t="n"/>
      <c r="F77" s="417" t="n"/>
      <c r="G77" s="156" t="inlineStr">
        <is>
          <t>план</t>
        </is>
      </c>
      <c r="H77" s="157" t="n"/>
      <c r="I77" s="158" t="n"/>
      <c r="J77" s="418" t="n"/>
      <c r="K77" s="419" t="n"/>
      <c r="L77" s="420" t="n"/>
      <c r="M77" s="418" t="n"/>
      <c r="N77" s="419" t="n"/>
      <c r="O77" s="420" t="n"/>
      <c r="P77" s="418" t="n"/>
      <c r="Q77" s="419" t="n"/>
      <c r="R77" s="420" t="n"/>
      <c r="S77" s="418" t="n"/>
      <c r="T77" s="419" t="n"/>
      <c r="U77" s="421" t="n"/>
      <c r="V77" s="420" t="n"/>
      <c r="W77" s="420" t="n"/>
      <c r="X77" s="422">
        <f>SUM(J77:W77)</f>
        <v/>
      </c>
      <c r="Y77" s="423">
        <f>X78-X77</f>
        <v/>
      </c>
      <c r="Z77" s="209" t="n"/>
    </row>
    <row r="78" ht="14.25" customHeight="1" s="296">
      <c r="A78" s="154">
        <f>-A77</f>
        <v/>
      </c>
      <c r="B78" s="154">
        <f>B77</f>
        <v/>
      </c>
      <c r="C78" s="163" t="n"/>
      <c r="D78" s="424" t="n"/>
      <c r="E78" s="425" t="n"/>
      <c r="F78" s="426" t="n"/>
      <c r="G78" s="164" t="inlineStr">
        <is>
          <t>факт</t>
        </is>
      </c>
      <c r="H78" s="165" t="n"/>
      <c r="I78" s="250" t="n"/>
      <c r="J78" s="427">
        <f>SUMIF('02'!$D$7:$D$159,$C77,'02'!L$7:L$159)+SUMIF('03'!$D$7:$D$159,$C77,'03'!L$7:L$159)+SUMIF('04'!$D$7:$D$159,$C77,'04'!L$7:L$159)+SUMIF('05'!$D$7:$D$159,$C77,'05'!L$7:L$159)+SUMIF('06'!$D$7:$D$159,$C77,'06'!L$7:L$159)+SUMIF('07'!$D$7:$D$159,$C77,'07'!L$7:L$159)+SUMIF('08'!$D$7:$D$159,$C77,'08'!L$7:L$159)</f>
        <v/>
      </c>
      <c r="K78" s="428">
        <f>SUMIF('02'!$D$7:$D$159,$C77,'02'!M$7:M$159)+SUMIF('03'!$D$7:$D$159,$C77,'03'!M$7:M$159)+SUMIF('04'!$D$7:$D$159,$C77,'04'!M$7:M$159)+SUMIF('05'!$D$7:$D$159,$C77,'05'!M$7:M$159)+SUMIF('06'!$D$7:$D$159,$C77,'06'!M$7:M$159)+SUMIF('07'!$D$7:$D$159,$C77,'07'!M$7:M$159)+SUMIF('08'!$D$7:$D$159,$C77,'08'!M$7:M$159)</f>
        <v/>
      </c>
      <c r="L78" s="429">
        <f>SUMIF('02'!$D$7:$D$159,$C77,'02'!N$7:N$159)+SUMIF('03'!$D$7:$D$159,$C77,'03'!N$7:N$159)+SUMIF('04'!$D$7:$D$159,$C77,'04'!N$7:N$159)+SUMIF('05'!$D$7:$D$159,$C77,'05'!N$7:N$159)+SUMIF('06'!$D$7:$D$159,$C77,'06'!N$7:N$159)+SUMIF('07'!$D$7:$D$159,$C77,'07'!N$7:N$159)+SUMIF('08'!$D$7:$D$159,$C77,'08'!N$7:N$159)</f>
        <v/>
      </c>
      <c r="M78" s="427">
        <f>SUMIF('02'!$D$7:$D$159,$C77,'02'!O$7:O$159)+SUMIF('03'!$D$7:$D$159,$C77,'03'!O$7:O$159)+SUMIF('04'!$D$7:$D$159,$C77,'04'!O$7:O$159)+SUMIF('05'!$D$7:$D$159,$C77,'05'!O$7:O$159)+SUMIF('06'!$D$7:$D$159,$C77,'06'!O$7:O$159)+SUMIF('07'!$D$7:$D$159,$C77,'07'!O$7:O$159)+SUMIF('08'!$D$7:$D$159,$C77,'08'!O$7:O$159)</f>
        <v/>
      </c>
      <c r="N78" s="428">
        <f>SUMIF('02'!$D$7:$D$159,$C77,'02'!P$7:P$159)+SUMIF('03'!$D$7:$D$159,$C77,'03'!P$7:P$159)+SUMIF('04'!$D$7:$D$159,$C77,'04'!P$7:P$159)+SUMIF('05'!$D$7:$D$159,$C77,'05'!P$7:P$159)+SUMIF('06'!$D$7:$D$159,$C77,'06'!P$7:P$159)+SUMIF('07'!$D$7:$D$159,$C77,'07'!P$7:P$159)+SUMIF('08'!$D$7:$D$159,$C77,'08'!P$7:P$159)</f>
        <v/>
      </c>
      <c r="O78" s="429">
        <f>SUMIF('02'!$D$7:$D$159,$C77,'02'!Q$7:Q$159)+SUMIF('03'!$D$7:$D$159,$C77,'03'!Q$7:Q$159)+SUMIF('04'!$D$7:$D$159,$C77,'04'!Q$7:Q$159)+SUMIF('05'!$D$7:$D$159,$C77,'05'!Q$7:Q$159)+SUMIF('06'!$D$7:$D$159,$C77,'06'!Q$7:Q$159)+SUMIF('07'!$D$7:$D$159,$C77,'07'!Q$7:Q$159)+SUMIF('08'!$D$7:$D$159,$C77,'08'!Q$7:Q$159)</f>
        <v/>
      </c>
      <c r="P78" s="427">
        <f>SUMIF('02'!$D$7:$D$159,$C77,'02'!R$7:R$159)+SUMIF('03'!$D$7:$D$159,$C77,'03'!R$7:R$159)+SUMIF('04'!$D$7:$D$159,$C77,'04'!R$7:R$159)+SUMIF('05'!$D$7:$D$159,$C77,'05'!R$7:R$159)+SUMIF('06'!$D$7:$D$159,$C77,'06'!R$7:R$159)+SUMIF('07'!$D$7:$D$159,$C77,'07'!R$7:R$159)+SUMIF('08'!$D$7:$D$159,$C77,'08'!R$7:R$159)</f>
        <v/>
      </c>
      <c r="Q78" s="428">
        <f>SUMIF('02'!$D$7:$D$159,$C77,'02'!S$7:S$159)+SUMIF('03'!$D$7:$D$159,$C77,'03'!S$7:S$159)+SUMIF('04'!$D$7:$D$159,$C77,'04'!S$7:S$159)+SUMIF('05'!$D$7:$D$159,$C77,'05'!S$7:S$159)+SUMIF('06'!$D$7:$D$159,$C77,'06'!S$7:S$159)+SUMIF('07'!$D$7:$D$159,$C77,'07'!S$7:S$159)+SUMIF('08'!$D$7:$D$159,$C77,'08'!S$7:S$159)</f>
        <v/>
      </c>
      <c r="R78" s="429">
        <f>SUMIF('02'!$D$7:$D$159,$C77,'02'!T$7:T$159)+SUMIF('03'!$D$7:$D$159,$C77,'03'!T$7:T$159)+SUMIF('04'!$D$7:$D$159,$C77,'04'!T$7:T$159)+SUMIF('05'!$D$7:$D$159,$C77,'05'!T$7:T$159)+SUMIF('06'!$D$7:$D$159,$C77,'06'!T$7:T$159)+SUMIF('07'!$D$7:$D$159,$C77,'07'!T$7:T$159)+SUMIF('08'!$D$7:$D$159,$C77,'08'!T$7:T$159)</f>
        <v/>
      </c>
      <c r="S78" s="427">
        <f>SUMIF('02'!$D$7:$D$159,$C77,'02'!U$7:U$159)+SUMIF('03'!$D$7:$D$159,$C77,'03'!U$7:U$159)+SUMIF('04'!$D$7:$D$159,$C77,'04'!U$7:U$159)+SUMIF('05'!$D$7:$D$159,$C77,'05'!U$7:U$159)+SUMIF('06'!$D$7:$D$159,$C77,'06'!U$7:U$159)+SUMIF('07'!$D$7:$D$159,$C77,'07'!U$7:U$159)+SUMIF('08'!$D$7:$D$159,$C77,'08'!U$7:U$159)</f>
        <v/>
      </c>
      <c r="T78" s="428">
        <f>SUMIF('02'!$D$7:$D$159,$C77,'02'!V$7:V$159)+SUMIF('03'!$D$7:$D$159,$C77,'03'!V$7:V$159)+SUMIF('04'!$D$7:$D$159,$C77,'04'!V$7:V$159)+SUMIF('05'!$D$7:$D$159,$C77,'05'!V$7:V$159)+SUMIF('06'!$D$7:$D$159,$C77,'06'!V$7:V$159)+SUMIF('07'!$D$7:$D$159,$C77,'07'!V$7:V$159)+SUMIF('08'!$D$7:$D$159,$C77,'08'!V$7:V$159)</f>
        <v/>
      </c>
      <c r="U78" s="430">
        <f>SUMIF('02'!$D$7:$D$159,$C77,'02'!W$7:W$159)+SUMIF('03'!$D$7:$D$159,$C77,'03'!W$7:W$159)+SUMIF('04'!$D$7:$D$159,$C77,'04'!W$7:W$159)+SUMIF('05'!$D$7:$D$159,$C77,'05'!W$7:W$159)+SUMIF('06'!$D$7:$D$159,$C77,'06'!W$7:W$159)+SUMIF('07'!$D$7:$D$159,$C77,'07'!W$7:W$159)+SUMIF('08'!$D$7:$D$159,$C77,'08'!W$7:W$159)</f>
        <v/>
      </c>
      <c r="V78" s="429">
        <f>SUMIF('02'!$D$7:$D$159,$C77,'02'!X$7:X$159)+SUMIF('03'!$D$7:$D$159,$C77,'03'!X$7:X$159)+SUMIF('04'!$D$7:$D$159,$C77,'04'!X$7:X$159)+SUMIF('05'!$D$7:$D$159,$C77,'05'!X$7:X$159)+SUMIF('06'!$D$7:$D$159,$C77,'06'!X$7:X$159)+SUMIF('07'!$D$7:$D$159,$C77,'07'!X$7:X$159)+SUMIF('08'!$D$7:$D$159,$C77,'08'!X$7:X$159)</f>
        <v/>
      </c>
      <c r="W78" s="429">
        <f>SUMIF('02'!$D$7:$D$159,$C77,'02'!Y$7:Y$159)+SUMIF('03'!$D$7:$D$159,$C77,'03'!Y$7:Y$159)+SUMIF('04'!$D$7:$D$159,$C77,'04'!Y$7:Y$159)+SUMIF('05'!$D$7:$D$159,$C77,'05'!Y$7:Y$159)+SUMIF('06'!$D$7:$D$159,$C77,'06'!Y$7:Y$159)+SUMIF('07'!$D$7:$D$159,$C77,'07'!Y$7:Y$159)+SUMIF('08'!$D$7:$D$159,$C77,'08'!Y$7:Y$159)</f>
        <v/>
      </c>
      <c r="X78" s="431">
        <f>SUM(J78:W78)</f>
        <v/>
      </c>
      <c r="Y78" s="413" t="n"/>
      <c r="Z78" s="432" t="n"/>
    </row>
    <row r="79" ht="14.25" customHeight="1" s="296">
      <c r="A79" s="154">
        <f>IF(OR(C79="0",COUNTIF(КлючВесна,C79)&gt;1),0,MATCH(F79,ВидыНагр,0))</f>
        <v/>
      </c>
      <c r="B79" s="154">
        <f>(COUNTA(D79:F80,J79:W79,H79:I80)=0)</f>
        <v/>
      </c>
      <c r="C79" s="155">
        <f>IF(OR(TRIM(D79)="",COUNTIF(ВидыНагр,F79)&lt;&gt;1),"0",CONCATENATE("$",TRIM(D79),"$",TRIM(E79),"$",F79,"$"))</f>
        <v/>
      </c>
      <c r="D79" s="415" t="n"/>
      <c r="E79" s="416" t="n"/>
      <c r="F79" s="417" t="n"/>
      <c r="G79" s="156" t="inlineStr">
        <is>
          <t>план</t>
        </is>
      </c>
      <c r="H79" s="157" t="n"/>
      <c r="I79" s="158" t="n"/>
      <c r="J79" s="418" t="n"/>
      <c r="K79" s="419" t="n"/>
      <c r="L79" s="420" t="n"/>
      <c r="M79" s="418" t="n"/>
      <c r="N79" s="419" t="n"/>
      <c r="O79" s="420" t="n"/>
      <c r="P79" s="418" t="n"/>
      <c r="Q79" s="419" t="n"/>
      <c r="R79" s="420" t="n"/>
      <c r="S79" s="418" t="n"/>
      <c r="T79" s="419" t="n"/>
      <c r="U79" s="421" t="n"/>
      <c r="V79" s="420" t="n"/>
      <c r="W79" s="420" t="n"/>
      <c r="X79" s="422">
        <f>SUM(J79:W79)</f>
        <v/>
      </c>
      <c r="Y79" s="423">
        <f>X80-X79</f>
        <v/>
      </c>
      <c r="Z79" s="209" t="n"/>
    </row>
    <row r="80" ht="14.25" customHeight="1" s="296">
      <c r="A80" s="154">
        <f>-A79</f>
        <v/>
      </c>
      <c r="B80" s="154">
        <f>B79</f>
        <v/>
      </c>
      <c r="C80" s="163" t="n"/>
      <c r="D80" s="424" t="n"/>
      <c r="E80" s="425" t="n"/>
      <c r="F80" s="426" t="n"/>
      <c r="G80" s="164" t="inlineStr">
        <is>
          <t>факт</t>
        </is>
      </c>
      <c r="H80" s="165" t="n"/>
      <c r="I80" s="250" t="n"/>
      <c r="J80" s="427">
        <f>SUMIF('02'!$D$7:$D$159,$C79,'02'!L$7:L$159)+SUMIF('03'!$D$7:$D$159,$C79,'03'!L$7:L$159)+SUMIF('04'!$D$7:$D$159,$C79,'04'!L$7:L$159)+SUMIF('05'!$D$7:$D$159,$C79,'05'!L$7:L$159)+SUMIF('06'!$D$7:$D$159,$C79,'06'!L$7:L$159)+SUMIF('07'!$D$7:$D$159,$C79,'07'!L$7:L$159)+SUMIF('08'!$D$7:$D$159,$C79,'08'!L$7:L$159)</f>
        <v/>
      </c>
      <c r="K80" s="428">
        <f>SUMIF('02'!$D$7:$D$159,$C79,'02'!M$7:M$159)+SUMIF('03'!$D$7:$D$159,$C79,'03'!M$7:M$159)+SUMIF('04'!$D$7:$D$159,$C79,'04'!M$7:M$159)+SUMIF('05'!$D$7:$D$159,$C79,'05'!M$7:M$159)+SUMIF('06'!$D$7:$D$159,$C79,'06'!M$7:M$159)+SUMIF('07'!$D$7:$D$159,$C79,'07'!M$7:M$159)+SUMIF('08'!$D$7:$D$159,$C79,'08'!M$7:M$159)</f>
        <v/>
      </c>
      <c r="L80" s="429">
        <f>SUMIF('02'!$D$7:$D$159,$C79,'02'!N$7:N$159)+SUMIF('03'!$D$7:$D$159,$C79,'03'!N$7:N$159)+SUMIF('04'!$D$7:$D$159,$C79,'04'!N$7:N$159)+SUMIF('05'!$D$7:$D$159,$C79,'05'!N$7:N$159)+SUMIF('06'!$D$7:$D$159,$C79,'06'!N$7:N$159)+SUMIF('07'!$D$7:$D$159,$C79,'07'!N$7:N$159)+SUMIF('08'!$D$7:$D$159,$C79,'08'!N$7:N$159)</f>
        <v/>
      </c>
      <c r="M80" s="427">
        <f>SUMIF('02'!$D$7:$D$159,$C79,'02'!O$7:O$159)+SUMIF('03'!$D$7:$D$159,$C79,'03'!O$7:O$159)+SUMIF('04'!$D$7:$D$159,$C79,'04'!O$7:O$159)+SUMIF('05'!$D$7:$D$159,$C79,'05'!O$7:O$159)+SUMIF('06'!$D$7:$D$159,$C79,'06'!O$7:O$159)+SUMIF('07'!$D$7:$D$159,$C79,'07'!O$7:O$159)+SUMIF('08'!$D$7:$D$159,$C79,'08'!O$7:O$159)</f>
        <v/>
      </c>
      <c r="N80" s="428">
        <f>SUMIF('02'!$D$7:$D$159,$C79,'02'!P$7:P$159)+SUMIF('03'!$D$7:$D$159,$C79,'03'!P$7:P$159)+SUMIF('04'!$D$7:$D$159,$C79,'04'!P$7:P$159)+SUMIF('05'!$D$7:$D$159,$C79,'05'!P$7:P$159)+SUMIF('06'!$D$7:$D$159,$C79,'06'!P$7:P$159)+SUMIF('07'!$D$7:$D$159,$C79,'07'!P$7:P$159)+SUMIF('08'!$D$7:$D$159,$C79,'08'!P$7:P$159)</f>
        <v/>
      </c>
      <c r="O80" s="429">
        <f>SUMIF('02'!$D$7:$D$159,$C79,'02'!Q$7:Q$159)+SUMIF('03'!$D$7:$D$159,$C79,'03'!Q$7:Q$159)+SUMIF('04'!$D$7:$D$159,$C79,'04'!Q$7:Q$159)+SUMIF('05'!$D$7:$D$159,$C79,'05'!Q$7:Q$159)+SUMIF('06'!$D$7:$D$159,$C79,'06'!Q$7:Q$159)+SUMIF('07'!$D$7:$D$159,$C79,'07'!Q$7:Q$159)+SUMIF('08'!$D$7:$D$159,$C79,'08'!Q$7:Q$159)</f>
        <v/>
      </c>
      <c r="P80" s="427">
        <f>SUMIF('02'!$D$7:$D$159,$C79,'02'!R$7:R$159)+SUMIF('03'!$D$7:$D$159,$C79,'03'!R$7:R$159)+SUMIF('04'!$D$7:$D$159,$C79,'04'!R$7:R$159)+SUMIF('05'!$D$7:$D$159,$C79,'05'!R$7:R$159)+SUMIF('06'!$D$7:$D$159,$C79,'06'!R$7:R$159)+SUMIF('07'!$D$7:$D$159,$C79,'07'!R$7:R$159)+SUMIF('08'!$D$7:$D$159,$C79,'08'!R$7:R$159)</f>
        <v/>
      </c>
      <c r="Q80" s="428">
        <f>SUMIF('02'!$D$7:$D$159,$C79,'02'!S$7:S$159)+SUMIF('03'!$D$7:$D$159,$C79,'03'!S$7:S$159)+SUMIF('04'!$D$7:$D$159,$C79,'04'!S$7:S$159)+SUMIF('05'!$D$7:$D$159,$C79,'05'!S$7:S$159)+SUMIF('06'!$D$7:$D$159,$C79,'06'!S$7:S$159)+SUMIF('07'!$D$7:$D$159,$C79,'07'!S$7:S$159)+SUMIF('08'!$D$7:$D$159,$C79,'08'!S$7:S$159)</f>
        <v/>
      </c>
      <c r="R80" s="429">
        <f>SUMIF('02'!$D$7:$D$159,$C79,'02'!T$7:T$159)+SUMIF('03'!$D$7:$D$159,$C79,'03'!T$7:T$159)+SUMIF('04'!$D$7:$D$159,$C79,'04'!T$7:T$159)+SUMIF('05'!$D$7:$D$159,$C79,'05'!T$7:T$159)+SUMIF('06'!$D$7:$D$159,$C79,'06'!T$7:T$159)+SUMIF('07'!$D$7:$D$159,$C79,'07'!T$7:T$159)+SUMIF('08'!$D$7:$D$159,$C79,'08'!T$7:T$159)</f>
        <v/>
      </c>
      <c r="S80" s="427">
        <f>SUMIF('02'!$D$7:$D$159,$C79,'02'!U$7:U$159)+SUMIF('03'!$D$7:$D$159,$C79,'03'!U$7:U$159)+SUMIF('04'!$D$7:$D$159,$C79,'04'!U$7:U$159)+SUMIF('05'!$D$7:$D$159,$C79,'05'!U$7:U$159)+SUMIF('06'!$D$7:$D$159,$C79,'06'!U$7:U$159)+SUMIF('07'!$D$7:$D$159,$C79,'07'!U$7:U$159)+SUMIF('08'!$D$7:$D$159,$C79,'08'!U$7:U$159)</f>
        <v/>
      </c>
      <c r="T80" s="428">
        <f>SUMIF('02'!$D$7:$D$159,$C79,'02'!V$7:V$159)+SUMIF('03'!$D$7:$D$159,$C79,'03'!V$7:V$159)+SUMIF('04'!$D$7:$D$159,$C79,'04'!V$7:V$159)+SUMIF('05'!$D$7:$D$159,$C79,'05'!V$7:V$159)+SUMIF('06'!$D$7:$D$159,$C79,'06'!V$7:V$159)+SUMIF('07'!$D$7:$D$159,$C79,'07'!V$7:V$159)+SUMIF('08'!$D$7:$D$159,$C79,'08'!V$7:V$159)</f>
        <v/>
      </c>
      <c r="U80" s="430">
        <f>SUMIF('02'!$D$7:$D$159,$C79,'02'!W$7:W$159)+SUMIF('03'!$D$7:$D$159,$C79,'03'!W$7:W$159)+SUMIF('04'!$D$7:$D$159,$C79,'04'!W$7:W$159)+SUMIF('05'!$D$7:$D$159,$C79,'05'!W$7:W$159)+SUMIF('06'!$D$7:$D$159,$C79,'06'!W$7:W$159)+SUMIF('07'!$D$7:$D$159,$C79,'07'!W$7:W$159)+SUMIF('08'!$D$7:$D$159,$C79,'08'!W$7:W$159)</f>
        <v/>
      </c>
      <c r="V80" s="429">
        <f>SUMIF('02'!$D$7:$D$159,$C79,'02'!X$7:X$159)+SUMIF('03'!$D$7:$D$159,$C79,'03'!X$7:X$159)+SUMIF('04'!$D$7:$D$159,$C79,'04'!X$7:X$159)+SUMIF('05'!$D$7:$D$159,$C79,'05'!X$7:X$159)+SUMIF('06'!$D$7:$D$159,$C79,'06'!X$7:X$159)+SUMIF('07'!$D$7:$D$159,$C79,'07'!X$7:X$159)+SUMIF('08'!$D$7:$D$159,$C79,'08'!X$7:X$159)</f>
        <v/>
      </c>
      <c r="W80" s="429">
        <f>SUMIF('02'!$D$7:$D$159,$C79,'02'!Y$7:Y$159)+SUMIF('03'!$D$7:$D$159,$C79,'03'!Y$7:Y$159)+SUMIF('04'!$D$7:$D$159,$C79,'04'!Y$7:Y$159)+SUMIF('05'!$D$7:$D$159,$C79,'05'!Y$7:Y$159)+SUMIF('06'!$D$7:$D$159,$C79,'06'!Y$7:Y$159)+SUMIF('07'!$D$7:$D$159,$C79,'07'!Y$7:Y$159)+SUMIF('08'!$D$7:$D$159,$C79,'08'!Y$7:Y$159)</f>
        <v/>
      </c>
      <c r="X80" s="431">
        <f>SUM(J80:W80)</f>
        <v/>
      </c>
      <c r="Y80" s="413" t="n"/>
      <c r="Z80" s="432" t="n"/>
    </row>
    <row r="81" ht="14.25" customHeight="1" s="296">
      <c r="A81" s="154">
        <f>IF(OR(C81="0",COUNTIF(КлючВесна,C81)&gt;1),0,MATCH(F81,ВидыНагр,0))</f>
        <v/>
      </c>
      <c r="B81" s="154">
        <f>(COUNTA(D81:F82,J81:W81,H81:I82)=0)</f>
        <v/>
      </c>
      <c r="C81" s="155">
        <f>IF(OR(TRIM(D81)="",COUNTIF(ВидыНагр,F81)&lt;&gt;1),"0",CONCATENATE("$",TRIM(D81),"$",TRIM(E81),"$",F81,"$"))</f>
        <v/>
      </c>
      <c r="D81" s="415" t="n"/>
      <c r="E81" s="416" t="n"/>
      <c r="F81" s="417" t="n"/>
      <c r="G81" s="156" t="inlineStr">
        <is>
          <t>план</t>
        </is>
      </c>
      <c r="H81" s="157" t="n"/>
      <c r="I81" s="158" t="n"/>
      <c r="J81" s="418" t="n"/>
      <c r="K81" s="419" t="n"/>
      <c r="L81" s="420" t="n"/>
      <c r="M81" s="418" t="n"/>
      <c r="N81" s="419" t="n"/>
      <c r="O81" s="420" t="n"/>
      <c r="P81" s="418" t="n"/>
      <c r="Q81" s="419" t="n"/>
      <c r="R81" s="420" t="n"/>
      <c r="S81" s="418" t="n"/>
      <c r="T81" s="419" t="n"/>
      <c r="U81" s="421" t="n"/>
      <c r="V81" s="420" t="n"/>
      <c r="W81" s="420" t="n"/>
      <c r="X81" s="422">
        <f>SUM(J81:W81)</f>
        <v/>
      </c>
      <c r="Y81" s="423">
        <f>X82-X81</f>
        <v/>
      </c>
      <c r="Z81" s="209" t="n"/>
    </row>
    <row r="82" ht="14.25" customHeight="1" s="296">
      <c r="A82" s="154">
        <f>-A81</f>
        <v/>
      </c>
      <c r="B82" s="154">
        <f>B81</f>
        <v/>
      </c>
      <c r="C82" s="163" t="n"/>
      <c r="D82" s="424" t="n"/>
      <c r="E82" s="425" t="n"/>
      <c r="F82" s="426" t="n"/>
      <c r="G82" s="164" t="inlineStr">
        <is>
          <t>факт</t>
        </is>
      </c>
      <c r="H82" s="165" t="n"/>
      <c r="I82" s="250" t="n"/>
      <c r="J82" s="427">
        <f>SUMIF('02'!$D$7:$D$159,$C81,'02'!L$7:L$159)+SUMIF('03'!$D$7:$D$159,$C81,'03'!L$7:L$159)+SUMIF('04'!$D$7:$D$159,$C81,'04'!L$7:L$159)+SUMIF('05'!$D$7:$D$159,$C81,'05'!L$7:L$159)+SUMIF('06'!$D$7:$D$159,$C81,'06'!L$7:L$159)+SUMIF('07'!$D$7:$D$159,$C81,'07'!L$7:L$159)+SUMIF('08'!$D$7:$D$159,$C81,'08'!L$7:L$159)</f>
        <v/>
      </c>
      <c r="K82" s="428">
        <f>SUMIF('02'!$D$7:$D$159,$C81,'02'!M$7:M$159)+SUMIF('03'!$D$7:$D$159,$C81,'03'!M$7:M$159)+SUMIF('04'!$D$7:$D$159,$C81,'04'!M$7:M$159)+SUMIF('05'!$D$7:$D$159,$C81,'05'!M$7:M$159)+SUMIF('06'!$D$7:$D$159,$C81,'06'!M$7:M$159)+SUMIF('07'!$D$7:$D$159,$C81,'07'!M$7:M$159)+SUMIF('08'!$D$7:$D$159,$C81,'08'!M$7:M$159)</f>
        <v/>
      </c>
      <c r="L82" s="429">
        <f>SUMIF('02'!$D$7:$D$159,$C81,'02'!N$7:N$159)+SUMIF('03'!$D$7:$D$159,$C81,'03'!N$7:N$159)+SUMIF('04'!$D$7:$D$159,$C81,'04'!N$7:N$159)+SUMIF('05'!$D$7:$D$159,$C81,'05'!N$7:N$159)+SUMIF('06'!$D$7:$D$159,$C81,'06'!N$7:N$159)+SUMIF('07'!$D$7:$D$159,$C81,'07'!N$7:N$159)+SUMIF('08'!$D$7:$D$159,$C81,'08'!N$7:N$159)</f>
        <v/>
      </c>
      <c r="M82" s="427">
        <f>SUMIF('02'!$D$7:$D$159,$C81,'02'!O$7:O$159)+SUMIF('03'!$D$7:$D$159,$C81,'03'!O$7:O$159)+SUMIF('04'!$D$7:$D$159,$C81,'04'!O$7:O$159)+SUMIF('05'!$D$7:$D$159,$C81,'05'!O$7:O$159)+SUMIF('06'!$D$7:$D$159,$C81,'06'!O$7:O$159)+SUMIF('07'!$D$7:$D$159,$C81,'07'!O$7:O$159)+SUMIF('08'!$D$7:$D$159,$C81,'08'!O$7:O$159)</f>
        <v/>
      </c>
      <c r="N82" s="428">
        <f>SUMIF('02'!$D$7:$D$159,$C81,'02'!P$7:P$159)+SUMIF('03'!$D$7:$D$159,$C81,'03'!P$7:P$159)+SUMIF('04'!$D$7:$D$159,$C81,'04'!P$7:P$159)+SUMIF('05'!$D$7:$D$159,$C81,'05'!P$7:P$159)+SUMIF('06'!$D$7:$D$159,$C81,'06'!P$7:P$159)+SUMIF('07'!$D$7:$D$159,$C81,'07'!P$7:P$159)+SUMIF('08'!$D$7:$D$159,$C81,'08'!P$7:P$159)</f>
        <v/>
      </c>
      <c r="O82" s="429">
        <f>SUMIF('02'!$D$7:$D$159,$C81,'02'!Q$7:Q$159)+SUMIF('03'!$D$7:$D$159,$C81,'03'!Q$7:Q$159)+SUMIF('04'!$D$7:$D$159,$C81,'04'!Q$7:Q$159)+SUMIF('05'!$D$7:$D$159,$C81,'05'!Q$7:Q$159)+SUMIF('06'!$D$7:$D$159,$C81,'06'!Q$7:Q$159)+SUMIF('07'!$D$7:$D$159,$C81,'07'!Q$7:Q$159)+SUMIF('08'!$D$7:$D$159,$C81,'08'!Q$7:Q$159)</f>
        <v/>
      </c>
      <c r="P82" s="427">
        <f>SUMIF('02'!$D$7:$D$159,$C81,'02'!R$7:R$159)+SUMIF('03'!$D$7:$D$159,$C81,'03'!R$7:R$159)+SUMIF('04'!$D$7:$D$159,$C81,'04'!R$7:R$159)+SUMIF('05'!$D$7:$D$159,$C81,'05'!R$7:R$159)+SUMIF('06'!$D$7:$D$159,$C81,'06'!R$7:R$159)+SUMIF('07'!$D$7:$D$159,$C81,'07'!R$7:R$159)+SUMIF('08'!$D$7:$D$159,$C81,'08'!R$7:R$159)</f>
        <v/>
      </c>
      <c r="Q82" s="428">
        <f>SUMIF('02'!$D$7:$D$159,$C81,'02'!S$7:S$159)+SUMIF('03'!$D$7:$D$159,$C81,'03'!S$7:S$159)+SUMIF('04'!$D$7:$D$159,$C81,'04'!S$7:S$159)+SUMIF('05'!$D$7:$D$159,$C81,'05'!S$7:S$159)+SUMIF('06'!$D$7:$D$159,$C81,'06'!S$7:S$159)+SUMIF('07'!$D$7:$D$159,$C81,'07'!S$7:S$159)+SUMIF('08'!$D$7:$D$159,$C81,'08'!S$7:S$159)</f>
        <v/>
      </c>
      <c r="R82" s="429">
        <f>SUMIF('02'!$D$7:$D$159,$C81,'02'!T$7:T$159)+SUMIF('03'!$D$7:$D$159,$C81,'03'!T$7:T$159)+SUMIF('04'!$D$7:$D$159,$C81,'04'!T$7:T$159)+SUMIF('05'!$D$7:$D$159,$C81,'05'!T$7:T$159)+SUMIF('06'!$D$7:$D$159,$C81,'06'!T$7:T$159)+SUMIF('07'!$D$7:$D$159,$C81,'07'!T$7:T$159)+SUMIF('08'!$D$7:$D$159,$C81,'08'!T$7:T$159)</f>
        <v/>
      </c>
      <c r="S82" s="427">
        <f>SUMIF('02'!$D$7:$D$159,$C81,'02'!U$7:U$159)+SUMIF('03'!$D$7:$D$159,$C81,'03'!U$7:U$159)+SUMIF('04'!$D$7:$D$159,$C81,'04'!U$7:U$159)+SUMIF('05'!$D$7:$D$159,$C81,'05'!U$7:U$159)+SUMIF('06'!$D$7:$D$159,$C81,'06'!U$7:U$159)+SUMIF('07'!$D$7:$D$159,$C81,'07'!U$7:U$159)+SUMIF('08'!$D$7:$D$159,$C81,'08'!U$7:U$159)</f>
        <v/>
      </c>
      <c r="T82" s="428">
        <f>SUMIF('02'!$D$7:$D$159,$C81,'02'!V$7:V$159)+SUMIF('03'!$D$7:$D$159,$C81,'03'!V$7:V$159)+SUMIF('04'!$D$7:$D$159,$C81,'04'!V$7:V$159)+SUMIF('05'!$D$7:$D$159,$C81,'05'!V$7:V$159)+SUMIF('06'!$D$7:$D$159,$C81,'06'!V$7:V$159)+SUMIF('07'!$D$7:$D$159,$C81,'07'!V$7:V$159)+SUMIF('08'!$D$7:$D$159,$C81,'08'!V$7:V$159)</f>
        <v/>
      </c>
      <c r="U82" s="430">
        <f>SUMIF('02'!$D$7:$D$159,$C81,'02'!W$7:W$159)+SUMIF('03'!$D$7:$D$159,$C81,'03'!W$7:W$159)+SUMIF('04'!$D$7:$D$159,$C81,'04'!W$7:W$159)+SUMIF('05'!$D$7:$D$159,$C81,'05'!W$7:W$159)+SUMIF('06'!$D$7:$D$159,$C81,'06'!W$7:W$159)+SUMIF('07'!$D$7:$D$159,$C81,'07'!W$7:W$159)+SUMIF('08'!$D$7:$D$159,$C81,'08'!W$7:W$159)</f>
        <v/>
      </c>
      <c r="V82" s="429">
        <f>SUMIF('02'!$D$7:$D$159,$C81,'02'!X$7:X$159)+SUMIF('03'!$D$7:$D$159,$C81,'03'!X$7:X$159)+SUMIF('04'!$D$7:$D$159,$C81,'04'!X$7:X$159)+SUMIF('05'!$D$7:$D$159,$C81,'05'!X$7:X$159)+SUMIF('06'!$D$7:$D$159,$C81,'06'!X$7:X$159)+SUMIF('07'!$D$7:$D$159,$C81,'07'!X$7:X$159)+SUMIF('08'!$D$7:$D$159,$C81,'08'!X$7:X$159)</f>
        <v/>
      </c>
      <c r="W82" s="429">
        <f>SUMIF('02'!$D$7:$D$159,$C81,'02'!Y$7:Y$159)+SUMIF('03'!$D$7:$D$159,$C81,'03'!Y$7:Y$159)+SUMIF('04'!$D$7:$D$159,$C81,'04'!Y$7:Y$159)+SUMIF('05'!$D$7:$D$159,$C81,'05'!Y$7:Y$159)+SUMIF('06'!$D$7:$D$159,$C81,'06'!Y$7:Y$159)+SUMIF('07'!$D$7:$D$159,$C81,'07'!Y$7:Y$159)+SUMIF('08'!$D$7:$D$159,$C81,'08'!Y$7:Y$159)</f>
        <v/>
      </c>
      <c r="X82" s="431">
        <f>SUM(J82:W82)</f>
        <v/>
      </c>
      <c r="Y82" s="413" t="n"/>
      <c r="Z82" s="432" t="n"/>
    </row>
    <row r="83" ht="14.25" customHeight="1" s="296">
      <c r="A83" s="154">
        <f>IF(OR(C83="0",COUNTIF(КлючВесна,C83)&gt;1),0,MATCH(F83,ВидыНагр,0))</f>
        <v/>
      </c>
      <c r="B83" s="154">
        <f>(COUNTA(D83:F84,J83:W83,H83:I84)=0)</f>
        <v/>
      </c>
      <c r="C83" s="155">
        <f>IF(OR(TRIM(D83)="",COUNTIF(ВидыНагр,F83)&lt;&gt;1),"0",CONCATENATE("$",TRIM(D83),"$",TRIM(E83),"$",F83,"$"))</f>
        <v/>
      </c>
      <c r="D83" s="415" t="n"/>
      <c r="E83" s="416" t="n"/>
      <c r="F83" s="417" t="n"/>
      <c r="G83" s="156" t="inlineStr">
        <is>
          <t>план</t>
        </is>
      </c>
      <c r="H83" s="157" t="n"/>
      <c r="I83" s="158" t="n"/>
      <c r="J83" s="418" t="n"/>
      <c r="K83" s="419" t="n"/>
      <c r="L83" s="420" t="n"/>
      <c r="M83" s="418" t="n"/>
      <c r="N83" s="419" t="n"/>
      <c r="O83" s="420" t="n"/>
      <c r="P83" s="418" t="n"/>
      <c r="Q83" s="419" t="n"/>
      <c r="R83" s="420" t="n"/>
      <c r="S83" s="418" t="n"/>
      <c r="T83" s="419" t="n"/>
      <c r="U83" s="421" t="n"/>
      <c r="V83" s="420" t="n"/>
      <c r="W83" s="420" t="n"/>
      <c r="X83" s="422">
        <f>SUM(J83:W83)</f>
        <v/>
      </c>
      <c r="Y83" s="423">
        <f>X84-X83</f>
        <v/>
      </c>
      <c r="Z83" s="209" t="n"/>
    </row>
    <row r="84" ht="14.25" customHeight="1" s="296">
      <c r="A84" s="154">
        <f>-A83</f>
        <v/>
      </c>
      <c r="B84" s="154">
        <f>B83</f>
        <v/>
      </c>
      <c r="C84" s="163" t="n"/>
      <c r="D84" s="424" t="n"/>
      <c r="E84" s="425" t="n"/>
      <c r="F84" s="426" t="n"/>
      <c r="G84" s="164" t="inlineStr">
        <is>
          <t>факт</t>
        </is>
      </c>
      <c r="H84" s="165" t="n"/>
      <c r="I84" s="250" t="n"/>
      <c r="J84" s="427">
        <f>SUMIF('02'!$D$7:$D$159,$C83,'02'!L$7:L$159)+SUMIF('03'!$D$7:$D$159,$C83,'03'!L$7:L$159)+SUMIF('04'!$D$7:$D$159,$C83,'04'!L$7:L$159)+SUMIF('05'!$D$7:$D$159,$C83,'05'!L$7:L$159)+SUMIF('06'!$D$7:$D$159,$C83,'06'!L$7:L$159)+SUMIF('07'!$D$7:$D$159,$C83,'07'!L$7:L$159)+SUMIF('08'!$D$7:$D$159,$C83,'08'!L$7:L$159)</f>
        <v/>
      </c>
      <c r="K84" s="428">
        <f>SUMIF('02'!$D$7:$D$159,$C83,'02'!M$7:M$159)+SUMIF('03'!$D$7:$D$159,$C83,'03'!M$7:M$159)+SUMIF('04'!$D$7:$D$159,$C83,'04'!M$7:M$159)+SUMIF('05'!$D$7:$D$159,$C83,'05'!M$7:M$159)+SUMIF('06'!$D$7:$D$159,$C83,'06'!M$7:M$159)+SUMIF('07'!$D$7:$D$159,$C83,'07'!M$7:M$159)+SUMIF('08'!$D$7:$D$159,$C83,'08'!M$7:M$159)</f>
        <v/>
      </c>
      <c r="L84" s="429">
        <f>SUMIF('02'!$D$7:$D$159,$C83,'02'!N$7:N$159)+SUMIF('03'!$D$7:$D$159,$C83,'03'!N$7:N$159)+SUMIF('04'!$D$7:$D$159,$C83,'04'!N$7:N$159)+SUMIF('05'!$D$7:$D$159,$C83,'05'!N$7:N$159)+SUMIF('06'!$D$7:$D$159,$C83,'06'!N$7:N$159)+SUMIF('07'!$D$7:$D$159,$C83,'07'!N$7:N$159)+SUMIF('08'!$D$7:$D$159,$C83,'08'!N$7:N$159)</f>
        <v/>
      </c>
      <c r="M84" s="427">
        <f>SUMIF('02'!$D$7:$D$159,$C83,'02'!O$7:O$159)+SUMIF('03'!$D$7:$D$159,$C83,'03'!O$7:O$159)+SUMIF('04'!$D$7:$D$159,$C83,'04'!O$7:O$159)+SUMIF('05'!$D$7:$D$159,$C83,'05'!O$7:O$159)+SUMIF('06'!$D$7:$D$159,$C83,'06'!O$7:O$159)+SUMIF('07'!$D$7:$D$159,$C83,'07'!O$7:O$159)+SUMIF('08'!$D$7:$D$159,$C83,'08'!O$7:O$159)</f>
        <v/>
      </c>
      <c r="N84" s="428">
        <f>SUMIF('02'!$D$7:$D$159,$C83,'02'!P$7:P$159)+SUMIF('03'!$D$7:$D$159,$C83,'03'!P$7:P$159)+SUMIF('04'!$D$7:$D$159,$C83,'04'!P$7:P$159)+SUMIF('05'!$D$7:$D$159,$C83,'05'!P$7:P$159)+SUMIF('06'!$D$7:$D$159,$C83,'06'!P$7:P$159)+SUMIF('07'!$D$7:$D$159,$C83,'07'!P$7:P$159)+SUMIF('08'!$D$7:$D$159,$C83,'08'!P$7:P$159)</f>
        <v/>
      </c>
      <c r="O84" s="429">
        <f>SUMIF('02'!$D$7:$D$159,$C83,'02'!Q$7:Q$159)+SUMIF('03'!$D$7:$D$159,$C83,'03'!Q$7:Q$159)+SUMIF('04'!$D$7:$D$159,$C83,'04'!Q$7:Q$159)+SUMIF('05'!$D$7:$D$159,$C83,'05'!Q$7:Q$159)+SUMIF('06'!$D$7:$D$159,$C83,'06'!Q$7:Q$159)+SUMIF('07'!$D$7:$D$159,$C83,'07'!Q$7:Q$159)+SUMIF('08'!$D$7:$D$159,$C83,'08'!Q$7:Q$159)</f>
        <v/>
      </c>
      <c r="P84" s="427">
        <f>SUMIF('02'!$D$7:$D$159,$C83,'02'!R$7:R$159)+SUMIF('03'!$D$7:$D$159,$C83,'03'!R$7:R$159)+SUMIF('04'!$D$7:$D$159,$C83,'04'!R$7:R$159)+SUMIF('05'!$D$7:$D$159,$C83,'05'!R$7:R$159)+SUMIF('06'!$D$7:$D$159,$C83,'06'!R$7:R$159)+SUMIF('07'!$D$7:$D$159,$C83,'07'!R$7:R$159)+SUMIF('08'!$D$7:$D$159,$C83,'08'!R$7:R$159)</f>
        <v/>
      </c>
      <c r="Q84" s="428">
        <f>SUMIF('02'!$D$7:$D$159,$C83,'02'!S$7:S$159)+SUMIF('03'!$D$7:$D$159,$C83,'03'!S$7:S$159)+SUMIF('04'!$D$7:$D$159,$C83,'04'!S$7:S$159)+SUMIF('05'!$D$7:$D$159,$C83,'05'!S$7:S$159)+SUMIF('06'!$D$7:$D$159,$C83,'06'!S$7:S$159)+SUMIF('07'!$D$7:$D$159,$C83,'07'!S$7:S$159)+SUMIF('08'!$D$7:$D$159,$C83,'08'!S$7:S$159)</f>
        <v/>
      </c>
      <c r="R84" s="429">
        <f>SUMIF('02'!$D$7:$D$159,$C83,'02'!T$7:T$159)+SUMIF('03'!$D$7:$D$159,$C83,'03'!T$7:T$159)+SUMIF('04'!$D$7:$D$159,$C83,'04'!T$7:T$159)+SUMIF('05'!$D$7:$D$159,$C83,'05'!T$7:T$159)+SUMIF('06'!$D$7:$D$159,$C83,'06'!T$7:T$159)+SUMIF('07'!$D$7:$D$159,$C83,'07'!T$7:T$159)+SUMIF('08'!$D$7:$D$159,$C83,'08'!T$7:T$159)</f>
        <v/>
      </c>
      <c r="S84" s="427">
        <f>SUMIF('02'!$D$7:$D$159,$C83,'02'!U$7:U$159)+SUMIF('03'!$D$7:$D$159,$C83,'03'!U$7:U$159)+SUMIF('04'!$D$7:$D$159,$C83,'04'!U$7:U$159)+SUMIF('05'!$D$7:$D$159,$C83,'05'!U$7:U$159)+SUMIF('06'!$D$7:$D$159,$C83,'06'!U$7:U$159)+SUMIF('07'!$D$7:$D$159,$C83,'07'!U$7:U$159)+SUMIF('08'!$D$7:$D$159,$C83,'08'!U$7:U$159)</f>
        <v/>
      </c>
      <c r="T84" s="428">
        <f>SUMIF('02'!$D$7:$D$159,$C83,'02'!V$7:V$159)+SUMIF('03'!$D$7:$D$159,$C83,'03'!V$7:V$159)+SUMIF('04'!$D$7:$D$159,$C83,'04'!V$7:V$159)+SUMIF('05'!$D$7:$D$159,$C83,'05'!V$7:V$159)+SUMIF('06'!$D$7:$D$159,$C83,'06'!V$7:V$159)+SUMIF('07'!$D$7:$D$159,$C83,'07'!V$7:V$159)+SUMIF('08'!$D$7:$D$159,$C83,'08'!V$7:V$159)</f>
        <v/>
      </c>
      <c r="U84" s="430">
        <f>SUMIF('02'!$D$7:$D$159,$C83,'02'!W$7:W$159)+SUMIF('03'!$D$7:$D$159,$C83,'03'!W$7:W$159)+SUMIF('04'!$D$7:$D$159,$C83,'04'!W$7:W$159)+SUMIF('05'!$D$7:$D$159,$C83,'05'!W$7:W$159)+SUMIF('06'!$D$7:$D$159,$C83,'06'!W$7:W$159)+SUMIF('07'!$D$7:$D$159,$C83,'07'!W$7:W$159)+SUMIF('08'!$D$7:$D$159,$C83,'08'!W$7:W$159)</f>
        <v/>
      </c>
      <c r="V84" s="429">
        <f>SUMIF('02'!$D$7:$D$159,$C83,'02'!X$7:X$159)+SUMIF('03'!$D$7:$D$159,$C83,'03'!X$7:X$159)+SUMIF('04'!$D$7:$D$159,$C83,'04'!X$7:X$159)+SUMIF('05'!$D$7:$D$159,$C83,'05'!X$7:X$159)+SUMIF('06'!$D$7:$D$159,$C83,'06'!X$7:X$159)+SUMIF('07'!$D$7:$D$159,$C83,'07'!X$7:X$159)+SUMIF('08'!$D$7:$D$159,$C83,'08'!X$7:X$159)</f>
        <v/>
      </c>
      <c r="W84" s="429">
        <f>SUMIF('02'!$D$7:$D$159,$C83,'02'!Y$7:Y$159)+SUMIF('03'!$D$7:$D$159,$C83,'03'!Y$7:Y$159)+SUMIF('04'!$D$7:$D$159,$C83,'04'!Y$7:Y$159)+SUMIF('05'!$D$7:$D$159,$C83,'05'!Y$7:Y$159)+SUMIF('06'!$D$7:$D$159,$C83,'06'!Y$7:Y$159)+SUMIF('07'!$D$7:$D$159,$C83,'07'!Y$7:Y$159)+SUMIF('08'!$D$7:$D$159,$C83,'08'!Y$7:Y$159)</f>
        <v/>
      </c>
      <c r="X84" s="431">
        <f>SUM(J84:W84)</f>
        <v/>
      </c>
      <c r="Y84" s="413" t="n"/>
      <c r="Z84" s="432" t="n"/>
    </row>
    <row r="85" ht="14.25" customHeight="1" s="296">
      <c r="A85" s="154">
        <f>IF(OR(C85="0",COUNTIF(КлючВесна,C85)&gt;1),0,MATCH(F85,ВидыНагр,0))</f>
        <v/>
      </c>
      <c r="B85" s="154">
        <f>(COUNTA(D85:F86,J85:W85,H85:I86)=0)</f>
        <v/>
      </c>
      <c r="C85" s="155">
        <f>IF(OR(TRIM(D85)="",COUNTIF(ВидыНагр,F85)&lt;&gt;1),"0",CONCATENATE("$",TRIM(D85),"$",TRIM(E85),"$",F85,"$"))</f>
        <v/>
      </c>
      <c r="D85" s="415" t="n"/>
      <c r="E85" s="416" t="n"/>
      <c r="F85" s="417" t="n"/>
      <c r="G85" s="156" t="inlineStr">
        <is>
          <t>план</t>
        </is>
      </c>
      <c r="H85" s="157" t="n"/>
      <c r="I85" s="158" t="n"/>
      <c r="J85" s="418" t="n"/>
      <c r="K85" s="419" t="n"/>
      <c r="L85" s="420" t="n"/>
      <c r="M85" s="418" t="n"/>
      <c r="N85" s="419" t="n"/>
      <c r="O85" s="420" t="n"/>
      <c r="P85" s="418" t="n"/>
      <c r="Q85" s="419" t="n"/>
      <c r="R85" s="420" t="n"/>
      <c r="S85" s="418" t="n"/>
      <c r="T85" s="419" t="n"/>
      <c r="U85" s="421" t="n"/>
      <c r="V85" s="420" t="n"/>
      <c r="W85" s="420" t="n"/>
      <c r="X85" s="422">
        <f>SUM(J85:W85)</f>
        <v/>
      </c>
      <c r="Y85" s="423">
        <f>X86-X85</f>
        <v/>
      </c>
      <c r="Z85" s="209" t="n"/>
    </row>
    <row r="86" ht="14.25" customHeight="1" s="296">
      <c r="A86" s="154">
        <f>-A85</f>
        <v/>
      </c>
      <c r="B86" s="154">
        <f>B85</f>
        <v/>
      </c>
      <c r="C86" s="163" t="n"/>
      <c r="D86" s="424" t="n"/>
      <c r="E86" s="425" t="n"/>
      <c r="F86" s="426" t="n"/>
      <c r="G86" s="164" t="inlineStr">
        <is>
          <t>факт</t>
        </is>
      </c>
      <c r="H86" s="165" t="n"/>
      <c r="I86" s="250" t="n"/>
      <c r="J86" s="427">
        <f>SUMIF('02'!$D$7:$D$159,$C85,'02'!L$7:L$159)+SUMIF('03'!$D$7:$D$159,$C85,'03'!L$7:L$159)+SUMIF('04'!$D$7:$D$159,$C85,'04'!L$7:L$159)+SUMIF('05'!$D$7:$D$159,$C85,'05'!L$7:L$159)+SUMIF('06'!$D$7:$D$159,$C85,'06'!L$7:L$159)+SUMIF('07'!$D$7:$D$159,$C85,'07'!L$7:L$159)+SUMIF('08'!$D$7:$D$159,$C85,'08'!L$7:L$159)</f>
        <v/>
      </c>
      <c r="K86" s="428">
        <f>SUMIF('02'!$D$7:$D$159,$C85,'02'!M$7:M$159)+SUMIF('03'!$D$7:$D$159,$C85,'03'!M$7:M$159)+SUMIF('04'!$D$7:$D$159,$C85,'04'!M$7:M$159)+SUMIF('05'!$D$7:$D$159,$C85,'05'!M$7:M$159)+SUMIF('06'!$D$7:$D$159,$C85,'06'!M$7:M$159)+SUMIF('07'!$D$7:$D$159,$C85,'07'!M$7:M$159)+SUMIF('08'!$D$7:$D$159,$C85,'08'!M$7:M$159)</f>
        <v/>
      </c>
      <c r="L86" s="429">
        <f>SUMIF('02'!$D$7:$D$159,$C85,'02'!N$7:N$159)+SUMIF('03'!$D$7:$D$159,$C85,'03'!N$7:N$159)+SUMIF('04'!$D$7:$D$159,$C85,'04'!N$7:N$159)+SUMIF('05'!$D$7:$D$159,$C85,'05'!N$7:N$159)+SUMIF('06'!$D$7:$D$159,$C85,'06'!N$7:N$159)+SUMIF('07'!$D$7:$D$159,$C85,'07'!N$7:N$159)+SUMIF('08'!$D$7:$D$159,$C85,'08'!N$7:N$159)</f>
        <v/>
      </c>
      <c r="M86" s="427">
        <f>SUMIF('02'!$D$7:$D$159,$C85,'02'!O$7:O$159)+SUMIF('03'!$D$7:$D$159,$C85,'03'!O$7:O$159)+SUMIF('04'!$D$7:$D$159,$C85,'04'!O$7:O$159)+SUMIF('05'!$D$7:$D$159,$C85,'05'!O$7:O$159)+SUMIF('06'!$D$7:$D$159,$C85,'06'!O$7:O$159)+SUMIF('07'!$D$7:$D$159,$C85,'07'!O$7:O$159)+SUMIF('08'!$D$7:$D$159,$C85,'08'!O$7:O$159)</f>
        <v/>
      </c>
      <c r="N86" s="428">
        <f>SUMIF('02'!$D$7:$D$159,$C85,'02'!P$7:P$159)+SUMIF('03'!$D$7:$D$159,$C85,'03'!P$7:P$159)+SUMIF('04'!$D$7:$D$159,$C85,'04'!P$7:P$159)+SUMIF('05'!$D$7:$D$159,$C85,'05'!P$7:P$159)+SUMIF('06'!$D$7:$D$159,$C85,'06'!P$7:P$159)+SUMIF('07'!$D$7:$D$159,$C85,'07'!P$7:P$159)+SUMIF('08'!$D$7:$D$159,$C85,'08'!P$7:P$159)</f>
        <v/>
      </c>
      <c r="O86" s="429">
        <f>SUMIF('02'!$D$7:$D$159,$C85,'02'!Q$7:Q$159)+SUMIF('03'!$D$7:$D$159,$C85,'03'!Q$7:Q$159)+SUMIF('04'!$D$7:$D$159,$C85,'04'!Q$7:Q$159)+SUMIF('05'!$D$7:$D$159,$C85,'05'!Q$7:Q$159)+SUMIF('06'!$D$7:$D$159,$C85,'06'!Q$7:Q$159)+SUMIF('07'!$D$7:$D$159,$C85,'07'!Q$7:Q$159)+SUMIF('08'!$D$7:$D$159,$C85,'08'!Q$7:Q$159)</f>
        <v/>
      </c>
      <c r="P86" s="427">
        <f>SUMIF('02'!$D$7:$D$159,$C85,'02'!R$7:R$159)+SUMIF('03'!$D$7:$D$159,$C85,'03'!R$7:R$159)+SUMIF('04'!$D$7:$D$159,$C85,'04'!R$7:R$159)+SUMIF('05'!$D$7:$D$159,$C85,'05'!R$7:R$159)+SUMIF('06'!$D$7:$D$159,$C85,'06'!R$7:R$159)+SUMIF('07'!$D$7:$D$159,$C85,'07'!R$7:R$159)+SUMIF('08'!$D$7:$D$159,$C85,'08'!R$7:R$159)</f>
        <v/>
      </c>
      <c r="Q86" s="428">
        <f>SUMIF('02'!$D$7:$D$159,$C85,'02'!S$7:S$159)+SUMIF('03'!$D$7:$D$159,$C85,'03'!S$7:S$159)+SUMIF('04'!$D$7:$D$159,$C85,'04'!S$7:S$159)+SUMIF('05'!$D$7:$D$159,$C85,'05'!S$7:S$159)+SUMIF('06'!$D$7:$D$159,$C85,'06'!S$7:S$159)+SUMIF('07'!$D$7:$D$159,$C85,'07'!S$7:S$159)+SUMIF('08'!$D$7:$D$159,$C85,'08'!S$7:S$159)</f>
        <v/>
      </c>
      <c r="R86" s="429">
        <f>SUMIF('02'!$D$7:$D$159,$C85,'02'!T$7:T$159)+SUMIF('03'!$D$7:$D$159,$C85,'03'!T$7:T$159)+SUMIF('04'!$D$7:$D$159,$C85,'04'!T$7:T$159)+SUMIF('05'!$D$7:$D$159,$C85,'05'!T$7:T$159)+SUMIF('06'!$D$7:$D$159,$C85,'06'!T$7:T$159)+SUMIF('07'!$D$7:$D$159,$C85,'07'!T$7:T$159)+SUMIF('08'!$D$7:$D$159,$C85,'08'!T$7:T$159)</f>
        <v/>
      </c>
      <c r="S86" s="427">
        <f>SUMIF('02'!$D$7:$D$159,$C85,'02'!U$7:U$159)+SUMIF('03'!$D$7:$D$159,$C85,'03'!U$7:U$159)+SUMIF('04'!$D$7:$D$159,$C85,'04'!U$7:U$159)+SUMIF('05'!$D$7:$D$159,$C85,'05'!U$7:U$159)+SUMIF('06'!$D$7:$D$159,$C85,'06'!U$7:U$159)+SUMIF('07'!$D$7:$D$159,$C85,'07'!U$7:U$159)+SUMIF('08'!$D$7:$D$159,$C85,'08'!U$7:U$159)</f>
        <v/>
      </c>
      <c r="T86" s="428">
        <f>SUMIF('02'!$D$7:$D$159,$C85,'02'!V$7:V$159)+SUMIF('03'!$D$7:$D$159,$C85,'03'!V$7:V$159)+SUMIF('04'!$D$7:$D$159,$C85,'04'!V$7:V$159)+SUMIF('05'!$D$7:$D$159,$C85,'05'!V$7:V$159)+SUMIF('06'!$D$7:$D$159,$C85,'06'!V$7:V$159)+SUMIF('07'!$D$7:$D$159,$C85,'07'!V$7:V$159)+SUMIF('08'!$D$7:$D$159,$C85,'08'!V$7:V$159)</f>
        <v/>
      </c>
      <c r="U86" s="430">
        <f>SUMIF('02'!$D$7:$D$159,$C85,'02'!W$7:W$159)+SUMIF('03'!$D$7:$D$159,$C85,'03'!W$7:W$159)+SUMIF('04'!$D$7:$D$159,$C85,'04'!W$7:W$159)+SUMIF('05'!$D$7:$D$159,$C85,'05'!W$7:W$159)+SUMIF('06'!$D$7:$D$159,$C85,'06'!W$7:W$159)+SUMIF('07'!$D$7:$D$159,$C85,'07'!W$7:W$159)+SUMIF('08'!$D$7:$D$159,$C85,'08'!W$7:W$159)</f>
        <v/>
      </c>
      <c r="V86" s="429">
        <f>SUMIF('02'!$D$7:$D$159,$C85,'02'!X$7:X$159)+SUMIF('03'!$D$7:$D$159,$C85,'03'!X$7:X$159)+SUMIF('04'!$D$7:$D$159,$C85,'04'!X$7:X$159)+SUMIF('05'!$D$7:$D$159,$C85,'05'!X$7:X$159)+SUMIF('06'!$D$7:$D$159,$C85,'06'!X$7:X$159)+SUMIF('07'!$D$7:$D$159,$C85,'07'!X$7:X$159)+SUMIF('08'!$D$7:$D$159,$C85,'08'!X$7:X$159)</f>
        <v/>
      </c>
      <c r="W86" s="429">
        <f>SUMIF('02'!$D$7:$D$159,$C85,'02'!Y$7:Y$159)+SUMIF('03'!$D$7:$D$159,$C85,'03'!Y$7:Y$159)+SUMIF('04'!$D$7:$D$159,$C85,'04'!Y$7:Y$159)+SUMIF('05'!$D$7:$D$159,$C85,'05'!Y$7:Y$159)+SUMIF('06'!$D$7:$D$159,$C85,'06'!Y$7:Y$159)+SUMIF('07'!$D$7:$D$159,$C85,'07'!Y$7:Y$159)+SUMIF('08'!$D$7:$D$159,$C85,'08'!Y$7:Y$159)</f>
        <v/>
      </c>
      <c r="X86" s="431">
        <f>SUM(J86:W86)</f>
        <v/>
      </c>
      <c r="Y86" s="413" t="n"/>
      <c r="Z86" s="432" t="n"/>
    </row>
    <row r="87" ht="14.25" customHeight="1" s="296">
      <c r="A87" s="154">
        <f>IF(OR(C87="0",COUNTIF(КлючВесна,C87)&gt;1),0,MATCH(F87,ВидыНагр,0))</f>
        <v/>
      </c>
      <c r="B87" s="154">
        <f>(COUNTA(D87:F88,J87:W87,H87:I88)=0)</f>
        <v/>
      </c>
      <c r="C87" s="155">
        <f>IF(OR(TRIM(D87)="",COUNTIF(ВидыНагр,F87)&lt;&gt;1),"0",CONCATENATE("$",TRIM(D87),"$",TRIM(E87),"$",F87,"$"))</f>
        <v/>
      </c>
      <c r="D87" s="415" t="n"/>
      <c r="E87" s="416" t="n"/>
      <c r="F87" s="417" t="n"/>
      <c r="G87" s="156" t="inlineStr">
        <is>
          <t>план</t>
        </is>
      </c>
      <c r="H87" s="157" t="n"/>
      <c r="I87" s="158" t="n"/>
      <c r="J87" s="418" t="n"/>
      <c r="K87" s="419" t="n"/>
      <c r="L87" s="420" t="n"/>
      <c r="M87" s="418" t="n"/>
      <c r="N87" s="419" t="n"/>
      <c r="O87" s="420" t="n"/>
      <c r="P87" s="418" t="n"/>
      <c r="Q87" s="419" t="n"/>
      <c r="R87" s="420" t="n"/>
      <c r="S87" s="418" t="n"/>
      <c r="T87" s="419" t="n"/>
      <c r="U87" s="421" t="n"/>
      <c r="V87" s="420" t="n"/>
      <c r="W87" s="420" t="n"/>
      <c r="X87" s="422">
        <f>SUM(J87:W87)</f>
        <v/>
      </c>
      <c r="Y87" s="423">
        <f>X88-X87</f>
        <v/>
      </c>
      <c r="Z87" s="209" t="n"/>
    </row>
    <row r="88" ht="14.25" customHeight="1" s="296">
      <c r="A88" s="154">
        <f>-A87</f>
        <v/>
      </c>
      <c r="B88" s="154">
        <f>B87</f>
        <v/>
      </c>
      <c r="C88" s="163" t="n"/>
      <c r="D88" s="424" t="n"/>
      <c r="E88" s="425" t="n"/>
      <c r="F88" s="426" t="n"/>
      <c r="G88" s="164" t="inlineStr">
        <is>
          <t>факт</t>
        </is>
      </c>
      <c r="H88" s="165" t="n"/>
      <c r="I88" s="250" t="n"/>
      <c r="J88" s="427">
        <f>SUMIF('02'!$D$7:$D$159,$C87,'02'!L$7:L$159)+SUMIF('03'!$D$7:$D$159,$C87,'03'!L$7:L$159)+SUMIF('04'!$D$7:$D$159,$C87,'04'!L$7:L$159)+SUMIF('05'!$D$7:$D$159,$C87,'05'!L$7:L$159)+SUMIF('06'!$D$7:$D$159,$C87,'06'!L$7:L$159)+SUMIF('07'!$D$7:$D$159,$C87,'07'!L$7:L$159)+SUMIF('08'!$D$7:$D$159,$C87,'08'!L$7:L$159)</f>
        <v/>
      </c>
      <c r="K88" s="428">
        <f>SUMIF('02'!$D$7:$D$159,$C87,'02'!M$7:M$159)+SUMIF('03'!$D$7:$D$159,$C87,'03'!M$7:M$159)+SUMIF('04'!$D$7:$D$159,$C87,'04'!M$7:M$159)+SUMIF('05'!$D$7:$D$159,$C87,'05'!M$7:M$159)+SUMIF('06'!$D$7:$D$159,$C87,'06'!M$7:M$159)+SUMIF('07'!$D$7:$D$159,$C87,'07'!M$7:M$159)+SUMIF('08'!$D$7:$D$159,$C87,'08'!M$7:M$159)</f>
        <v/>
      </c>
      <c r="L88" s="429">
        <f>SUMIF('02'!$D$7:$D$159,$C87,'02'!N$7:N$159)+SUMIF('03'!$D$7:$D$159,$C87,'03'!N$7:N$159)+SUMIF('04'!$D$7:$D$159,$C87,'04'!N$7:N$159)+SUMIF('05'!$D$7:$D$159,$C87,'05'!N$7:N$159)+SUMIF('06'!$D$7:$D$159,$C87,'06'!N$7:N$159)+SUMIF('07'!$D$7:$D$159,$C87,'07'!N$7:N$159)+SUMIF('08'!$D$7:$D$159,$C87,'08'!N$7:N$159)</f>
        <v/>
      </c>
      <c r="M88" s="427">
        <f>SUMIF('02'!$D$7:$D$159,$C87,'02'!O$7:O$159)+SUMIF('03'!$D$7:$D$159,$C87,'03'!O$7:O$159)+SUMIF('04'!$D$7:$D$159,$C87,'04'!O$7:O$159)+SUMIF('05'!$D$7:$D$159,$C87,'05'!O$7:O$159)+SUMIF('06'!$D$7:$D$159,$C87,'06'!O$7:O$159)+SUMIF('07'!$D$7:$D$159,$C87,'07'!O$7:O$159)+SUMIF('08'!$D$7:$D$159,$C87,'08'!O$7:O$159)</f>
        <v/>
      </c>
      <c r="N88" s="428">
        <f>SUMIF('02'!$D$7:$D$159,$C87,'02'!P$7:P$159)+SUMIF('03'!$D$7:$D$159,$C87,'03'!P$7:P$159)+SUMIF('04'!$D$7:$D$159,$C87,'04'!P$7:P$159)+SUMIF('05'!$D$7:$D$159,$C87,'05'!P$7:P$159)+SUMIF('06'!$D$7:$D$159,$C87,'06'!P$7:P$159)+SUMIF('07'!$D$7:$D$159,$C87,'07'!P$7:P$159)+SUMIF('08'!$D$7:$D$159,$C87,'08'!P$7:P$159)</f>
        <v/>
      </c>
      <c r="O88" s="429">
        <f>SUMIF('02'!$D$7:$D$159,$C87,'02'!Q$7:Q$159)+SUMIF('03'!$D$7:$D$159,$C87,'03'!Q$7:Q$159)+SUMIF('04'!$D$7:$D$159,$C87,'04'!Q$7:Q$159)+SUMIF('05'!$D$7:$D$159,$C87,'05'!Q$7:Q$159)+SUMIF('06'!$D$7:$D$159,$C87,'06'!Q$7:Q$159)+SUMIF('07'!$D$7:$D$159,$C87,'07'!Q$7:Q$159)+SUMIF('08'!$D$7:$D$159,$C87,'08'!Q$7:Q$159)</f>
        <v/>
      </c>
      <c r="P88" s="427">
        <f>SUMIF('02'!$D$7:$D$159,$C87,'02'!R$7:R$159)+SUMIF('03'!$D$7:$D$159,$C87,'03'!R$7:R$159)+SUMIF('04'!$D$7:$D$159,$C87,'04'!R$7:R$159)+SUMIF('05'!$D$7:$D$159,$C87,'05'!R$7:R$159)+SUMIF('06'!$D$7:$D$159,$C87,'06'!R$7:R$159)+SUMIF('07'!$D$7:$D$159,$C87,'07'!R$7:R$159)+SUMIF('08'!$D$7:$D$159,$C87,'08'!R$7:R$159)</f>
        <v/>
      </c>
      <c r="Q88" s="428">
        <f>SUMIF('02'!$D$7:$D$159,$C87,'02'!S$7:S$159)+SUMIF('03'!$D$7:$D$159,$C87,'03'!S$7:S$159)+SUMIF('04'!$D$7:$D$159,$C87,'04'!S$7:S$159)+SUMIF('05'!$D$7:$D$159,$C87,'05'!S$7:S$159)+SUMIF('06'!$D$7:$D$159,$C87,'06'!S$7:S$159)+SUMIF('07'!$D$7:$D$159,$C87,'07'!S$7:S$159)+SUMIF('08'!$D$7:$D$159,$C87,'08'!S$7:S$159)</f>
        <v/>
      </c>
      <c r="R88" s="429">
        <f>SUMIF('02'!$D$7:$D$159,$C87,'02'!T$7:T$159)+SUMIF('03'!$D$7:$D$159,$C87,'03'!T$7:T$159)+SUMIF('04'!$D$7:$D$159,$C87,'04'!T$7:T$159)+SUMIF('05'!$D$7:$D$159,$C87,'05'!T$7:T$159)+SUMIF('06'!$D$7:$D$159,$C87,'06'!T$7:T$159)+SUMIF('07'!$D$7:$D$159,$C87,'07'!T$7:T$159)+SUMIF('08'!$D$7:$D$159,$C87,'08'!T$7:T$159)</f>
        <v/>
      </c>
      <c r="S88" s="427">
        <f>SUMIF('02'!$D$7:$D$159,$C87,'02'!U$7:U$159)+SUMIF('03'!$D$7:$D$159,$C87,'03'!U$7:U$159)+SUMIF('04'!$D$7:$D$159,$C87,'04'!U$7:U$159)+SUMIF('05'!$D$7:$D$159,$C87,'05'!U$7:U$159)+SUMIF('06'!$D$7:$D$159,$C87,'06'!U$7:U$159)+SUMIF('07'!$D$7:$D$159,$C87,'07'!U$7:U$159)+SUMIF('08'!$D$7:$D$159,$C87,'08'!U$7:U$159)</f>
        <v/>
      </c>
      <c r="T88" s="428">
        <f>SUMIF('02'!$D$7:$D$159,$C87,'02'!V$7:V$159)+SUMIF('03'!$D$7:$D$159,$C87,'03'!V$7:V$159)+SUMIF('04'!$D$7:$D$159,$C87,'04'!V$7:V$159)+SUMIF('05'!$D$7:$D$159,$C87,'05'!V$7:V$159)+SUMIF('06'!$D$7:$D$159,$C87,'06'!V$7:V$159)+SUMIF('07'!$D$7:$D$159,$C87,'07'!V$7:V$159)+SUMIF('08'!$D$7:$D$159,$C87,'08'!V$7:V$159)</f>
        <v/>
      </c>
      <c r="U88" s="430">
        <f>SUMIF('02'!$D$7:$D$159,$C87,'02'!W$7:W$159)+SUMIF('03'!$D$7:$D$159,$C87,'03'!W$7:W$159)+SUMIF('04'!$D$7:$D$159,$C87,'04'!W$7:W$159)+SUMIF('05'!$D$7:$D$159,$C87,'05'!W$7:W$159)+SUMIF('06'!$D$7:$D$159,$C87,'06'!W$7:W$159)+SUMIF('07'!$D$7:$D$159,$C87,'07'!W$7:W$159)+SUMIF('08'!$D$7:$D$159,$C87,'08'!W$7:W$159)</f>
        <v/>
      </c>
      <c r="V88" s="429">
        <f>SUMIF('02'!$D$7:$D$159,$C87,'02'!X$7:X$159)+SUMIF('03'!$D$7:$D$159,$C87,'03'!X$7:X$159)+SUMIF('04'!$D$7:$D$159,$C87,'04'!X$7:X$159)+SUMIF('05'!$D$7:$D$159,$C87,'05'!X$7:X$159)+SUMIF('06'!$D$7:$D$159,$C87,'06'!X$7:X$159)+SUMIF('07'!$D$7:$D$159,$C87,'07'!X$7:X$159)+SUMIF('08'!$D$7:$D$159,$C87,'08'!X$7:X$159)</f>
        <v/>
      </c>
      <c r="W88" s="429">
        <f>SUMIF('02'!$D$7:$D$159,$C87,'02'!Y$7:Y$159)+SUMIF('03'!$D$7:$D$159,$C87,'03'!Y$7:Y$159)+SUMIF('04'!$D$7:$D$159,$C87,'04'!Y$7:Y$159)+SUMIF('05'!$D$7:$D$159,$C87,'05'!Y$7:Y$159)+SUMIF('06'!$D$7:$D$159,$C87,'06'!Y$7:Y$159)+SUMIF('07'!$D$7:$D$159,$C87,'07'!Y$7:Y$159)+SUMIF('08'!$D$7:$D$159,$C87,'08'!Y$7:Y$159)</f>
        <v/>
      </c>
      <c r="X88" s="431">
        <f>SUM(J88:W88)</f>
        <v/>
      </c>
      <c r="Y88" s="413" t="n"/>
      <c r="Z88" s="432" t="n"/>
    </row>
    <row r="89" ht="14.25" customHeight="1" s="296">
      <c r="A89" s="154">
        <f>IF(OR(C89="0",COUNTIF(КлючВесна,C89)&gt;1),0,MATCH(F89,ВидыНагр,0))</f>
        <v/>
      </c>
      <c r="B89" s="154">
        <f>(COUNTA(D89:F90,J89:W89,H89:I90)=0)</f>
        <v/>
      </c>
      <c r="C89" s="155">
        <f>IF(OR(TRIM(D89)="",COUNTIF(ВидыНагр,F89)&lt;&gt;1),"0",CONCATENATE("$",TRIM(D89),"$",TRIM(E89),"$",F89,"$"))</f>
        <v/>
      </c>
      <c r="D89" s="415" t="n"/>
      <c r="E89" s="416" t="n"/>
      <c r="F89" s="417" t="n"/>
      <c r="G89" s="156" t="inlineStr">
        <is>
          <t>план</t>
        </is>
      </c>
      <c r="H89" s="157" t="n"/>
      <c r="I89" s="158" t="n"/>
      <c r="J89" s="418" t="n"/>
      <c r="K89" s="419" t="n"/>
      <c r="L89" s="420" t="n"/>
      <c r="M89" s="418" t="n"/>
      <c r="N89" s="419" t="n"/>
      <c r="O89" s="420" t="n"/>
      <c r="P89" s="418" t="n"/>
      <c r="Q89" s="419" t="n"/>
      <c r="R89" s="420" t="n"/>
      <c r="S89" s="418" t="n"/>
      <c r="T89" s="419" t="n"/>
      <c r="U89" s="421" t="n"/>
      <c r="V89" s="420" t="n"/>
      <c r="W89" s="420" t="n"/>
      <c r="X89" s="422">
        <f>SUM(J89:W89)</f>
        <v/>
      </c>
      <c r="Y89" s="423">
        <f>X90-X89</f>
        <v/>
      </c>
      <c r="Z89" s="209" t="n"/>
    </row>
    <row r="90" ht="14.25" customHeight="1" s="296">
      <c r="A90" s="154">
        <f>-A89</f>
        <v/>
      </c>
      <c r="B90" s="154">
        <f>B89</f>
        <v/>
      </c>
      <c r="C90" s="163" t="n"/>
      <c r="D90" s="424" t="n"/>
      <c r="E90" s="425" t="n"/>
      <c r="F90" s="426" t="n"/>
      <c r="G90" s="164" t="inlineStr">
        <is>
          <t>факт</t>
        </is>
      </c>
      <c r="H90" s="165" t="n"/>
      <c r="I90" s="250" t="n"/>
      <c r="J90" s="427">
        <f>SUMIF('02'!$D$7:$D$159,$C89,'02'!L$7:L$159)+SUMIF('03'!$D$7:$D$159,$C89,'03'!L$7:L$159)+SUMIF('04'!$D$7:$D$159,$C89,'04'!L$7:L$159)+SUMIF('05'!$D$7:$D$159,$C89,'05'!L$7:L$159)+SUMIF('06'!$D$7:$D$159,$C89,'06'!L$7:L$159)+SUMIF('07'!$D$7:$D$159,$C89,'07'!L$7:L$159)+SUMIF('08'!$D$7:$D$159,$C89,'08'!L$7:L$159)</f>
        <v/>
      </c>
      <c r="K90" s="428">
        <f>SUMIF('02'!$D$7:$D$159,$C89,'02'!M$7:M$159)+SUMIF('03'!$D$7:$D$159,$C89,'03'!M$7:M$159)+SUMIF('04'!$D$7:$D$159,$C89,'04'!M$7:M$159)+SUMIF('05'!$D$7:$D$159,$C89,'05'!M$7:M$159)+SUMIF('06'!$D$7:$D$159,$C89,'06'!M$7:M$159)+SUMIF('07'!$D$7:$D$159,$C89,'07'!M$7:M$159)+SUMIF('08'!$D$7:$D$159,$C89,'08'!M$7:M$159)</f>
        <v/>
      </c>
      <c r="L90" s="429">
        <f>SUMIF('02'!$D$7:$D$159,$C89,'02'!N$7:N$159)+SUMIF('03'!$D$7:$D$159,$C89,'03'!N$7:N$159)+SUMIF('04'!$D$7:$D$159,$C89,'04'!N$7:N$159)+SUMIF('05'!$D$7:$D$159,$C89,'05'!N$7:N$159)+SUMIF('06'!$D$7:$D$159,$C89,'06'!N$7:N$159)+SUMIF('07'!$D$7:$D$159,$C89,'07'!N$7:N$159)+SUMIF('08'!$D$7:$D$159,$C89,'08'!N$7:N$159)</f>
        <v/>
      </c>
      <c r="M90" s="427">
        <f>SUMIF('02'!$D$7:$D$159,$C89,'02'!O$7:O$159)+SUMIF('03'!$D$7:$D$159,$C89,'03'!O$7:O$159)+SUMIF('04'!$D$7:$D$159,$C89,'04'!O$7:O$159)+SUMIF('05'!$D$7:$D$159,$C89,'05'!O$7:O$159)+SUMIF('06'!$D$7:$D$159,$C89,'06'!O$7:O$159)+SUMIF('07'!$D$7:$D$159,$C89,'07'!O$7:O$159)+SUMIF('08'!$D$7:$D$159,$C89,'08'!O$7:O$159)</f>
        <v/>
      </c>
      <c r="N90" s="428">
        <f>SUMIF('02'!$D$7:$D$159,$C89,'02'!P$7:P$159)+SUMIF('03'!$D$7:$D$159,$C89,'03'!P$7:P$159)+SUMIF('04'!$D$7:$D$159,$C89,'04'!P$7:P$159)+SUMIF('05'!$D$7:$D$159,$C89,'05'!P$7:P$159)+SUMIF('06'!$D$7:$D$159,$C89,'06'!P$7:P$159)+SUMIF('07'!$D$7:$D$159,$C89,'07'!P$7:P$159)+SUMIF('08'!$D$7:$D$159,$C89,'08'!P$7:P$159)</f>
        <v/>
      </c>
      <c r="O90" s="429">
        <f>SUMIF('02'!$D$7:$D$159,$C89,'02'!Q$7:Q$159)+SUMIF('03'!$D$7:$D$159,$C89,'03'!Q$7:Q$159)+SUMIF('04'!$D$7:$D$159,$C89,'04'!Q$7:Q$159)+SUMIF('05'!$D$7:$D$159,$C89,'05'!Q$7:Q$159)+SUMIF('06'!$D$7:$D$159,$C89,'06'!Q$7:Q$159)+SUMIF('07'!$D$7:$D$159,$C89,'07'!Q$7:Q$159)+SUMIF('08'!$D$7:$D$159,$C89,'08'!Q$7:Q$159)</f>
        <v/>
      </c>
      <c r="P90" s="427">
        <f>SUMIF('02'!$D$7:$D$159,$C89,'02'!R$7:R$159)+SUMIF('03'!$D$7:$D$159,$C89,'03'!R$7:R$159)+SUMIF('04'!$D$7:$D$159,$C89,'04'!R$7:R$159)+SUMIF('05'!$D$7:$D$159,$C89,'05'!R$7:R$159)+SUMIF('06'!$D$7:$D$159,$C89,'06'!R$7:R$159)+SUMIF('07'!$D$7:$D$159,$C89,'07'!R$7:R$159)+SUMIF('08'!$D$7:$D$159,$C89,'08'!R$7:R$159)</f>
        <v/>
      </c>
      <c r="Q90" s="428">
        <f>SUMIF('02'!$D$7:$D$159,$C89,'02'!S$7:S$159)+SUMIF('03'!$D$7:$D$159,$C89,'03'!S$7:S$159)+SUMIF('04'!$D$7:$D$159,$C89,'04'!S$7:S$159)+SUMIF('05'!$D$7:$D$159,$C89,'05'!S$7:S$159)+SUMIF('06'!$D$7:$D$159,$C89,'06'!S$7:S$159)+SUMIF('07'!$D$7:$D$159,$C89,'07'!S$7:S$159)+SUMIF('08'!$D$7:$D$159,$C89,'08'!S$7:S$159)</f>
        <v/>
      </c>
      <c r="R90" s="429">
        <f>SUMIF('02'!$D$7:$D$159,$C89,'02'!T$7:T$159)+SUMIF('03'!$D$7:$D$159,$C89,'03'!T$7:T$159)+SUMIF('04'!$D$7:$D$159,$C89,'04'!T$7:T$159)+SUMIF('05'!$D$7:$D$159,$C89,'05'!T$7:T$159)+SUMIF('06'!$D$7:$D$159,$C89,'06'!T$7:T$159)+SUMIF('07'!$D$7:$D$159,$C89,'07'!T$7:T$159)+SUMIF('08'!$D$7:$D$159,$C89,'08'!T$7:T$159)</f>
        <v/>
      </c>
      <c r="S90" s="427">
        <f>SUMIF('02'!$D$7:$D$159,$C89,'02'!U$7:U$159)+SUMIF('03'!$D$7:$D$159,$C89,'03'!U$7:U$159)+SUMIF('04'!$D$7:$D$159,$C89,'04'!U$7:U$159)+SUMIF('05'!$D$7:$D$159,$C89,'05'!U$7:U$159)+SUMIF('06'!$D$7:$D$159,$C89,'06'!U$7:U$159)+SUMIF('07'!$D$7:$D$159,$C89,'07'!U$7:U$159)+SUMIF('08'!$D$7:$D$159,$C89,'08'!U$7:U$159)</f>
        <v/>
      </c>
      <c r="T90" s="428">
        <f>SUMIF('02'!$D$7:$D$159,$C89,'02'!V$7:V$159)+SUMIF('03'!$D$7:$D$159,$C89,'03'!V$7:V$159)+SUMIF('04'!$D$7:$D$159,$C89,'04'!V$7:V$159)+SUMIF('05'!$D$7:$D$159,$C89,'05'!V$7:V$159)+SUMIF('06'!$D$7:$D$159,$C89,'06'!V$7:V$159)+SUMIF('07'!$D$7:$D$159,$C89,'07'!V$7:V$159)+SUMIF('08'!$D$7:$D$159,$C89,'08'!V$7:V$159)</f>
        <v/>
      </c>
      <c r="U90" s="430">
        <f>SUMIF('02'!$D$7:$D$159,$C89,'02'!W$7:W$159)+SUMIF('03'!$D$7:$D$159,$C89,'03'!W$7:W$159)+SUMIF('04'!$D$7:$D$159,$C89,'04'!W$7:W$159)+SUMIF('05'!$D$7:$D$159,$C89,'05'!W$7:W$159)+SUMIF('06'!$D$7:$D$159,$C89,'06'!W$7:W$159)+SUMIF('07'!$D$7:$D$159,$C89,'07'!W$7:W$159)+SUMIF('08'!$D$7:$D$159,$C89,'08'!W$7:W$159)</f>
        <v/>
      </c>
      <c r="V90" s="429">
        <f>SUMIF('02'!$D$7:$D$159,$C89,'02'!X$7:X$159)+SUMIF('03'!$D$7:$D$159,$C89,'03'!X$7:X$159)+SUMIF('04'!$D$7:$D$159,$C89,'04'!X$7:X$159)+SUMIF('05'!$D$7:$D$159,$C89,'05'!X$7:X$159)+SUMIF('06'!$D$7:$D$159,$C89,'06'!X$7:X$159)+SUMIF('07'!$D$7:$D$159,$C89,'07'!X$7:X$159)+SUMIF('08'!$D$7:$D$159,$C89,'08'!X$7:X$159)</f>
        <v/>
      </c>
      <c r="W90" s="429">
        <f>SUMIF('02'!$D$7:$D$159,$C89,'02'!Y$7:Y$159)+SUMIF('03'!$D$7:$D$159,$C89,'03'!Y$7:Y$159)+SUMIF('04'!$D$7:$D$159,$C89,'04'!Y$7:Y$159)+SUMIF('05'!$D$7:$D$159,$C89,'05'!Y$7:Y$159)+SUMIF('06'!$D$7:$D$159,$C89,'06'!Y$7:Y$159)+SUMIF('07'!$D$7:$D$159,$C89,'07'!Y$7:Y$159)+SUMIF('08'!$D$7:$D$159,$C89,'08'!Y$7:Y$159)</f>
        <v/>
      </c>
      <c r="X90" s="431">
        <f>SUM(J90:W90)</f>
        <v/>
      </c>
      <c r="Y90" s="413" t="n"/>
      <c r="Z90" s="432" t="n"/>
    </row>
    <row r="91" ht="14.25" customHeight="1" s="296">
      <c r="A91" s="154">
        <f>IF(OR(C91="0",COUNTIF(КлючВесна,C91)&gt;1),0,MATCH(F91,ВидыНагр,0))</f>
        <v/>
      </c>
      <c r="B91" s="154">
        <f>(COUNTA(D91:F92,J91:W91,H91:I92)=0)</f>
        <v/>
      </c>
      <c r="C91" s="155">
        <f>IF(OR(TRIM(D91)="",COUNTIF(ВидыНагр,F91)&lt;&gt;1),"0",CONCATENATE("$",TRIM(D91),"$",TRIM(E91),"$",F91,"$"))</f>
        <v/>
      </c>
      <c r="D91" s="415" t="n"/>
      <c r="E91" s="416" t="n"/>
      <c r="F91" s="417" t="n"/>
      <c r="G91" s="156" t="inlineStr">
        <is>
          <t>план</t>
        </is>
      </c>
      <c r="H91" s="157" t="n"/>
      <c r="I91" s="158" t="n"/>
      <c r="J91" s="418" t="n"/>
      <c r="K91" s="419" t="n"/>
      <c r="L91" s="420" t="n"/>
      <c r="M91" s="418" t="n"/>
      <c r="N91" s="419" t="n"/>
      <c r="O91" s="420" t="n"/>
      <c r="P91" s="418" t="n"/>
      <c r="Q91" s="419" t="n"/>
      <c r="R91" s="420" t="n"/>
      <c r="S91" s="418" t="n"/>
      <c r="T91" s="419" t="n"/>
      <c r="U91" s="421" t="n"/>
      <c r="V91" s="420" t="n"/>
      <c r="W91" s="420" t="n"/>
      <c r="X91" s="422">
        <f>SUM(J91:W91)</f>
        <v/>
      </c>
      <c r="Y91" s="423">
        <f>X92-X91</f>
        <v/>
      </c>
      <c r="Z91" s="209" t="n"/>
    </row>
    <row r="92" ht="14.25" customHeight="1" s="296">
      <c r="A92" s="154">
        <f>-A91</f>
        <v/>
      </c>
      <c r="B92" s="154">
        <f>B91</f>
        <v/>
      </c>
      <c r="C92" s="163" t="n"/>
      <c r="D92" s="424" t="n"/>
      <c r="E92" s="425" t="n"/>
      <c r="F92" s="426" t="n"/>
      <c r="G92" s="164" t="inlineStr">
        <is>
          <t>факт</t>
        </is>
      </c>
      <c r="H92" s="165" t="n"/>
      <c r="I92" s="250" t="n"/>
      <c r="J92" s="427">
        <f>SUMIF('02'!$D$7:$D$159,$C91,'02'!L$7:L$159)+SUMIF('03'!$D$7:$D$159,$C91,'03'!L$7:L$159)+SUMIF('04'!$D$7:$D$159,$C91,'04'!L$7:L$159)+SUMIF('05'!$D$7:$D$159,$C91,'05'!L$7:L$159)+SUMIF('06'!$D$7:$D$159,$C91,'06'!L$7:L$159)+SUMIF('07'!$D$7:$D$159,$C91,'07'!L$7:L$159)+SUMIF('08'!$D$7:$D$159,$C91,'08'!L$7:L$159)</f>
        <v/>
      </c>
      <c r="K92" s="428">
        <f>SUMIF('02'!$D$7:$D$159,$C91,'02'!M$7:M$159)+SUMIF('03'!$D$7:$D$159,$C91,'03'!M$7:M$159)+SUMIF('04'!$D$7:$D$159,$C91,'04'!M$7:M$159)+SUMIF('05'!$D$7:$D$159,$C91,'05'!M$7:M$159)+SUMIF('06'!$D$7:$D$159,$C91,'06'!M$7:M$159)+SUMIF('07'!$D$7:$D$159,$C91,'07'!M$7:M$159)+SUMIF('08'!$D$7:$D$159,$C91,'08'!M$7:M$159)</f>
        <v/>
      </c>
      <c r="L92" s="429">
        <f>SUMIF('02'!$D$7:$D$159,$C91,'02'!N$7:N$159)+SUMIF('03'!$D$7:$D$159,$C91,'03'!N$7:N$159)+SUMIF('04'!$D$7:$D$159,$C91,'04'!N$7:N$159)+SUMIF('05'!$D$7:$D$159,$C91,'05'!N$7:N$159)+SUMIF('06'!$D$7:$D$159,$C91,'06'!N$7:N$159)+SUMIF('07'!$D$7:$D$159,$C91,'07'!N$7:N$159)+SUMIF('08'!$D$7:$D$159,$C91,'08'!N$7:N$159)</f>
        <v/>
      </c>
      <c r="M92" s="427">
        <f>SUMIF('02'!$D$7:$D$159,$C91,'02'!O$7:O$159)+SUMIF('03'!$D$7:$D$159,$C91,'03'!O$7:O$159)+SUMIF('04'!$D$7:$D$159,$C91,'04'!O$7:O$159)+SUMIF('05'!$D$7:$D$159,$C91,'05'!O$7:O$159)+SUMIF('06'!$D$7:$D$159,$C91,'06'!O$7:O$159)+SUMIF('07'!$D$7:$D$159,$C91,'07'!O$7:O$159)+SUMIF('08'!$D$7:$D$159,$C91,'08'!O$7:O$159)</f>
        <v/>
      </c>
      <c r="N92" s="428">
        <f>SUMIF('02'!$D$7:$D$159,$C91,'02'!P$7:P$159)+SUMIF('03'!$D$7:$D$159,$C91,'03'!P$7:P$159)+SUMIF('04'!$D$7:$D$159,$C91,'04'!P$7:P$159)+SUMIF('05'!$D$7:$D$159,$C91,'05'!P$7:P$159)+SUMIF('06'!$D$7:$D$159,$C91,'06'!P$7:P$159)+SUMIF('07'!$D$7:$D$159,$C91,'07'!P$7:P$159)+SUMIF('08'!$D$7:$D$159,$C91,'08'!P$7:P$159)</f>
        <v/>
      </c>
      <c r="O92" s="429">
        <f>SUMIF('02'!$D$7:$D$159,$C91,'02'!Q$7:Q$159)+SUMIF('03'!$D$7:$D$159,$C91,'03'!Q$7:Q$159)+SUMIF('04'!$D$7:$D$159,$C91,'04'!Q$7:Q$159)+SUMIF('05'!$D$7:$D$159,$C91,'05'!Q$7:Q$159)+SUMIF('06'!$D$7:$D$159,$C91,'06'!Q$7:Q$159)+SUMIF('07'!$D$7:$D$159,$C91,'07'!Q$7:Q$159)+SUMIF('08'!$D$7:$D$159,$C91,'08'!Q$7:Q$159)</f>
        <v/>
      </c>
      <c r="P92" s="427">
        <f>SUMIF('02'!$D$7:$D$159,$C91,'02'!R$7:R$159)+SUMIF('03'!$D$7:$D$159,$C91,'03'!R$7:R$159)+SUMIF('04'!$D$7:$D$159,$C91,'04'!R$7:R$159)+SUMIF('05'!$D$7:$D$159,$C91,'05'!R$7:R$159)+SUMIF('06'!$D$7:$D$159,$C91,'06'!R$7:R$159)+SUMIF('07'!$D$7:$D$159,$C91,'07'!R$7:R$159)+SUMIF('08'!$D$7:$D$159,$C91,'08'!R$7:R$159)</f>
        <v/>
      </c>
      <c r="Q92" s="428">
        <f>SUMIF('02'!$D$7:$D$159,$C91,'02'!S$7:S$159)+SUMIF('03'!$D$7:$D$159,$C91,'03'!S$7:S$159)+SUMIF('04'!$D$7:$D$159,$C91,'04'!S$7:S$159)+SUMIF('05'!$D$7:$D$159,$C91,'05'!S$7:S$159)+SUMIF('06'!$D$7:$D$159,$C91,'06'!S$7:S$159)+SUMIF('07'!$D$7:$D$159,$C91,'07'!S$7:S$159)+SUMIF('08'!$D$7:$D$159,$C91,'08'!S$7:S$159)</f>
        <v/>
      </c>
      <c r="R92" s="429">
        <f>SUMIF('02'!$D$7:$D$159,$C91,'02'!T$7:T$159)+SUMIF('03'!$D$7:$D$159,$C91,'03'!T$7:T$159)+SUMIF('04'!$D$7:$D$159,$C91,'04'!T$7:T$159)+SUMIF('05'!$D$7:$D$159,$C91,'05'!T$7:T$159)+SUMIF('06'!$D$7:$D$159,$C91,'06'!T$7:T$159)+SUMIF('07'!$D$7:$D$159,$C91,'07'!T$7:T$159)+SUMIF('08'!$D$7:$D$159,$C91,'08'!T$7:T$159)</f>
        <v/>
      </c>
      <c r="S92" s="427">
        <f>SUMIF('02'!$D$7:$D$159,$C91,'02'!U$7:U$159)+SUMIF('03'!$D$7:$D$159,$C91,'03'!U$7:U$159)+SUMIF('04'!$D$7:$D$159,$C91,'04'!U$7:U$159)+SUMIF('05'!$D$7:$D$159,$C91,'05'!U$7:U$159)+SUMIF('06'!$D$7:$D$159,$C91,'06'!U$7:U$159)+SUMIF('07'!$D$7:$D$159,$C91,'07'!U$7:U$159)+SUMIF('08'!$D$7:$D$159,$C91,'08'!U$7:U$159)</f>
        <v/>
      </c>
      <c r="T92" s="428">
        <f>SUMIF('02'!$D$7:$D$159,$C91,'02'!V$7:V$159)+SUMIF('03'!$D$7:$D$159,$C91,'03'!V$7:V$159)+SUMIF('04'!$D$7:$D$159,$C91,'04'!V$7:V$159)+SUMIF('05'!$D$7:$D$159,$C91,'05'!V$7:V$159)+SUMIF('06'!$D$7:$D$159,$C91,'06'!V$7:V$159)+SUMIF('07'!$D$7:$D$159,$C91,'07'!V$7:V$159)+SUMIF('08'!$D$7:$D$159,$C91,'08'!V$7:V$159)</f>
        <v/>
      </c>
      <c r="U92" s="430">
        <f>SUMIF('02'!$D$7:$D$159,$C91,'02'!W$7:W$159)+SUMIF('03'!$D$7:$D$159,$C91,'03'!W$7:W$159)+SUMIF('04'!$D$7:$D$159,$C91,'04'!W$7:W$159)+SUMIF('05'!$D$7:$D$159,$C91,'05'!W$7:W$159)+SUMIF('06'!$D$7:$D$159,$C91,'06'!W$7:W$159)+SUMIF('07'!$D$7:$D$159,$C91,'07'!W$7:W$159)+SUMIF('08'!$D$7:$D$159,$C91,'08'!W$7:W$159)</f>
        <v/>
      </c>
      <c r="V92" s="429">
        <f>SUMIF('02'!$D$7:$D$159,$C91,'02'!X$7:X$159)+SUMIF('03'!$D$7:$D$159,$C91,'03'!X$7:X$159)+SUMIF('04'!$D$7:$D$159,$C91,'04'!X$7:X$159)+SUMIF('05'!$D$7:$D$159,$C91,'05'!X$7:X$159)+SUMIF('06'!$D$7:$D$159,$C91,'06'!X$7:X$159)+SUMIF('07'!$D$7:$D$159,$C91,'07'!X$7:X$159)+SUMIF('08'!$D$7:$D$159,$C91,'08'!X$7:X$159)</f>
        <v/>
      </c>
      <c r="W92" s="429">
        <f>SUMIF('02'!$D$7:$D$159,$C91,'02'!Y$7:Y$159)+SUMIF('03'!$D$7:$D$159,$C91,'03'!Y$7:Y$159)+SUMIF('04'!$D$7:$D$159,$C91,'04'!Y$7:Y$159)+SUMIF('05'!$D$7:$D$159,$C91,'05'!Y$7:Y$159)+SUMIF('06'!$D$7:$D$159,$C91,'06'!Y$7:Y$159)+SUMIF('07'!$D$7:$D$159,$C91,'07'!Y$7:Y$159)+SUMIF('08'!$D$7:$D$159,$C91,'08'!Y$7:Y$159)</f>
        <v/>
      </c>
      <c r="X92" s="431">
        <f>SUM(J92:W92)</f>
        <v/>
      </c>
      <c r="Y92" s="413" t="n"/>
      <c r="Z92" s="432" t="n"/>
    </row>
    <row r="93" ht="14.25" customHeight="1" s="296">
      <c r="A93" s="154">
        <f>IF(OR(C93="0",COUNTIF(КлючВесна,C93)&gt;1),0,MATCH(F93,ВидыНагр,0))</f>
        <v/>
      </c>
      <c r="B93" s="154">
        <f>(COUNTA(D93:F94,J93:W93,H93:I94)=0)</f>
        <v/>
      </c>
      <c r="C93" s="155">
        <f>IF(OR(TRIM(D93)="",COUNTIF(ВидыНагр,F93)&lt;&gt;1),"0",CONCATENATE("$",TRIM(D93),"$",TRIM(E93),"$",F93,"$"))</f>
        <v/>
      </c>
      <c r="D93" s="415" t="n"/>
      <c r="E93" s="416" t="n"/>
      <c r="F93" s="417" t="n"/>
      <c r="G93" s="156" t="inlineStr">
        <is>
          <t>план</t>
        </is>
      </c>
      <c r="H93" s="157" t="n"/>
      <c r="I93" s="158" t="n"/>
      <c r="J93" s="418" t="n"/>
      <c r="K93" s="419" t="n"/>
      <c r="L93" s="420" t="n"/>
      <c r="M93" s="418" t="n"/>
      <c r="N93" s="419" t="n"/>
      <c r="O93" s="420" t="n"/>
      <c r="P93" s="418" t="n"/>
      <c r="Q93" s="419" t="n"/>
      <c r="R93" s="420" t="n"/>
      <c r="S93" s="418" t="n"/>
      <c r="T93" s="419" t="n"/>
      <c r="U93" s="421" t="n"/>
      <c r="V93" s="420" t="n"/>
      <c r="W93" s="420" t="n"/>
      <c r="X93" s="422">
        <f>SUM(J93:W93)</f>
        <v/>
      </c>
      <c r="Y93" s="423">
        <f>X94-X93</f>
        <v/>
      </c>
      <c r="Z93" s="209" t="n"/>
    </row>
    <row r="94" ht="14.25" customHeight="1" s="296">
      <c r="A94" s="154">
        <f>-A93</f>
        <v/>
      </c>
      <c r="B94" s="154">
        <f>B93</f>
        <v/>
      </c>
      <c r="C94" s="163" t="n"/>
      <c r="D94" s="424" t="n"/>
      <c r="E94" s="425" t="n"/>
      <c r="F94" s="426" t="n"/>
      <c r="G94" s="164" t="inlineStr">
        <is>
          <t>факт</t>
        </is>
      </c>
      <c r="H94" s="165" t="n"/>
      <c r="I94" s="250" t="n"/>
      <c r="J94" s="427">
        <f>SUMIF('02'!$D$7:$D$159,$C93,'02'!L$7:L$159)+SUMIF('03'!$D$7:$D$159,$C93,'03'!L$7:L$159)+SUMIF('04'!$D$7:$D$159,$C93,'04'!L$7:L$159)+SUMIF('05'!$D$7:$D$159,$C93,'05'!L$7:L$159)+SUMIF('06'!$D$7:$D$159,$C93,'06'!L$7:L$159)+SUMIF('07'!$D$7:$D$159,$C93,'07'!L$7:L$159)+SUMIF('08'!$D$7:$D$159,$C93,'08'!L$7:L$159)</f>
        <v/>
      </c>
      <c r="K94" s="428">
        <f>SUMIF('02'!$D$7:$D$159,$C93,'02'!M$7:M$159)+SUMIF('03'!$D$7:$D$159,$C93,'03'!M$7:M$159)+SUMIF('04'!$D$7:$D$159,$C93,'04'!M$7:M$159)+SUMIF('05'!$D$7:$D$159,$C93,'05'!M$7:M$159)+SUMIF('06'!$D$7:$D$159,$C93,'06'!M$7:M$159)+SUMIF('07'!$D$7:$D$159,$C93,'07'!M$7:M$159)+SUMIF('08'!$D$7:$D$159,$C93,'08'!M$7:M$159)</f>
        <v/>
      </c>
      <c r="L94" s="429">
        <f>SUMIF('02'!$D$7:$D$159,$C93,'02'!N$7:N$159)+SUMIF('03'!$D$7:$D$159,$C93,'03'!N$7:N$159)+SUMIF('04'!$D$7:$D$159,$C93,'04'!N$7:N$159)+SUMIF('05'!$D$7:$D$159,$C93,'05'!N$7:N$159)+SUMIF('06'!$D$7:$D$159,$C93,'06'!N$7:N$159)+SUMIF('07'!$D$7:$D$159,$C93,'07'!N$7:N$159)+SUMIF('08'!$D$7:$D$159,$C93,'08'!N$7:N$159)</f>
        <v/>
      </c>
      <c r="M94" s="427">
        <f>SUMIF('02'!$D$7:$D$159,$C93,'02'!O$7:O$159)+SUMIF('03'!$D$7:$D$159,$C93,'03'!O$7:O$159)+SUMIF('04'!$D$7:$D$159,$C93,'04'!O$7:O$159)+SUMIF('05'!$D$7:$D$159,$C93,'05'!O$7:O$159)+SUMIF('06'!$D$7:$D$159,$C93,'06'!O$7:O$159)+SUMIF('07'!$D$7:$D$159,$C93,'07'!O$7:O$159)+SUMIF('08'!$D$7:$D$159,$C93,'08'!O$7:O$159)</f>
        <v/>
      </c>
      <c r="N94" s="428">
        <f>SUMIF('02'!$D$7:$D$159,$C93,'02'!P$7:P$159)+SUMIF('03'!$D$7:$D$159,$C93,'03'!P$7:P$159)+SUMIF('04'!$D$7:$D$159,$C93,'04'!P$7:P$159)+SUMIF('05'!$D$7:$D$159,$C93,'05'!P$7:P$159)+SUMIF('06'!$D$7:$D$159,$C93,'06'!P$7:P$159)+SUMIF('07'!$D$7:$D$159,$C93,'07'!P$7:P$159)+SUMIF('08'!$D$7:$D$159,$C93,'08'!P$7:P$159)</f>
        <v/>
      </c>
      <c r="O94" s="429">
        <f>SUMIF('02'!$D$7:$D$159,$C93,'02'!Q$7:Q$159)+SUMIF('03'!$D$7:$D$159,$C93,'03'!Q$7:Q$159)+SUMIF('04'!$D$7:$D$159,$C93,'04'!Q$7:Q$159)+SUMIF('05'!$D$7:$D$159,$C93,'05'!Q$7:Q$159)+SUMIF('06'!$D$7:$D$159,$C93,'06'!Q$7:Q$159)+SUMIF('07'!$D$7:$D$159,$C93,'07'!Q$7:Q$159)+SUMIF('08'!$D$7:$D$159,$C93,'08'!Q$7:Q$159)</f>
        <v/>
      </c>
      <c r="P94" s="427">
        <f>SUMIF('02'!$D$7:$D$159,$C93,'02'!R$7:R$159)+SUMIF('03'!$D$7:$D$159,$C93,'03'!R$7:R$159)+SUMIF('04'!$D$7:$D$159,$C93,'04'!R$7:R$159)+SUMIF('05'!$D$7:$D$159,$C93,'05'!R$7:R$159)+SUMIF('06'!$D$7:$D$159,$C93,'06'!R$7:R$159)+SUMIF('07'!$D$7:$D$159,$C93,'07'!R$7:R$159)+SUMIF('08'!$D$7:$D$159,$C93,'08'!R$7:R$159)</f>
        <v/>
      </c>
      <c r="Q94" s="428">
        <f>SUMIF('02'!$D$7:$D$159,$C93,'02'!S$7:S$159)+SUMIF('03'!$D$7:$D$159,$C93,'03'!S$7:S$159)+SUMIF('04'!$D$7:$D$159,$C93,'04'!S$7:S$159)+SUMIF('05'!$D$7:$D$159,$C93,'05'!S$7:S$159)+SUMIF('06'!$D$7:$D$159,$C93,'06'!S$7:S$159)+SUMIF('07'!$D$7:$D$159,$C93,'07'!S$7:S$159)+SUMIF('08'!$D$7:$D$159,$C93,'08'!S$7:S$159)</f>
        <v/>
      </c>
      <c r="R94" s="429">
        <f>SUMIF('02'!$D$7:$D$159,$C93,'02'!T$7:T$159)+SUMIF('03'!$D$7:$D$159,$C93,'03'!T$7:T$159)+SUMIF('04'!$D$7:$D$159,$C93,'04'!T$7:T$159)+SUMIF('05'!$D$7:$D$159,$C93,'05'!T$7:T$159)+SUMIF('06'!$D$7:$D$159,$C93,'06'!T$7:T$159)+SUMIF('07'!$D$7:$D$159,$C93,'07'!T$7:T$159)+SUMIF('08'!$D$7:$D$159,$C93,'08'!T$7:T$159)</f>
        <v/>
      </c>
      <c r="S94" s="427">
        <f>SUMIF('02'!$D$7:$D$159,$C93,'02'!U$7:U$159)+SUMIF('03'!$D$7:$D$159,$C93,'03'!U$7:U$159)+SUMIF('04'!$D$7:$D$159,$C93,'04'!U$7:U$159)+SUMIF('05'!$D$7:$D$159,$C93,'05'!U$7:U$159)+SUMIF('06'!$D$7:$D$159,$C93,'06'!U$7:U$159)+SUMIF('07'!$D$7:$D$159,$C93,'07'!U$7:U$159)+SUMIF('08'!$D$7:$D$159,$C93,'08'!U$7:U$159)</f>
        <v/>
      </c>
      <c r="T94" s="428">
        <f>SUMIF('02'!$D$7:$D$159,$C93,'02'!V$7:V$159)+SUMIF('03'!$D$7:$D$159,$C93,'03'!V$7:V$159)+SUMIF('04'!$D$7:$D$159,$C93,'04'!V$7:V$159)+SUMIF('05'!$D$7:$D$159,$C93,'05'!V$7:V$159)+SUMIF('06'!$D$7:$D$159,$C93,'06'!V$7:V$159)+SUMIF('07'!$D$7:$D$159,$C93,'07'!V$7:V$159)+SUMIF('08'!$D$7:$D$159,$C93,'08'!V$7:V$159)</f>
        <v/>
      </c>
      <c r="U94" s="430">
        <f>SUMIF('02'!$D$7:$D$159,$C93,'02'!W$7:W$159)+SUMIF('03'!$D$7:$D$159,$C93,'03'!W$7:W$159)+SUMIF('04'!$D$7:$D$159,$C93,'04'!W$7:W$159)+SUMIF('05'!$D$7:$D$159,$C93,'05'!W$7:W$159)+SUMIF('06'!$D$7:$D$159,$C93,'06'!W$7:W$159)+SUMIF('07'!$D$7:$D$159,$C93,'07'!W$7:W$159)+SUMIF('08'!$D$7:$D$159,$C93,'08'!W$7:W$159)</f>
        <v/>
      </c>
      <c r="V94" s="429">
        <f>SUMIF('02'!$D$7:$D$159,$C93,'02'!X$7:X$159)+SUMIF('03'!$D$7:$D$159,$C93,'03'!X$7:X$159)+SUMIF('04'!$D$7:$D$159,$C93,'04'!X$7:X$159)+SUMIF('05'!$D$7:$D$159,$C93,'05'!X$7:X$159)+SUMIF('06'!$D$7:$D$159,$C93,'06'!X$7:X$159)+SUMIF('07'!$D$7:$D$159,$C93,'07'!X$7:X$159)+SUMIF('08'!$D$7:$D$159,$C93,'08'!X$7:X$159)</f>
        <v/>
      </c>
      <c r="W94" s="429">
        <f>SUMIF('02'!$D$7:$D$159,$C93,'02'!Y$7:Y$159)+SUMIF('03'!$D$7:$D$159,$C93,'03'!Y$7:Y$159)+SUMIF('04'!$D$7:$D$159,$C93,'04'!Y$7:Y$159)+SUMIF('05'!$D$7:$D$159,$C93,'05'!Y$7:Y$159)+SUMIF('06'!$D$7:$D$159,$C93,'06'!Y$7:Y$159)+SUMIF('07'!$D$7:$D$159,$C93,'07'!Y$7:Y$159)+SUMIF('08'!$D$7:$D$159,$C93,'08'!Y$7:Y$159)</f>
        <v/>
      </c>
      <c r="X94" s="431">
        <f>SUM(J94:W94)</f>
        <v/>
      </c>
      <c r="Y94" s="413" t="n"/>
      <c r="Z94" s="432" t="n"/>
    </row>
    <row r="95" ht="14.25" customHeight="1" s="296">
      <c r="A95" s="154">
        <f>IF(OR(C95="0",COUNTIF(КлючВесна,C95)&gt;1),0,MATCH(F95,ВидыНагр,0))</f>
        <v/>
      </c>
      <c r="B95" s="154">
        <f>(COUNTA(D95:F96,J95:W95,H95:I96)=0)</f>
        <v/>
      </c>
      <c r="C95" s="155">
        <f>IF(OR(TRIM(D95)="",COUNTIF(ВидыНагр,F95)&lt;&gt;1),"0",CONCATENATE("$",TRIM(D95),"$",TRIM(E95),"$",F95,"$"))</f>
        <v/>
      </c>
      <c r="D95" s="415" t="n"/>
      <c r="E95" s="416" t="n"/>
      <c r="F95" s="417" t="n"/>
      <c r="G95" s="156" t="inlineStr">
        <is>
          <t>план</t>
        </is>
      </c>
      <c r="H95" s="157" t="n"/>
      <c r="I95" s="158" t="n"/>
      <c r="J95" s="418" t="n"/>
      <c r="K95" s="419" t="n"/>
      <c r="L95" s="420" t="n"/>
      <c r="M95" s="418" t="n"/>
      <c r="N95" s="419" t="n"/>
      <c r="O95" s="420" t="n"/>
      <c r="P95" s="418" t="n"/>
      <c r="Q95" s="419" t="n"/>
      <c r="R95" s="420" t="n"/>
      <c r="S95" s="418" t="n"/>
      <c r="T95" s="419" t="n"/>
      <c r="U95" s="421" t="n"/>
      <c r="V95" s="420" t="n"/>
      <c r="W95" s="420" t="n"/>
      <c r="X95" s="422">
        <f>SUM(J95:W95)</f>
        <v/>
      </c>
      <c r="Y95" s="423">
        <f>X96-X95</f>
        <v/>
      </c>
      <c r="Z95" s="209" t="n"/>
    </row>
    <row r="96" ht="14.25" customHeight="1" s="296">
      <c r="A96" s="154">
        <f>-A95</f>
        <v/>
      </c>
      <c r="B96" s="154">
        <f>B95</f>
        <v/>
      </c>
      <c r="C96" s="163" t="n"/>
      <c r="D96" s="424" t="n"/>
      <c r="E96" s="425" t="n"/>
      <c r="F96" s="426" t="n"/>
      <c r="G96" s="164" t="inlineStr">
        <is>
          <t>факт</t>
        </is>
      </c>
      <c r="H96" s="165" t="n"/>
      <c r="I96" s="250" t="n"/>
      <c r="J96" s="427">
        <f>SUMIF('02'!$D$7:$D$159,$C95,'02'!L$7:L$159)+SUMIF('03'!$D$7:$D$159,$C95,'03'!L$7:L$159)+SUMIF('04'!$D$7:$D$159,$C95,'04'!L$7:L$159)+SUMIF('05'!$D$7:$D$159,$C95,'05'!L$7:L$159)+SUMIF('06'!$D$7:$D$159,$C95,'06'!L$7:L$159)+SUMIF('07'!$D$7:$D$159,$C95,'07'!L$7:L$159)+SUMIF('08'!$D$7:$D$159,$C95,'08'!L$7:L$159)</f>
        <v/>
      </c>
      <c r="K96" s="428">
        <f>SUMIF('02'!$D$7:$D$159,$C95,'02'!M$7:M$159)+SUMIF('03'!$D$7:$D$159,$C95,'03'!M$7:M$159)+SUMIF('04'!$D$7:$D$159,$C95,'04'!M$7:M$159)+SUMIF('05'!$D$7:$D$159,$C95,'05'!M$7:M$159)+SUMIF('06'!$D$7:$D$159,$C95,'06'!M$7:M$159)+SUMIF('07'!$D$7:$D$159,$C95,'07'!M$7:M$159)+SUMIF('08'!$D$7:$D$159,$C95,'08'!M$7:M$159)</f>
        <v/>
      </c>
      <c r="L96" s="429">
        <f>SUMIF('02'!$D$7:$D$159,$C95,'02'!N$7:N$159)+SUMIF('03'!$D$7:$D$159,$C95,'03'!N$7:N$159)+SUMIF('04'!$D$7:$D$159,$C95,'04'!N$7:N$159)+SUMIF('05'!$D$7:$D$159,$C95,'05'!N$7:N$159)+SUMIF('06'!$D$7:$D$159,$C95,'06'!N$7:N$159)+SUMIF('07'!$D$7:$D$159,$C95,'07'!N$7:N$159)+SUMIF('08'!$D$7:$D$159,$C95,'08'!N$7:N$159)</f>
        <v/>
      </c>
      <c r="M96" s="427">
        <f>SUMIF('02'!$D$7:$D$159,$C95,'02'!O$7:O$159)+SUMIF('03'!$D$7:$D$159,$C95,'03'!O$7:O$159)+SUMIF('04'!$D$7:$D$159,$C95,'04'!O$7:O$159)+SUMIF('05'!$D$7:$D$159,$C95,'05'!O$7:O$159)+SUMIF('06'!$D$7:$D$159,$C95,'06'!O$7:O$159)+SUMIF('07'!$D$7:$D$159,$C95,'07'!O$7:O$159)+SUMIF('08'!$D$7:$D$159,$C95,'08'!O$7:O$159)</f>
        <v/>
      </c>
      <c r="N96" s="428">
        <f>SUMIF('02'!$D$7:$D$159,$C95,'02'!P$7:P$159)+SUMIF('03'!$D$7:$D$159,$C95,'03'!P$7:P$159)+SUMIF('04'!$D$7:$D$159,$C95,'04'!P$7:P$159)+SUMIF('05'!$D$7:$D$159,$C95,'05'!P$7:P$159)+SUMIF('06'!$D$7:$D$159,$C95,'06'!P$7:P$159)+SUMIF('07'!$D$7:$D$159,$C95,'07'!P$7:P$159)+SUMIF('08'!$D$7:$D$159,$C95,'08'!P$7:P$159)</f>
        <v/>
      </c>
      <c r="O96" s="429">
        <f>SUMIF('02'!$D$7:$D$159,$C95,'02'!Q$7:Q$159)+SUMIF('03'!$D$7:$D$159,$C95,'03'!Q$7:Q$159)+SUMIF('04'!$D$7:$D$159,$C95,'04'!Q$7:Q$159)+SUMIF('05'!$D$7:$D$159,$C95,'05'!Q$7:Q$159)+SUMIF('06'!$D$7:$D$159,$C95,'06'!Q$7:Q$159)+SUMIF('07'!$D$7:$D$159,$C95,'07'!Q$7:Q$159)+SUMIF('08'!$D$7:$D$159,$C95,'08'!Q$7:Q$159)</f>
        <v/>
      </c>
      <c r="P96" s="427">
        <f>SUMIF('02'!$D$7:$D$159,$C95,'02'!R$7:R$159)+SUMIF('03'!$D$7:$D$159,$C95,'03'!R$7:R$159)+SUMIF('04'!$D$7:$D$159,$C95,'04'!R$7:R$159)+SUMIF('05'!$D$7:$D$159,$C95,'05'!R$7:R$159)+SUMIF('06'!$D$7:$D$159,$C95,'06'!R$7:R$159)+SUMIF('07'!$D$7:$D$159,$C95,'07'!R$7:R$159)+SUMIF('08'!$D$7:$D$159,$C95,'08'!R$7:R$159)</f>
        <v/>
      </c>
      <c r="Q96" s="428">
        <f>SUMIF('02'!$D$7:$D$159,$C95,'02'!S$7:S$159)+SUMIF('03'!$D$7:$D$159,$C95,'03'!S$7:S$159)+SUMIF('04'!$D$7:$D$159,$C95,'04'!S$7:S$159)+SUMIF('05'!$D$7:$D$159,$C95,'05'!S$7:S$159)+SUMIF('06'!$D$7:$D$159,$C95,'06'!S$7:S$159)+SUMIF('07'!$D$7:$D$159,$C95,'07'!S$7:S$159)+SUMIF('08'!$D$7:$D$159,$C95,'08'!S$7:S$159)</f>
        <v/>
      </c>
      <c r="R96" s="429">
        <f>SUMIF('02'!$D$7:$D$159,$C95,'02'!T$7:T$159)+SUMIF('03'!$D$7:$D$159,$C95,'03'!T$7:T$159)+SUMIF('04'!$D$7:$D$159,$C95,'04'!T$7:T$159)+SUMIF('05'!$D$7:$D$159,$C95,'05'!T$7:T$159)+SUMIF('06'!$D$7:$D$159,$C95,'06'!T$7:T$159)+SUMIF('07'!$D$7:$D$159,$C95,'07'!T$7:T$159)+SUMIF('08'!$D$7:$D$159,$C95,'08'!T$7:T$159)</f>
        <v/>
      </c>
      <c r="S96" s="427">
        <f>SUMIF('02'!$D$7:$D$159,$C95,'02'!U$7:U$159)+SUMIF('03'!$D$7:$D$159,$C95,'03'!U$7:U$159)+SUMIF('04'!$D$7:$D$159,$C95,'04'!U$7:U$159)+SUMIF('05'!$D$7:$D$159,$C95,'05'!U$7:U$159)+SUMIF('06'!$D$7:$D$159,$C95,'06'!U$7:U$159)+SUMIF('07'!$D$7:$D$159,$C95,'07'!U$7:U$159)+SUMIF('08'!$D$7:$D$159,$C95,'08'!U$7:U$159)</f>
        <v/>
      </c>
      <c r="T96" s="428">
        <f>SUMIF('02'!$D$7:$D$159,$C95,'02'!V$7:V$159)+SUMIF('03'!$D$7:$D$159,$C95,'03'!V$7:V$159)+SUMIF('04'!$D$7:$D$159,$C95,'04'!V$7:V$159)+SUMIF('05'!$D$7:$D$159,$C95,'05'!V$7:V$159)+SUMIF('06'!$D$7:$D$159,$C95,'06'!V$7:V$159)+SUMIF('07'!$D$7:$D$159,$C95,'07'!V$7:V$159)+SUMIF('08'!$D$7:$D$159,$C95,'08'!V$7:V$159)</f>
        <v/>
      </c>
      <c r="U96" s="430">
        <f>SUMIF('02'!$D$7:$D$159,$C95,'02'!W$7:W$159)+SUMIF('03'!$D$7:$D$159,$C95,'03'!W$7:W$159)+SUMIF('04'!$D$7:$D$159,$C95,'04'!W$7:W$159)+SUMIF('05'!$D$7:$D$159,$C95,'05'!W$7:W$159)+SUMIF('06'!$D$7:$D$159,$C95,'06'!W$7:W$159)+SUMIF('07'!$D$7:$D$159,$C95,'07'!W$7:W$159)+SUMIF('08'!$D$7:$D$159,$C95,'08'!W$7:W$159)</f>
        <v/>
      </c>
      <c r="V96" s="429">
        <f>SUMIF('02'!$D$7:$D$159,$C95,'02'!X$7:X$159)+SUMIF('03'!$D$7:$D$159,$C95,'03'!X$7:X$159)+SUMIF('04'!$D$7:$D$159,$C95,'04'!X$7:X$159)+SUMIF('05'!$D$7:$D$159,$C95,'05'!X$7:X$159)+SUMIF('06'!$D$7:$D$159,$C95,'06'!X$7:X$159)+SUMIF('07'!$D$7:$D$159,$C95,'07'!X$7:X$159)+SUMIF('08'!$D$7:$D$159,$C95,'08'!X$7:X$159)</f>
        <v/>
      </c>
      <c r="W96" s="429">
        <f>SUMIF('02'!$D$7:$D$159,$C95,'02'!Y$7:Y$159)+SUMIF('03'!$D$7:$D$159,$C95,'03'!Y$7:Y$159)+SUMIF('04'!$D$7:$D$159,$C95,'04'!Y$7:Y$159)+SUMIF('05'!$D$7:$D$159,$C95,'05'!Y$7:Y$159)+SUMIF('06'!$D$7:$D$159,$C95,'06'!Y$7:Y$159)+SUMIF('07'!$D$7:$D$159,$C95,'07'!Y$7:Y$159)+SUMIF('08'!$D$7:$D$159,$C95,'08'!Y$7:Y$159)</f>
        <v/>
      </c>
      <c r="X96" s="431">
        <f>SUM(J96:W96)</f>
        <v/>
      </c>
      <c r="Y96" s="413" t="n"/>
      <c r="Z96" s="432" t="n"/>
    </row>
    <row r="97" ht="14.25" customHeight="1" s="296">
      <c r="A97" s="154">
        <f>IF(OR(C97="0",COUNTIF(КлючВесна,C97)&gt;1),0,MATCH(F97,ВидыНагр,0))</f>
        <v/>
      </c>
      <c r="B97" s="154">
        <f>(COUNTA(D97:F98,J97:W97,H97:I98)=0)</f>
        <v/>
      </c>
      <c r="C97" s="155">
        <f>IF(OR(TRIM(D97)="",COUNTIF(ВидыНагр,F97)&lt;&gt;1),"0",CONCATENATE("$",TRIM(D97),"$",TRIM(E97),"$",F97,"$"))</f>
        <v/>
      </c>
      <c r="D97" s="415" t="n"/>
      <c r="E97" s="416" t="n"/>
      <c r="F97" s="417" t="n"/>
      <c r="G97" s="156" t="inlineStr">
        <is>
          <t>план</t>
        </is>
      </c>
      <c r="H97" s="157" t="n"/>
      <c r="I97" s="158" t="n"/>
      <c r="J97" s="418" t="n"/>
      <c r="K97" s="419" t="n"/>
      <c r="L97" s="420" t="n"/>
      <c r="M97" s="418" t="n"/>
      <c r="N97" s="419" t="n"/>
      <c r="O97" s="420" t="n"/>
      <c r="P97" s="418" t="n"/>
      <c r="Q97" s="419" t="n"/>
      <c r="R97" s="420" t="n"/>
      <c r="S97" s="418" t="n"/>
      <c r="T97" s="419" t="n"/>
      <c r="U97" s="421" t="n"/>
      <c r="V97" s="420" t="n"/>
      <c r="W97" s="420" t="n"/>
      <c r="X97" s="422">
        <f>SUM(J97:W97)</f>
        <v/>
      </c>
      <c r="Y97" s="423">
        <f>X98-X97</f>
        <v/>
      </c>
      <c r="Z97" s="209" t="n"/>
    </row>
    <row r="98" ht="14.25" customHeight="1" s="296">
      <c r="A98" s="154">
        <f>-A97</f>
        <v/>
      </c>
      <c r="B98" s="154">
        <f>B97</f>
        <v/>
      </c>
      <c r="C98" s="163" t="n"/>
      <c r="D98" s="424" t="n"/>
      <c r="E98" s="425" t="n"/>
      <c r="F98" s="426" t="n"/>
      <c r="G98" s="164" t="inlineStr">
        <is>
          <t>факт</t>
        </is>
      </c>
      <c r="H98" s="165" t="n"/>
      <c r="I98" s="250" t="n"/>
      <c r="J98" s="427">
        <f>SUMIF('02'!$D$7:$D$159,$C97,'02'!L$7:L$159)+SUMIF('03'!$D$7:$D$159,$C97,'03'!L$7:L$159)+SUMIF('04'!$D$7:$D$159,$C97,'04'!L$7:L$159)+SUMIF('05'!$D$7:$D$159,$C97,'05'!L$7:L$159)+SUMIF('06'!$D$7:$D$159,$C97,'06'!L$7:L$159)+SUMIF('07'!$D$7:$D$159,$C97,'07'!L$7:L$159)+SUMIF('08'!$D$7:$D$159,$C97,'08'!L$7:L$159)</f>
        <v/>
      </c>
      <c r="K98" s="428">
        <f>SUMIF('02'!$D$7:$D$159,$C97,'02'!M$7:M$159)+SUMIF('03'!$D$7:$D$159,$C97,'03'!M$7:M$159)+SUMIF('04'!$D$7:$D$159,$C97,'04'!M$7:M$159)+SUMIF('05'!$D$7:$D$159,$C97,'05'!M$7:M$159)+SUMIF('06'!$D$7:$D$159,$C97,'06'!M$7:M$159)+SUMIF('07'!$D$7:$D$159,$C97,'07'!M$7:M$159)+SUMIF('08'!$D$7:$D$159,$C97,'08'!M$7:M$159)</f>
        <v/>
      </c>
      <c r="L98" s="429">
        <f>SUMIF('02'!$D$7:$D$159,$C97,'02'!N$7:N$159)+SUMIF('03'!$D$7:$D$159,$C97,'03'!N$7:N$159)+SUMIF('04'!$D$7:$D$159,$C97,'04'!N$7:N$159)+SUMIF('05'!$D$7:$D$159,$C97,'05'!N$7:N$159)+SUMIF('06'!$D$7:$D$159,$C97,'06'!N$7:N$159)+SUMIF('07'!$D$7:$D$159,$C97,'07'!N$7:N$159)+SUMIF('08'!$D$7:$D$159,$C97,'08'!N$7:N$159)</f>
        <v/>
      </c>
      <c r="M98" s="427">
        <f>SUMIF('02'!$D$7:$D$159,$C97,'02'!O$7:O$159)+SUMIF('03'!$D$7:$D$159,$C97,'03'!O$7:O$159)+SUMIF('04'!$D$7:$D$159,$C97,'04'!O$7:O$159)+SUMIF('05'!$D$7:$D$159,$C97,'05'!O$7:O$159)+SUMIF('06'!$D$7:$D$159,$C97,'06'!O$7:O$159)+SUMIF('07'!$D$7:$D$159,$C97,'07'!O$7:O$159)+SUMIF('08'!$D$7:$D$159,$C97,'08'!O$7:O$159)</f>
        <v/>
      </c>
      <c r="N98" s="428">
        <f>SUMIF('02'!$D$7:$D$159,$C97,'02'!P$7:P$159)+SUMIF('03'!$D$7:$D$159,$C97,'03'!P$7:P$159)+SUMIF('04'!$D$7:$D$159,$C97,'04'!P$7:P$159)+SUMIF('05'!$D$7:$D$159,$C97,'05'!P$7:P$159)+SUMIF('06'!$D$7:$D$159,$C97,'06'!P$7:P$159)+SUMIF('07'!$D$7:$D$159,$C97,'07'!P$7:P$159)+SUMIF('08'!$D$7:$D$159,$C97,'08'!P$7:P$159)</f>
        <v/>
      </c>
      <c r="O98" s="429">
        <f>SUMIF('02'!$D$7:$D$159,$C97,'02'!Q$7:Q$159)+SUMIF('03'!$D$7:$D$159,$C97,'03'!Q$7:Q$159)+SUMIF('04'!$D$7:$D$159,$C97,'04'!Q$7:Q$159)+SUMIF('05'!$D$7:$D$159,$C97,'05'!Q$7:Q$159)+SUMIF('06'!$D$7:$D$159,$C97,'06'!Q$7:Q$159)+SUMIF('07'!$D$7:$D$159,$C97,'07'!Q$7:Q$159)+SUMIF('08'!$D$7:$D$159,$C97,'08'!Q$7:Q$159)</f>
        <v/>
      </c>
      <c r="P98" s="427">
        <f>SUMIF('02'!$D$7:$D$159,$C97,'02'!R$7:R$159)+SUMIF('03'!$D$7:$D$159,$C97,'03'!R$7:R$159)+SUMIF('04'!$D$7:$D$159,$C97,'04'!R$7:R$159)+SUMIF('05'!$D$7:$D$159,$C97,'05'!R$7:R$159)+SUMIF('06'!$D$7:$D$159,$C97,'06'!R$7:R$159)+SUMIF('07'!$D$7:$D$159,$C97,'07'!R$7:R$159)+SUMIF('08'!$D$7:$D$159,$C97,'08'!R$7:R$159)</f>
        <v/>
      </c>
      <c r="Q98" s="428">
        <f>SUMIF('02'!$D$7:$D$159,$C97,'02'!S$7:S$159)+SUMIF('03'!$D$7:$D$159,$C97,'03'!S$7:S$159)+SUMIF('04'!$D$7:$D$159,$C97,'04'!S$7:S$159)+SUMIF('05'!$D$7:$D$159,$C97,'05'!S$7:S$159)+SUMIF('06'!$D$7:$D$159,$C97,'06'!S$7:S$159)+SUMIF('07'!$D$7:$D$159,$C97,'07'!S$7:S$159)+SUMIF('08'!$D$7:$D$159,$C97,'08'!S$7:S$159)</f>
        <v/>
      </c>
      <c r="R98" s="429">
        <f>SUMIF('02'!$D$7:$D$159,$C97,'02'!T$7:T$159)+SUMIF('03'!$D$7:$D$159,$C97,'03'!T$7:T$159)+SUMIF('04'!$D$7:$D$159,$C97,'04'!T$7:T$159)+SUMIF('05'!$D$7:$D$159,$C97,'05'!T$7:T$159)+SUMIF('06'!$D$7:$D$159,$C97,'06'!T$7:T$159)+SUMIF('07'!$D$7:$D$159,$C97,'07'!T$7:T$159)+SUMIF('08'!$D$7:$D$159,$C97,'08'!T$7:T$159)</f>
        <v/>
      </c>
      <c r="S98" s="427">
        <f>SUMIF('02'!$D$7:$D$159,$C97,'02'!U$7:U$159)+SUMIF('03'!$D$7:$D$159,$C97,'03'!U$7:U$159)+SUMIF('04'!$D$7:$D$159,$C97,'04'!U$7:U$159)+SUMIF('05'!$D$7:$D$159,$C97,'05'!U$7:U$159)+SUMIF('06'!$D$7:$D$159,$C97,'06'!U$7:U$159)+SUMIF('07'!$D$7:$D$159,$C97,'07'!U$7:U$159)+SUMIF('08'!$D$7:$D$159,$C97,'08'!U$7:U$159)</f>
        <v/>
      </c>
      <c r="T98" s="428">
        <f>SUMIF('02'!$D$7:$D$159,$C97,'02'!V$7:V$159)+SUMIF('03'!$D$7:$D$159,$C97,'03'!V$7:V$159)+SUMIF('04'!$D$7:$D$159,$C97,'04'!V$7:V$159)+SUMIF('05'!$D$7:$D$159,$C97,'05'!V$7:V$159)+SUMIF('06'!$D$7:$D$159,$C97,'06'!V$7:V$159)+SUMIF('07'!$D$7:$D$159,$C97,'07'!V$7:V$159)+SUMIF('08'!$D$7:$D$159,$C97,'08'!V$7:V$159)</f>
        <v/>
      </c>
      <c r="U98" s="430">
        <f>SUMIF('02'!$D$7:$D$159,$C97,'02'!W$7:W$159)+SUMIF('03'!$D$7:$D$159,$C97,'03'!W$7:W$159)+SUMIF('04'!$D$7:$D$159,$C97,'04'!W$7:W$159)+SUMIF('05'!$D$7:$D$159,$C97,'05'!W$7:W$159)+SUMIF('06'!$D$7:$D$159,$C97,'06'!W$7:W$159)+SUMIF('07'!$D$7:$D$159,$C97,'07'!W$7:W$159)+SUMIF('08'!$D$7:$D$159,$C97,'08'!W$7:W$159)</f>
        <v/>
      </c>
      <c r="V98" s="429">
        <f>SUMIF('02'!$D$7:$D$159,$C97,'02'!X$7:X$159)+SUMIF('03'!$D$7:$D$159,$C97,'03'!X$7:X$159)+SUMIF('04'!$D$7:$D$159,$C97,'04'!X$7:X$159)+SUMIF('05'!$D$7:$D$159,$C97,'05'!X$7:X$159)+SUMIF('06'!$D$7:$D$159,$C97,'06'!X$7:X$159)+SUMIF('07'!$D$7:$D$159,$C97,'07'!X$7:X$159)+SUMIF('08'!$D$7:$D$159,$C97,'08'!X$7:X$159)</f>
        <v/>
      </c>
      <c r="W98" s="429">
        <f>SUMIF('02'!$D$7:$D$159,$C97,'02'!Y$7:Y$159)+SUMIF('03'!$D$7:$D$159,$C97,'03'!Y$7:Y$159)+SUMIF('04'!$D$7:$D$159,$C97,'04'!Y$7:Y$159)+SUMIF('05'!$D$7:$D$159,$C97,'05'!Y$7:Y$159)+SUMIF('06'!$D$7:$D$159,$C97,'06'!Y$7:Y$159)+SUMIF('07'!$D$7:$D$159,$C97,'07'!Y$7:Y$159)+SUMIF('08'!$D$7:$D$159,$C97,'08'!Y$7:Y$159)</f>
        <v/>
      </c>
      <c r="X98" s="431">
        <f>SUM(J98:W98)</f>
        <v/>
      </c>
      <c r="Y98" s="413" t="n"/>
      <c r="Z98" s="432" t="n"/>
    </row>
    <row r="99" ht="14.25" customHeight="1" s="296">
      <c r="A99" s="154">
        <f>IF(OR(C99="0",COUNTIF(КлючВесна,C99)&gt;1),0,MATCH(F99,ВидыНагр,0))</f>
        <v/>
      </c>
      <c r="B99" s="154">
        <f>(COUNTA(D99:F100,J99:W99,H99:I100)=0)</f>
        <v/>
      </c>
      <c r="C99" s="155">
        <f>IF(OR(TRIM(D99)="",COUNTIF(ВидыНагр,F99)&lt;&gt;1),"0",CONCATENATE("$",TRIM(D99),"$",TRIM(E99),"$",F99,"$"))</f>
        <v/>
      </c>
      <c r="D99" s="415" t="n"/>
      <c r="E99" s="416" t="n"/>
      <c r="F99" s="417" t="n"/>
      <c r="G99" s="156" t="inlineStr">
        <is>
          <t>план</t>
        </is>
      </c>
      <c r="H99" s="157" t="n"/>
      <c r="I99" s="158" t="n"/>
      <c r="J99" s="418" t="n"/>
      <c r="K99" s="419" t="n"/>
      <c r="L99" s="420" t="n"/>
      <c r="M99" s="418" t="n"/>
      <c r="N99" s="419" t="n"/>
      <c r="O99" s="420" t="n"/>
      <c r="P99" s="418" t="n"/>
      <c r="Q99" s="419" t="n"/>
      <c r="R99" s="420" t="n"/>
      <c r="S99" s="418" t="n"/>
      <c r="T99" s="419" t="n"/>
      <c r="U99" s="421" t="n"/>
      <c r="V99" s="420" t="n"/>
      <c r="W99" s="420" t="n"/>
      <c r="X99" s="422">
        <f>SUM(J99:W99)</f>
        <v/>
      </c>
      <c r="Y99" s="423">
        <f>X100-X99</f>
        <v/>
      </c>
      <c r="Z99" s="209" t="n"/>
    </row>
    <row r="100" ht="14.25" customHeight="1" s="296">
      <c r="A100" s="154">
        <f>-A99</f>
        <v/>
      </c>
      <c r="B100" s="154">
        <f>B99</f>
        <v/>
      </c>
      <c r="C100" s="163" t="n"/>
      <c r="D100" s="424" t="n"/>
      <c r="E100" s="425" t="n"/>
      <c r="F100" s="426" t="n"/>
      <c r="G100" s="164" t="inlineStr">
        <is>
          <t>факт</t>
        </is>
      </c>
      <c r="H100" s="165" t="n"/>
      <c r="I100" s="250" t="n"/>
      <c r="J100" s="427">
        <f>SUMIF('02'!$D$7:$D$159,$C99,'02'!L$7:L$159)+SUMIF('03'!$D$7:$D$159,$C99,'03'!L$7:L$159)+SUMIF('04'!$D$7:$D$159,$C99,'04'!L$7:L$159)+SUMIF('05'!$D$7:$D$159,$C99,'05'!L$7:L$159)+SUMIF('06'!$D$7:$D$159,$C99,'06'!L$7:L$159)+SUMIF('07'!$D$7:$D$159,$C99,'07'!L$7:L$159)+SUMIF('08'!$D$7:$D$159,$C99,'08'!L$7:L$159)</f>
        <v/>
      </c>
      <c r="K100" s="428">
        <f>SUMIF('02'!$D$7:$D$159,$C99,'02'!M$7:M$159)+SUMIF('03'!$D$7:$D$159,$C99,'03'!M$7:M$159)+SUMIF('04'!$D$7:$D$159,$C99,'04'!M$7:M$159)+SUMIF('05'!$D$7:$D$159,$C99,'05'!M$7:M$159)+SUMIF('06'!$D$7:$D$159,$C99,'06'!M$7:M$159)+SUMIF('07'!$D$7:$D$159,$C99,'07'!M$7:M$159)+SUMIF('08'!$D$7:$D$159,$C99,'08'!M$7:M$159)</f>
        <v/>
      </c>
      <c r="L100" s="429">
        <f>SUMIF('02'!$D$7:$D$159,$C99,'02'!N$7:N$159)+SUMIF('03'!$D$7:$D$159,$C99,'03'!N$7:N$159)+SUMIF('04'!$D$7:$D$159,$C99,'04'!N$7:N$159)+SUMIF('05'!$D$7:$D$159,$C99,'05'!N$7:N$159)+SUMIF('06'!$D$7:$D$159,$C99,'06'!N$7:N$159)+SUMIF('07'!$D$7:$D$159,$C99,'07'!N$7:N$159)+SUMIF('08'!$D$7:$D$159,$C99,'08'!N$7:N$159)</f>
        <v/>
      </c>
      <c r="M100" s="427">
        <f>SUMIF('02'!$D$7:$D$159,$C99,'02'!O$7:O$159)+SUMIF('03'!$D$7:$D$159,$C99,'03'!O$7:O$159)+SUMIF('04'!$D$7:$D$159,$C99,'04'!O$7:O$159)+SUMIF('05'!$D$7:$D$159,$C99,'05'!O$7:O$159)+SUMIF('06'!$D$7:$D$159,$C99,'06'!O$7:O$159)+SUMIF('07'!$D$7:$D$159,$C99,'07'!O$7:O$159)+SUMIF('08'!$D$7:$D$159,$C99,'08'!O$7:O$159)</f>
        <v/>
      </c>
      <c r="N100" s="428">
        <f>SUMIF('02'!$D$7:$D$159,$C99,'02'!P$7:P$159)+SUMIF('03'!$D$7:$D$159,$C99,'03'!P$7:P$159)+SUMIF('04'!$D$7:$D$159,$C99,'04'!P$7:P$159)+SUMIF('05'!$D$7:$D$159,$C99,'05'!P$7:P$159)+SUMIF('06'!$D$7:$D$159,$C99,'06'!P$7:P$159)+SUMIF('07'!$D$7:$D$159,$C99,'07'!P$7:P$159)+SUMIF('08'!$D$7:$D$159,$C99,'08'!P$7:P$159)</f>
        <v/>
      </c>
      <c r="O100" s="429">
        <f>SUMIF('02'!$D$7:$D$159,$C99,'02'!Q$7:Q$159)+SUMIF('03'!$D$7:$D$159,$C99,'03'!Q$7:Q$159)+SUMIF('04'!$D$7:$D$159,$C99,'04'!Q$7:Q$159)+SUMIF('05'!$D$7:$D$159,$C99,'05'!Q$7:Q$159)+SUMIF('06'!$D$7:$D$159,$C99,'06'!Q$7:Q$159)+SUMIF('07'!$D$7:$D$159,$C99,'07'!Q$7:Q$159)+SUMIF('08'!$D$7:$D$159,$C99,'08'!Q$7:Q$159)</f>
        <v/>
      </c>
      <c r="P100" s="427">
        <f>SUMIF('02'!$D$7:$D$159,$C99,'02'!R$7:R$159)+SUMIF('03'!$D$7:$D$159,$C99,'03'!R$7:R$159)+SUMIF('04'!$D$7:$D$159,$C99,'04'!R$7:R$159)+SUMIF('05'!$D$7:$D$159,$C99,'05'!R$7:R$159)+SUMIF('06'!$D$7:$D$159,$C99,'06'!R$7:R$159)+SUMIF('07'!$D$7:$D$159,$C99,'07'!R$7:R$159)+SUMIF('08'!$D$7:$D$159,$C99,'08'!R$7:R$159)</f>
        <v/>
      </c>
      <c r="Q100" s="428">
        <f>SUMIF('02'!$D$7:$D$159,$C99,'02'!S$7:S$159)+SUMIF('03'!$D$7:$D$159,$C99,'03'!S$7:S$159)+SUMIF('04'!$D$7:$D$159,$C99,'04'!S$7:S$159)+SUMIF('05'!$D$7:$D$159,$C99,'05'!S$7:S$159)+SUMIF('06'!$D$7:$D$159,$C99,'06'!S$7:S$159)+SUMIF('07'!$D$7:$D$159,$C99,'07'!S$7:S$159)+SUMIF('08'!$D$7:$D$159,$C99,'08'!S$7:S$159)</f>
        <v/>
      </c>
      <c r="R100" s="429">
        <f>SUMIF('02'!$D$7:$D$159,$C99,'02'!T$7:T$159)+SUMIF('03'!$D$7:$D$159,$C99,'03'!T$7:T$159)+SUMIF('04'!$D$7:$D$159,$C99,'04'!T$7:T$159)+SUMIF('05'!$D$7:$D$159,$C99,'05'!T$7:T$159)+SUMIF('06'!$D$7:$D$159,$C99,'06'!T$7:T$159)+SUMIF('07'!$D$7:$D$159,$C99,'07'!T$7:T$159)+SUMIF('08'!$D$7:$D$159,$C99,'08'!T$7:T$159)</f>
        <v/>
      </c>
      <c r="S100" s="427">
        <f>SUMIF('02'!$D$7:$D$159,$C99,'02'!U$7:U$159)+SUMIF('03'!$D$7:$D$159,$C99,'03'!U$7:U$159)+SUMIF('04'!$D$7:$D$159,$C99,'04'!U$7:U$159)+SUMIF('05'!$D$7:$D$159,$C99,'05'!U$7:U$159)+SUMIF('06'!$D$7:$D$159,$C99,'06'!U$7:U$159)+SUMIF('07'!$D$7:$D$159,$C99,'07'!U$7:U$159)+SUMIF('08'!$D$7:$D$159,$C99,'08'!U$7:U$159)</f>
        <v/>
      </c>
      <c r="T100" s="428">
        <f>SUMIF('02'!$D$7:$D$159,$C99,'02'!V$7:V$159)+SUMIF('03'!$D$7:$D$159,$C99,'03'!V$7:V$159)+SUMIF('04'!$D$7:$D$159,$C99,'04'!V$7:V$159)+SUMIF('05'!$D$7:$D$159,$C99,'05'!V$7:V$159)+SUMIF('06'!$D$7:$D$159,$C99,'06'!V$7:V$159)+SUMIF('07'!$D$7:$D$159,$C99,'07'!V$7:V$159)+SUMIF('08'!$D$7:$D$159,$C99,'08'!V$7:V$159)</f>
        <v/>
      </c>
      <c r="U100" s="430">
        <f>SUMIF('02'!$D$7:$D$159,$C99,'02'!W$7:W$159)+SUMIF('03'!$D$7:$D$159,$C99,'03'!W$7:W$159)+SUMIF('04'!$D$7:$D$159,$C99,'04'!W$7:W$159)+SUMIF('05'!$D$7:$D$159,$C99,'05'!W$7:W$159)+SUMIF('06'!$D$7:$D$159,$C99,'06'!W$7:W$159)+SUMIF('07'!$D$7:$D$159,$C99,'07'!W$7:W$159)+SUMIF('08'!$D$7:$D$159,$C99,'08'!W$7:W$159)</f>
        <v/>
      </c>
      <c r="V100" s="429">
        <f>SUMIF('02'!$D$7:$D$159,$C99,'02'!X$7:X$159)+SUMIF('03'!$D$7:$D$159,$C99,'03'!X$7:X$159)+SUMIF('04'!$D$7:$D$159,$C99,'04'!X$7:X$159)+SUMIF('05'!$D$7:$D$159,$C99,'05'!X$7:X$159)+SUMIF('06'!$D$7:$D$159,$C99,'06'!X$7:X$159)+SUMIF('07'!$D$7:$D$159,$C99,'07'!X$7:X$159)+SUMIF('08'!$D$7:$D$159,$C99,'08'!X$7:X$159)</f>
        <v/>
      </c>
      <c r="W100" s="429">
        <f>SUMIF('02'!$D$7:$D$159,$C99,'02'!Y$7:Y$159)+SUMIF('03'!$D$7:$D$159,$C99,'03'!Y$7:Y$159)+SUMIF('04'!$D$7:$D$159,$C99,'04'!Y$7:Y$159)+SUMIF('05'!$D$7:$D$159,$C99,'05'!Y$7:Y$159)+SUMIF('06'!$D$7:$D$159,$C99,'06'!Y$7:Y$159)+SUMIF('07'!$D$7:$D$159,$C99,'07'!Y$7:Y$159)+SUMIF('08'!$D$7:$D$159,$C99,'08'!Y$7:Y$159)</f>
        <v/>
      </c>
      <c r="X100" s="431">
        <f>SUM(J100:W100)</f>
        <v/>
      </c>
      <c r="Y100" s="413" t="n"/>
      <c r="Z100" s="432" t="n"/>
    </row>
    <row r="101" ht="14.25" customHeight="1" s="296">
      <c r="A101" s="154">
        <f>IF(OR(C101="0",COUNTIF(КлючВесна,C101)&gt;1),0,MATCH(F101,ВидыНагр,0))</f>
        <v/>
      </c>
      <c r="B101" s="154">
        <f>(COUNTA(D101:F102,J101:W101,H101:I102)=0)</f>
        <v/>
      </c>
      <c r="C101" s="155">
        <f>IF(OR(TRIM(D101)="",COUNTIF(ВидыНагр,F101)&lt;&gt;1),"0",CONCATENATE("$",TRIM(D101),"$",TRIM(E101),"$",F101,"$"))</f>
        <v/>
      </c>
      <c r="D101" s="415" t="n"/>
      <c r="E101" s="416" t="n"/>
      <c r="F101" s="417" t="n"/>
      <c r="G101" s="156" t="inlineStr">
        <is>
          <t>план</t>
        </is>
      </c>
      <c r="H101" s="157" t="n"/>
      <c r="I101" s="158" t="n"/>
      <c r="J101" s="418" t="n"/>
      <c r="K101" s="419" t="n"/>
      <c r="L101" s="420" t="n"/>
      <c r="M101" s="418" t="n"/>
      <c r="N101" s="419" t="n"/>
      <c r="O101" s="420" t="n"/>
      <c r="P101" s="418" t="n"/>
      <c r="Q101" s="419" t="n"/>
      <c r="R101" s="420" t="n"/>
      <c r="S101" s="418" t="n"/>
      <c r="T101" s="419" t="n"/>
      <c r="U101" s="421" t="n"/>
      <c r="V101" s="420" t="n"/>
      <c r="W101" s="420" t="n"/>
      <c r="X101" s="422">
        <f>SUM(J101:W101)</f>
        <v/>
      </c>
      <c r="Y101" s="423">
        <f>X102-X101</f>
        <v/>
      </c>
      <c r="Z101" s="209" t="n"/>
    </row>
    <row r="102" ht="14.25" customHeight="1" s="296">
      <c r="A102" s="154">
        <f>-A101</f>
        <v/>
      </c>
      <c r="B102" s="154">
        <f>B101</f>
        <v/>
      </c>
      <c r="C102" s="163" t="n"/>
      <c r="D102" s="424" t="n"/>
      <c r="E102" s="425" t="n"/>
      <c r="F102" s="426" t="n"/>
      <c r="G102" s="164" t="inlineStr">
        <is>
          <t>факт</t>
        </is>
      </c>
      <c r="H102" s="165" t="n"/>
      <c r="I102" s="250" t="n"/>
      <c r="J102" s="427">
        <f>SUMIF('02'!$D$7:$D$159,$C101,'02'!L$7:L$159)+SUMIF('03'!$D$7:$D$159,$C101,'03'!L$7:L$159)+SUMIF('04'!$D$7:$D$159,$C101,'04'!L$7:L$159)+SUMIF('05'!$D$7:$D$159,$C101,'05'!L$7:L$159)+SUMIF('06'!$D$7:$D$159,$C101,'06'!L$7:L$159)+SUMIF('07'!$D$7:$D$159,$C101,'07'!L$7:L$159)+SUMIF('08'!$D$7:$D$159,$C101,'08'!L$7:L$159)</f>
        <v/>
      </c>
      <c r="K102" s="428">
        <f>SUMIF('02'!$D$7:$D$159,$C101,'02'!M$7:M$159)+SUMIF('03'!$D$7:$D$159,$C101,'03'!M$7:M$159)+SUMIF('04'!$D$7:$D$159,$C101,'04'!M$7:M$159)+SUMIF('05'!$D$7:$D$159,$C101,'05'!M$7:M$159)+SUMIF('06'!$D$7:$D$159,$C101,'06'!M$7:M$159)+SUMIF('07'!$D$7:$D$159,$C101,'07'!M$7:M$159)+SUMIF('08'!$D$7:$D$159,$C101,'08'!M$7:M$159)</f>
        <v/>
      </c>
      <c r="L102" s="429">
        <f>SUMIF('02'!$D$7:$D$159,$C101,'02'!N$7:N$159)+SUMIF('03'!$D$7:$D$159,$C101,'03'!N$7:N$159)+SUMIF('04'!$D$7:$D$159,$C101,'04'!N$7:N$159)+SUMIF('05'!$D$7:$D$159,$C101,'05'!N$7:N$159)+SUMIF('06'!$D$7:$D$159,$C101,'06'!N$7:N$159)+SUMIF('07'!$D$7:$D$159,$C101,'07'!N$7:N$159)+SUMIF('08'!$D$7:$D$159,$C101,'08'!N$7:N$159)</f>
        <v/>
      </c>
      <c r="M102" s="427">
        <f>SUMIF('02'!$D$7:$D$159,$C101,'02'!O$7:O$159)+SUMIF('03'!$D$7:$D$159,$C101,'03'!O$7:O$159)+SUMIF('04'!$D$7:$D$159,$C101,'04'!O$7:O$159)+SUMIF('05'!$D$7:$D$159,$C101,'05'!O$7:O$159)+SUMIF('06'!$D$7:$D$159,$C101,'06'!O$7:O$159)+SUMIF('07'!$D$7:$D$159,$C101,'07'!O$7:O$159)+SUMIF('08'!$D$7:$D$159,$C101,'08'!O$7:O$159)</f>
        <v/>
      </c>
      <c r="N102" s="428">
        <f>SUMIF('02'!$D$7:$D$159,$C101,'02'!P$7:P$159)+SUMIF('03'!$D$7:$D$159,$C101,'03'!P$7:P$159)+SUMIF('04'!$D$7:$D$159,$C101,'04'!P$7:P$159)+SUMIF('05'!$D$7:$D$159,$C101,'05'!P$7:P$159)+SUMIF('06'!$D$7:$D$159,$C101,'06'!P$7:P$159)+SUMIF('07'!$D$7:$D$159,$C101,'07'!P$7:P$159)+SUMIF('08'!$D$7:$D$159,$C101,'08'!P$7:P$159)</f>
        <v/>
      </c>
      <c r="O102" s="429">
        <f>SUMIF('02'!$D$7:$D$159,$C101,'02'!Q$7:Q$159)+SUMIF('03'!$D$7:$D$159,$C101,'03'!Q$7:Q$159)+SUMIF('04'!$D$7:$D$159,$C101,'04'!Q$7:Q$159)+SUMIF('05'!$D$7:$D$159,$C101,'05'!Q$7:Q$159)+SUMIF('06'!$D$7:$D$159,$C101,'06'!Q$7:Q$159)+SUMIF('07'!$D$7:$D$159,$C101,'07'!Q$7:Q$159)+SUMIF('08'!$D$7:$D$159,$C101,'08'!Q$7:Q$159)</f>
        <v/>
      </c>
      <c r="P102" s="427">
        <f>SUMIF('02'!$D$7:$D$159,$C101,'02'!R$7:R$159)+SUMIF('03'!$D$7:$D$159,$C101,'03'!R$7:R$159)+SUMIF('04'!$D$7:$D$159,$C101,'04'!R$7:R$159)+SUMIF('05'!$D$7:$D$159,$C101,'05'!R$7:R$159)+SUMIF('06'!$D$7:$D$159,$C101,'06'!R$7:R$159)+SUMIF('07'!$D$7:$D$159,$C101,'07'!R$7:R$159)+SUMIF('08'!$D$7:$D$159,$C101,'08'!R$7:R$159)</f>
        <v/>
      </c>
      <c r="Q102" s="428">
        <f>SUMIF('02'!$D$7:$D$159,$C101,'02'!S$7:S$159)+SUMIF('03'!$D$7:$D$159,$C101,'03'!S$7:S$159)+SUMIF('04'!$D$7:$D$159,$C101,'04'!S$7:S$159)+SUMIF('05'!$D$7:$D$159,$C101,'05'!S$7:S$159)+SUMIF('06'!$D$7:$D$159,$C101,'06'!S$7:S$159)+SUMIF('07'!$D$7:$D$159,$C101,'07'!S$7:S$159)+SUMIF('08'!$D$7:$D$159,$C101,'08'!S$7:S$159)</f>
        <v/>
      </c>
      <c r="R102" s="429">
        <f>SUMIF('02'!$D$7:$D$159,$C101,'02'!T$7:T$159)+SUMIF('03'!$D$7:$D$159,$C101,'03'!T$7:T$159)+SUMIF('04'!$D$7:$D$159,$C101,'04'!T$7:T$159)+SUMIF('05'!$D$7:$D$159,$C101,'05'!T$7:T$159)+SUMIF('06'!$D$7:$D$159,$C101,'06'!T$7:T$159)+SUMIF('07'!$D$7:$D$159,$C101,'07'!T$7:T$159)+SUMIF('08'!$D$7:$D$159,$C101,'08'!T$7:T$159)</f>
        <v/>
      </c>
      <c r="S102" s="427">
        <f>SUMIF('02'!$D$7:$D$159,$C101,'02'!U$7:U$159)+SUMIF('03'!$D$7:$D$159,$C101,'03'!U$7:U$159)+SUMIF('04'!$D$7:$D$159,$C101,'04'!U$7:U$159)+SUMIF('05'!$D$7:$D$159,$C101,'05'!U$7:U$159)+SUMIF('06'!$D$7:$D$159,$C101,'06'!U$7:U$159)+SUMIF('07'!$D$7:$D$159,$C101,'07'!U$7:U$159)+SUMIF('08'!$D$7:$D$159,$C101,'08'!U$7:U$159)</f>
        <v/>
      </c>
      <c r="T102" s="428">
        <f>SUMIF('02'!$D$7:$D$159,$C101,'02'!V$7:V$159)+SUMIF('03'!$D$7:$D$159,$C101,'03'!V$7:V$159)+SUMIF('04'!$D$7:$D$159,$C101,'04'!V$7:V$159)+SUMIF('05'!$D$7:$D$159,$C101,'05'!V$7:V$159)+SUMIF('06'!$D$7:$D$159,$C101,'06'!V$7:V$159)+SUMIF('07'!$D$7:$D$159,$C101,'07'!V$7:V$159)+SUMIF('08'!$D$7:$D$159,$C101,'08'!V$7:V$159)</f>
        <v/>
      </c>
      <c r="U102" s="430">
        <f>SUMIF('02'!$D$7:$D$159,$C101,'02'!W$7:W$159)+SUMIF('03'!$D$7:$D$159,$C101,'03'!W$7:W$159)+SUMIF('04'!$D$7:$D$159,$C101,'04'!W$7:W$159)+SUMIF('05'!$D$7:$D$159,$C101,'05'!W$7:W$159)+SUMIF('06'!$D$7:$D$159,$C101,'06'!W$7:W$159)+SUMIF('07'!$D$7:$D$159,$C101,'07'!W$7:W$159)+SUMIF('08'!$D$7:$D$159,$C101,'08'!W$7:W$159)</f>
        <v/>
      </c>
      <c r="V102" s="429">
        <f>SUMIF('02'!$D$7:$D$159,$C101,'02'!X$7:X$159)+SUMIF('03'!$D$7:$D$159,$C101,'03'!X$7:X$159)+SUMIF('04'!$D$7:$D$159,$C101,'04'!X$7:X$159)+SUMIF('05'!$D$7:$D$159,$C101,'05'!X$7:X$159)+SUMIF('06'!$D$7:$D$159,$C101,'06'!X$7:X$159)+SUMIF('07'!$D$7:$D$159,$C101,'07'!X$7:X$159)+SUMIF('08'!$D$7:$D$159,$C101,'08'!X$7:X$159)</f>
        <v/>
      </c>
      <c r="W102" s="429">
        <f>SUMIF('02'!$D$7:$D$159,$C101,'02'!Y$7:Y$159)+SUMIF('03'!$D$7:$D$159,$C101,'03'!Y$7:Y$159)+SUMIF('04'!$D$7:$D$159,$C101,'04'!Y$7:Y$159)+SUMIF('05'!$D$7:$D$159,$C101,'05'!Y$7:Y$159)+SUMIF('06'!$D$7:$D$159,$C101,'06'!Y$7:Y$159)+SUMIF('07'!$D$7:$D$159,$C101,'07'!Y$7:Y$159)+SUMIF('08'!$D$7:$D$159,$C101,'08'!Y$7:Y$159)</f>
        <v/>
      </c>
      <c r="X102" s="431">
        <f>SUM(J102:W102)</f>
        <v/>
      </c>
      <c r="Y102" s="413" t="n"/>
      <c r="Z102" s="432" t="n"/>
    </row>
    <row r="103" ht="14.25" customHeight="1" s="296">
      <c r="A103" s="154">
        <f>IF(OR(C103="0",COUNTIF(КлючВесна,C103)&gt;1),0,MATCH(F103,ВидыНагр,0))</f>
        <v/>
      </c>
      <c r="B103" s="154">
        <f>(COUNTA(D103:F104,J103:W103,H103:I104)=0)</f>
        <v/>
      </c>
      <c r="C103" s="155">
        <f>IF(OR(TRIM(D103)="",COUNTIF(ВидыНагр,F103)&lt;&gt;1),"0",CONCATENATE("$",TRIM(D103),"$",TRIM(E103),"$",F103,"$"))</f>
        <v/>
      </c>
      <c r="D103" s="415" t="n"/>
      <c r="E103" s="416" t="n"/>
      <c r="F103" s="417" t="n"/>
      <c r="G103" s="156" t="inlineStr">
        <is>
          <t>план</t>
        </is>
      </c>
      <c r="H103" s="157" t="n"/>
      <c r="I103" s="158" t="n"/>
      <c r="J103" s="418" t="n"/>
      <c r="K103" s="419" t="n"/>
      <c r="L103" s="420" t="n"/>
      <c r="M103" s="418" t="n"/>
      <c r="N103" s="419" t="n"/>
      <c r="O103" s="420" t="n"/>
      <c r="P103" s="418" t="n"/>
      <c r="Q103" s="419" t="n"/>
      <c r="R103" s="420" t="n"/>
      <c r="S103" s="418" t="n"/>
      <c r="T103" s="419" t="n"/>
      <c r="U103" s="421" t="n"/>
      <c r="V103" s="420" t="n"/>
      <c r="W103" s="420" t="n"/>
      <c r="X103" s="422">
        <f>SUM(J103:W103)</f>
        <v/>
      </c>
      <c r="Y103" s="423">
        <f>X104-X103</f>
        <v/>
      </c>
      <c r="Z103" s="209" t="n"/>
    </row>
    <row r="104" ht="14.25" customHeight="1" s="296">
      <c r="A104" s="154">
        <f>-A103</f>
        <v/>
      </c>
      <c r="B104" s="154">
        <f>B103</f>
        <v/>
      </c>
      <c r="C104" s="163" t="n"/>
      <c r="D104" s="424" t="n"/>
      <c r="E104" s="425" t="n"/>
      <c r="F104" s="426" t="n"/>
      <c r="G104" s="164" t="inlineStr">
        <is>
          <t>факт</t>
        </is>
      </c>
      <c r="H104" s="165" t="n"/>
      <c r="I104" s="250" t="n"/>
      <c r="J104" s="427">
        <f>SUMIF('02'!$D$7:$D$159,$C103,'02'!L$7:L$159)+SUMIF('03'!$D$7:$D$159,$C103,'03'!L$7:L$159)+SUMIF('04'!$D$7:$D$159,$C103,'04'!L$7:L$159)+SUMIF('05'!$D$7:$D$159,$C103,'05'!L$7:L$159)+SUMIF('06'!$D$7:$D$159,$C103,'06'!L$7:L$159)+SUMIF('07'!$D$7:$D$159,$C103,'07'!L$7:L$159)+SUMIF('08'!$D$7:$D$159,$C103,'08'!L$7:L$159)</f>
        <v/>
      </c>
      <c r="K104" s="428">
        <f>SUMIF('02'!$D$7:$D$159,$C103,'02'!M$7:M$159)+SUMIF('03'!$D$7:$D$159,$C103,'03'!M$7:M$159)+SUMIF('04'!$D$7:$D$159,$C103,'04'!M$7:M$159)+SUMIF('05'!$D$7:$D$159,$C103,'05'!M$7:M$159)+SUMIF('06'!$D$7:$D$159,$C103,'06'!M$7:M$159)+SUMIF('07'!$D$7:$D$159,$C103,'07'!M$7:M$159)+SUMIF('08'!$D$7:$D$159,$C103,'08'!M$7:M$159)</f>
        <v/>
      </c>
      <c r="L104" s="429">
        <f>SUMIF('02'!$D$7:$D$159,$C103,'02'!N$7:N$159)+SUMIF('03'!$D$7:$D$159,$C103,'03'!N$7:N$159)+SUMIF('04'!$D$7:$D$159,$C103,'04'!N$7:N$159)+SUMIF('05'!$D$7:$D$159,$C103,'05'!N$7:N$159)+SUMIF('06'!$D$7:$D$159,$C103,'06'!N$7:N$159)+SUMIF('07'!$D$7:$D$159,$C103,'07'!N$7:N$159)+SUMIF('08'!$D$7:$D$159,$C103,'08'!N$7:N$159)</f>
        <v/>
      </c>
      <c r="M104" s="427">
        <f>SUMIF('02'!$D$7:$D$159,$C103,'02'!O$7:O$159)+SUMIF('03'!$D$7:$D$159,$C103,'03'!O$7:O$159)+SUMIF('04'!$D$7:$D$159,$C103,'04'!O$7:O$159)+SUMIF('05'!$D$7:$D$159,$C103,'05'!O$7:O$159)+SUMIF('06'!$D$7:$D$159,$C103,'06'!O$7:O$159)+SUMIF('07'!$D$7:$D$159,$C103,'07'!O$7:O$159)+SUMIF('08'!$D$7:$D$159,$C103,'08'!O$7:O$159)</f>
        <v/>
      </c>
      <c r="N104" s="428">
        <f>SUMIF('02'!$D$7:$D$159,$C103,'02'!P$7:P$159)+SUMIF('03'!$D$7:$D$159,$C103,'03'!P$7:P$159)+SUMIF('04'!$D$7:$D$159,$C103,'04'!P$7:P$159)+SUMIF('05'!$D$7:$D$159,$C103,'05'!P$7:P$159)+SUMIF('06'!$D$7:$D$159,$C103,'06'!P$7:P$159)+SUMIF('07'!$D$7:$D$159,$C103,'07'!P$7:P$159)+SUMIF('08'!$D$7:$D$159,$C103,'08'!P$7:P$159)</f>
        <v/>
      </c>
      <c r="O104" s="429">
        <f>SUMIF('02'!$D$7:$D$159,$C103,'02'!Q$7:Q$159)+SUMIF('03'!$D$7:$D$159,$C103,'03'!Q$7:Q$159)+SUMIF('04'!$D$7:$D$159,$C103,'04'!Q$7:Q$159)+SUMIF('05'!$D$7:$D$159,$C103,'05'!Q$7:Q$159)+SUMIF('06'!$D$7:$D$159,$C103,'06'!Q$7:Q$159)+SUMIF('07'!$D$7:$D$159,$C103,'07'!Q$7:Q$159)+SUMIF('08'!$D$7:$D$159,$C103,'08'!Q$7:Q$159)</f>
        <v/>
      </c>
      <c r="P104" s="427">
        <f>SUMIF('02'!$D$7:$D$159,$C103,'02'!R$7:R$159)+SUMIF('03'!$D$7:$D$159,$C103,'03'!R$7:R$159)+SUMIF('04'!$D$7:$D$159,$C103,'04'!R$7:R$159)+SUMIF('05'!$D$7:$D$159,$C103,'05'!R$7:R$159)+SUMIF('06'!$D$7:$D$159,$C103,'06'!R$7:R$159)+SUMIF('07'!$D$7:$D$159,$C103,'07'!R$7:R$159)+SUMIF('08'!$D$7:$D$159,$C103,'08'!R$7:R$159)</f>
        <v/>
      </c>
      <c r="Q104" s="428">
        <f>SUMIF('02'!$D$7:$D$159,$C103,'02'!S$7:S$159)+SUMIF('03'!$D$7:$D$159,$C103,'03'!S$7:S$159)+SUMIF('04'!$D$7:$D$159,$C103,'04'!S$7:S$159)+SUMIF('05'!$D$7:$D$159,$C103,'05'!S$7:S$159)+SUMIF('06'!$D$7:$D$159,$C103,'06'!S$7:S$159)+SUMIF('07'!$D$7:$D$159,$C103,'07'!S$7:S$159)+SUMIF('08'!$D$7:$D$159,$C103,'08'!S$7:S$159)</f>
        <v/>
      </c>
      <c r="R104" s="429">
        <f>SUMIF('02'!$D$7:$D$159,$C103,'02'!T$7:T$159)+SUMIF('03'!$D$7:$D$159,$C103,'03'!T$7:T$159)+SUMIF('04'!$D$7:$D$159,$C103,'04'!T$7:T$159)+SUMIF('05'!$D$7:$D$159,$C103,'05'!T$7:T$159)+SUMIF('06'!$D$7:$D$159,$C103,'06'!T$7:T$159)+SUMIF('07'!$D$7:$D$159,$C103,'07'!T$7:T$159)+SUMIF('08'!$D$7:$D$159,$C103,'08'!T$7:T$159)</f>
        <v/>
      </c>
      <c r="S104" s="427">
        <f>SUMIF('02'!$D$7:$D$159,$C103,'02'!U$7:U$159)+SUMIF('03'!$D$7:$D$159,$C103,'03'!U$7:U$159)+SUMIF('04'!$D$7:$D$159,$C103,'04'!U$7:U$159)+SUMIF('05'!$D$7:$D$159,$C103,'05'!U$7:U$159)+SUMIF('06'!$D$7:$D$159,$C103,'06'!U$7:U$159)+SUMIF('07'!$D$7:$D$159,$C103,'07'!U$7:U$159)+SUMIF('08'!$D$7:$D$159,$C103,'08'!U$7:U$159)</f>
        <v/>
      </c>
      <c r="T104" s="428">
        <f>SUMIF('02'!$D$7:$D$159,$C103,'02'!V$7:V$159)+SUMIF('03'!$D$7:$D$159,$C103,'03'!V$7:V$159)+SUMIF('04'!$D$7:$D$159,$C103,'04'!V$7:V$159)+SUMIF('05'!$D$7:$D$159,$C103,'05'!V$7:V$159)+SUMIF('06'!$D$7:$D$159,$C103,'06'!V$7:V$159)+SUMIF('07'!$D$7:$D$159,$C103,'07'!V$7:V$159)+SUMIF('08'!$D$7:$D$159,$C103,'08'!V$7:V$159)</f>
        <v/>
      </c>
      <c r="U104" s="430">
        <f>SUMIF('02'!$D$7:$D$159,$C103,'02'!W$7:W$159)+SUMIF('03'!$D$7:$D$159,$C103,'03'!W$7:W$159)+SUMIF('04'!$D$7:$D$159,$C103,'04'!W$7:W$159)+SUMIF('05'!$D$7:$D$159,$C103,'05'!W$7:W$159)+SUMIF('06'!$D$7:$D$159,$C103,'06'!W$7:W$159)+SUMIF('07'!$D$7:$D$159,$C103,'07'!W$7:W$159)+SUMIF('08'!$D$7:$D$159,$C103,'08'!W$7:W$159)</f>
        <v/>
      </c>
      <c r="V104" s="429">
        <f>SUMIF('02'!$D$7:$D$159,$C103,'02'!X$7:X$159)+SUMIF('03'!$D$7:$D$159,$C103,'03'!X$7:X$159)+SUMIF('04'!$D$7:$D$159,$C103,'04'!X$7:X$159)+SUMIF('05'!$D$7:$D$159,$C103,'05'!X$7:X$159)+SUMIF('06'!$D$7:$D$159,$C103,'06'!X$7:X$159)+SUMIF('07'!$D$7:$D$159,$C103,'07'!X$7:X$159)+SUMIF('08'!$D$7:$D$159,$C103,'08'!X$7:X$159)</f>
        <v/>
      </c>
      <c r="W104" s="429">
        <f>SUMIF('02'!$D$7:$D$159,$C103,'02'!Y$7:Y$159)+SUMIF('03'!$D$7:$D$159,$C103,'03'!Y$7:Y$159)+SUMIF('04'!$D$7:$D$159,$C103,'04'!Y$7:Y$159)+SUMIF('05'!$D$7:$D$159,$C103,'05'!Y$7:Y$159)+SUMIF('06'!$D$7:$D$159,$C103,'06'!Y$7:Y$159)+SUMIF('07'!$D$7:$D$159,$C103,'07'!Y$7:Y$159)+SUMIF('08'!$D$7:$D$159,$C103,'08'!Y$7:Y$159)</f>
        <v/>
      </c>
      <c r="X104" s="431">
        <f>SUM(J104:W104)</f>
        <v/>
      </c>
      <c r="Y104" s="413" t="n"/>
      <c r="Z104" s="432" t="n"/>
    </row>
    <row r="105" ht="14.25" customHeight="1" s="296">
      <c r="A105" s="154">
        <f>IF(OR(C105="0",COUNTIF(КлючВесна,C105)&gt;1),0,MATCH(F105,ВидыНагр,0))</f>
        <v/>
      </c>
      <c r="B105" s="154">
        <f>(COUNTA(D105:F106,J105:W105,H105:I106)=0)</f>
        <v/>
      </c>
      <c r="C105" s="155">
        <f>IF(OR(TRIM(D105)="",COUNTIF(ВидыНагр,F105)&lt;&gt;1),"0",CONCATENATE("$",TRIM(D105),"$",TRIM(E105),"$",F105,"$"))</f>
        <v/>
      </c>
      <c r="D105" s="415" t="n"/>
      <c r="E105" s="416" t="n"/>
      <c r="F105" s="417" t="n"/>
      <c r="G105" s="156" t="inlineStr">
        <is>
          <t>план</t>
        </is>
      </c>
      <c r="H105" s="157" t="n"/>
      <c r="I105" s="158" t="n"/>
      <c r="J105" s="418" t="n"/>
      <c r="K105" s="419" t="n"/>
      <c r="L105" s="420" t="n"/>
      <c r="M105" s="418" t="n"/>
      <c r="N105" s="419" t="n"/>
      <c r="O105" s="420" t="n"/>
      <c r="P105" s="418" t="n"/>
      <c r="Q105" s="419" t="n"/>
      <c r="R105" s="420" t="n"/>
      <c r="S105" s="418" t="n"/>
      <c r="T105" s="419" t="n"/>
      <c r="U105" s="421" t="n"/>
      <c r="V105" s="420" t="n"/>
      <c r="W105" s="420" t="n"/>
      <c r="X105" s="422">
        <f>SUM(J105:W105)</f>
        <v/>
      </c>
      <c r="Y105" s="423">
        <f>X106-X105</f>
        <v/>
      </c>
      <c r="Z105" s="209" t="n"/>
    </row>
    <row r="106" ht="14.25" customHeight="1" s="296">
      <c r="A106" s="154">
        <f>-A105</f>
        <v/>
      </c>
      <c r="B106" s="154">
        <f>B105</f>
        <v/>
      </c>
      <c r="C106" s="163" t="n"/>
      <c r="D106" s="424" t="n"/>
      <c r="E106" s="425" t="n"/>
      <c r="F106" s="426" t="n"/>
      <c r="G106" s="164" t="inlineStr">
        <is>
          <t>факт</t>
        </is>
      </c>
      <c r="H106" s="165" t="n"/>
      <c r="I106" s="250" t="n"/>
      <c r="J106" s="427">
        <f>SUMIF('02'!$D$7:$D$159,$C105,'02'!L$7:L$159)+SUMIF('03'!$D$7:$D$159,$C105,'03'!L$7:L$159)+SUMIF('04'!$D$7:$D$159,$C105,'04'!L$7:L$159)+SUMIF('05'!$D$7:$D$159,$C105,'05'!L$7:L$159)+SUMIF('06'!$D$7:$D$159,$C105,'06'!L$7:L$159)+SUMIF('07'!$D$7:$D$159,$C105,'07'!L$7:L$159)+SUMIF('08'!$D$7:$D$159,$C105,'08'!L$7:L$159)</f>
        <v/>
      </c>
      <c r="K106" s="428">
        <f>SUMIF('02'!$D$7:$D$159,$C105,'02'!M$7:M$159)+SUMIF('03'!$D$7:$D$159,$C105,'03'!M$7:M$159)+SUMIF('04'!$D$7:$D$159,$C105,'04'!M$7:M$159)+SUMIF('05'!$D$7:$D$159,$C105,'05'!M$7:M$159)+SUMIF('06'!$D$7:$D$159,$C105,'06'!M$7:M$159)+SUMIF('07'!$D$7:$D$159,$C105,'07'!M$7:M$159)+SUMIF('08'!$D$7:$D$159,$C105,'08'!M$7:M$159)</f>
        <v/>
      </c>
      <c r="L106" s="429">
        <f>SUMIF('02'!$D$7:$D$159,$C105,'02'!N$7:N$159)+SUMIF('03'!$D$7:$D$159,$C105,'03'!N$7:N$159)+SUMIF('04'!$D$7:$D$159,$C105,'04'!N$7:N$159)+SUMIF('05'!$D$7:$D$159,$C105,'05'!N$7:N$159)+SUMIF('06'!$D$7:$D$159,$C105,'06'!N$7:N$159)+SUMIF('07'!$D$7:$D$159,$C105,'07'!N$7:N$159)+SUMIF('08'!$D$7:$D$159,$C105,'08'!N$7:N$159)</f>
        <v/>
      </c>
      <c r="M106" s="427">
        <f>SUMIF('02'!$D$7:$D$159,$C105,'02'!O$7:O$159)+SUMIF('03'!$D$7:$D$159,$C105,'03'!O$7:O$159)+SUMIF('04'!$D$7:$D$159,$C105,'04'!O$7:O$159)+SUMIF('05'!$D$7:$D$159,$C105,'05'!O$7:O$159)+SUMIF('06'!$D$7:$D$159,$C105,'06'!O$7:O$159)+SUMIF('07'!$D$7:$D$159,$C105,'07'!O$7:O$159)+SUMIF('08'!$D$7:$D$159,$C105,'08'!O$7:O$159)</f>
        <v/>
      </c>
      <c r="N106" s="428">
        <f>SUMIF('02'!$D$7:$D$159,$C105,'02'!P$7:P$159)+SUMIF('03'!$D$7:$D$159,$C105,'03'!P$7:P$159)+SUMIF('04'!$D$7:$D$159,$C105,'04'!P$7:P$159)+SUMIF('05'!$D$7:$D$159,$C105,'05'!P$7:P$159)+SUMIF('06'!$D$7:$D$159,$C105,'06'!P$7:P$159)+SUMIF('07'!$D$7:$D$159,$C105,'07'!P$7:P$159)+SUMIF('08'!$D$7:$D$159,$C105,'08'!P$7:P$159)</f>
        <v/>
      </c>
      <c r="O106" s="429">
        <f>SUMIF('02'!$D$7:$D$159,$C105,'02'!Q$7:Q$159)+SUMIF('03'!$D$7:$D$159,$C105,'03'!Q$7:Q$159)+SUMIF('04'!$D$7:$D$159,$C105,'04'!Q$7:Q$159)+SUMIF('05'!$D$7:$D$159,$C105,'05'!Q$7:Q$159)+SUMIF('06'!$D$7:$D$159,$C105,'06'!Q$7:Q$159)+SUMIF('07'!$D$7:$D$159,$C105,'07'!Q$7:Q$159)+SUMIF('08'!$D$7:$D$159,$C105,'08'!Q$7:Q$159)</f>
        <v/>
      </c>
      <c r="P106" s="427">
        <f>SUMIF('02'!$D$7:$D$159,$C105,'02'!R$7:R$159)+SUMIF('03'!$D$7:$D$159,$C105,'03'!R$7:R$159)+SUMIF('04'!$D$7:$D$159,$C105,'04'!R$7:R$159)+SUMIF('05'!$D$7:$D$159,$C105,'05'!R$7:R$159)+SUMIF('06'!$D$7:$D$159,$C105,'06'!R$7:R$159)+SUMIF('07'!$D$7:$D$159,$C105,'07'!R$7:R$159)+SUMIF('08'!$D$7:$D$159,$C105,'08'!R$7:R$159)</f>
        <v/>
      </c>
      <c r="Q106" s="428">
        <f>SUMIF('02'!$D$7:$D$159,$C105,'02'!S$7:S$159)+SUMIF('03'!$D$7:$D$159,$C105,'03'!S$7:S$159)+SUMIF('04'!$D$7:$D$159,$C105,'04'!S$7:S$159)+SUMIF('05'!$D$7:$D$159,$C105,'05'!S$7:S$159)+SUMIF('06'!$D$7:$D$159,$C105,'06'!S$7:S$159)+SUMIF('07'!$D$7:$D$159,$C105,'07'!S$7:S$159)+SUMIF('08'!$D$7:$D$159,$C105,'08'!S$7:S$159)</f>
        <v/>
      </c>
      <c r="R106" s="429">
        <f>SUMIF('02'!$D$7:$D$159,$C105,'02'!T$7:T$159)+SUMIF('03'!$D$7:$D$159,$C105,'03'!T$7:T$159)+SUMIF('04'!$D$7:$D$159,$C105,'04'!T$7:T$159)+SUMIF('05'!$D$7:$D$159,$C105,'05'!T$7:T$159)+SUMIF('06'!$D$7:$D$159,$C105,'06'!T$7:T$159)+SUMIF('07'!$D$7:$D$159,$C105,'07'!T$7:T$159)+SUMIF('08'!$D$7:$D$159,$C105,'08'!T$7:T$159)</f>
        <v/>
      </c>
      <c r="S106" s="427">
        <f>SUMIF('02'!$D$7:$D$159,$C105,'02'!U$7:U$159)+SUMIF('03'!$D$7:$D$159,$C105,'03'!U$7:U$159)+SUMIF('04'!$D$7:$D$159,$C105,'04'!U$7:U$159)+SUMIF('05'!$D$7:$D$159,$C105,'05'!U$7:U$159)+SUMIF('06'!$D$7:$D$159,$C105,'06'!U$7:U$159)+SUMIF('07'!$D$7:$D$159,$C105,'07'!U$7:U$159)+SUMIF('08'!$D$7:$D$159,$C105,'08'!U$7:U$159)</f>
        <v/>
      </c>
      <c r="T106" s="428">
        <f>SUMIF('02'!$D$7:$D$159,$C105,'02'!V$7:V$159)+SUMIF('03'!$D$7:$D$159,$C105,'03'!V$7:V$159)+SUMIF('04'!$D$7:$D$159,$C105,'04'!V$7:V$159)+SUMIF('05'!$D$7:$D$159,$C105,'05'!V$7:V$159)+SUMIF('06'!$D$7:$D$159,$C105,'06'!V$7:V$159)+SUMIF('07'!$D$7:$D$159,$C105,'07'!V$7:V$159)+SUMIF('08'!$D$7:$D$159,$C105,'08'!V$7:V$159)</f>
        <v/>
      </c>
      <c r="U106" s="430">
        <f>SUMIF('02'!$D$7:$D$159,$C105,'02'!W$7:W$159)+SUMIF('03'!$D$7:$D$159,$C105,'03'!W$7:W$159)+SUMIF('04'!$D$7:$D$159,$C105,'04'!W$7:W$159)+SUMIF('05'!$D$7:$D$159,$C105,'05'!W$7:W$159)+SUMIF('06'!$D$7:$D$159,$C105,'06'!W$7:W$159)+SUMIF('07'!$D$7:$D$159,$C105,'07'!W$7:W$159)+SUMIF('08'!$D$7:$D$159,$C105,'08'!W$7:W$159)</f>
        <v/>
      </c>
      <c r="V106" s="429">
        <f>SUMIF('02'!$D$7:$D$159,$C105,'02'!X$7:X$159)+SUMIF('03'!$D$7:$D$159,$C105,'03'!X$7:X$159)+SUMIF('04'!$D$7:$D$159,$C105,'04'!X$7:X$159)+SUMIF('05'!$D$7:$D$159,$C105,'05'!X$7:X$159)+SUMIF('06'!$D$7:$D$159,$C105,'06'!X$7:X$159)+SUMIF('07'!$D$7:$D$159,$C105,'07'!X$7:X$159)+SUMIF('08'!$D$7:$D$159,$C105,'08'!X$7:X$159)</f>
        <v/>
      </c>
      <c r="W106" s="429">
        <f>SUMIF('02'!$D$7:$D$159,$C105,'02'!Y$7:Y$159)+SUMIF('03'!$D$7:$D$159,$C105,'03'!Y$7:Y$159)+SUMIF('04'!$D$7:$D$159,$C105,'04'!Y$7:Y$159)+SUMIF('05'!$D$7:$D$159,$C105,'05'!Y$7:Y$159)+SUMIF('06'!$D$7:$D$159,$C105,'06'!Y$7:Y$159)+SUMIF('07'!$D$7:$D$159,$C105,'07'!Y$7:Y$159)+SUMIF('08'!$D$7:$D$159,$C105,'08'!Y$7:Y$159)</f>
        <v/>
      </c>
      <c r="X106" s="431">
        <f>SUM(J106:W106)</f>
        <v/>
      </c>
      <c r="Y106" s="413" t="n"/>
      <c r="Z106" s="432" t="n"/>
    </row>
    <row r="107" ht="14.25" customHeight="1" s="296">
      <c r="A107" s="154">
        <f>IF(OR(C107="0",COUNTIF(КлючВесна,C107)&gt;1),0,MATCH(F107,ВидыНагр,0))</f>
        <v/>
      </c>
      <c r="B107" s="154">
        <f>(COUNTA(D107:F108,J107:W107,H107:I108)=0)</f>
        <v/>
      </c>
      <c r="C107" s="155">
        <f>IF(OR(TRIM(D107)="",COUNTIF(ВидыНагр,F107)&lt;&gt;1),"0",CONCATENATE("$",TRIM(D107),"$",TRIM(E107),"$",F107,"$"))</f>
        <v/>
      </c>
      <c r="D107" s="415" t="n"/>
      <c r="E107" s="416" t="n"/>
      <c r="F107" s="417" t="n"/>
      <c r="G107" s="156" t="inlineStr">
        <is>
          <t>план</t>
        </is>
      </c>
      <c r="H107" s="157" t="n"/>
      <c r="I107" s="158" t="n"/>
      <c r="J107" s="418" t="n"/>
      <c r="K107" s="419" t="n"/>
      <c r="L107" s="420" t="n"/>
      <c r="M107" s="418" t="n"/>
      <c r="N107" s="419" t="n"/>
      <c r="O107" s="420" t="n"/>
      <c r="P107" s="418" t="n"/>
      <c r="Q107" s="419" t="n"/>
      <c r="R107" s="420" t="n"/>
      <c r="S107" s="418" t="n"/>
      <c r="T107" s="419" t="n"/>
      <c r="U107" s="421" t="n"/>
      <c r="V107" s="420" t="n"/>
      <c r="W107" s="420" t="n"/>
      <c r="X107" s="422">
        <f>SUM(J107:W107)</f>
        <v/>
      </c>
      <c r="Y107" s="423">
        <f>X108-X107</f>
        <v/>
      </c>
      <c r="Z107" s="209" t="n"/>
    </row>
    <row r="108" ht="14.25" customHeight="1" s="296">
      <c r="A108" s="154">
        <f>-A107</f>
        <v/>
      </c>
      <c r="B108" s="154">
        <f>B107</f>
        <v/>
      </c>
      <c r="C108" s="163" t="n"/>
      <c r="D108" s="424" t="n"/>
      <c r="E108" s="425" t="n"/>
      <c r="F108" s="426" t="n"/>
      <c r="G108" s="164" t="inlineStr">
        <is>
          <t>факт</t>
        </is>
      </c>
      <c r="H108" s="165" t="n"/>
      <c r="I108" s="250" t="n"/>
      <c r="J108" s="427">
        <f>SUMIF('02'!$D$7:$D$159,$C107,'02'!L$7:L$159)+SUMIF('03'!$D$7:$D$159,$C107,'03'!L$7:L$159)+SUMIF('04'!$D$7:$D$159,$C107,'04'!L$7:L$159)+SUMIF('05'!$D$7:$D$159,$C107,'05'!L$7:L$159)+SUMIF('06'!$D$7:$D$159,$C107,'06'!L$7:L$159)+SUMIF('07'!$D$7:$D$159,$C107,'07'!L$7:L$159)+SUMIF('08'!$D$7:$D$159,$C107,'08'!L$7:L$159)</f>
        <v/>
      </c>
      <c r="K108" s="428">
        <f>SUMIF('02'!$D$7:$D$159,$C107,'02'!M$7:M$159)+SUMIF('03'!$D$7:$D$159,$C107,'03'!M$7:M$159)+SUMIF('04'!$D$7:$D$159,$C107,'04'!M$7:M$159)+SUMIF('05'!$D$7:$D$159,$C107,'05'!M$7:M$159)+SUMIF('06'!$D$7:$D$159,$C107,'06'!M$7:M$159)+SUMIF('07'!$D$7:$D$159,$C107,'07'!M$7:M$159)+SUMIF('08'!$D$7:$D$159,$C107,'08'!M$7:M$159)</f>
        <v/>
      </c>
      <c r="L108" s="429">
        <f>SUMIF('02'!$D$7:$D$159,$C107,'02'!N$7:N$159)+SUMIF('03'!$D$7:$D$159,$C107,'03'!N$7:N$159)+SUMIF('04'!$D$7:$D$159,$C107,'04'!N$7:N$159)+SUMIF('05'!$D$7:$D$159,$C107,'05'!N$7:N$159)+SUMIF('06'!$D$7:$D$159,$C107,'06'!N$7:N$159)+SUMIF('07'!$D$7:$D$159,$C107,'07'!N$7:N$159)+SUMIF('08'!$D$7:$D$159,$C107,'08'!N$7:N$159)</f>
        <v/>
      </c>
      <c r="M108" s="427">
        <f>SUMIF('02'!$D$7:$D$159,$C107,'02'!O$7:O$159)+SUMIF('03'!$D$7:$D$159,$C107,'03'!O$7:O$159)+SUMIF('04'!$D$7:$D$159,$C107,'04'!O$7:O$159)+SUMIF('05'!$D$7:$D$159,$C107,'05'!O$7:O$159)+SUMIF('06'!$D$7:$D$159,$C107,'06'!O$7:O$159)+SUMIF('07'!$D$7:$D$159,$C107,'07'!O$7:O$159)+SUMIF('08'!$D$7:$D$159,$C107,'08'!O$7:O$159)</f>
        <v/>
      </c>
      <c r="N108" s="428">
        <f>SUMIF('02'!$D$7:$D$159,$C107,'02'!P$7:P$159)+SUMIF('03'!$D$7:$D$159,$C107,'03'!P$7:P$159)+SUMIF('04'!$D$7:$D$159,$C107,'04'!P$7:P$159)+SUMIF('05'!$D$7:$D$159,$C107,'05'!P$7:P$159)+SUMIF('06'!$D$7:$D$159,$C107,'06'!P$7:P$159)+SUMIF('07'!$D$7:$D$159,$C107,'07'!P$7:P$159)+SUMIF('08'!$D$7:$D$159,$C107,'08'!P$7:P$159)</f>
        <v/>
      </c>
      <c r="O108" s="429">
        <f>SUMIF('02'!$D$7:$D$159,$C107,'02'!Q$7:Q$159)+SUMIF('03'!$D$7:$D$159,$C107,'03'!Q$7:Q$159)+SUMIF('04'!$D$7:$D$159,$C107,'04'!Q$7:Q$159)+SUMIF('05'!$D$7:$D$159,$C107,'05'!Q$7:Q$159)+SUMIF('06'!$D$7:$D$159,$C107,'06'!Q$7:Q$159)+SUMIF('07'!$D$7:$D$159,$C107,'07'!Q$7:Q$159)+SUMIF('08'!$D$7:$D$159,$C107,'08'!Q$7:Q$159)</f>
        <v/>
      </c>
      <c r="P108" s="427">
        <f>SUMIF('02'!$D$7:$D$159,$C107,'02'!R$7:R$159)+SUMIF('03'!$D$7:$D$159,$C107,'03'!R$7:R$159)+SUMIF('04'!$D$7:$D$159,$C107,'04'!R$7:R$159)+SUMIF('05'!$D$7:$D$159,$C107,'05'!R$7:R$159)+SUMIF('06'!$D$7:$D$159,$C107,'06'!R$7:R$159)+SUMIF('07'!$D$7:$D$159,$C107,'07'!R$7:R$159)+SUMIF('08'!$D$7:$D$159,$C107,'08'!R$7:R$159)</f>
        <v/>
      </c>
      <c r="Q108" s="428">
        <f>SUMIF('02'!$D$7:$D$159,$C107,'02'!S$7:S$159)+SUMIF('03'!$D$7:$D$159,$C107,'03'!S$7:S$159)+SUMIF('04'!$D$7:$D$159,$C107,'04'!S$7:S$159)+SUMIF('05'!$D$7:$D$159,$C107,'05'!S$7:S$159)+SUMIF('06'!$D$7:$D$159,$C107,'06'!S$7:S$159)+SUMIF('07'!$D$7:$D$159,$C107,'07'!S$7:S$159)+SUMIF('08'!$D$7:$D$159,$C107,'08'!S$7:S$159)</f>
        <v/>
      </c>
      <c r="R108" s="429">
        <f>SUMIF('02'!$D$7:$D$159,$C107,'02'!T$7:T$159)+SUMIF('03'!$D$7:$D$159,$C107,'03'!T$7:T$159)+SUMIF('04'!$D$7:$D$159,$C107,'04'!T$7:T$159)+SUMIF('05'!$D$7:$D$159,$C107,'05'!T$7:T$159)+SUMIF('06'!$D$7:$D$159,$C107,'06'!T$7:T$159)+SUMIF('07'!$D$7:$D$159,$C107,'07'!T$7:T$159)+SUMIF('08'!$D$7:$D$159,$C107,'08'!T$7:T$159)</f>
        <v/>
      </c>
      <c r="S108" s="427">
        <f>SUMIF('02'!$D$7:$D$159,$C107,'02'!U$7:U$159)+SUMIF('03'!$D$7:$D$159,$C107,'03'!U$7:U$159)+SUMIF('04'!$D$7:$D$159,$C107,'04'!U$7:U$159)+SUMIF('05'!$D$7:$D$159,$C107,'05'!U$7:U$159)+SUMIF('06'!$D$7:$D$159,$C107,'06'!U$7:U$159)+SUMIF('07'!$D$7:$D$159,$C107,'07'!U$7:U$159)+SUMIF('08'!$D$7:$D$159,$C107,'08'!U$7:U$159)</f>
        <v/>
      </c>
      <c r="T108" s="428">
        <f>SUMIF('02'!$D$7:$D$159,$C107,'02'!V$7:V$159)+SUMIF('03'!$D$7:$D$159,$C107,'03'!V$7:V$159)+SUMIF('04'!$D$7:$D$159,$C107,'04'!V$7:V$159)+SUMIF('05'!$D$7:$D$159,$C107,'05'!V$7:V$159)+SUMIF('06'!$D$7:$D$159,$C107,'06'!V$7:V$159)+SUMIF('07'!$D$7:$D$159,$C107,'07'!V$7:V$159)+SUMIF('08'!$D$7:$D$159,$C107,'08'!V$7:V$159)</f>
        <v/>
      </c>
      <c r="U108" s="430">
        <f>SUMIF('02'!$D$7:$D$159,$C107,'02'!W$7:W$159)+SUMIF('03'!$D$7:$D$159,$C107,'03'!W$7:W$159)+SUMIF('04'!$D$7:$D$159,$C107,'04'!W$7:W$159)+SUMIF('05'!$D$7:$D$159,$C107,'05'!W$7:W$159)+SUMIF('06'!$D$7:$D$159,$C107,'06'!W$7:W$159)+SUMIF('07'!$D$7:$D$159,$C107,'07'!W$7:W$159)+SUMIF('08'!$D$7:$D$159,$C107,'08'!W$7:W$159)</f>
        <v/>
      </c>
      <c r="V108" s="429">
        <f>SUMIF('02'!$D$7:$D$159,$C107,'02'!X$7:X$159)+SUMIF('03'!$D$7:$D$159,$C107,'03'!X$7:X$159)+SUMIF('04'!$D$7:$D$159,$C107,'04'!X$7:X$159)+SUMIF('05'!$D$7:$D$159,$C107,'05'!X$7:X$159)+SUMIF('06'!$D$7:$D$159,$C107,'06'!X$7:X$159)+SUMIF('07'!$D$7:$D$159,$C107,'07'!X$7:X$159)+SUMIF('08'!$D$7:$D$159,$C107,'08'!X$7:X$159)</f>
        <v/>
      </c>
      <c r="W108" s="429">
        <f>SUMIF('02'!$D$7:$D$159,$C107,'02'!Y$7:Y$159)+SUMIF('03'!$D$7:$D$159,$C107,'03'!Y$7:Y$159)+SUMIF('04'!$D$7:$D$159,$C107,'04'!Y$7:Y$159)+SUMIF('05'!$D$7:$D$159,$C107,'05'!Y$7:Y$159)+SUMIF('06'!$D$7:$D$159,$C107,'06'!Y$7:Y$159)+SUMIF('07'!$D$7:$D$159,$C107,'07'!Y$7:Y$159)+SUMIF('08'!$D$7:$D$159,$C107,'08'!Y$7:Y$159)</f>
        <v/>
      </c>
      <c r="X108" s="431">
        <f>SUM(J108:W108)</f>
        <v/>
      </c>
      <c r="Y108" s="413" t="n"/>
      <c r="Z108" s="432" t="n"/>
    </row>
    <row r="109" ht="14.25" customHeight="1" s="296">
      <c r="A109" s="154">
        <f>IF(OR(C109="0",COUNTIF(КлючВесна,C109)&gt;1),0,MATCH(F109,ВидыНагр,0))</f>
        <v/>
      </c>
      <c r="B109" s="154">
        <f>(COUNTA(D109:F110,J109:W109,H109:I110)=0)</f>
        <v/>
      </c>
      <c r="C109" s="155">
        <f>IF(OR(TRIM(D109)="",COUNTIF(ВидыНагр,F109)&lt;&gt;1),"0",CONCATENATE("$",TRIM(D109),"$",TRIM(E109),"$",F109,"$"))</f>
        <v/>
      </c>
      <c r="D109" s="415" t="n"/>
      <c r="E109" s="416" t="n"/>
      <c r="F109" s="417" t="n"/>
      <c r="G109" s="156" t="inlineStr">
        <is>
          <t>план</t>
        </is>
      </c>
      <c r="H109" s="157" t="n"/>
      <c r="I109" s="158" t="n"/>
      <c r="J109" s="418" t="n"/>
      <c r="K109" s="419" t="n"/>
      <c r="L109" s="420" t="n"/>
      <c r="M109" s="418" t="n"/>
      <c r="N109" s="419" t="n"/>
      <c r="O109" s="420" t="n"/>
      <c r="P109" s="418" t="n"/>
      <c r="Q109" s="419" t="n"/>
      <c r="R109" s="420" t="n"/>
      <c r="S109" s="418" t="n"/>
      <c r="T109" s="419" t="n"/>
      <c r="U109" s="421" t="n"/>
      <c r="V109" s="420" t="n"/>
      <c r="W109" s="420" t="n"/>
      <c r="X109" s="422">
        <f>SUM(J109:W109)</f>
        <v/>
      </c>
      <c r="Y109" s="423">
        <f>X110-X109</f>
        <v/>
      </c>
      <c r="Z109" s="209" t="n"/>
    </row>
    <row r="110" ht="14.25" customHeight="1" s="296">
      <c r="A110" s="154">
        <f>-A109</f>
        <v/>
      </c>
      <c r="B110" s="154">
        <f>B109</f>
        <v/>
      </c>
      <c r="C110" s="163" t="n"/>
      <c r="D110" s="424" t="n"/>
      <c r="E110" s="425" t="n"/>
      <c r="F110" s="426" t="n"/>
      <c r="G110" s="164" t="inlineStr">
        <is>
          <t>факт</t>
        </is>
      </c>
      <c r="H110" s="165" t="n"/>
      <c r="I110" s="250" t="n"/>
      <c r="J110" s="427">
        <f>SUMIF('02'!$D$7:$D$159,$C109,'02'!L$7:L$159)+SUMIF('03'!$D$7:$D$159,$C109,'03'!L$7:L$159)+SUMIF('04'!$D$7:$D$159,$C109,'04'!L$7:L$159)+SUMIF('05'!$D$7:$D$159,$C109,'05'!L$7:L$159)+SUMIF('06'!$D$7:$D$159,$C109,'06'!L$7:L$159)+SUMIF('07'!$D$7:$D$159,$C109,'07'!L$7:L$159)+SUMIF('08'!$D$7:$D$159,$C109,'08'!L$7:L$159)</f>
        <v/>
      </c>
      <c r="K110" s="428">
        <f>SUMIF('02'!$D$7:$D$159,$C109,'02'!M$7:M$159)+SUMIF('03'!$D$7:$D$159,$C109,'03'!M$7:M$159)+SUMIF('04'!$D$7:$D$159,$C109,'04'!M$7:M$159)+SUMIF('05'!$D$7:$D$159,$C109,'05'!M$7:M$159)+SUMIF('06'!$D$7:$D$159,$C109,'06'!M$7:M$159)+SUMIF('07'!$D$7:$D$159,$C109,'07'!M$7:M$159)+SUMIF('08'!$D$7:$D$159,$C109,'08'!M$7:M$159)</f>
        <v/>
      </c>
      <c r="L110" s="429">
        <f>SUMIF('02'!$D$7:$D$159,$C109,'02'!N$7:N$159)+SUMIF('03'!$D$7:$D$159,$C109,'03'!N$7:N$159)+SUMIF('04'!$D$7:$D$159,$C109,'04'!N$7:N$159)+SUMIF('05'!$D$7:$D$159,$C109,'05'!N$7:N$159)+SUMIF('06'!$D$7:$D$159,$C109,'06'!N$7:N$159)+SUMIF('07'!$D$7:$D$159,$C109,'07'!N$7:N$159)+SUMIF('08'!$D$7:$D$159,$C109,'08'!N$7:N$159)</f>
        <v/>
      </c>
      <c r="M110" s="427">
        <f>SUMIF('02'!$D$7:$D$159,$C109,'02'!O$7:O$159)+SUMIF('03'!$D$7:$D$159,$C109,'03'!O$7:O$159)+SUMIF('04'!$D$7:$D$159,$C109,'04'!O$7:O$159)+SUMIF('05'!$D$7:$D$159,$C109,'05'!O$7:O$159)+SUMIF('06'!$D$7:$D$159,$C109,'06'!O$7:O$159)+SUMIF('07'!$D$7:$D$159,$C109,'07'!O$7:O$159)+SUMIF('08'!$D$7:$D$159,$C109,'08'!O$7:O$159)</f>
        <v/>
      </c>
      <c r="N110" s="428">
        <f>SUMIF('02'!$D$7:$D$159,$C109,'02'!P$7:P$159)+SUMIF('03'!$D$7:$D$159,$C109,'03'!P$7:P$159)+SUMIF('04'!$D$7:$D$159,$C109,'04'!P$7:P$159)+SUMIF('05'!$D$7:$D$159,$C109,'05'!P$7:P$159)+SUMIF('06'!$D$7:$D$159,$C109,'06'!P$7:P$159)+SUMIF('07'!$D$7:$D$159,$C109,'07'!P$7:P$159)+SUMIF('08'!$D$7:$D$159,$C109,'08'!P$7:P$159)</f>
        <v/>
      </c>
      <c r="O110" s="429">
        <f>SUMIF('02'!$D$7:$D$159,$C109,'02'!Q$7:Q$159)+SUMIF('03'!$D$7:$D$159,$C109,'03'!Q$7:Q$159)+SUMIF('04'!$D$7:$D$159,$C109,'04'!Q$7:Q$159)+SUMIF('05'!$D$7:$D$159,$C109,'05'!Q$7:Q$159)+SUMIF('06'!$D$7:$D$159,$C109,'06'!Q$7:Q$159)+SUMIF('07'!$D$7:$D$159,$C109,'07'!Q$7:Q$159)+SUMIF('08'!$D$7:$D$159,$C109,'08'!Q$7:Q$159)</f>
        <v/>
      </c>
      <c r="P110" s="427">
        <f>SUMIF('02'!$D$7:$D$159,$C109,'02'!R$7:R$159)+SUMIF('03'!$D$7:$D$159,$C109,'03'!R$7:R$159)+SUMIF('04'!$D$7:$D$159,$C109,'04'!R$7:R$159)+SUMIF('05'!$D$7:$D$159,$C109,'05'!R$7:R$159)+SUMIF('06'!$D$7:$D$159,$C109,'06'!R$7:R$159)+SUMIF('07'!$D$7:$D$159,$C109,'07'!R$7:R$159)+SUMIF('08'!$D$7:$D$159,$C109,'08'!R$7:R$159)</f>
        <v/>
      </c>
      <c r="Q110" s="428">
        <f>SUMIF('02'!$D$7:$D$159,$C109,'02'!S$7:S$159)+SUMIF('03'!$D$7:$D$159,$C109,'03'!S$7:S$159)+SUMIF('04'!$D$7:$D$159,$C109,'04'!S$7:S$159)+SUMIF('05'!$D$7:$D$159,$C109,'05'!S$7:S$159)+SUMIF('06'!$D$7:$D$159,$C109,'06'!S$7:S$159)+SUMIF('07'!$D$7:$D$159,$C109,'07'!S$7:S$159)+SUMIF('08'!$D$7:$D$159,$C109,'08'!S$7:S$159)</f>
        <v/>
      </c>
      <c r="R110" s="429">
        <f>SUMIF('02'!$D$7:$D$159,$C109,'02'!T$7:T$159)+SUMIF('03'!$D$7:$D$159,$C109,'03'!T$7:T$159)+SUMIF('04'!$D$7:$D$159,$C109,'04'!T$7:T$159)+SUMIF('05'!$D$7:$D$159,$C109,'05'!T$7:T$159)+SUMIF('06'!$D$7:$D$159,$C109,'06'!T$7:T$159)+SUMIF('07'!$D$7:$D$159,$C109,'07'!T$7:T$159)+SUMIF('08'!$D$7:$D$159,$C109,'08'!T$7:T$159)</f>
        <v/>
      </c>
      <c r="S110" s="427">
        <f>SUMIF('02'!$D$7:$D$159,$C109,'02'!U$7:U$159)+SUMIF('03'!$D$7:$D$159,$C109,'03'!U$7:U$159)+SUMIF('04'!$D$7:$D$159,$C109,'04'!U$7:U$159)+SUMIF('05'!$D$7:$D$159,$C109,'05'!U$7:U$159)+SUMIF('06'!$D$7:$D$159,$C109,'06'!U$7:U$159)+SUMIF('07'!$D$7:$D$159,$C109,'07'!U$7:U$159)+SUMIF('08'!$D$7:$D$159,$C109,'08'!U$7:U$159)</f>
        <v/>
      </c>
      <c r="T110" s="428">
        <f>SUMIF('02'!$D$7:$D$159,$C109,'02'!V$7:V$159)+SUMIF('03'!$D$7:$D$159,$C109,'03'!V$7:V$159)+SUMIF('04'!$D$7:$D$159,$C109,'04'!V$7:V$159)+SUMIF('05'!$D$7:$D$159,$C109,'05'!V$7:V$159)+SUMIF('06'!$D$7:$D$159,$C109,'06'!V$7:V$159)+SUMIF('07'!$D$7:$D$159,$C109,'07'!V$7:V$159)+SUMIF('08'!$D$7:$D$159,$C109,'08'!V$7:V$159)</f>
        <v/>
      </c>
      <c r="U110" s="430">
        <f>SUMIF('02'!$D$7:$D$159,$C109,'02'!W$7:W$159)+SUMIF('03'!$D$7:$D$159,$C109,'03'!W$7:W$159)+SUMIF('04'!$D$7:$D$159,$C109,'04'!W$7:W$159)+SUMIF('05'!$D$7:$D$159,$C109,'05'!W$7:W$159)+SUMIF('06'!$D$7:$D$159,$C109,'06'!W$7:W$159)+SUMIF('07'!$D$7:$D$159,$C109,'07'!W$7:W$159)+SUMIF('08'!$D$7:$D$159,$C109,'08'!W$7:W$159)</f>
        <v/>
      </c>
      <c r="V110" s="429">
        <f>SUMIF('02'!$D$7:$D$159,$C109,'02'!X$7:X$159)+SUMIF('03'!$D$7:$D$159,$C109,'03'!X$7:X$159)+SUMIF('04'!$D$7:$D$159,$C109,'04'!X$7:X$159)+SUMIF('05'!$D$7:$D$159,$C109,'05'!X$7:X$159)+SUMIF('06'!$D$7:$D$159,$C109,'06'!X$7:X$159)+SUMIF('07'!$D$7:$D$159,$C109,'07'!X$7:X$159)+SUMIF('08'!$D$7:$D$159,$C109,'08'!X$7:X$159)</f>
        <v/>
      </c>
      <c r="W110" s="429">
        <f>SUMIF('02'!$D$7:$D$159,$C109,'02'!Y$7:Y$159)+SUMIF('03'!$D$7:$D$159,$C109,'03'!Y$7:Y$159)+SUMIF('04'!$D$7:$D$159,$C109,'04'!Y$7:Y$159)+SUMIF('05'!$D$7:$D$159,$C109,'05'!Y$7:Y$159)+SUMIF('06'!$D$7:$D$159,$C109,'06'!Y$7:Y$159)+SUMIF('07'!$D$7:$D$159,$C109,'07'!Y$7:Y$159)+SUMIF('08'!$D$7:$D$159,$C109,'08'!Y$7:Y$159)</f>
        <v/>
      </c>
      <c r="X110" s="431">
        <f>SUM(J110:W110)</f>
        <v/>
      </c>
      <c r="Y110" s="413" t="n"/>
      <c r="Z110" s="432" t="n"/>
    </row>
    <row r="111" ht="14.25" customHeight="1" s="296">
      <c r="A111" s="154">
        <f>IF(OR(C111="0",COUNTIF(КлючВесна,C111)&gt;1),0,MATCH(F111,ВидыНагр,0))</f>
        <v/>
      </c>
      <c r="B111" s="154">
        <f>(COUNTA(D111:F112,J111:W111,H111:I112)=0)</f>
        <v/>
      </c>
      <c r="C111" s="155">
        <f>IF(OR(TRIM(D111)="",COUNTIF(ВидыНагр,F111)&lt;&gt;1),"0",CONCATENATE("$",TRIM(D111),"$",TRIM(E111),"$",F111,"$"))</f>
        <v/>
      </c>
      <c r="D111" s="415" t="n"/>
      <c r="E111" s="416" t="n"/>
      <c r="F111" s="417" t="n"/>
      <c r="G111" s="156" t="inlineStr">
        <is>
          <t>план</t>
        </is>
      </c>
      <c r="H111" s="157" t="n"/>
      <c r="I111" s="158" t="n"/>
      <c r="J111" s="418" t="n"/>
      <c r="K111" s="419" t="n"/>
      <c r="L111" s="420" t="n"/>
      <c r="M111" s="418" t="n"/>
      <c r="N111" s="419" t="n"/>
      <c r="O111" s="420" t="n"/>
      <c r="P111" s="418" t="n"/>
      <c r="Q111" s="419" t="n"/>
      <c r="R111" s="420" t="n"/>
      <c r="S111" s="418" t="n"/>
      <c r="T111" s="419" t="n"/>
      <c r="U111" s="421" t="n"/>
      <c r="V111" s="420" t="n"/>
      <c r="W111" s="420" t="n"/>
      <c r="X111" s="422">
        <f>SUM(J111:W111)</f>
        <v/>
      </c>
      <c r="Y111" s="423">
        <f>X112-X111</f>
        <v/>
      </c>
      <c r="Z111" s="209" t="n"/>
    </row>
    <row r="112" ht="14.25" customHeight="1" s="296">
      <c r="A112" s="154">
        <f>-A111</f>
        <v/>
      </c>
      <c r="B112" s="154">
        <f>B111</f>
        <v/>
      </c>
      <c r="C112" s="163" t="n"/>
      <c r="D112" s="424" t="n"/>
      <c r="E112" s="425" t="n"/>
      <c r="F112" s="426" t="n"/>
      <c r="G112" s="164" t="inlineStr">
        <is>
          <t>факт</t>
        </is>
      </c>
      <c r="H112" s="165" t="n"/>
      <c r="I112" s="250" t="n"/>
      <c r="J112" s="427">
        <f>SUMIF('02'!$D$7:$D$159,$C111,'02'!L$7:L$159)+SUMIF('03'!$D$7:$D$159,$C111,'03'!L$7:L$159)+SUMIF('04'!$D$7:$D$159,$C111,'04'!L$7:L$159)+SUMIF('05'!$D$7:$D$159,$C111,'05'!L$7:L$159)+SUMIF('06'!$D$7:$D$159,$C111,'06'!L$7:L$159)+SUMIF('07'!$D$7:$D$159,$C111,'07'!L$7:L$159)+SUMIF('08'!$D$7:$D$159,$C111,'08'!L$7:L$159)</f>
        <v/>
      </c>
      <c r="K112" s="428">
        <f>SUMIF('02'!$D$7:$D$159,$C111,'02'!M$7:M$159)+SUMIF('03'!$D$7:$D$159,$C111,'03'!M$7:M$159)+SUMIF('04'!$D$7:$D$159,$C111,'04'!M$7:M$159)+SUMIF('05'!$D$7:$D$159,$C111,'05'!M$7:M$159)+SUMIF('06'!$D$7:$D$159,$C111,'06'!M$7:M$159)+SUMIF('07'!$D$7:$D$159,$C111,'07'!M$7:M$159)+SUMIF('08'!$D$7:$D$159,$C111,'08'!M$7:M$159)</f>
        <v/>
      </c>
      <c r="L112" s="429">
        <f>SUMIF('02'!$D$7:$D$159,$C111,'02'!N$7:N$159)+SUMIF('03'!$D$7:$D$159,$C111,'03'!N$7:N$159)+SUMIF('04'!$D$7:$D$159,$C111,'04'!N$7:N$159)+SUMIF('05'!$D$7:$D$159,$C111,'05'!N$7:N$159)+SUMIF('06'!$D$7:$D$159,$C111,'06'!N$7:N$159)+SUMIF('07'!$D$7:$D$159,$C111,'07'!N$7:N$159)+SUMIF('08'!$D$7:$D$159,$C111,'08'!N$7:N$159)</f>
        <v/>
      </c>
      <c r="M112" s="427">
        <f>SUMIF('02'!$D$7:$D$159,$C111,'02'!O$7:O$159)+SUMIF('03'!$D$7:$D$159,$C111,'03'!O$7:O$159)+SUMIF('04'!$D$7:$D$159,$C111,'04'!O$7:O$159)+SUMIF('05'!$D$7:$D$159,$C111,'05'!O$7:O$159)+SUMIF('06'!$D$7:$D$159,$C111,'06'!O$7:O$159)+SUMIF('07'!$D$7:$D$159,$C111,'07'!O$7:O$159)+SUMIF('08'!$D$7:$D$159,$C111,'08'!O$7:O$159)</f>
        <v/>
      </c>
      <c r="N112" s="428">
        <f>SUMIF('02'!$D$7:$D$159,$C111,'02'!P$7:P$159)+SUMIF('03'!$D$7:$D$159,$C111,'03'!P$7:P$159)+SUMIF('04'!$D$7:$D$159,$C111,'04'!P$7:P$159)+SUMIF('05'!$D$7:$D$159,$C111,'05'!P$7:P$159)+SUMIF('06'!$D$7:$D$159,$C111,'06'!P$7:P$159)+SUMIF('07'!$D$7:$D$159,$C111,'07'!P$7:P$159)+SUMIF('08'!$D$7:$D$159,$C111,'08'!P$7:P$159)</f>
        <v/>
      </c>
      <c r="O112" s="429">
        <f>SUMIF('02'!$D$7:$D$159,$C111,'02'!Q$7:Q$159)+SUMIF('03'!$D$7:$D$159,$C111,'03'!Q$7:Q$159)+SUMIF('04'!$D$7:$D$159,$C111,'04'!Q$7:Q$159)+SUMIF('05'!$D$7:$D$159,$C111,'05'!Q$7:Q$159)+SUMIF('06'!$D$7:$D$159,$C111,'06'!Q$7:Q$159)+SUMIF('07'!$D$7:$D$159,$C111,'07'!Q$7:Q$159)+SUMIF('08'!$D$7:$D$159,$C111,'08'!Q$7:Q$159)</f>
        <v/>
      </c>
      <c r="P112" s="427">
        <f>SUMIF('02'!$D$7:$D$159,$C111,'02'!R$7:R$159)+SUMIF('03'!$D$7:$D$159,$C111,'03'!R$7:R$159)+SUMIF('04'!$D$7:$D$159,$C111,'04'!R$7:R$159)+SUMIF('05'!$D$7:$D$159,$C111,'05'!R$7:R$159)+SUMIF('06'!$D$7:$D$159,$C111,'06'!R$7:R$159)+SUMIF('07'!$D$7:$D$159,$C111,'07'!R$7:R$159)+SUMIF('08'!$D$7:$D$159,$C111,'08'!R$7:R$159)</f>
        <v/>
      </c>
      <c r="Q112" s="428">
        <f>SUMIF('02'!$D$7:$D$159,$C111,'02'!S$7:S$159)+SUMIF('03'!$D$7:$D$159,$C111,'03'!S$7:S$159)+SUMIF('04'!$D$7:$D$159,$C111,'04'!S$7:S$159)+SUMIF('05'!$D$7:$D$159,$C111,'05'!S$7:S$159)+SUMIF('06'!$D$7:$D$159,$C111,'06'!S$7:S$159)+SUMIF('07'!$D$7:$D$159,$C111,'07'!S$7:S$159)+SUMIF('08'!$D$7:$D$159,$C111,'08'!S$7:S$159)</f>
        <v/>
      </c>
      <c r="R112" s="429">
        <f>SUMIF('02'!$D$7:$D$159,$C111,'02'!T$7:T$159)+SUMIF('03'!$D$7:$D$159,$C111,'03'!T$7:T$159)+SUMIF('04'!$D$7:$D$159,$C111,'04'!T$7:T$159)+SUMIF('05'!$D$7:$D$159,$C111,'05'!T$7:T$159)+SUMIF('06'!$D$7:$D$159,$C111,'06'!T$7:T$159)+SUMIF('07'!$D$7:$D$159,$C111,'07'!T$7:T$159)+SUMIF('08'!$D$7:$D$159,$C111,'08'!T$7:T$159)</f>
        <v/>
      </c>
      <c r="S112" s="427">
        <f>SUMIF('02'!$D$7:$D$159,$C111,'02'!U$7:U$159)+SUMIF('03'!$D$7:$D$159,$C111,'03'!U$7:U$159)+SUMIF('04'!$D$7:$D$159,$C111,'04'!U$7:U$159)+SUMIF('05'!$D$7:$D$159,$C111,'05'!U$7:U$159)+SUMIF('06'!$D$7:$D$159,$C111,'06'!U$7:U$159)+SUMIF('07'!$D$7:$D$159,$C111,'07'!U$7:U$159)+SUMIF('08'!$D$7:$D$159,$C111,'08'!U$7:U$159)</f>
        <v/>
      </c>
      <c r="T112" s="428">
        <f>SUMIF('02'!$D$7:$D$159,$C111,'02'!V$7:V$159)+SUMIF('03'!$D$7:$D$159,$C111,'03'!V$7:V$159)+SUMIF('04'!$D$7:$D$159,$C111,'04'!V$7:V$159)+SUMIF('05'!$D$7:$D$159,$C111,'05'!V$7:V$159)+SUMIF('06'!$D$7:$D$159,$C111,'06'!V$7:V$159)+SUMIF('07'!$D$7:$D$159,$C111,'07'!V$7:V$159)+SUMIF('08'!$D$7:$D$159,$C111,'08'!V$7:V$159)</f>
        <v/>
      </c>
      <c r="U112" s="430">
        <f>SUMIF('02'!$D$7:$D$159,$C111,'02'!W$7:W$159)+SUMIF('03'!$D$7:$D$159,$C111,'03'!W$7:W$159)+SUMIF('04'!$D$7:$D$159,$C111,'04'!W$7:W$159)+SUMIF('05'!$D$7:$D$159,$C111,'05'!W$7:W$159)+SUMIF('06'!$D$7:$D$159,$C111,'06'!W$7:W$159)+SUMIF('07'!$D$7:$D$159,$C111,'07'!W$7:W$159)+SUMIF('08'!$D$7:$D$159,$C111,'08'!W$7:W$159)</f>
        <v/>
      </c>
      <c r="V112" s="429">
        <f>SUMIF('02'!$D$7:$D$159,$C111,'02'!X$7:X$159)+SUMIF('03'!$D$7:$D$159,$C111,'03'!X$7:X$159)+SUMIF('04'!$D$7:$D$159,$C111,'04'!X$7:X$159)+SUMIF('05'!$D$7:$D$159,$C111,'05'!X$7:X$159)+SUMIF('06'!$D$7:$D$159,$C111,'06'!X$7:X$159)+SUMIF('07'!$D$7:$D$159,$C111,'07'!X$7:X$159)+SUMIF('08'!$D$7:$D$159,$C111,'08'!X$7:X$159)</f>
        <v/>
      </c>
      <c r="W112" s="429">
        <f>SUMIF('02'!$D$7:$D$159,$C111,'02'!Y$7:Y$159)+SUMIF('03'!$D$7:$D$159,$C111,'03'!Y$7:Y$159)+SUMIF('04'!$D$7:$D$159,$C111,'04'!Y$7:Y$159)+SUMIF('05'!$D$7:$D$159,$C111,'05'!Y$7:Y$159)+SUMIF('06'!$D$7:$D$159,$C111,'06'!Y$7:Y$159)+SUMIF('07'!$D$7:$D$159,$C111,'07'!Y$7:Y$159)+SUMIF('08'!$D$7:$D$159,$C111,'08'!Y$7:Y$159)</f>
        <v/>
      </c>
      <c r="X112" s="431">
        <f>SUM(J112:W112)</f>
        <v/>
      </c>
      <c r="Y112" s="413" t="n"/>
      <c r="Z112" s="432" t="n"/>
    </row>
    <row r="113" ht="14.25" customHeight="1" s="296">
      <c r="A113" s="154">
        <f>IF(OR(C113="0",COUNTIF(КлючВесна,C113)&gt;1),0,MATCH(F113,ВидыНагр,0))</f>
        <v/>
      </c>
      <c r="B113" s="154">
        <f>(COUNTA(D113:F114,J113:W113,H113:I114)=0)</f>
        <v/>
      </c>
      <c r="C113" s="155">
        <f>IF(OR(TRIM(D113)="",COUNTIF(ВидыНагр,F113)&lt;&gt;1),"0",CONCATENATE("$",TRIM(D113),"$",TRIM(E113),"$",F113,"$"))</f>
        <v/>
      </c>
      <c r="D113" s="415" t="n"/>
      <c r="E113" s="416" t="n"/>
      <c r="F113" s="417" t="n"/>
      <c r="G113" s="156" t="inlineStr">
        <is>
          <t>план</t>
        </is>
      </c>
      <c r="H113" s="157" t="n"/>
      <c r="I113" s="158" t="n"/>
      <c r="J113" s="418" t="n"/>
      <c r="K113" s="419" t="n"/>
      <c r="L113" s="420" t="n"/>
      <c r="M113" s="418" t="n"/>
      <c r="N113" s="419" t="n"/>
      <c r="O113" s="420" t="n"/>
      <c r="P113" s="418" t="n"/>
      <c r="Q113" s="419" t="n"/>
      <c r="R113" s="420" t="n"/>
      <c r="S113" s="418" t="n"/>
      <c r="T113" s="419" t="n"/>
      <c r="U113" s="421" t="n"/>
      <c r="V113" s="420" t="n"/>
      <c r="W113" s="420" t="n"/>
      <c r="X113" s="422">
        <f>SUM(J113:W113)</f>
        <v/>
      </c>
      <c r="Y113" s="423">
        <f>X114-X113</f>
        <v/>
      </c>
      <c r="Z113" s="209" t="n"/>
    </row>
    <row r="114" ht="14.25" customHeight="1" s="296">
      <c r="A114" s="154">
        <f>-A113</f>
        <v/>
      </c>
      <c r="B114" s="154">
        <f>B113</f>
        <v/>
      </c>
      <c r="C114" s="163" t="n"/>
      <c r="D114" s="424" t="n"/>
      <c r="E114" s="425" t="n"/>
      <c r="F114" s="426" t="n"/>
      <c r="G114" s="164" t="inlineStr">
        <is>
          <t>факт</t>
        </is>
      </c>
      <c r="H114" s="165" t="n"/>
      <c r="I114" s="250" t="n"/>
      <c r="J114" s="427">
        <f>SUMIF('02'!$D$7:$D$159,$C113,'02'!L$7:L$159)+SUMIF('03'!$D$7:$D$159,$C113,'03'!L$7:L$159)+SUMIF('04'!$D$7:$D$159,$C113,'04'!L$7:L$159)+SUMIF('05'!$D$7:$D$159,$C113,'05'!L$7:L$159)+SUMIF('06'!$D$7:$D$159,$C113,'06'!L$7:L$159)+SUMIF('07'!$D$7:$D$159,$C113,'07'!L$7:L$159)+SUMIF('08'!$D$7:$D$159,$C113,'08'!L$7:L$159)</f>
        <v/>
      </c>
      <c r="K114" s="428">
        <f>SUMIF('02'!$D$7:$D$159,$C113,'02'!M$7:M$159)+SUMIF('03'!$D$7:$D$159,$C113,'03'!M$7:M$159)+SUMIF('04'!$D$7:$D$159,$C113,'04'!M$7:M$159)+SUMIF('05'!$D$7:$D$159,$C113,'05'!M$7:M$159)+SUMIF('06'!$D$7:$D$159,$C113,'06'!M$7:M$159)+SUMIF('07'!$D$7:$D$159,$C113,'07'!M$7:M$159)+SUMIF('08'!$D$7:$D$159,$C113,'08'!M$7:M$159)</f>
        <v/>
      </c>
      <c r="L114" s="429">
        <f>SUMIF('02'!$D$7:$D$159,$C113,'02'!N$7:N$159)+SUMIF('03'!$D$7:$D$159,$C113,'03'!N$7:N$159)+SUMIF('04'!$D$7:$D$159,$C113,'04'!N$7:N$159)+SUMIF('05'!$D$7:$D$159,$C113,'05'!N$7:N$159)+SUMIF('06'!$D$7:$D$159,$C113,'06'!N$7:N$159)+SUMIF('07'!$D$7:$D$159,$C113,'07'!N$7:N$159)+SUMIF('08'!$D$7:$D$159,$C113,'08'!N$7:N$159)</f>
        <v/>
      </c>
      <c r="M114" s="427">
        <f>SUMIF('02'!$D$7:$D$159,$C113,'02'!O$7:O$159)+SUMIF('03'!$D$7:$D$159,$C113,'03'!O$7:O$159)+SUMIF('04'!$D$7:$D$159,$C113,'04'!O$7:O$159)+SUMIF('05'!$D$7:$D$159,$C113,'05'!O$7:O$159)+SUMIF('06'!$D$7:$D$159,$C113,'06'!O$7:O$159)+SUMIF('07'!$D$7:$D$159,$C113,'07'!O$7:O$159)+SUMIF('08'!$D$7:$D$159,$C113,'08'!O$7:O$159)</f>
        <v/>
      </c>
      <c r="N114" s="428">
        <f>SUMIF('02'!$D$7:$D$159,$C113,'02'!P$7:P$159)+SUMIF('03'!$D$7:$D$159,$C113,'03'!P$7:P$159)+SUMIF('04'!$D$7:$D$159,$C113,'04'!P$7:P$159)+SUMIF('05'!$D$7:$D$159,$C113,'05'!P$7:P$159)+SUMIF('06'!$D$7:$D$159,$C113,'06'!P$7:P$159)+SUMIF('07'!$D$7:$D$159,$C113,'07'!P$7:P$159)+SUMIF('08'!$D$7:$D$159,$C113,'08'!P$7:P$159)</f>
        <v/>
      </c>
      <c r="O114" s="429">
        <f>SUMIF('02'!$D$7:$D$159,$C113,'02'!Q$7:Q$159)+SUMIF('03'!$D$7:$D$159,$C113,'03'!Q$7:Q$159)+SUMIF('04'!$D$7:$D$159,$C113,'04'!Q$7:Q$159)+SUMIF('05'!$D$7:$D$159,$C113,'05'!Q$7:Q$159)+SUMIF('06'!$D$7:$D$159,$C113,'06'!Q$7:Q$159)+SUMIF('07'!$D$7:$D$159,$C113,'07'!Q$7:Q$159)+SUMIF('08'!$D$7:$D$159,$C113,'08'!Q$7:Q$159)</f>
        <v/>
      </c>
      <c r="P114" s="427">
        <f>SUMIF('02'!$D$7:$D$159,$C113,'02'!R$7:R$159)+SUMIF('03'!$D$7:$D$159,$C113,'03'!R$7:R$159)+SUMIF('04'!$D$7:$D$159,$C113,'04'!R$7:R$159)+SUMIF('05'!$D$7:$D$159,$C113,'05'!R$7:R$159)+SUMIF('06'!$D$7:$D$159,$C113,'06'!R$7:R$159)+SUMIF('07'!$D$7:$D$159,$C113,'07'!R$7:R$159)+SUMIF('08'!$D$7:$D$159,$C113,'08'!R$7:R$159)</f>
        <v/>
      </c>
      <c r="Q114" s="428">
        <f>SUMIF('02'!$D$7:$D$159,$C113,'02'!S$7:S$159)+SUMIF('03'!$D$7:$D$159,$C113,'03'!S$7:S$159)+SUMIF('04'!$D$7:$D$159,$C113,'04'!S$7:S$159)+SUMIF('05'!$D$7:$D$159,$C113,'05'!S$7:S$159)+SUMIF('06'!$D$7:$D$159,$C113,'06'!S$7:S$159)+SUMIF('07'!$D$7:$D$159,$C113,'07'!S$7:S$159)+SUMIF('08'!$D$7:$D$159,$C113,'08'!S$7:S$159)</f>
        <v/>
      </c>
      <c r="R114" s="429">
        <f>SUMIF('02'!$D$7:$D$159,$C113,'02'!T$7:T$159)+SUMIF('03'!$D$7:$D$159,$C113,'03'!T$7:T$159)+SUMIF('04'!$D$7:$D$159,$C113,'04'!T$7:T$159)+SUMIF('05'!$D$7:$D$159,$C113,'05'!T$7:T$159)+SUMIF('06'!$D$7:$D$159,$C113,'06'!T$7:T$159)+SUMIF('07'!$D$7:$D$159,$C113,'07'!T$7:T$159)+SUMIF('08'!$D$7:$D$159,$C113,'08'!T$7:T$159)</f>
        <v/>
      </c>
      <c r="S114" s="427">
        <f>SUMIF('02'!$D$7:$D$159,$C113,'02'!U$7:U$159)+SUMIF('03'!$D$7:$D$159,$C113,'03'!U$7:U$159)+SUMIF('04'!$D$7:$D$159,$C113,'04'!U$7:U$159)+SUMIF('05'!$D$7:$D$159,$C113,'05'!U$7:U$159)+SUMIF('06'!$D$7:$D$159,$C113,'06'!U$7:U$159)+SUMIF('07'!$D$7:$D$159,$C113,'07'!U$7:U$159)+SUMIF('08'!$D$7:$D$159,$C113,'08'!U$7:U$159)</f>
        <v/>
      </c>
      <c r="T114" s="428">
        <f>SUMIF('02'!$D$7:$D$159,$C113,'02'!V$7:V$159)+SUMIF('03'!$D$7:$D$159,$C113,'03'!V$7:V$159)+SUMIF('04'!$D$7:$D$159,$C113,'04'!V$7:V$159)+SUMIF('05'!$D$7:$D$159,$C113,'05'!V$7:V$159)+SUMIF('06'!$D$7:$D$159,$C113,'06'!V$7:V$159)+SUMIF('07'!$D$7:$D$159,$C113,'07'!V$7:V$159)+SUMIF('08'!$D$7:$D$159,$C113,'08'!V$7:V$159)</f>
        <v/>
      </c>
      <c r="U114" s="430">
        <f>SUMIF('02'!$D$7:$D$159,$C113,'02'!W$7:W$159)+SUMIF('03'!$D$7:$D$159,$C113,'03'!W$7:W$159)+SUMIF('04'!$D$7:$D$159,$C113,'04'!W$7:W$159)+SUMIF('05'!$D$7:$D$159,$C113,'05'!W$7:W$159)+SUMIF('06'!$D$7:$D$159,$C113,'06'!W$7:W$159)+SUMIF('07'!$D$7:$D$159,$C113,'07'!W$7:W$159)+SUMIF('08'!$D$7:$D$159,$C113,'08'!W$7:W$159)</f>
        <v/>
      </c>
      <c r="V114" s="429">
        <f>SUMIF('02'!$D$7:$D$159,$C113,'02'!X$7:X$159)+SUMIF('03'!$D$7:$D$159,$C113,'03'!X$7:X$159)+SUMIF('04'!$D$7:$D$159,$C113,'04'!X$7:X$159)+SUMIF('05'!$D$7:$D$159,$C113,'05'!X$7:X$159)+SUMIF('06'!$D$7:$D$159,$C113,'06'!X$7:X$159)+SUMIF('07'!$D$7:$D$159,$C113,'07'!X$7:X$159)+SUMIF('08'!$D$7:$D$159,$C113,'08'!X$7:X$159)</f>
        <v/>
      </c>
      <c r="W114" s="429">
        <f>SUMIF('02'!$D$7:$D$159,$C113,'02'!Y$7:Y$159)+SUMIF('03'!$D$7:$D$159,$C113,'03'!Y$7:Y$159)+SUMIF('04'!$D$7:$D$159,$C113,'04'!Y$7:Y$159)+SUMIF('05'!$D$7:$D$159,$C113,'05'!Y$7:Y$159)+SUMIF('06'!$D$7:$D$159,$C113,'06'!Y$7:Y$159)+SUMIF('07'!$D$7:$D$159,$C113,'07'!Y$7:Y$159)+SUMIF('08'!$D$7:$D$159,$C113,'08'!Y$7:Y$159)</f>
        <v/>
      </c>
      <c r="X114" s="431">
        <f>SUM(J114:W114)</f>
        <v/>
      </c>
      <c r="Y114" s="413" t="n"/>
      <c r="Z114" s="432" t="n"/>
    </row>
    <row r="115" ht="14.25" customHeight="1" s="296">
      <c r="A115" s="154">
        <f>IF(OR(C115="0",COUNTIF(КлючВесна,C115)&gt;1),0,MATCH(F115,ВидыНагр,0))</f>
        <v/>
      </c>
      <c r="B115" s="154">
        <f>(COUNTA(D115:F116,J115:W115,H115:I116)=0)</f>
        <v/>
      </c>
      <c r="C115" s="155">
        <f>IF(OR(TRIM(D115)="",COUNTIF(ВидыНагр,F115)&lt;&gt;1),"0",CONCATENATE("$",TRIM(D115),"$",TRIM(E115),"$",F115,"$"))</f>
        <v/>
      </c>
      <c r="D115" s="415" t="n"/>
      <c r="E115" s="416" t="n"/>
      <c r="F115" s="417" t="n"/>
      <c r="G115" s="156" t="inlineStr">
        <is>
          <t>план</t>
        </is>
      </c>
      <c r="H115" s="157" t="n"/>
      <c r="I115" s="158" t="n"/>
      <c r="J115" s="418" t="n"/>
      <c r="K115" s="419" t="n"/>
      <c r="L115" s="420" t="n"/>
      <c r="M115" s="418" t="n"/>
      <c r="N115" s="419" t="n"/>
      <c r="O115" s="420" t="n"/>
      <c r="P115" s="418" t="n"/>
      <c r="Q115" s="419" t="n"/>
      <c r="R115" s="420" t="n"/>
      <c r="S115" s="418" t="n"/>
      <c r="T115" s="419" t="n"/>
      <c r="U115" s="421" t="n"/>
      <c r="V115" s="420" t="n"/>
      <c r="W115" s="420" t="n"/>
      <c r="X115" s="422">
        <f>SUM(J115:W115)</f>
        <v/>
      </c>
      <c r="Y115" s="423">
        <f>X116-X115</f>
        <v/>
      </c>
      <c r="Z115" s="209" t="n"/>
    </row>
    <row r="116" ht="14.25" customHeight="1" s="296">
      <c r="A116" s="154">
        <f>-A115</f>
        <v/>
      </c>
      <c r="B116" s="154">
        <f>B115</f>
        <v/>
      </c>
      <c r="C116" s="163" t="n"/>
      <c r="D116" s="424" t="n"/>
      <c r="E116" s="425" t="n"/>
      <c r="F116" s="426" t="n"/>
      <c r="G116" s="164" t="inlineStr">
        <is>
          <t>факт</t>
        </is>
      </c>
      <c r="H116" s="165" t="n"/>
      <c r="I116" s="250" t="n"/>
      <c r="J116" s="427">
        <f>SUMIF('02'!$D$7:$D$159,$C115,'02'!L$7:L$159)+SUMIF('03'!$D$7:$D$159,$C115,'03'!L$7:L$159)+SUMIF('04'!$D$7:$D$159,$C115,'04'!L$7:L$159)+SUMIF('05'!$D$7:$D$159,$C115,'05'!L$7:L$159)+SUMIF('06'!$D$7:$D$159,$C115,'06'!L$7:L$159)+SUMIF('07'!$D$7:$D$159,$C115,'07'!L$7:L$159)+SUMIF('08'!$D$7:$D$159,$C115,'08'!L$7:L$159)</f>
        <v/>
      </c>
      <c r="K116" s="428">
        <f>SUMIF('02'!$D$7:$D$159,$C115,'02'!M$7:M$159)+SUMIF('03'!$D$7:$D$159,$C115,'03'!M$7:M$159)+SUMIF('04'!$D$7:$D$159,$C115,'04'!M$7:M$159)+SUMIF('05'!$D$7:$D$159,$C115,'05'!M$7:M$159)+SUMIF('06'!$D$7:$D$159,$C115,'06'!M$7:M$159)+SUMIF('07'!$D$7:$D$159,$C115,'07'!M$7:M$159)+SUMIF('08'!$D$7:$D$159,$C115,'08'!M$7:M$159)</f>
        <v/>
      </c>
      <c r="L116" s="429">
        <f>SUMIF('02'!$D$7:$D$159,$C115,'02'!N$7:N$159)+SUMIF('03'!$D$7:$D$159,$C115,'03'!N$7:N$159)+SUMIF('04'!$D$7:$D$159,$C115,'04'!N$7:N$159)+SUMIF('05'!$D$7:$D$159,$C115,'05'!N$7:N$159)+SUMIF('06'!$D$7:$D$159,$C115,'06'!N$7:N$159)+SUMIF('07'!$D$7:$D$159,$C115,'07'!N$7:N$159)+SUMIF('08'!$D$7:$D$159,$C115,'08'!N$7:N$159)</f>
        <v/>
      </c>
      <c r="M116" s="427">
        <f>SUMIF('02'!$D$7:$D$159,$C115,'02'!O$7:O$159)+SUMIF('03'!$D$7:$D$159,$C115,'03'!O$7:O$159)+SUMIF('04'!$D$7:$D$159,$C115,'04'!O$7:O$159)+SUMIF('05'!$D$7:$D$159,$C115,'05'!O$7:O$159)+SUMIF('06'!$D$7:$D$159,$C115,'06'!O$7:O$159)+SUMIF('07'!$D$7:$D$159,$C115,'07'!O$7:O$159)+SUMIF('08'!$D$7:$D$159,$C115,'08'!O$7:O$159)</f>
        <v/>
      </c>
      <c r="N116" s="428">
        <f>SUMIF('02'!$D$7:$D$159,$C115,'02'!P$7:P$159)+SUMIF('03'!$D$7:$D$159,$C115,'03'!P$7:P$159)+SUMIF('04'!$D$7:$D$159,$C115,'04'!P$7:P$159)+SUMIF('05'!$D$7:$D$159,$C115,'05'!P$7:P$159)+SUMIF('06'!$D$7:$D$159,$C115,'06'!P$7:P$159)+SUMIF('07'!$D$7:$D$159,$C115,'07'!P$7:P$159)+SUMIF('08'!$D$7:$D$159,$C115,'08'!P$7:P$159)</f>
        <v/>
      </c>
      <c r="O116" s="429">
        <f>SUMIF('02'!$D$7:$D$159,$C115,'02'!Q$7:Q$159)+SUMIF('03'!$D$7:$D$159,$C115,'03'!Q$7:Q$159)+SUMIF('04'!$D$7:$D$159,$C115,'04'!Q$7:Q$159)+SUMIF('05'!$D$7:$D$159,$C115,'05'!Q$7:Q$159)+SUMIF('06'!$D$7:$D$159,$C115,'06'!Q$7:Q$159)+SUMIF('07'!$D$7:$D$159,$C115,'07'!Q$7:Q$159)+SUMIF('08'!$D$7:$D$159,$C115,'08'!Q$7:Q$159)</f>
        <v/>
      </c>
      <c r="P116" s="427">
        <f>SUMIF('02'!$D$7:$D$159,$C115,'02'!R$7:R$159)+SUMIF('03'!$D$7:$D$159,$C115,'03'!R$7:R$159)+SUMIF('04'!$D$7:$D$159,$C115,'04'!R$7:R$159)+SUMIF('05'!$D$7:$D$159,$C115,'05'!R$7:R$159)+SUMIF('06'!$D$7:$D$159,$C115,'06'!R$7:R$159)+SUMIF('07'!$D$7:$D$159,$C115,'07'!R$7:R$159)+SUMIF('08'!$D$7:$D$159,$C115,'08'!R$7:R$159)</f>
        <v/>
      </c>
      <c r="Q116" s="428">
        <f>SUMIF('02'!$D$7:$D$159,$C115,'02'!S$7:S$159)+SUMIF('03'!$D$7:$D$159,$C115,'03'!S$7:S$159)+SUMIF('04'!$D$7:$D$159,$C115,'04'!S$7:S$159)+SUMIF('05'!$D$7:$D$159,$C115,'05'!S$7:S$159)+SUMIF('06'!$D$7:$D$159,$C115,'06'!S$7:S$159)+SUMIF('07'!$D$7:$D$159,$C115,'07'!S$7:S$159)+SUMIF('08'!$D$7:$D$159,$C115,'08'!S$7:S$159)</f>
        <v/>
      </c>
      <c r="R116" s="429">
        <f>SUMIF('02'!$D$7:$D$159,$C115,'02'!T$7:T$159)+SUMIF('03'!$D$7:$D$159,$C115,'03'!T$7:T$159)+SUMIF('04'!$D$7:$D$159,$C115,'04'!T$7:T$159)+SUMIF('05'!$D$7:$D$159,$C115,'05'!T$7:T$159)+SUMIF('06'!$D$7:$D$159,$C115,'06'!T$7:T$159)+SUMIF('07'!$D$7:$D$159,$C115,'07'!T$7:T$159)+SUMIF('08'!$D$7:$D$159,$C115,'08'!T$7:T$159)</f>
        <v/>
      </c>
      <c r="S116" s="427">
        <f>SUMIF('02'!$D$7:$D$159,$C115,'02'!U$7:U$159)+SUMIF('03'!$D$7:$D$159,$C115,'03'!U$7:U$159)+SUMIF('04'!$D$7:$D$159,$C115,'04'!U$7:U$159)+SUMIF('05'!$D$7:$D$159,$C115,'05'!U$7:U$159)+SUMIF('06'!$D$7:$D$159,$C115,'06'!U$7:U$159)+SUMIF('07'!$D$7:$D$159,$C115,'07'!U$7:U$159)+SUMIF('08'!$D$7:$D$159,$C115,'08'!U$7:U$159)</f>
        <v/>
      </c>
      <c r="T116" s="428">
        <f>SUMIF('02'!$D$7:$D$159,$C115,'02'!V$7:V$159)+SUMIF('03'!$D$7:$D$159,$C115,'03'!V$7:V$159)+SUMIF('04'!$D$7:$D$159,$C115,'04'!V$7:V$159)+SUMIF('05'!$D$7:$D$159,$C115,'05'!V$7:V$159)+SUMIF('06'!$D$7:$D$159,$C115,'06'!V$7:V$159)+SUMIF('07'!$D$7:$D$159,$C115,'07'!V$7:V$159)+SUMIF('08'!$D$7:$D$159,$C115,'08'!V$7:V$159)</f>
        <v/>
      </c>
      <c r="U116" s="430">
        <f>SUMIF('02'!$D$7:$D$159,$C115,'02'!W$7:W$159)+SUMIF('03'!$D$7:$D$159,$C115,'03'!W$7:W$159)+SUMIF('04'!$D$7:$D$159,$C115,'04'!W$7:W$159)+SUMIF('05'!$D$7:$D$159,$C115,'05'!W$7:W$159)+SUMIF('06'!$D$7:$D$159,$C115,'06'!W$7:W$159)+SUMIF('07'!$D$7:$D$159,$C115,'07'!W$7:W$159)+SUMIF('08'!$D$7:$D$159,$C115,'08'!W$7:W$159)</f>
        <v/>
      </c>
      <c r="V116" s="429">
        <f>SUMIF('02'!$D$7:$D$159,$C115,'02'!X$7:X$159)+SUMIF('03'!$D$7:$D$159,$C115,'03'!X$7:X$159)+SUMIF('04'!$D$7:$D$159,$C115,'04'!X$7:X$159)+SUMIF('05'!$D$7:$D$159,$C115,'05'!X$7:X$159)+SUMIF('06'!$D$7:$D$159,$C115,'06'!X$7:X$159)+SUMIF('07'!$D$7:$D$159,$C115,'07'!X$7:X$159)+SUMIF('08'!$D$7:$D$159,$C115,'08'!X$7:X$159)</f>
        <v/>
      </c>
      <c r="W116" s="429">
        <f>SUMIF('02'!$D$7:$D$159,$C115,'02'!Y$7:Y$159)+SUMIF('03'!$D$7:$D$159,$C115,'03'!Y$7:Y$159)+SUMIF('04'!$D$7:$D$159,$C115,'04'!Y$7:Y$159)+SUMIF('05'!$D$7:$D$159,$C115,'05'!Y$7:Y$159)+SUMIF('06'!$D$7:$D$159,$C115,'06'!Y$7:Y$159)+SUMIF('07'!$D$7:$D$159,$C115,'07'!Y$7:Y$159)+SUMIF('08'!$D$7:$D$159,$C115,'08'!Y$7:Y$159)</f>
        <v/>
      </c>
      <c r="X116" s="431">
        <f>SUM(J116:W116)</f>
        <v/>
      </c>
      <c r="Y116" s="413" t="n"/>
      <c r="Z116" s="432" t="n"/>
    </row>
    <row r="117" ht="14.25" customHeight="1" s="296">
      <c r="A117" s="154">
        <f>IF(OR(C117="0",COUNTIF(КлючВесна,C117)&gt;1),0,MATCH(F117,ВидыНагр,0))</f>
        <v/>
      </c>
      <c r="B117" s="154">
        <f>(COUNTA(D117:F118,J117:W117,H117:I118)=0)</f>
        <v/>
      </c>
      <c r="C117" s="155">
        <f>IF(OR(TRIM(D117)="",COUNTIF(ВидыНагр,F117)&lt;&gt;1),"0",CONCATENATE("$",TRIM(D117),"$",TRIM(E117),"$",F117,"$"))</f>
        <v/>
      </c>
      <c r="D117" s="415" t="n"/>
      <c r="E117" s="416" t="n"/>
      <c r="F117" s="417" t="n"/>
      <c r="G117" s="156" t="inlineStr">
        <is>
          <t>план</t>
        </is>
      </c>
      <c r="H117" s="157" t="n"/>
      <c r="I117" s="158" t="n"/>
      <c r="J117" s="418" t="n"/>
      <c r="K117" s="419" t="n"/>
      <c r="L117" s="420" t="n"/>
      <c r="M117" s="418" t="n"/>
      <c r="N117" s="419" t="n"/>
      <c r="O117" s="420" t="n"/>
      <c r="P117" s="418" t="n"/>
      <c r="Q117" s="419" t="n"/>
      <c r="R117" s="420" t="n"/>
      <c r="S117" s="418" t="n"/>
      <c r="T117" s="419" t="n"/>
      <c r="U117" s="421" t="n"/>
      <c r="V117" s="420" t="n"/>
      <c r="W117" s="420" t="n"/>
      <c r="X117" s="422">
        <f>SUM(J117:W117)</f>
        <v/>
      </c>
      <c r="Y117" s="423">
        <f>X118-X117</f>
        <v/>
      </c>
      <c r="Z117" s="209" t="n"/>
    </row>
    <row r="118" ht="14.25" customHeight="1" s="296">
      <c r="A118" s="154">
        <f>-A117</f>
        <v/>
      </c>
      <c r="B118" s="154">
        <f>B117</f>
        <v/>
      </c>
      <c r="C118" s="163" t="n"/>
      <c r="D118" s="424" t="n"/>
      <c r="E118" s="425" t="n"/>
      <c r="F118" s="426" t="n"/>
      <c r="G118" s="164" t="inlineStr">
        <is>
          <t>факт</t>
        </is>
      </c>
      <c r="H118" s="165" t="n"/>
      <c r="I118" s="250" t="n"/>
      <c r="J118" s="427">
        <f>SUMIF('02'!$D$7:$D$159,$C117,'02'!L$7:L$159)+SUMIF('03'!$D$7:$D$159,$C117,'03'!L$7:L$159)+SUMIF('04'!$D$7:$D$159,$C117,'04'!L$7:L$159)+SUMIF('05'!$D$7:$D$159,$C117,'05'!L$7:L$159)+SUMIF('06'!$D$7:$D$159,$C117,'06'!L$7:L$159)+SUMIF('07'!$D$7:$D$159,$C117,'07'!L$7:L$159)+SUMIF('08'!$D$7:$D$159,$C117,'08'!L$7:L$159)</f>
        <v/>
      </c>
      <c r="K118" s="428">
        <f>SUMIF('02'!$D$7:$D$159,$C117,'02'!M$7:M$159)+SUMIF('03'!$D$7:$D$159,$C117,'03'!M$7:M$159)+SUMIF('04'!$D$7:$D$159,$C117,'04'!M$7:M$159)+SUMIF('05'!$D$7:$D$159,$C117,'05'!M$7:M$159)+SUMIF('06'!$D$7:$D$159,$C117,'06'!M$7:M$159)+SUMIF('07'!$D$7:$D$159,$C117,'07'!M$7:M$159)+SUMIF('08'!$D$7:$D$159,$C117,'08'!M$7:M$159)</f>
        <v/>
      </c>
      <c r="L118" s="429">
        <f>SUMIF('02'!$D$7:$D$159,$C117,'02'!N$7:N$159)+SUMIF('03'!$D$7:$D$159,$C117,'03'!N$7:N$159)+SUMIF('04'!$D$7:$D$159,$C117,'04'!N$7:N$159)+SUMIF('05'!$D$7:$D$159,$C117,'05'!N$7:N$159)+SUMIF('06'!$D$7:$D$159,$C117,'06'!N$7:N$159)+SUMIF('07'!$D$7:$D$159,$C117,'07'!N$7:N$159)+SUMIF('08'!$D$7:$D$159,$C117,'08'!N$7:N$159)</f>
        <v/>
      </c>
      <c r="M118" s="427">
        <f>SUMIF('02'!$D$7:$D$159,$C117,'02'!O$7:O$159)+SUMIF('03'!$D$7:$D$159,$C117,'03'!O$7:O$159)+SUMIF('04'!$D$7:$D$159,$C117,'04'!O$7:O$159)+SUMIF('05'!$D$7:$D$159,$C117,'05'!O$7:O$159)+SUMIF('06'!$D$7:$D$159,$C117,'06'!O$7:O$159)+SUMIF('07'!$D$7:$D$159,$C117,'07'!O$7:O$159)+SUMIF('08'!$D$7:$D$159,$C117,'08'!O$7:O$159)</f>
        <v/>
      </c>
      <c r="N118" s="428">
        <f>SUMIF('02'!$D$7:$D$159,$C117,'02'!P$7:P$159)+SUMIF('03'!$D$7:$D$159,$C117,'03'!P$7:P$159)+SUMIF('04'!$D$7:$D$159,$C117,'04'!P$7:P$159)+SUMIF('05'!$D$7:$D$159,$C117,'05'!P$7:P$159)+SUMIF('06'!$D$7:$D$159,$C117,'06'!P$7:P$159)+SUMIF('07'!$D$7:$D$159,$C117,'07'!P$7:P$159)+SUMIF('08'!$D$7:$D$159,$C117,'08'!P$7:P$159)</f>
        <v/>
      </c>
      <c r="O118" s="429">
        <f>SUMIF('02'!$D$7:$D$159,$C117,'02'!Q$7:Q$159)+SUMIF('03'!$D$7:$D$159,$C117,'03'!Q$7:Q$159)+SUMIF('04'!$D$7:$D$159,$C117,'04'!Q$7:Q$159)+SUMIF('05'!$D$7:$D$159,$C117,'05'!Q$7:Q$159)+SUMIF('06'!$D$7:$D$159,$C117,'06'!Q$7:Q$159)+SUMIF('07'!$D$7:$D$159,$C117,'07'!Q$7:Q$159)+SUMIF('08'!$D$7:$D$159,$C117,'08'!Q$7:Q$159)</f>
        <v/>
      </c>
      <c r="P118" s="427">
        <f>SUMIF('02'!$D$7:$D$159,$C117,'02'!R$7:R$159)+SUMIF('03'!$D$7:$D$159,$C117,'03'!R$7:R$159)+SUMIF('04'!$D$7:$D$159,$C117,'04'!R$7:R$159)+SUMIF('05'!$D$7:$D$159,$C117,'05'!R$7:R$159)+SUMIF('06'!$D$7:$D$159,$C117,'06'!R$7:R$159)+SUMIF('07'!$D$7:$D$159,$C117,'07'!R$7:R$159)+SUMIF('08'!$D$7:$D$159,$C117,'08'!R$7:R$159)</f>
        <v/>
      </c>
      <c r="Q118" s="428">
        <f>SUMIF('02'!$D$7:$D$159,$C117,'02'!S$7:S$159)+SUMIF('03'!$D$7:$D$159,$C117,'03'!S$7:S$159)+SUMIF('04'!$D$7:$D$159,$C117,'04'!S$7:S$159)+SUMIF('05'!$D$7:$D$159,$C117,'05'!S$7:S$159)+SUMIF('06'!$D$7:$D$159,$C117,'06'!S$7:S$159)+SUMIF('07'!$D$7:$D$159,$C117,'07'!S$7:S$159)+SUMIF('08'!$D$7:$D$159,$C117,'08'!S$7:S$159)</f>
        <v/>
      </c>
      <c r="R118" s="429">
        <f>SUMIF('02'!$D$7:$D$159,$C117,'02'!T$7:T$159)+SUMIF('03'!$D$7:$D$159,$C117,'03'!T$7:T$159)+SUMIF('04'!$D$7:$D$159,$C117,'04'!T$7:T$159)+SUMIF('05'!$D$7:$D$159,$C117,'05'!T$7:T$159)+SUMIF('06'!$D$7:$D$159,$C117,'06'!T$7:T$159)+SUMIF('07'!$D$7:$D$159,$C117,'07'!T$7:T$159)+SUMIF('08'!$D$7:$D$159,$C117,'08'!T$7:T$159)</f>
        <v/>
      </c>
      <c r="S118" s="427">
        <f>SUMIF('02'!$D$7:$D$159,$C117,'02'!U$7:U$159)+SUMIF('03'!$D$7:$D$159,$C117,'03'!U$7:U$159)+SUMIF('04'!$D$7:$D$159,$C117,'04'!U$7:U$159)+SUMIF('05'!$D$7:$D$159,$C117,'05'!U$7:U$159)+SUMIF('06'!$D$7:$D$159,$C117,'06'!U$7:U$159)+SUMIF('07'!$D$7:$D$159,$C117,'07'!U$7:U$159)+SUMIF('08'!$D$7:$D$159,$C117,'08'!U$7:U$159)</f>
        <v/>
      </c>
      <c r="T118" s="428">
        <f>SUMIF('02'!$D$7:$D$159,$C117,'02'!V$7:V$159)+SUMIF('03'!$D$7:$D$159,$C117,'03'!V$7:V$159)+SUMIF('04'!$D$7:$D$159,$C117,'04'!V$7:V$159)+SUMIF('05'!$D$7:$D$159,$C117,'05'!V$7:V$159)+SUMIF('06'!$D$7:$D$159,$C117,'06'!V$7:V$159)+SUMIF('07'!$D$7:$D$159,$C117,'07'!V$7:V$159)+SUMIF('08'!$D$7:$D$159,$C117,'08'!V$7:V$159)</f>
        <v/>
      </c>
      <c r="U118" s="430">
        <f>SUMIF('02'!$D$7:$D$159,$C117,'02'!W$7:W$159)+SUMIF('03'!$D$7:$D$159,$C117,'03'!W$7:W$159)+SUMIF('04'!$D$7:$D$159,$C117,'04'!W$7:W$159)+SUMIF('05'!$D$7:$D$159,$C117,'05'!W$7:W$159)+SUMIF('06'!$D$7:$D$159,$C117,'06'!W$7:W$159)+SUMIF('07'!$D$7:$D$159,$C117,'07'!W$7:W$159)+SUMIF('08'!$D$7:$D$159,$C117,'08'!W$7:W$159)</f>
        <v/>
      </c>
      <c r="V118" s="429">
        <f>SUMIF('02'!$D$7:$D$159,$C117,'02'!X$7:X$159)+SUMIF('03'!$D$7:$D$159,$C117,'03'!X$7:X$159)+SUMIF('04'!$D$7:$D$159,$C117,'04'!X$7:X$159)+SUMIF('05'!$D$7:$D$159,$C117,'05'!X$7:X$159)+SUMIF('06'!$D$7:$D$159,$C117,'06'!X$7:X$159)+SUMIF('07'!$D$7:$D$159,$C117,'07'!X$7:X$159)+SUMIF('08'!$D$7:$D$159,$C117,'08'!X$7:X$159)</f>
        <v/>
      </c>
      <c r="W118" s="429">
        <f>SUMIF('02'!$D$7:$D$159,$C117,'02'!Y$7:Y$159)+SUMIF('03'!$D$7:$D$159,$C117,'03'!Y$7:Y$159)+SUMIF('04'!$D$7:$D$159,$C117,'04'!Y$7:Y$159)+SUMIF('05'!$D$7:$D$159,$C117,'05'!Y$7:Y$159)+SUMIF('06'!$D$7:$D$159,$C117,'06'!Y$7:Y$159)+SUMIF('07'!$D$7:$D$159,$C117,'07'!Y$7:Y$159)+SUMIF('08'!$D$7:$D$159,$C117,'08'!Y$7:Y$159)</f>
        <v/>
      </c>
      <c r="X118" s="431">
        <f>SUM(J118:W118)</f>
        <v/>
      </c>
      <c r="Y118" s="413" t="n"/>
      <c r="Z118" s="432" t="n"/>
    </row>
    <row r="119" ht="14.25" customHeight="1" s="296">
      <c r="A119" s="154">
        <f>IF(OR(C119="0",COUNTIF(КлючВесна,C119)&gt;1),0,MATCH(F119,ВидыНагр,0))</f>
        <v/>
      </c>
      <c r="B119" s="154">
        <f>(COUNTA(D119:F120,J119:W119,H119:I120)=0)</f>
        <v/>
      </c>
      <c r="C119" s="155">
        <f>IF(OR(TRIM(D119)="",COUNTIF(ВидыНагр,F119)&lt;&gt;1),"0",CONCATENATE("$",TRIM(D119),"$",TRIM(E119),"$",F119,"$"))</f>
        <v/>
      </c>
      <c r="D119" s="415" t="n"/>
      <c r="E119" s="416" t="n"/>
      <c r="F119" s="417" t="n"/>
      <c r="G119" s="156" t="inlineStr">
        <is>
          <t>план</t>
        </is>
      </c>
      <c r="H119" s="157" t="n"/>
      <c r="I119" s="158" t="n"/>
      <c r="J119" s="418" t="n"/>
      <c r="K119" s="419" t="n"/>
      <c r="L119" s="420" t="n"/>
      <c r="M119" s="418" t="n"/>
      <c r="N119" s="419" t="n"/>
      <c r="O119" s="420" t="n"/>
      <c r="P119" s="418" t="n"/>
      <c r="Q119" s="419" t="n"/>
      <c r="R119" s="420" t="n"/>
      <c r="S119" s="418" t="n"/>
      <c r="T119" s="419" t="n"/>
      <c r="U119" s="421" t="n"/>
      <c r="V119" s="420" t="n"/>
      <c r="W119" s="420" t="n"/>
      <c r="X119" s="422">
        <f>SUM(J119:W119)</f>
        <v/>
      </c>
      <c r="Y119" s="423">
        <f>X120-X119</f>
        <v/>
      </c>
      <c r="Z119" s="209" t="n"/>
    </row>
    <row r="120" ht="14.25" customHeight="1" s="296">
      <c r="A120" s="154">
        <f>-A119</f>
        <v/>
      </c>
      <c r="B120" s="154">
        <f>B119</f>
        <v/>
      </c>
      <c r="C120" s="163" t="n"/>
      <c r="D120" s="424" t="n"/>
      <c r="E120" s="425" t="n"/>
      <c r="F120" s="426" t="n"/>
      <c r="G120" s="164" t="inlineStr">
        <is>
          <t>факт</t>
        </is>
      </c>
      <c r="H120" s="165" t="n"/>
      <c r="I120" s="250" t="n"/>
      <c r="J120" s="427">
        <f>SUMIF('02'!$D$7:$D$159,$C119,'02'!L$7:L$159)+SUMIF('03'!$D$7:$D$159,$C119,'03'!L$7:L$159)+SUMIF('04'!$D$7:$D$159,$C119,'04'!L$7:L$159)+SUMIF('05'!$D$7:$D$159,$C119,'05'!L$7:L$159)+SUMIF('06'!$D$7:$D$159,$C119,'06'!L$7:L$159)+SUMIF('07'!$D$7:$D$159,$C119,'07'!L$7:L$159)+SUMIF('08'!$D$7:$D$159,$C119,'08'!L$7:L$159)</f>
        <v/>
      </c>
      <c r="K120" s="428">
        <f>SUMIF('02'!$D$7:$D$159,$C119,'02'!M$7:M$159)+SUMIF('03'!$D$7:$D$159,$C119,'03'!M$7:M$159)+SUMIF('04'!$D$7:$D$159,$C119,'04'!M$7:M$159)+SUMIF('05'!$D$7:$D$159,$C119,'05'!M$7:M$159)+SUMIF('06'!$D$7:$D$159,$C119,'06'!M$7:M$159)+SUMIF('07'!$D$7:$D$159,$C119,'07'!M$7:M$159)+SUMIF('08'!$D$7:$D$159,$C119,'08'!M$7:M$159)</f>
        <v/>
      </c>
      <c r="L120" s="429">
        <f>SUMIF('02'!$D$7:$D$159,$C119,'02'!N$7:N$159)+SUMIF('03'!$D$7:$D$159,$C119,'03'!N$7:N$159)+SUMIF('04'!$D$7:$D$159,$C119,'04'!N$7:N$159)+SUMIF('05'!$D$7:$D$159,$C119,'05'!N$7:N$159)+SUMIF('06'!$D$7:$D$159,$C119,'06'!N$7:N$159)+SUMIF('07'!$D$7:$D$159,$C119,'07'!N$7:N$159)+SUMIF('08'!$D$7:$D$159,$C119,'08'!N$7:N$159)</f>
        <v/>
      </c>
      <c r="M120" s="427">
        <f>SUMIF('02'!$D$7:$D$159,$C119,'02'!O$7:O$159)+SUMIF('03'!$D$7:$D$159,$C119,'03'!O$7:O$159)+SUMIF('04'!$D$7:$D$159,$C119,'04'!O$7:O$159)+SUMIF('05'!$D$7:$D$159,$C119,'05'!O$7:O$159)+SUMIF('06'!$D$7:$D$159,$C119,'06'!O$7:O$159)+SUMIF('07'!$D$7:$D$159,$C119,'07'!O$7:O$159)+SUMIF('08'!$D$7:$D$159,$C119,'08'!O$7:O$159)</f>
        <v/>
      </c>
      <c r="N120" s="428">
        <f>SUMIF('02'!$D$7:$D$159,$C119,'02'!P$7:P$159)+SUMIF('03'!$D$7:$D$159,$C119,'03'!P$7:P$159)+SUMIF('04'!$D$7:$D$159,$C119,'04'!P$7:P$159)+SUMIF('05'!$D$7:$D$159,$C119,'05'!P$7:P$159)+SUMIF('06'!$D$7:$D$159,$C119,'06'!P$7:P$159)+SUMIF('07'!$D$7:$D$159,$C119,'07'!P$7:P$159)+SUMIF('08'!$D$7:$D$159,$C119,'08'!P$7:P$159)</f>
        <v/>
      </c>
      <c r="O120" s="429">
        <f>SUMIF('02'!$D$7:$D$159,$C119,'02'!Q$7:Q$159)+SUMIF('03'!$D$7:$D$159,$C119,'03'!Q$7:Q$159)+SUMIF('04'!$D$7:$D$159,$C119,'04'!Q$7:Q$159)+SUMIF('05'!$D$7:$D$159,$C119,'05'!Q$7:Q$159)+SUMIF('06'!$D$7:$D$159,$C119,'06'!Q$7:Q$159)+SUMIF('07'!$D$7:$D$159,$C119,'07'!Q$7:Q$159)+SUMIF('08'!$D$7:$D$159,$C119,'08'!Q$7:Q$159)</f>
        <v/>
      </c>
      <c r="P120" s="427">
        <f>SUMIF('02'!$D$7:$D$159,$C119,'02'!R$7:R$159)+SUMIF('03'!$D$7:$D$159,$C119,'03'!R$7:R$159)+SUMIF('04'!$D$7:$D$159,$C119,'04'!R$7:R$159)+SUMIF('05'!$D$7:$D$159,$C119,'05'!R$7:R$159)+SUMIF('06'!$D$7:$D$159,$C119,'06'!R$7:R$159)+SUMIF('07'!$D$7:$D$159,$C119,'07'!R$7:R$159)+SUMIF('08'!$D$7:$D$159,$C119,'08'!R$7:R$159)</f>
        <v/>
      </c>
      <c r="Q120" s="428">
        <f>SUMIF('02'!$D$7:$D$159,$C119,'02'!S$7:S$159)+SUMIF('03'!$D$7:$D$159,$C119,'03'!S$7:S$159)+SUMIF('04'!$D$7:$D$159,$C119,'04'!S$7:S$159)+SUMIF('05'!$D$7:$D$159,$C119,'05'!S$7:S$159)+SUMIF('06'!$D$7:$D$159,$C119,'06'!S$7:S$159)+SUMIF('07'!$D$7:$D$159,$C119,'07'!S$7:S$159)+SUMIF('08'!$D$7:$D$159,$C119,'08'!S$7:S$159)</f>
        <v/>
      </c>
      <c r="R120" s="429">
        <f>SUMIF('02'!$D$7:$D$159,$C119,'02'!T$7:T$159)+SUMIF('03'!$D$7:$D$159,$C119,'03'!T$7:T$159)+SUMIF('04'!$D$7:$D$159,$C119,'04'!T$7:T$159)+SUMIF('05'!$D$7:$D$159,$C119,'05'!T$7:T$159)+SUMIF('06'!$D$7:$D$159,$C119,'06'!T$7:T$159)+SUMIF('07'!$D$7:$D$159,$C119,'07'!T$7:T$159)+SUMIF('08'!$D$7:$D$159,$C119,'08'!T$7:T$159)</f>
        <v/>
      </c>
      <c r="S120" s="427">
        <f>SUMIF('02'!$D$7:$D$159,$C119,'02'!U$7:U$159)+SUMIF('03'!$D$7:$D$159,$C119,'03'!U$7:U$159)+SUMIF('04'!$D$7:$D$159,$C119,'04'!U$7:U$159)+SUMIF('05'!$D$7:$D$159,$C119,'05'!U$7:U$159)+SUMIF('06'!$D$7:$D$159,$C119,'06'!U$7:U$159)+SUMIF('07'!$D$7:$D$159,$C119,'07'!U$7:U$159)+SUMIF('08'!$D$7:$D$159,$C119,'08'!U$7:U$159)</f>
        <v/>
      </c>
      <c r="T120" s="428">
        <f>SUMIF('02'!$D$7:$D$159,$C119,'02'!V$7:V$159)+SUMIF('03'!$D$7:$D$159,$C119,'03'!V$7:V$159)+SUMIF('04'!$D$7:$D$159,$C119,'04'!V$7:V$159)+SUMIF('05'!$D$7:$D$159,$C119,'05'!V$7:V$159)+SUMIF('06'!$D$7:$D$159,$C119,'06'!V$7:V$159)+SUMIF('07'!$D$7:$D$159,$C119,'07'!V$7:V$159)+SUMIF('08'!$D$7:$D$159,$C119,'08'!V$7:V$159)</f>
        <v/>
      </c>
      <c r="U120" s="430">
        <f>SUMIF('02'!$D$7:$D$159,$C119,'02'!W$7:W$159)+SUMIF('03'!$D$7:$D$159,$C119,'03'!W$7:W$159)+SUMIF('04'!$D$7:$D$159,$C119,'04'!W$7:W$159)+SUMIF('05'!$D$7:$D$159,$C119,'05'!W$7:W$159)+SUMIF('06'!$D$7:$D$159,$C119,'06'!W$7:W$159)+SUMIF('07'!$D$7:$D$159,$C119,'07'!W$7:W$159)+SUMIF('08'!$D$7:$D$159,$C119,'08'!W$7:W$159)</f>
        <v/>
      </c>
      <c r="V120" s="429">
        <f>SUMIF('02'!$D$7:$D$159,$C119,'02'!X$7:X$159)+SUMIF('03'!$D$7:$D$159,$C119,'03'!X$7:X$159)+SUMIF('04'!$D$7:$D$159,$C119,'04'!X$7:X$159)+SUMIF('05'!$D$7:$D$159,$C119,'05'!X$7:X$159)+SUMIF('06'!$D$7:$D$159,$C119,'06'!X$7:X$159)+SUMIF('07'!$D$7:$D$159,$C119,'07'!X$7:X$159)+SUMIF('08'!$D$7:$D$159,$C119,'08'!X$7:X$159)</f>
        <v/>
      </c>
      <c r="W120" s="429">
        <f>SUMIF('02'!$D$7:$D$159,$C119,'02'!Y$7:Y$159)+SUMIF('03'!$D$7:$D$159,$C119,'03'!Y$7:Y$159)+SUMIF('04'!$D$7:$D$159,$C119,'04'!Y$7:Y$159)+SUMIF('05'!$D$7:$D$159,$C119,'05'!Y$7:Y$159)+SUMIF('06'!$D$7:$D$159,$C119,'06'!Y$7:Y$159)+SUMIF('07'!$D$7:$D$159,$C119,'07'!Y$7:Y$159)+SUMIF('08'!$D$7:$D$159,$C119,'08'!Y$7:Y$159)</f>
        <v/>
      </c>
      <c r="X120" s="431">
        <f>SUM(J120:W120)</f>
        <v/>
      </c>
      <c r="Y120" s="413" t="n"/>
      <c r="Z120" s="432" t="n"/>
    </row>
    <row r="121" ht="14.25" customHeight="1" s="296">
      <c r="A121" s="154">
        <f>IF(OR(C121="0",COUNTIF(КлючВесна,C121)&gt;1),0,MATCH(F121,ВидыНагр,0))</f>
        <v/>
      </c>
      <c r="B121" s="154">
        <f>(COUNTA(D121:F122,J121:W121,H121:I122)=0)</f>
        <v/>
      </c>
      <c r="C121" s="155">
        <f>IF(OR(TRIM(D121)="",COUNTIF(ВидыНагр,F121)&lt;&gt;1),"0",CONCATENATE("$",TRIM(D121),"$",TRIM(E121),"$",F121,"$"))</f>
        <v/>
      </c>
      <c r="D121" s="415" t="n"/>
      <c r="E121" s="416" t="n"/>
      <c r="F121" s="417" t="n"/>
      <c r="G121" s="156" t="inlineStr">
        <is>
          <t>план</t>
        </is>
      </c>
      <c r="H121" s="157" t="n"/>
      <c r="I121" s="158" t="n"/>
      <c r="J121" s="418" t="n"/>
      <c r="K121" s="419" t="n"/>
      <c r="L121" s="420" t="n"/>
      <c r="M121" s="418" t="n"/>
      <c r="N121" s="419" t="n"/>
      <c r="O121" s="420" t="n"/>
      <c r="P121" s="418" t="n"/>
      <c r="Q121" s="419" t="n"/>
      <c r="R121" s="420" t="n"/>
      <c r="S121" s="418" t="n"/>
      <c r="T121" s="419" t="n"/>
      <c r="U121" s="421" t="n"/>
      <c r="V121" s="420" t="n"/>
      <c r="W121" s="420" t="n"/>
      <c r="X121" s="422">
        <f>SUM(J121:W121)</f>
        <v/>
      </c>
      <c r="Y121" s="423">
        <f>X122-X121</f>
        <v/>
      </c>
      <c r="Z121" s="209" t="n"/>
    </row>
    <row r="122" ht="14.25" customHeight="1" s="296">
      <c r="A122" s="154">
        <f>-A121</f>
        <v/>
      </c>
      <c r="B122" s="154">
        <f>B121</f>
        <v/>
      </c>
      <c r="C122" s="163" t="n"/>
      <c r="D122" s="424" t="n"/>
      <c r="E122" s="425" t="n"/>
      <c r="F122" s="426" t="n"/>
      <c r="G122" s="164" t="inlineStr">
        <is>
          <t>факт</t>
        </is>
      </c>
      <c r="H122" s="165" t="n"/>
      <c r="I122" s="250" t="n"/>
      <c r="J122" s="427">
        <f>SUMIF('02'!$D$7:$D$159,$C121,'02'!L$7:L$159)+SUMIF('03'!$D$7:$D$159,$C121,'03'!L$7:L$159)+SUMIF('04'!$D$7:$D$159,$C121,'04'!L$7:L$159)+SUMIF('05'!$D$7:$D$159,$C121,'05'!L$7:L$159)+SUMIF('06'!$D$7:$D$159,$C121,'06'!L$7:L$159)+SUMIF('07'!$D$7:$D$159,$C121,'07'!L$7:L$159)+SUMIF('08'!$D$7:$D$159,$C121,'08'!L$7:L$159)</f>
        <v/>
      </c>
      <c r="K122" s="428">
        <f>SUMIF('02'!$D$7:$D$159,$C121,'02'!M$7:M$159)+SUMIF('03'!$D$7:$D$159,$C121,'03'!M$7:M$159)+SUMIF('04'!$D$7:$D$159,$C121,'04'!M$7:M$159)+SUMIF('05'!$D$7:$D$159,$C121,'05'!M$7:M$159)+SUMIF('06'!$D$7:$D$159,$C121,'06'!M$7:M$159)+SUMIF('07'!$D$7:$D$159,$C121,'07'!M$7:M$159)+SUMIF('08'!$D$7:$D$159,$C121,'08'!M$7:M$159)</f>
        <v/>
      </c>
      <c r="L122" s="429">
        <f>SUMIF('02'!$D$7:$D$159,$C121,'02'!N$7:N$159)+SUMIF('03'!$D$7:$D$159,$C121,'03'!N$7:N$159)+SUMIF('04'!$D$7:$D$159,$C121,'04'!N$7:N$159)+SUMIF('05'!$D$7:$D$159,$C121,'05'!N$7:N$159)+SUMIF('06'!$D$7:$D$159,$C121,'06'!N$7:N$159)+SUMIF('07'!$D$7:$D$159,$C121,'07'!N$7:N$159)+SUMIF('08'!$D$7:$D$159,$C121,'08'!N$7:N$159)</f>
        <v/>
      </c>
      <c r="M122" s="427">
        <f>SUMIF('02'!$D$7:$D$159,$C121,'02'!O$7:O$159)+SUMIF('03'!$D$7:$D$159,$C121,'03'!O$7:O$159)+SUMIF('04'!$D$7:$D$159,$C121,'04'!O$7:O$159)+SUMIF('05'!$D$7:$D$159,$C121,'05'!O$7:O$159)+SUMIF('06'!$D$7:$D$159,$C121,'06'!O$7:O$159)+SUMIF('07'!$D$7:$D$159,$C121,'07'!O$7:O$159)+SUMIF('08'!$D$7:$D$159,$C121,'08'!O$7:O$159)</f>
        <v/>
      </c>
      <c r="N122" s="428">
        <f>SUMIF('02'!$D$7:$D$159,$C121,'02'!P$7:P$159)+SUMIF('03'!$D$7:$D$159,$C121,'03'!P$7:P$159)+SUMIF('04'!$D$7:$D$159,$C121,'04'!P$7:P$159)+SUMIF('05'!$D$7:$D$159,$C121,'05'!P$7:P$159)+SUMIF('06'!$D$7:$D$159,$C121,'06'!P$7:P$159)+SUMIF('07'!$D$7:$D$159,$C121,'07'!P$7:P$159)+SUMIF('08'!$D$7:$D$159,$C121,'08'!P$7:P$159)</f>
        <v/>
      </c>
      <c r="O122" s="429">
        <f>SUMIF('02'!$D$7:$D$159,$C121,'02'!Q$7:Q$159)+SUMIF('03'!$D$7:$D$159,$C121,'03'!Q$7:Q$159)+SUMIF('04'!$D$7:$D$159,$C121,'04'!Q$7:Q$159)+SUMIF('05'!$D$7:$D$159,$C121,'05'!Q$7:Q$159)+SUMIF('06'!$D$7:$D$159,$C121,'06'!Q$7:Q$159)+SUMIF('07'!$D$7:$D$159,$C121,'07'!Q$7:Q$159)+SUMIF('08'!$D$7:$D$159,$C121,'08'!Q$7:Q$159)</f>
        <v/>
      </c>
      <c r="P122" s="427">
        <f>SUMIF('02'!$D$7:$D$159,$C121,'02'!R$7:R$159)+SUMIF('03'!$D$7:$D$159,$C121,'03'!R$7:R$159)+SUMIF('04'!$D$7:$D$159,$C121,'04'!R$7:R$159)+SUMIF('05'!$D$7:$D$159,$C121,'05'!R$7:R$159)+SUMIF('06'!$D$7:$D$159,$C121,'06'!R$7:R$159)+SUMIF('07'!$D$7:$D$159,$C121,'07'!R$7:R$159)+SUMIF('08'!$D$7:$D$159,$C121,'08'!R$7:R$159)</f>
        <v/>
      </c>
      <c r="Q122" s="428">
        <f>SUMIF('02'!$D$7:$D$159,$C121,'02'!S$7:S$159)+SUMIF('03'!$D$7:$D$159,$C121,'03'!S$7:S$159)+SUMIF('04'!$D$7:$D$159,$C121,'04'!S$7:S$159)+SUMIF('05'!$D$7:$D$159,$C121,'05'!S$7:S$159)+SUMIF('06'!$D$7:$D$159,$C121,'06'!S$7:S$159)+SUMIF('07'!$D$7:$D$159,$C121,'07'!S$7:S$159)+SUMIF('08'!$D$7:$D$159,$C121,'08'!S$7:S$159)</f>
        <v/>
      </c>
      <c r="R122" s="429">
        <f>SUMIF('02'!$D$7:$D$159,$C121,'02'!T$7:T$159)+SUMIF('03'!$D$7:$D$159,$C121,'03'!T$7:T$159)+SUMIF('04'!$D$7:$D$159,$C121,'04'!T$7:T$159)+SUMIF('05'!$D$7:$D$159,$C121,'05'!T$7:T$159)+SUMIF('06'!$D$7:$D$159,$C121,'06'!T$7:T$159)+SUMIF('07'!$D$7:$D$159,$C121,'07'!T$7:T$159)+SUMIF('08'!$D$7:$D$159,$C121,'08'!T$7:T$159)</f>
        <v/>
      </c>
      <c r="S122" s="427">
        <f>SUMIF('02'!$D$7:$D$159,$C121,'02'!U$7:U$159)+SUMIF('03'!$D$7:$D$159,$C121,'03'!U$7:U$159)+SUMIF('04'!$D$7:$D$159,$C121,'04'!U$7:U$159)+SUMIF('05'!$D$7:$D$159,$C121,'05'!U$7:U$159)+SUMIF('06'!$D$7:$D$159,$C121,'06'!U$7:U$159)+SUMIF('07'!$D$7:$D$159,$C121,'07'!U$7:U$159)+SUMIF('08'!$D$7:$D$159,$C121,'08'!U$7:U$159)</f>
        <v/>
      </c>
      <c r="T122" s="428">
        <f>SUMIF('02'!$D$7:$D$159,$C121,'02'!V$7:V$159)+SUMIF('03'!$D$7:$D$159,$C121,'03'!V$7:V$159)+SUMIF('04'!$D$7:$D$159,$C121,'04'!V$7:V$159)+SUMIF('05'!$D$7:$D$159,$C121,'05'!V$7:V$159)+SUMIF('06'!$D$7:$D$159,$C121,'06'!V$7:V$159)+SUMIF('07'!$D$7:$D$159,$C121,'07'!V$7:V$159)+SUMIF('08'!$D$7:$D$159,$C121,'08'!V$7:V$159)</f>
        <v/>
      </c>
      <c r="U122" s="430">
        <f>SUMIF('02'!$D$7:$D$159,$C121,'02'!W$7:W$159)+SUMIF('03'!$D$7:$D$159,$C121,'03'!W$7:W$159)+SUMIF('04'!$D$7:$D$159,$C121,'04'!W$7:W$159)+SUMIF('05'!$D$7:$D$159,$C121,'05'!W$7:W$159)+SUMIF('06'!$D$7:$D$159,$C121,'06'!W$7:W$159)+SUMIF('07'!$D$7:$D$159,$C121,'07'!W$7:W$159)+SUMIF('08'!$D$7:$D$159,$C121,'08'!W$7:W$159)</f>
        <v/>
      </c>
      <c r="V122" s="429">
        <f>SUMIF('02'!$D$7:$D$159,$C121,'02'!X$7:X$159)+SUMIF('03'!$D$7:$D$159,$C121,'03'!X$7:X$159)+SUMIF('04'!$D$7:$D$159,$C121,'04'!X$7:X$159)+SUMIF('05'!$D$7:$D$159,$C121,'05'!X$7:X$159)+SUMIF('06'!$D$7:$D$159,$C121,'06'!X$7:X$159)+SUMIF('07'!$D$7:$D$159,$C121,'07'!X$7:X$159)+SUMIF('08'!$D$7:$D$159,$C121,'08'!X$7:X$159)</f>
        <v/>
      </c>
      <c r="W122" s="429">
        <f>SUMIF('02'!$D$7:$D$159,$C121,'02'!Y$7:Y$159)+SUMIF('03'!$D$7:$D$159,$C121,'03'!Y$7:Y$159)+SUMIF('04'!$D$7:$D$159,$C121,'04'!Y$7:Y$159)+SUMIF('05'!$D$7:$D$159,$C121,'05'!Y$7:Y$159)+SUMIF('06'!$D$7:$D$159,$C121,'06'!Y$7:Y$159)+SUMIF('07'!$D$7:$D$159,$C121,'07'!Y$7:Y$159)+SUMIF('08'!$D$7:$D$159,$C121,'08'!Y$7:Y$159)</f>
        <v/>
      </c>
      <c r="X122" s="431">
        <f>SUM(J122:W122)</f>
        <v/>
      </c>
      <c r="Y122" s="413" t="n"/>
      <c r="Z122" s="432" t="n"/>
    </row>
    <row r="123" ht="14.25" customHeight="1" s="296">
      <c r="A123" s="154">
        <f>IF(OR(C123="0",COUNTIF(КлючВесна,C123)&gt;1),0,MATCH(F123,ВидыНагр,0))</f>
        <v/>
      </c>
      <c r="B123" s="154">
        <f>(COUNTA(D123:F124,J123:W123,H123:I124)=0)</f>
        <v/>
      </c>
      <c r="C123" s="155">
        <f>IF(OR(TRIM(D123)="",COUNTIF(ВидыНагр,F123)&lt;&gt;1),"0",CONCATENATE("$",TRIM(D123),"$",TRIM(E123),"$",F123,"$"))</f>
        <v/>
      </c>
      <c r="D123" s="415" t="n"/>
      <c r="E123" s="416" t="n"/>
      <c r="F123" s="417" t="n"/>
      <c r="G123" s="156" t="inlineStr">
        <is>
          <t>план</t>
        </is>
      </c>
      <c r="H123" s="157" t="n"/>
      <c r="I123" s="158" t="n"/>
      <c r="J123" s="418" t="n"/>
      <c r="K123" s="419" t="n"/>
      <c r="L123" s="420" t="n"/>
      <c r="M123" s="418" t="n"/>
      <c r="N123" s="419" t="n"/>
      <c r="O123" s="420" t="n"/>
      <c r="P123" s="418" t="n"/>
      <c r="Q123" s="419" t="n"/>
      <c r="R123" s="420" t="n"/>
      <c r="S123" s="418" t="n"/>
      <c r="T123" s="419" t="n"/>
      <c r="U123" s="421" t="n"/>
      <c r="V123" s="420" t="n"/>
      <c r="W123" s="420" t="n"/>
      <c r="X123" s="422">
        <f>SUM(J123:W123)</f>
        <v/>
      </c>
      <c r="Y123" s="423">
        <f>X124-X123</f>
        <v/>
      </c>
      <c r="Z123" s="209" t="n"/>
    </row>
    <row r="124" ht="14.25" customHeight="1" s="296">
      <c r="A124" s="154">
        <f>-A123</f>
        <v/>
      </c>
      <c r="B124" s="154">
        <f>B123</f>
        <v/>
      </c>
      <c r="C124" s="163" t="n"/>
      <c r="D124" s="424" t="n"/>
      <c r="E124" s="425" t="n"/>
      <c r="F124" s="426" t="n"/>
      <c r="G124" s="164" t="inlineStr">
        <is>
          <t>факт</t>
        </is>
      </c>
      <c r="H124" s="165" t="n"/>
      <c r="I124" s="250" t="n"/>
      <c r="J124" s="427">
        <f>SUMIF('02'!$D$7:$D$159,$C123,'02'!L$7:L$159)+SUMIF('03'!$D$7:$D$159,$C123,'03'!L$7:L$159)+SUMIF('04'!$D$7:$D$159,$C123,'04'!L$7:L$159)+SUMIF('05'!$D$7:$D$159,$C123,'05'!L$7:L$159)+SUMIF('06'!$D$7:$D$159,$C123,'06'!L$7:L$159)+SUMIF('07'!$D$7:$D$159,$C123,'07'!L$7:L$159)+SUMIF('08'!$D$7:$D$159,$C123,'08'!L$7:L$159)</f>
        <v/>
      </c>
      <c r="K124" s="428">
        <f>SUMIF('02'!$D$7:$D$159,$C123,'02'!M$7:M$159)+SUMIF('03'!$D$7:$D$159,$C123,'03'!M$7:M$159)+SUMIF('04'!$D$7:$D$159,$C123,'04'!M$7:M$159)+SUMIF('05'!$D$7:$D$159,$C123,'05'!M$7:M$159)+SUMIF('06'!$D$7:$D$159,$C123,'06'!M$7:M$159)+SUMIF('07'!$D$7:$D$159,$C123,'07'!M$7:M$159)+SUMIF('08'!$D$7:$D$159,$C123,'08'!M$7:M$159)</f>
        <v/>
      </c>
      <c r="L124" s="429">
        <f>SUMIF('02'!$D$7:$D$159,$C123,'02'!N$7:N$159)+SUMIF('03'!$D$7:$D$159,$C123,'03'!N$7:N$159)+SUMIF('04'!$D$7:$D$159,$C123,'04'!N$7:N$159)+SUMIF('05'!$D$7:$D$159,$C123,'05'!N$7:N$159)+SUMIF('06'!$D$7:$D$159,$C123,'06'!N$7:N$159)+SUMIF('07'!$D$7:$D$159,$C123,'07'!N$7:N$159)+SUMIF('08'!$D$7:$D$159,$C123,'08'!N$7:N$159)</f>
        <v/>
      </c>
      <c r="M124" s="427">
        <f>SUMIF('02'!$D$7:$D$159,$C123,'02'!O$7:O$159)+SUMIF('03'!$D$7:$D$159,$C123,'03'!O$7:O$159)+SUMIF('04'!$D$7:$D$159,$C123,'04'!O$7:O$159)+SUMIF('05'!$D$7:$D$159,$C123,'05'!O$7:O$159)+SUMIF('06'!$D$7:$D$159,$C123,'06'!O$7:O$159)+SUMIF('07'!$D$7:$D$159,$C123,'07'!O$7:O$159)+SUMIF('08'!$D$7:$D$159,$C123,'08'!O$7:O$159)</f>
        <v/>
      </c>
      <c r="N124" s="428">
        <f>SUMIF('02'!$D$7:$D$159,$C123,'02'!P$7:P$159)+SUMIF('03'!$D$7:$D$159,$C123,'03'!P$7:P$159)+SUMIF('04'!$D$7:$D$159,$C123,'04'!P$7:P$159)+SUMIF('05'!$D$7:$D$159,$C123,'05'!P$7:P$159)+SUMIF('06'!$D$7:$D$159,$C123,'06'!P$7:P$159)+SUMIF('07'!$D$7:$D$159,$C123,'07'!P$7:P$159)+SUMIF('08'!$D$7:$D$159,$C123,'08'!P$7:P$159)</f>
        <v/>
      </c>
      <c r="O124" s="429">
        <f>SUMIF('02'!$D$7:$D$159,$C123,'02'!Q$7:Q$159)+SUMIF('03'!$D$7:$D$159,$C123,'03'!Q$7:Q$159)+SUMIF('04'!$D$7:$D$159,$C123,'04'!Q$7:Q$159)+SUMIF('05'!$D$7:$D$159,$C123,'05'!Q$7:Q$159)+SUMIF('06'!$D$7:$D$159,$C123,'06'!Q$7:Q$159)+SUMIF('07'!$D$7:$D$159,$C123,'07'!Q$7:Q$159)+SUMIF('08'!$D$7:$D$159,$C123,'08'!Q$7:Q$159)</f>
        <v/>
      </c>
      <c r="P124" s="427">
        <f>SUMIF('02'!$D$7:$D$159,$C123,'02'!R$7:R$159)+SUMIF('03'!$D$7:$D$159,$C123,'03'!R$7:R$159)+SUMIF('04'!$D$7:$D$159,$C123,'04'!R$7:R$159)+SUMIF('05'!$D$7:$D$159,$C123,'05'!R$7:R$159)+SUMIF('06'!$D$7:$D$159,$C123,'06'!R$7:R$159)+SUMIF('07'!$D$7:$D$159,$C123,'07'!R$7:R$159)+SUMIF('08'!$D$7:$D$159,$C123,'08'!R$7:R$159)</f>
        <v/>
      </c>
      <c r="Q124" s="428">
        <f>SUMIF('02'!$D$7:$D$159,$C123,'02'!S$7:S$159)+SUMIF('03'!$D$7:$D$159,$C123,'03'!S$7:S$159)+SUMIF('04'!$D$7:$D$159,$C123,'04'!S$7:S$159)+SUMIF('05'!$D$7:$D$159,$C123,'05'!S$7:S$159)+SUMIF('06'!$D$7:$D$159,$C123,'06'!S$7:S$159)+SUMIF('07'!$D$7:$D$159,$C123,'07'!S$7:S$159)+SUMIF('08'!$D$7:$D$159,$C123,'08'!S$7:S$159)</f>
        <v/>
      </c>
      <c r="R124" s="429">
        <f>SUMIF('02'!$D$7:$D$159,$C123,'02'!T$7:T$159)+SUMIF('03'!$D$7:$D$159,$C123,'03'!T$7:T$159)+SUMIF('04'!$D$7:$D$159,$C123,'04'!T$7:T$159)+SUMIF('05'!$D$7:$D$159,$C123,'05'!T$7:T$159)+SUMIF('06'!$D$7:$D$159,$C123,'06'!T$7:T$159)+SUMIF('07'!$D$7:$D$159,$C123,'07'!T$7:T$159)+SUMIF('08'!$D$7:$D$159,$C123,'08'!T$7:T$159)</f>
        <v/>
      </c>
      <c r="S124" s="427">
        <f>SUMIF('02'!$D$7:$D$159,$C123,'02'!U$7:U$159)+SUMIF('03'!$D$7:$D$159,$C123,'03'!U$7:U$159)+SUMIF('04'!$D$7:$D$159,$C123,'04'!U$7:U$159)+SUMIF('05'!$D$7:$D$159,$C123,'05'!U$7:U$159)+SUMIF('06'!$D$7:$D$159,$C123,'06'!U$7:U$159)+SUMIF('07'!$D$7:$D$159,$C123,'07'!U$7:U$159)+SUMIF('08'!$D$7:$D$159,$C123,'08'!U$7:U$159)</f>
        <v/>
      </c>
      <c r="T124" s="428">
        <f>SUMIF('02'!$D$7:$D$159,$C123,'02'!V$7:V$159)+SUMIF('03'!$D$7:$D$159,$C123,'03'!V$7:V$159)+SUMIF('04'!$D$7:$D$159,$C123,'04'!V$7:V$159)+SUMIF('05'!$D$7:$D$159,$C123,'05'!V$7:V$159)+SUMIF('06'!$D$7:$D$159,$C123,'06'!V$7:V$159)+SUMIF('07'!$D$7:$D$159,$C123,'07'!V$7:V$159)+SUMIF('08'!$D$7:$D$159,$C123,'08'!V$7:V$159)</f>
        <v/>
      </c>
      <c r="U124" s="430">
        <f>SUMIF('02'!$D$7:$D$159,$C123,'02'!W$7:W$159)+SUMIF('03'!$D$7:$D$159,$C123,'03'!W$7:W$159)+SUMIF('04'!$D$7:$D$159,$C123,'04'!W$7:W$159)+SUMIF('05'!$D$7:$D$159,$C123,'05'!W$7:W$159)+SUMIF('06'!$D$7:$D$159,$C123,'06'!W$7:W$159)+SUMIF('07'!$D$7:$D$159,$C123,'07'!W$7:W$159)+SUMIF('08'!$D$7:$D$159,$C123,'08'!W$7:W$159)</f>
        <v/>
      </c>
      <c r="V124" s="429">
        <f>SUMIF('02'!$D$7:$D$159,$C123,'02'!X$7:X$159)+SUMIF('03'!$D$7:$D$159,$C123,'03'!X$7:X$159)+SUMIF('04'!$D$7:$D$159,$C123,'04'!X$7:X$159)+SUMIF('05'!$D$7:$D$159,$C123,'05'!X$7:X$159)+SUMIF('06'!$D$7:$D$159,$C123,'06'!X$7:X$159)+SUMIF('07'!$D$7:$D$159,$C123,'07'!X$7:X$159)+SUMIF('08'!$D$7:$D$159,$C123,'08'!X$7:X$159)</f>
        <v/>
      </c>
      <c r="W124" s="429">
        <f>SUMIF('02'!$D$7:$D$159,$C123,'02'!Y$7:Y$159)+SUMIF('03'!$D$7:$D$159,$C123,'03'!Y$7:Y$159)+SUMIF('04'!$D$7:$D$159,$C123,'04'!Y$7:Y$159)+SUMIF('05'!$D$7:$D$159,$C123,'05'!Y$7:Y$159)+SUMIF('06'!$D$7:$D$159,$C123,'06'!Y$7:Y$159)+SUMIF('07'!$D$7:$D$159,$C123,'07'!Y$7:Y$159)+SUMIF('08'!$D$7:$D$159,$C123,'08'!Y$7:Y$159)</f>
        <v/>
      </c>
      <c r="X124" s="431">
        <f>SUM(J124:W124)</f>
        <v/>
      </c>
      <c r="Y124" s="413" t="n"/>
      <c r="Z124" s="432" t="n"/>
    </row>
    <row r="125" ht="14.25" customHeight="1" s="296">
      <c r="A125" s="154">
        <f>IF(OR(C125="0",COUNTIF(КлючВесна,C125)&gt;1),0,MATCH(F125,ВидыНагр,0))</f>
        <v/>
      </c>
      <c r="B125" s="154">
        <f>(COUNTA(D125:F126,J125:W125,H125:I126)=0)</f>
        <v/>
      </c>
      <c r="C125" s="155">
        <f>IF(OR(TRIM(D125)="",COUNTIF(ВидыНагр,F125)&lt;&gt;1),"0",CONCATENATE("$",TRIM(D125),"$",TRIM(E125),"$",F125,"$"))</f>
        <v/>
      </c>
      <c r="D125" s="415" t="n"/>
      <c r="E125" s="416" t="n"/>
      <c r="F125" s="417" t="n"/>
      <c r="G125" s="156" t="inlineStr">
        <is>
          <t>план</t>
        </is>
      </c>
      <c r="H125" s="157" t="n"/>
      <c r="I125" s="158" t="n"/>
      <c r="J125" s="418" t="n"/>
      <c r="K125" s="419" t="n"/>
      <c r="L125" s="420" t="n"/>
      <c r="M125" s="418" t="n"/>
      <c r="N125" s="419" t="n"/>
      <c r="O125" s="420" t="n"/>
      <c r="P125" s="418" t="n"/>
      <c r="Q125" s="419" t="n"/>
      <c r="R125" s="420" t="n"/>
      <c r="S125" s="418" t="n"/>
      <c r="T125" s="419" t="n"/>
      <c r="U125" s="421" t="n"/>
      <c r="V125" s="420" t="n"/>
      <c r="W125" s="420" t="n"/>
      <c r="X125" s="422">
        <f>SUM(J125:W125)</f>
        <v/>
      </c>
      <c r="Y125" s="423">
        <f>X126-X125</f>
        <v/>
      </c>
      <c r="Z125" s="209" t="n"/>
    </row>
    <row r="126" ht="14.25" customHeight="1" s="296">
      <c r="A126" s="154">
        <f>-A125</f>
        <v/>
      </c>
      <c r="B126" s="154">
        <f>B125</f>
        <v/>
      </c>
      <c r="C126" s="163" t="n"/>
      <c r="D126" s="424" t="n"/>
      <c r="E126" s="425" t="n"/>
      <c r="F126" s="426" t="n"/>
      <c r="G126" s="164" t="inlineStr">
        <is>
          <t>факт</t>
        </is>
      </c>
      <c r="H126" s="165" t="n"/>
      <c r="I126" s="250" t="n"/>
      <c r="J126" s="427">
        <f>SUMIF('02'!$D$7:$D$159,$C125,'02'!L$7:L$159)+SUMIF('03'!$D$7:$D$159,$C125,'03'!L$7:L$159)+SUMIF('04'!$D$7:$D$159,$C125,'04'!L$7:L$159)+SUMIF('05'!$D$7:$D$159,$C125,'05'!L$7:L$159)+SUMIF('06'!$D$7:$D$159,$C125,'06'!L$7:L$159)+SUMIF('07'!$D$7:$D$159,$C125,'07'!L$7:L$159)+SUMIF('08'!$D$7:$D$159,$C125,'08'!L$7:L$159)</f>
        <v/>
      </c>
      <c r="K126" s="428">
        <f>SUMIF('02'!$D$7:$D$159,$C125,'02'!M$7:M$159)+SUMIF('03'!$D$7:$D$159,$C125,'03'!M$7:M$159)+SUMIF('04'!$D$7:$D$159,$C125,'04'!M$7:M$159)+SUMIF('05'!$D$7:$D$159,$C125,'05'!M$7:M$159)+SUMIF('06'!$D$7:$D$159,$C125,'06'!M$7:M$159)+SUMIF('07'!$D$7:$D$159,$C125,'07'!M$7:M$159)+SUMIF('08'!$D$7:$D$159,$C125,'08'!M$7:M$159)</f>
        <v/>
      </c>
      <c r="L126" s="429">
        <f>SUMIF('02'!$D$7:$D$159,$C125,'02'!N$7:N$159)+SUMIF('03'!$D$7:$D$159,$C125,'03'!N$7:N$159)+SUMIF('04'!$D$7:$D$159,$C125,'04'!N$7:N$159)+SUMIF('05'!$D$7:$D$159,$C125,'05'!N$7:N$159)+SUMIF('06'!$D$7:$D$159,$C125,'06'!N$7:N$159)+SUMIF('07'!$D$7:$D$159,$C125,'07'!N$7:N$159)+SUMIF('08'!$D$7:$D$159,$C125,'08'!N$7:N$159)</f>
        <v/>
      </c>
      <c r="M126" s="427">
        <f>SUMIF('02'!$D$7:$D$159,$C125,'02'!O$7:O$159)+SUMIF('03'!$D$7:$D$159,$C125,'03'!O$7:O$159)+SUMIF('04'!$D$7:$D$159,$C125,'04'!O$7:O$159)+SUMIF('05'!$D$7:$D$159,$C125,'05'!O$7:O$159)+SUMIF('06'!$D$7:$D$159,$C125,'06'!O$7:O$159)+SUMIF('07'!$D$7:$D$159,$C125,'07'!O$7:O$159)+SUMIF('08'!$D$7:$D$159,$C125,'08'!O$7:O$159)</f>
        <v/>
      </c>
      <c r="N126" s="428">
        <f>SUMIF('02'!$D$7:$D$159,$C125,'02'!P$7:P$159)+SUMIF('03'!$D$7:$D$159,$C125,'03'!P$7:P$159)+SUMIF('04'!$D$7:$D$159,$C125,'04'!P$7:P$159)+SUMIF('05'!$D$7:$D$159,$C125,'05'!P$7:P$159)+SUMIF('06'!$D$7:$D$159,$C125,'06'!P$7:P$159)+SUMIF('07'!$D$7:$D$159,$C125,'07'!P$7:P$159)+SUMIF('08'!$D$7:$D$159,$C125,'08'!P$7:P$159)</f>
        <v/>
      </c>
      <c r="O126" s="429">
        <f>SUMIF('02'!$D$7:$D$159,$C125,'02'!Q$7:Q$159)+SUMIF('03'!$D$7:$D$159,$C125,'03'!Q$7:Q$159)+SUMIF('04'!$D$7:$D$159,$C125,'04'!Q$7:Q$159)+SUMIF('05'!$D$7:$D$159,$C125,'05'!Q$7:Q$159)+SUMIF('06'!$D$7:$D$159,$C125,'06'!Q$7:Q$159)+SUMIF('07'!$D$7:$D$159,$C125,'07'!Q$7:Q$159)+SUMIF('08'!$D$7:$D$159,$C125,'08'!Q$7:Q$159)</f>
        <v/>
      </c>
      <c r="P126" s="427">
        <f>SUMIF('02'!$D$7:$D$159,$C125,'02'!R$7:R$159)+SUMIF('03'!$D$7:$D$159,$C125,'03'!R$7:R$159)+SUMIF('04'!$D$7:$D$159,$C125,'04'!R$7:R$159)+SUMIF('05'!$D$7:$D$159,$C125,'05'!R$7:R$159)+SUMIF('06'!$D$7:$D$159,$C125,'06'!R$7:R$159)+SUMIF('07'!$D$7:$D$159,$C125,'07'!R$7:R$159)+SUMIF('08'!$D$7:$D$159,$C125,'08'!R$7:R$159)</f>
        <v/>
      </c>
      <c r="Q126" s="428">
        <f>SUMIF('02'!$D$7:$D$159,$C125,'02'!S$7:S$159)+SUMIF('03'!$D$7:$D$159,$C125,'03'!S$7:S$159)+SUMIF('04'!$D$7:$D$159,$C125,'04'!S$7:S$159)+SUMIF('05'!$D$7:$D$159,$C125,'05'!S$7:S$159)+SUMIF('06'!$D$7:$D$159,$C125,'06'!S$7:S$159)+SUMIF('07'!$D$7:$D$159,$C125,'07'!S$7:S$159)+SUMIF('08'!$D$7:$D$159,$C125,'08'!S$7:S$159)</f>
        <v/>
      </c>
      <c r="R126" s="429">
        <f>SUMIF('02'!$D$7:$D$159,$C125,'02'!T$7:T$159)+SUMIF('03'!$D$7:$D$159,$C125,'03'!T$7:T$159)+SUMIF('04'!$D$7:$D$159,$C125,'04'!T$7:T$159)+SUMIF('05'!$D$7:$D$159,$C125,'05'!T$7:T$159)+SUMIF('06'!$D$7:$D$159,$C125,'06'!T$7:T$159)+SUMIF('07'!$D$7:$D$159,$C125,'07'!T$7:T$159)+SUMIF('08'!$D$7:$D$159,$C125,'08'!T$7:T$159)</f>
        <v/>
      </c>
      <c r="S126" s="427">
        <f>SUMIF('02'!$D$7:$D$159,$C125,'02'!U$7:U$159)+SUMIF('03'!$D$7:$D$159,$C125,'03'!U$7:U$159)+SUMIF('04'!$D$7:$D$159,$C125,'04'!U$7:U$159)+SUMIF('05'!$D$7:$D$159,$C125,'05'!U$7:U$159)+SUMIF('06'!$D$7:$D$159,$C125,'06'!U$7:U$159)+SUMIF('07'!$D$7:$D$159,$C125,'07'!U$7:U$159)+SUMIF('08'!$D$7:$D$159,$C125,'08'!U$7:U$159)</f>
        <v/>
      </c>
      <c r="T126" s="428">
        <f>SUMIF('02'!$D$7:$D$159,$C125,'02'!V$7:V$159)+SUMIF('03'!$D$7:$D$159,$C125,'03'!V$7:V$159)+SUMIF('04'!$D$7:$D$159,$C125,'04'!V$7:V$159)+SUMIF('05'!$D$7:$D$159,$C125,'05'!V$7:V$159)+SUMIF('06'!$D$7:$D$159,$C125,'06'!V$7:V$159)+SUMIF('07'!$D$7:$D$159,$C125,'07'!V$7:V$159)+SUMIF('08'!$D$7:$D$159,$C125,'08'!V$7:V$159)</f>
        <v/>
      </c>
      <c r="U126" s="430">
        <f>SUMIF('02'!$D$7:$D$159,$C125,'02'!W$7:W$159)+SUMIF('03'!$D$7:$D$159,$C125,'03'!W$7:W$159)+SUMIF('04'!$D$7:$D$159,$C125,'04'!W$7:W$159)+SUMIF('05'!$D$7:$D$159,$C125,'05'!W$7:W$159)+SUMIF('06'!$D$7:$D$159,$C125,'06'!W$7:W$159)+SUMIF('07'!$D$7:$D$159,$C125,'07'!W$7:W$159)+SUMIF('08'!$D$7:$D$159,$C125,'08'!W$7:W$159)</f>
        <v/>
      </c>
      <c r="V126" s="429">
        <f>SUMIF('02'!$D$7:$D$159,$C125,'02'!X$7:X$159)+SUMIF('03'!$D$7:$D$159,$C125,'03'!X$7:X$159)+SUMIF('04'!$D$7:$D$159,$C125,'04'!X$7:X$159)+SUMIF('05'!$D$7:$D$159,$C125,'05'!X$7:X$159)+SUMIF('06'!$D$7:$D$159,$C125,'06'!X$7:X$159)+SUMIF('07'!$D$7:$D$159,$C125,'07'!X$7:X$159)+SUMIF('08'!$D$7:$D$159,$C125,'08'!X$7:X$159)</f>
        <v/>
      </c>
      <c r="W126" s="429">
        <f>SUMIF('02'!$D$7:$D$159,$C125,'02'!Y$7:Y$159)+SUMIF('03'!$D$7:$D$159,$C125,'03'!Y$7:Y$159)+SUMIF('04'!$D$7:$D$159,$C125,'04'!Y$7:Y$159)+SUMIF('05'!$D$7:$D$159,$C125,'05'!Y$7:Y$159)+SUMIF('06'!$D$7:$D$159,$C125,'06'!Y$7:Y$159)+SUMIF('07'!$D$7:$D$159,$C125,'07'!Y$7:Y$159)+SUMIF('08'!$D$7:$D$159,$C125,'08'!Y$7:Y$159)</f>
        <v/>
      </c>
      <c r="X126" s="431">
        <f>SUM(J126:W126)</f>
        <v/>
      </c>
      <c r="Y126" s="413" t="n"/>
      <c r="Z126" s="432" t="n"/>
    </row>
    <row r="127" ht="14.25" customHeight="1" s="296">
      <c r="A127" s="154">
        <f>IF(OR(C127="0",COUNTIF(КлючВесна,C127)&gt;1),0,MATCH(F127,ВидыНагр,0))</f>
        <v/>
      </c>
      <c r="B127" s="154">
        <f>(COUNTA(D127:F128,J127:W127,H127:I128)=0)</f>
        <v/>
      </c>
      <c r="C127" s="155">
        <f>IF(OR(TRIM(D127)="",COUNTIF(ВидыНагр,F127)&lt;&gt;1),"0",CONCATENATE("$",TRIM(D127),"$",TRIM(E127),"$",F127,"$"))</f>
        <v/>
      </c>
      <c r="D127" s="415" t="n"/>
      <c r="E127" s="416" t="n"/>
      <c r="F127" s="417" t="n"/>
      <c r="G127" s="156" t="inlineStr">
        <is>
          <t>план</t>
        </is>
      </c>
      <c r="H127" s="157" t="n"/>
      <c r="I127" s="158" t="n"/>
      <c r="J127" s="418" t="n"/>
      <c r="K127" s="419" t="n"/>
      <c r="L127" s="420" t="n"/>
      <c r="M127" s="418" t="n"/>
      <c r="N127" s="419" t="n"/>
      <c r="O127" s="420" t="n"/>
      <c r="P127" s="418" t="n"/>
      <c r="Q127" s="419" t="n"/>
      <c r="R127" s="420" t="n"/>
      <c r="S127" s="418" t="n"/>
      <c r="T127" s="419" t="n"/>
      <c r="U127" s="421" t="n"/>
      <c r="V127" s="420" t="n"/>
      <c r="W127" s="420" t="n"/>
      <c r="X127" s="422">
        <f>SUM(J127:W127)</f>
        <v/>
      </c>
      <c r="Y127" s="423">
        <f>X128-X127</f>
        <v/>
      </c>
      <c r="Z127" s="209" t="n"/>
    </row>
    <row r="128" ht="14.25" customHeight="1" s="296">
      <c r="A128" s="154">
        <f>-A127</f>
        <v/>
      </c>
      <c r="B128" s="154">
        <f>B127</f>
        <v/>
      </c>
      <c r="C128" s="163" t="n"/>
      <c r="D128" s="424" t="n"/>
      <c r="E128" s="425" t="n"/>
      <c r="F128" s="426" t="n"/>
      <c r="G128" s="164" t="inlineStr">
        <is>
          <t>факт</t>
        </is>
      </c>
      <c r="H128" s="165" t="n"/>
      <c r="I128" s="250" t="n"/>
      <c r="J128" s="427">
        <f>SUMIF('02'!$D$7:$D$159,$C127,'02'!L$7:L$159)+SUMIF('03'!$D$7:$D$159,$C127,'03'!L$7:L$159)+SUMIF('04'!$D$7:$D$159,$C127,'04'!L$7:L$159)+SUMIF('05'!$D$7:$D$159,$C127,'05'!L$7:L$159)+SUMIF('06'!$D$7:$D$159,$C127,'06'!L$7:L$159)+SUMIF('07'!$D$7:$D$159,$C127,'07'!L$7:L$159)+SUMIF('08'!$D$7:$D$159,$C127,'08'!L$7:L$159)</f>
        <v/>
      </c>
      <c r="K128" s="428">
        <f>SUMIF('02'!$D$7:$D$159,$C127,'02'!M$7:M$159)+SUMIF('03'!$D$7:$D$159,$C127,'03'!M$7:M$159)+SUMIF('04'!$D$7:$D$159,$C127,'04'!M$7:M$159)+SUMIF('05'!$D$7:$D$159,$C127,'05'!M$7:M$159)+SUMIF('06'!$D$7:$D$159,$C127,'06'!M$7:M$159)+SUMIF('07'!$D$7:$D$159,$C127,'07'!M$7:M$159)+SUMIF('08'!$D$7:$D$159,$C127,'08'!M$7:M$159)</f>
        <v/>
      </c>
      <c r="L128" s="429">
        <f>SUMIF('02'!$D$7:$D$159,$C127,'02'!N$7:N$159)+SUMIF('03'!$D$7:$D$159,$C127,'03'!N$7:N$159)+SUMIF('04'!$D$7:$D$159,$C127,'04'!N$7:N$159)+SUMIF('05'!$D$7:$D$159,$C127,'05'!N$7:N$159)+SUMIF('06'!$D$7:$D$159,$C127,'06'!N$7:N$159)+SUMIF('07'!$D$7:$D$159,$C127,'07'!N$7:N$159)+SUMIF('08'!$D$7:$D$159,$C127,'08'!N$7:N$159)</f>
        <v/>
      </c>
      <c r="M128" s="427">
        <f>SUMIF('02'!$D$7:$D$159,$C127,'02'!O$7:O$159)+SUMIF('03'!$D$7:$D$159,$C127,'03'!O$7:O$159)+SUMIF('04'!$D$7:$D$159,$C127,'04'!O$7:O$159)+SUMIF('05'!$D$7:$D$159,$C127,'05'!O$7:O$159)+SUMIF('06'!$D$7:$D$159,$C127,'06'!O$7:O$159)+SUMIF('07'!$D$7:$D$159,$C127,'07'!O$7:O$159)+SUMIF('08'!$D$7:$D$159,$C127,'08'!O$7:O$159)</f>
        <v/>
      </c>
      <c r="N128" s="428">
        <f>SUMIF('02'!$D$7:$D$159,$C127,'02'!P$7:P$159)+SUMIF('03'!$D$7:$D$159,$C127,'03'!P$7:P$159)+SUMIF('04'!$D$7:$D$159,$C127,'04'!P$7:P$159)+SUMIF('05'!$D$7:$D$159,$C127,'05'!P$7:P$159)+SUMIF('06'!$D$7:$D$159,$C127,'06'!P$7:P$159)+SUMIF('07'!$D$7:$D$159,$C127,'07'!P$7:P$159)+SUMIF('08'!$D$7:$D$159,$C127,'08'!P$7:P$159)</f>
        <v/>
      </c>
      <c r="O128" s="429">
        <f>SUMIF('02'!$D$7:$D$159,$C127,'02'!Q$7:Q$159)+SUMIF('03'!$D$7:$D$159,$C127,'03'!Q$7:Q$159)+SUMIF('04'!$D$7:$D$159,$C127,'04'!Q$7:Q$159)+SUMIF('05'!$D$7:$D$159,$C127,'05'!Q$7:Q$159)+SUMIF('06'!$D$7:$D$159,$C127,'06'!Q$7:Q$159)+SUMIF('07'!$D$7:$D$159,$C127,'07'!Q$7:Q$159)+SUMIF('08'!$D$7:$D$159,$C127,'08'!Q$7:Q$159)</f>
        <v/>
      </c>
      <c r="P128" s="427">
        <f>SUMIF('02'!$D$7:$D$159,$C127,'02'!R$7:R$159)+SUMIF('03'!$D$7:$D$159,$C127,'03'!R$7:R$159)+SUMIF('04'!$D$7:$D$159,$C127,'04'!R$7:R$159)+SUMIF('05'!$D$7:$D$159,$C127,'05'!R$7:R$159)+SUMIF('06'!$D$7:$D$159,$C127,'06'!R$7:R$159)+SUMIF('07'!$D$7:$D$159,$C127,'07'!R$7:R$159)+SUMIF('08'!$D$7:$D$159,$C127,'08'!R$7:R$159)</f>
        <v/>
      </c>
      <c r="Q128" s="428">
        <f>SUMIF('02'!$D$7:$D$159,$C127,'02'!S$7:S$159)+SUMIF('03'!$D$7:$D$159,$C127,'03'!S$7:S$159)+SUMIF('04'!$D$7:$D$159,$C127,'04'!S$7:S$159)+SUMIF('05'!$D$7:$D$159,$C127,'05'!S$7:S$159)+SUMIF('06'!$D$7:$D$159,$C127,'06'!S$7:S$159)+SUMIF('07'!$D$7:$D$159,$C127,'07'!S$7:S$159)+SUMIF('08'!$D$7:$D$159,$C127,'08'!S$7:S$159)</f>
        <v/>
      </c>
      <c r="R128" s="429">
        <f>SUMIF('02'!$D$7:$D$159,$C127,'02'!T$7:T$159)+SUMIF('03'!$D$7:$D$159,$C127,'03'!T$7:T$159)+SUMIF('04'!$D$7:$D$159,$C127,'04'!T$7:T$159)+SUMIF('05'!$D$7:$D$159,$C127,'05'!T$7:T$159)+SUMIF('06'!$D$7:$D$159,$C127,'06'!T$7:T$159)+SUMIF('07'!$D$7:$D$159,$C127,'07'!T$7:T$159)+SUMIF('08'!$D$7:$D$159,$C127,'08'!T$7:T$159)</f>
        <v/>
      </c>
      <c r="S128" s="427">
        <f>SUMIF('02'!$D$7:$D$159,$C127,'02'!U$7:U$159)+SUMIF('03'!$D$7:$D$159,$C127,'03'!U$7:U$159)+SUMIF('04'!$D$7:$D$159,$C127,'04'!U$7:U$159)+SUMIF('05'!$D$7:$D$159,$C127,'05'!U$7:U$159)+SUMIF('06'!$D$7:$D$159,$C127,'06'!U$7:U$159)+SUMIF('07'!$D$7:$D$159,$C127,'07'!U$7:U$159)+SUMIF('08'!$D$7:$D$159,$C127,'08'!U$7:U$159)</f>
        <v/>
      </c>
      <c r="T128" s="428">
        <f>SUMIF('02'!$D$7:$D$159,$C127,'02'!V$7:V$159)+SUMIF('03'!$D$7:$D$159,$C127,'03'!V$7:V$159)+SUMIF('04'!$D$7:$D$159,$C127,'04'!V$7:V$159)+SUMIF('05'!$D$7:$D$159,$C127,'05'!V$7:V$159)+SUMIF('06'!$D$7:$D$159,$C127,'06'!V$7:V$159)+SUMIF('07'!$D$7:$D$159,$C127,'07'!V$7:V$159)+SUMIF('08'!$D$7:$D$159,$C127,'08'!V$7:V$159)</f>
        <v/>
      </c>
      <c r="U128" s="430">
        <f>SUMIF('02'!$D$7:$D$159,$C127,'02'!W$7:W$159)+SUMIF('03'!$D$7:$D$159,$C127,'03'!W$7:W$159)+SUMIF('04'!$D$7:$D$159,$C127,'04'!W$7:W$159)+SUMIF('05'!$D$7:$D$159,$C127,'05'!W$7:W$159)+SUMIF('06'!$D$7:$D$159,$C127,'06'!W$7:W$159)+SUMIF('07'!$D$7:$D$159,$C127,'07'!W$7:W$159)+SUMIF('08'!$D$7:$D$159,$C127,'08'!W$7:W$159)</f>
        <v/>
      </c>
      <c r="V128" s="429">
        <f>SUMIF('02'!$D$7:$D$159,$C127,'02'!X$7:X$159)+SUMIF('03'!$D$7:$D$159,$C127,'03'!X$7:X$159)+SUMIF('04'!$D$7:$D$159,$C127,'04'!X$7:X$159)+SUMIF('05'!$D$7:$D$159,$C127,'05'!X$7:X$159)+SUMIF('06'!$D$7:$D$159,$C127,'06'!X$7:X$159)+SUMIF('07'!$D$7:$D$159,$C127,'07'!X$7:X$159)+SUMIF('08'!$D$7:$D$159,$C127,'08'!X$7:X$159)</f>
        <v/>
      </c>
      <c r="W128" s="429">
        <f>SUMIF('02'!$D$7:$D$159,$C127,'02'!Y$7:Y$159)+SUMIF('03'!$D$7:$D$159,$C127,'03'!Y$7:Y$159)+SUMIF('04'!$D$7:$D$159,$C127,'04'!Y$7:Y$159)+SUMIF('05'!$D$7:$D$159,$C127,'05'!Y$7:Y$159)+SUMIF('06'!$D$7:$D$159,$C127,'06'!Y$7:Y$159)+SUMIF('07'!$D$7:$D$159,$C127,'07'!Y$7:Y$159)+SUMIF('08'!$D$7:$D$159,$C127,'08'!Y$7:Y$159)</f>
        <v/>
      </c>
      <c r="X128" s="431">
        <f>SUM(J128:W128)</f>
        <v/>
      </c>
      <c r="Y128" s="413" t="n"/>
      <c r="Z128" s="432" t="n"/>
    </row>
    <row r="129" ht="14.25" customHeight="1" s="296">
      <c r="A129" s="154">
        <f>IF(OR(C129="0",COUNTIF(КлючВесна,C129)&gt;1),0,MATCH(F129,ВидыНагр,0))</f>
        <v/>
      </c>
      <c r="B129" s="154">
        <f>(COUNTA(D129:F130,J129:W129,H129:I130)=0)</f>
        <v/>
      </c>
      <c r="C129" s="155">
        <f>IF(OR(TRIM(D129)="",COUNTIF(ВидыНагр,F129)&lt;&gt;1),"0",CONCATENATE("$",TRIM(D129),"$",TRIM(E129),"$",F129,"$"))</f>
        <v/>
      </c>
      <c r="D129" s="415" t="n"/>
      <c r="E129" s="416" t="n"/>
      <c r="F129" s="417" t="n"/>
      <c r="G129" s="156" t="inlineStr">
        <is>
          <t>план</t>
        </is>
      </c>
      <c r="H129" s="157" t="n"/>
      <c r="I129" s="158" t="n"/>
      <c r="J129" s="418" t="n"/>
      <c r="K129" s="419" t="n"/>
      <c r="L129" s="420" t="n"/>
      <c r="M129" s="418" t="n"/>
      <c r="N129" s="419" t="n"/>
      <c r="O129" s="420" t="n"/>
      <c r="P129" s="418" t="n"/>
      <c r="Q129" s="419" t="n"/>
      <c r="R129" s="420" t="n"/>
      <c r="S129" s="418" t="n"/>
      <c r="T129" s="419" t="n"/>
      <c r="U129" s="421" t="n"/>
      <c r="V129" s="420" t="n"/>
      <c r="W129" s="420" t="n"/>
      <c r="X129" s="422">
        <f>SUM(J129:W129)</f>
        <v/>
      </c>
      <c r="Y129" s="423">
        <f>X130-X129</f>
        <v/>
      </c>
      <c r="Z129" s="209" t="n"/>
    </row>
    <row r="130" ht="14.25" customHeight="1" s="296">
      <c r="A130" s="154">
        <f>-A129</f>
        <v/>
      </c>
      <c r="B130" s="154">
        <f>B129</f>
        <v/>
      </c>
      <c r="C130" s="163" t="n"/>
      <c r="D130" s="424" t="n"/>
      <c r="E130" s="425" t="n"/>
      <c r="F130" s="426" t="n"/>
      <c r="G130" s="164" t="inlineStr">
        <is>
          <t>факт</t>
        </is>
      </c>
      <c r="H130" s="165" t="n"/>
      <c r="I130" s="250" t="n"/>
      <c r="J130" s="427">
        <f>SUMIF('02'!$D$7:$D$159,$C129,'02'!L$7:L$159)+SUMIF('03'!$D$7:$D$159,$C129,'03'!L$7:L$159)+SUMIF('04'!$D$7:$D$159,$C129,'04'!L$7:L$159)+SUMIF('05'!$D$7:$D$159,$C129,'05'!L$7:L$159)+SUMIF('06'!$D$7:$D$159,$C129,'06'!L$7:L$159)+SUMIF('07'!$D$7:$D$159,$C129,'07'!L$7:L$159)+SUMIF('08'!$D$7:$D$159,$C129,'08'!L$7:L$159)</f>
        <v/>
      </c>
      <c r="K130" s="428">
        <f>SUMIF('02'!$D$7:$D$159,$C129,'02'!M$7:M$159)+SUMIF('03'!$D$7:$D$159,$C129,'03'!M$7:M$159)+SUMIF('04'!$D$7:$D$159,$C129,'04'!M$7:M$159)+SUMIF('05'!$D$7:$D$159,$C129,'05'!M$7:M$159)+SUMIF('06'!$D$7:$D$159,$C129,'06'!M$7:M$159)+SUMIF('07'!$D$7:$D$159,$C129,'07'!M$7:M$159)+SUMIF('08'!$D$7:$D$159,$C129,'08'!M$7:M$159)</f>
        <v/>
      </c>
      <c r="L130" s="429">
        <f>SUMIF('02'!$D$7:$D$159,$C129,'02'!N$7:N$159)+SUMIF('03'!$D$7:$D$159,$C129,'03'!N$7:N$159)+SUMIF('04'!$D$7:$D$159,$C129,'04'!N$7:N$159)+SUMIF('05'!$D$7:$D$159,$C129,'05'!N$7:N$159)+SUMIF('06'!$D$7:$D$159,$C129,'06'!N$7:N$159)+SUMIF('07'!$D$7:$D$159,$C129,'07'!N$7:N$159)+SUMIF('08'!$D$7:$D$159,$C129,'08'!N$7:N$159)</f>
        <v/>
      </c>
      <c r="M130" s="427">
        <f>SUMIF('02'!$D$7:$D$159,$C129,'02'!O$7:O$159)+SUMIF('03'!$D$7:$D$159,$C129,'03'!O$7:O$159)+SUMIF('04'!$D$7:$D$159,$C129,'04'!O$7:O$159)+SUMIF('05'!$D$7:$D$159,$C129,'05'!O$7:O$159)+SUMIF('06'!$D$7:$D$159,$C129,'06'!O$7:O$159)+SUMIF('07'!$D$7:$D$159,$C129,'07'!O$7:O$159)+SUMIF('08'!$D$7:$D$159,$C129,'08'!O$7:O$159)</f>
        <v/>
      </c>
      <c r="N130" s="428">
        <f>SUMIF('02'!$D$7:$D$159,$C129,'02'!P$7:P$159)+SUMIF('03'!$D$7:$D$159,$C129,'03'!P$7:P$159)+SUMIF('04'!$D$7:$D$159,$C129,'04'!P$7:P$159)+SUMIF('05'!$D$7:$D$159,$C129,'05'!P$7:P$159)+SUMIF('06'!$D$7:$D$159,$C129,'06'!P$7:P$159)+SUMIF('07'!$D$7:$D$159,$C129,'07'!P$7:P$159)+SUMIF('08'!$D$7:$D$159,$C129,'08'!P$7:P$159)</f>
        <v/>
      </c>
      <c r="O130" s="429">
        <f>SUMIF('02'!$D$7:$D$159,$C129,'02'!Q$7:Q$159)+SUMIF('03'!$D$7:$D$159,$C129,'03'!Q$7:Q$159)+SUMIF('04'!$D$7:$D$159,$C129,'04'!Q$7:Q$159)+SUMIF('05'!$D$7:$D$159,$C129,'05'!Q$7:Q$159)+SUMIF('06'!$D$7:$D$159,$C129,'06'!Q$7:Q$159)+SUMIF('07'!$D$7:$D$159,$C129,'07'!Q$7:Q$159)+SUMIF('08'!$D$7:$D$159,$C129,'08'!Q$7:Q$159)</f>
        <v/>
      </c>
      <c r="P130" s="427">
        <f>SUMIF('02'!$D$7:$D$159,$C129,'02'!R$7:R$159)+SUMIF('03'!$D$7:$D$159,$C129,'03'!R$7:R$159)+SUMIF('04'!$D$7:$D$159,$C129,'04'!R$7:R$159)+SUMIF('05'!$D$7:$D$159,$C129,'05'!R$7:R$159)+SUMIF('06'!$D$7:$D$159,$C129,'06'!R$7:R$159)+SUMIF('07'!$D$7:$D$159,$C129,'07'!R$7:R$159)+SUMIF('08'!$D$7:$D$159,$C129,'08'!R$7:R$159)</f>
        <v/>
      </c>
      <c r="Q130" s="428">
        <f>SUMIF('02'!$D$7:$D$159,$C129,'02'!S$7:S$159)+SUMIF('03'!$D$7:$D$159,$C129,'03'!S$7:S$159)+SUMIF('04'!$D$7:$D$159,$C129,'04'!S$7:S$159)+SUMIF('05'!$D$7:$D$159,$C129,'05'!S$7:S$159)+SUMIF('06'!$D$7:$D$159,$C129,'06'!S$7:S$159)+SUMIF('07'!$D$7:$D$159,$C129,'07'!S$7:S$159)+SUMIF('08'!$D$7:$D$159,$C129,'08'!S$7:S$159)</f>
        <v/>
      </c>
      <c r="R130" s="429">
        <f>SUMIF('02'!$D$7:$D$159,$C129,'02'!T$7:T$159)+SUMIF('03'!$D$7:$D$159,$C129,'03'!T$7:T$159)+SUMIF('04'!$D$7:$D$159,$C129,'04'!T$7:T$159)+SUMIF('05'!$D$7:$D$159,$C129,'05'!T$7:T$159)+SUMIF('06'!$D$7:$D$159,$C129,'06'!T$7:T$159)+SUMIF('07'!$D$7:$D$159,$C129,'07'!T$7:T$159)+SUMIF('08'!$D$7:$D$159,$C129,'08'!T$7:T$159)</f>
        <v/>
      </c>
      <c r="S130" s="427">
        <f>SUMIF('02'!$D$7:$D$159,$C129,'02'!U$7:U$159)+SUMIF('03'!$D$7:$D$159,$C129,'03'!U$7:U$159)+SUMIF('04'!$D$7:$D$159,$C129,'04'!U$7:U$159)+SUMIF('05'!$D$7:$D$159,$C129,'05'!U$7:U$159)+SUMIF('06'!$D$7:$D$159,$C129,'06'!U$7:U$159)+SUMIF('07'!$D$7:$D$159,$C129,'07'!U$7:U$159)+SUMIF('08'!$D$7:$D$159,$C129,'08'!U$7:U$159)</f>
        <v/>
      </c>
      <c r="T130" s="428">
        <f>SUMIF('02'!$D$7:$D$159,$C129,'02'!V$7:V$159)+SUMIF('03'!$D$7:$D$159,$C129,'03'!V$7:V$159)+SUMIF('04'!$D$7:$D$159,$C129,'04'!V$7:V$159)+SUMIF('05'!$D$7:$D$159,$C129,'05'!V$7:V$159)+SUMIF('06'!$D$7:$D$159,$C129,'06'!V$7:V$159)+SUMIF('07'!$D$7:$D$159,$C129,'07'!V$7:V$159)+SUMIF('08'!$D$7:$D$159,$C129,'08'!V$7:V$159)</f>
        <v/>
      </c>
      <c r="U130" s="430">
        <f>SUMIF('02'!$D$7:$D$159,$C129,'02'!W$7:W$159)+SUMIF('03'!$D$7:$D$159,$C129,'03'!W$7:W$159)+SUMIF('04'!$D$7:$D$159,$C129,'04'!W$7:W$159)+SUMIF('05'!$D$7:$D$159,$C129,'05'!W$7:W$159)+SUMIF('06'!$D$7:$D$159,$C129,'06'!W$7:W$159)+SUMIF('07'!$D$7:$D$159,$C129,'07'!W$7:W$159)+SUMIF('08'!$D$7:$D$159,$C129,'08'!W$7:W$159)</f>
        <v/>
      </c>
      <c r="V130" s="429">
        <f>SUMIF('02'!$D$7:$D$159,$C129,'02'!X$7:X$159)+SUMIF('03'!$D$7:$D$159,$C129,'03'!X$7:X$159)+SUMIF('04'!$D$7:$D$159,$C129,'04'!X$7:X$159)+SUMIF('05'!$D$7:$D$159,$C129,'05'!X$7:X$159)+SUMIF('06'!$D$7:$D$159,$C129,'06'!X$7:X$159)+SUMIF('07'!$D$7:$D$159,$C129,'07'!X$7:X$159)+SUMIF('08'!$D$7:$D$159,$C129,'08'!X$7:X$159)</f>
        <v/>
      </c>
      <c r="W130" s="429">
        <f>SUMIF('02'!$D$7:$D$159,$C129,'02'!Y$7:Y$159)+SUMIF('03'!$D$7:$D$159,$C129,'03'!Y$7:Y$159)+SUMIF('04'!$D$7:$D$159,$C129,'04'!Y$7:Y$159)+SUMIF('05'!$D$7:$D$159,$C129,'05'!Y$7:Y$159)+SUMIF('06'!$D$7:$D$159,$C129,'06'!Y$7:Y$159)+SUMIF('07'!$D$7:$D$159,$C129,'07'!Y$7:Y$159)+SUMIF('08'!$D$7:$D$159,$C129,'08'!Y$7:Y$159)</f>
        <v/>
      </c>
      <c r="X130" s="431">
        <f>SUM(J130:W130)</f>
        <v/>
      </c>
      <c r="Y130" s="413" t="n"/>
      <c r="Z130" s="432" t="n"/>
    </row>
    <row r="131" ht="14.25" customHeight="1" s="296">
      <c r="A131" s="154">
        <f>IF(OR(C131="0",COUNTIF(КлючВесна,C131)&gt;1),0,MATCH(F131,ВидыНагр,0))</f>
        <v/>
      </c>
      <c r="B131" s="154">
        <f>(COUNTA(D131:F132,J131:W131,H131:I132)=0)</f>
        <v/>
      </c>
      <c r="C131" s="155">
        <f>IF(OR(TRIM(D131)="",COUNTIF(ВидыНагр,F131)&lt;&gt;1),"0",CONCATENATE("$",TRIM(D131),"$",TRIM(E131),"$",F131,"$"))</f>
        <v/>
      </c>
      <c r="D131" s="415" t="n"/>
      <c r="E131" s="416" t="n"/>
      <c r="F131" s="417" t="n"/>
      <c r="G131" s="156" t="inlineStr">
        <is>
          <t>план</t>
        </is>
      </c>
      <c r="H131" s="157" t="n"/>
      <c r="I131" s="158" t="n"/>
      <c r="J131" s="418" t="n"/>
      <c r="K131" s="419" t="n"/>
      <c r="L131" s="420" t="n"/>
      <c r="M131" s="418" t="n"/>
      <c r="N131" s="419" t="n"/>
      <c r="O131" s="420" t="n"/>
      <c r="P131" s="418" t="n"/>
      <c r="Q131" s="419" t="n"/>
      <c r="R131" s="420" t="n"/>
      <c r="S131" s="418" t="n"/>
      <c r="T131" s="419" t="n"/>
      <c r="U131" s="421" t="n"/>
      <c r="V131" s="420" t="n"/>
      <c r="W131" s="420" t="n"/>
      <c r="X131" s="422">
        <f>SUM(J131:W131)</f>
        <v/>
      </c>
      <c r="Y131" s="423">
        <f>X132-X131</f>
        <v/>
      </c>
      <c r="Z131" s="209" t="n"/>
    </row>
    <row r="132" ht="14.25" customHeight="1" s="296">
      <c r="A132" s="154">
        <f>-A131</f>
        <v/>
      </c>
      <c r="B132" s="154">
        <f>B131</f>
        <v/>
      </c>
      <c r="C132" s="163" t="n"/>
      <c r="D132" s="424" t="n"/>
      <c r="E132" s="425" t="n"/>
      <c r="F132" s="426" t="n"/>
      <c r="G132" s="164" t="inlineStr">
        <is>
          <t>факт</t>
        </is>
      </c>
      <c r="H132" s="165" t="n"/>
      <c r="I132" s="250" t="n"/>
      <c r="J132" s="427">
        <f>SUMIF('02'!$D$7:$D$159,$C131,'02'!L$7:L$159)+SUMIF('03'!$D$7:$D$159,$C131,'03'!L$7:L$159)+SUMIF('04'!$D$7:$D$159,$C131,'04'!L$7:L$159)+SUMIF('05'!$D$7:$D$159,$C131,'05'!L$7:L$159)+SUMIF('06'!$D$7:$D$159,$C131,'06'!L$7:L$159)+SUMIF('07'!$D$7:$D$159,$C131,'07'!L$7:L$159)+SUMIF('08'!$D$7:$D$159,$C131,'08'!L$7:L$159)</f>
        <v/>
      </c>
      <c r="K132" s="428">
        <f>SUMIF('02'!$D$7:$D$159,$C131,'02'!M$7:M$159)+SUMIF('03'!$D$7:$D$159,$C131,'03'!M$7:M$159)+SUMIF('04'!$D$7:$D$159,$C131,'04'!M$7:M$159)+SUMIF('05'!$D$7:$D$159,$C131,'05'!M$7:M$159)+SUMIF('06'!$D$7:$D$159,$C131,'06'!M$7:M$159)+SUMIF('07'!$D$7:$D$159,$C131,'07'!M$7:M$159)+SUMIF('08'!$D$7:$D$159,$C131,'08'!M$7:M$159)</f>
        <v/>
      </c>
      <c r="L132" s="429">
        <f>SUMIF('02'!$D$7:$D$159,$C131,'02'!N$7:N$159)+SUMIF('03'!$D$7:$D$159,$C131,'03'!N$7:N$159)+SUMIF('04'!$D$7:$D$159,$C131,'04'!N$7:N$159)+SUMIF('05'!$D$7:$D$159,$C131,'05'!N$7:N$159)+SUMIF('06'!$D$7:$D$159,$C131,'06'!N$7:N$159)+SUMIF('07'!$D$7:$D$159,$C131,'07'!N$7:N$159)+SUMIF('08'!$D$7:$D$159,$C131,'08'!N$7:N$159)</f>
        <v/>
      </c>
      <c r="M132" s="427">
        <f>SUMIF('02'!$D$7:$D$159,$C131,'02'!O$7:O$159)+SUMIF('03'!$D$7:$D$159,$C131,'03'!O$7:O$159)+SUMIF('04'!$D$7:$D$159,$C131,'04'!O$7:O$159)+SUMIF('05'!$D$7:$D$159,$C131,'05'!O$7:O$159)+SUMIF('06'!$D$7:$D$159,$C131,'06'!O$7:O$159)+SUMIF('07'!$D$7:$D$159,$C131,'07'!O$7:O$159)+SUMIF('08'!$D$7:$D$159,$C131,'08'!O$7:O$159)</f>
        <v/>
      </c>
      <c r="N132" s="428">
        <f>SUMIF('02'!$D$7:$D$159,$C131,'02'!P$7:P$159)+SUMIF('03'!$D$7:$D$159,$C131,'03'!P$7:P$159)+SUMIF('04'!$D$7:$D$159,$C131,'04'!P$7:P$159)+SUMIF('05'!$D$7:$D$159,$C131,'05'!P$7:P$159)+SUMIF('06'!$D$7:$D$159,$C131,'06'!P$7:P$159)+SUMIF('07'!$D$7:$D$159,$C131,'07'!P$7:P$159)+SUMIF('08'!$D$7:$D$159,$C131,'08'!P$7:P$159)</f>
        <v/>
      </c>
      <c r="O132" s="429">
        <f>SUMIF('02'!$D$7:$D$159,$C131,'02'!Q$7:Q$159)+SUMIF('03'!$D$7:$D$159,$C131,'03'!Q$7:Q$159)+SUMIF('04'!$D$7:$D$159,$C131,'04'!Q$7:Q$159)+SUMIF('05'!$D$7:$D$159,$C131,'05'!Q$7:Q$159)+SUMIF('06'!$D$7:$D$159,$C131,'06'!Q$7:Q$159)+SUMIF('07'!$D$7:$D$159,$C131,'07'!Q$7:Q$159)+SUMIF('08'!$D$7:$D$159,$C131,'08'!Q$7:Q$159)</f>
        <v/>
      </c>
      <c r="P132" s="427">
        <f>SUMIF('02'!$D$7:$D$159,$C131,'02'!R$7:R$159)+SUMIF('03'!$D$7:$D$159,$C131,'03'!R$7:R$159)+SUMIF('04'!$D$7:$D$159,$C131,'04'!R$7:R$159)+SUMIF('05'!$D$7:$D$159,$C131,'05'!R$7:R$159)+SUMIF('06'!$D$7:$D$159,$C131,'06'!R$7:R$159)+SUMIF('07'!$D$7:$D$159,$C131,'07'!R$7:R$159)+SUMIF('08'!$D$7:$D$159,$C131,'08'!R$7:R$159)</f>
        <v/>
      </c>
      <c r="Q132" s="428">
        <f>SUMIF('02'!$D$7:$D$159,$C131,'02'!S$7:S$159)+SUMIF('03'!$D$7:$D$159,$C131,'03'!S$7:S$159)+SUMIF('04'!$D$7:$D$159,$C131,'04'!S$7:S$159)+SUMIF('05'!$D$7:$D$159,$C131,'05'!S$7:S$159)+SUMIF('06'!$D$7:$D$159,$C131,'06'!S$7:S$159)+SUMIF('07'!$D$7:$D$159,$C131,'07'!S$7:S$159)+SUMIF('08'!$D$7:$D$159,$C131,'08'!S$7:S$159)</f>
        <v/>
      </c>
      <c r="R132" s="429">
        <f>SUMIF('02'!$D$7:$D$159,$C131,'02'!T$7:T$159)+SUMIF('03'!$D$7:$D$159,$C131,'03'!T$7:T$159)+SUMIF('04'!$D$7:$D$159,$C131,'04'!T$7:T$159)+SUMIF('05'!$D$7:$D$159,$C131,'05'!T$7:T$159)+SUMIF('06'!$D$7:$D$159,$C131,'06'!T$7:T$159)+SUMIF('07'!$D$7:$D$159,$C131,'07'!T$7:T$159)+SUMIF('08'!$D$7:$D$159,$C131,'08'!T$7:T$159)</f>
        <v/>
      </c>
      <c r="S132" s="427">
        <f>SUMIF('02'!$D$7:$D$159,$C131,'02'!U$7:U$159)+SUMIF('03'!$D$7:$D$159,$C131,'03'!U$7:U$159)+SUMIF('04'!$D$7:$D$159,$C131,'04'!U$7:U$159)+SUMIF('05'!$D$7:$D$159,$C131,'05'!U$7:U$159)+SUMIF('06'!$D$7:$D$159,$C131,'06'!U$7:U$159)+SUMIF('07'!$D$7:$D$159,$C131,'07'!U$7:U$159)+SUMIF('08'!$D$7:$D$159,$C131,'08'!U$7:U$159)</f>
        <v/>
      </c>
      <c r="T132" s="428">
        <f>SUMIF('02'!$D$7:$D$159,$C131,'02'!V$7:V$159)+SUMIF('03'!$D$7:$D$159,$C131,'03'!V$7:V$159)+SUMIF('04'!$D$7:$D$159,$C131,'04'!V$7:V$159)+SUMIF('05'!$D$7:$D$159,$C131,'05'!V$7:V$159)+SUMIF('06'!$D$7:$D$159,$C131,'06'!V$7:V$159)+SUMIF('07'!$D$7:$D$159,$C131,'07'!V$7:V$159)+SUMIF('08'!$D$7:$D$159,$C131,'08'!V$7:V$159)</f>
        <v/>
      </c>
      <c r="U132" s="430">
        <f>SUMIF('02'!$D$7:$D$159,$C131,'02'!W$7:W$159)+SUMIF('03'!$D$7:$D$159,$C131,'03'!W$7:W$159)+SUMIF('04'!$D$7:$D$159,$C131,'04'!W$7:W$159)+SUMIF('05'!$D$7:$D$159,$C131,'05'!W$7:W$159)+SUMIF('06'!$D$7:$D$159,$C131,'06'!W$7:W$159)+SUMIF('07'!$D$7:$D$159,$C131,'07'!W$7:W$159)+SUMIF('08'!$D$7:$D$159,$C131,'08'!W$7:W$159)</f>
        <v/>
      </c>
      <c r="V132" s="429">
        <f>SUMIF('02'!$D$7:$D$159,$C131,'02'!X$7:X$159)+SUMIF('03'!$D$7:$D$159,$C131,'03'!X$7:X$159)+SUMIF('04'!$D$7:$D$159,$C131,'04'!X$7:X$159)+SUMIF('05'!$D$7:$D$159,$C131,'05'!X$7:X$159)+SUMIF('06'!$D$7:$D$159,$C131,'06'!X$7:X$159)+SUMIF('07'!$D$7:$D$159,$C131,'07'!X$7:X$159)+SUMIF('08'!$D$7:$D$159,$C131,'08'!X$7:X$159)</f>
        <v/>
      </c>
      <c r="W132" s="429">
        <f>SUMIF('02'!$D$7:$D$159,$C131,'02'!Y$7:Y$159)+SUMIF('03'!$D$7:$D$159,$C131,'03'!Y$7:Y$159)+SUMIF('04'!$D$7:$D$159,$C131,'04'!Y$7:Y$159)+SUMIF('05'!$D$7:$D$159,$C131,'05'!Y$7:Y$159)+SUMIF('06'!$D$7:$D$159,$C131,'06'!Y$7:Y$159)+SUMIF('07'!$D$7:$D$159,$C131,'07'!Y$7:Y$159)+SUMIF('08'!$D$7:$D$159,$C131,'08'!Y$7:Y$159)</f>
        <v/>
      </c>
      <c r="X132" s="431">
        <f>SUM(J132:W132)</f>
        <v/>
      </c>
      <c r="Y132" s="413" t="n"/>
      <c r="Z132" s="432" t="n"/>
    </row>
    <row r="133" ht="14.25" customHeight="1" s="296">
      <c r="A133" s="154">
        <f>IF(OR(C133="0",COUNTIF(КлючВесна,C133)&gt;1),0,MATCH(F133,ВидыНагр,0))</f>
        <v/>
      </c>
      <c r="B133" s="154">
        <f>(COUNTA(D133:F134,J133:W133,H133:I134)=0)</f>
        <v/>
      </c>
      <c r="C133" s="155">
        <f>IF(OR(TRIM(D133)="",COUNTIF(ВидыНагр,F133)&lt;&gt;1),"0",CONCATENATE("$",TRIM(D133),"$",TRIM(E133),"$",F133,"$"))</f>
        <v/>
      </c>
      <c r="D133" s="415" t="n"/>
      <c r="E133" s="416" t="n"/>
      <c r="F133" s="417" t="n"/>
      <c r="G133" s="156" t="inlineStr">
        <is>
          <t>план</t>
        </is>
      </c>
      <c r="H133" s="157" t="n"/>
      <c r="I133" s="158" t="n"/>
      <c r="J133" s="418" t="n"/>
      <c r="K133" s="419" t="n"/>
      <c r="L133" s="420" t="n"/>
      <c r="M133" s="418" t="n"/>
      <c r="N133" s="419" t="n"/>
      <c r="O133" s="420" t="n"/>
      <c r="P133" s="418" t="n"/>
      <c r="Q133" s="419" t="n"/>
      <c r="R133" s="420" t="n"/>
      <c r="S133" s="418" t="n"/>
      <c r="T133" s="419" t="n"/>
      <c r="U133" s="421" t="n"/>
      <c r="V133" s="420" t="n"/>
      <c r="W133" s="420" t="n"/>
      <c r="X133" s="422">
        <f>SUM(J133:W133)</f>
        <v/>
      </c>
      <c r="Y133" s="423">
        <f>X134-X133</f>
        <v/>
      </c>
      <c r="Z133" s="209" t="n"/>
    </row>
    <row r="134" ht="14.25" customHeight="1" s="296">
      <c r="A134" s="154">
        <f>-A133</f>
        <v/>
      </c>
      <c r="B134" s="154">
        <f>B133</f>
        <v/>
      </c>
      <c r="C134" s="163" t="n"/>
      <c r="D134" s="424" t="n"/>
      <c r="E134" s="425" t="n"/>
      <c r="F134" s="426" t="n"/>
      <c r="G134" s="164" t="inlineStr">
        <is>
          <t>факт</t>
        </is>
      </c>
      <c r="H134" s="165" t="n"/>
      <c r="I134" s="250" t="n"/>
      <c r="J134" s="427">
        <f>SUMIF('02'!$D$7:$D$159,$C133,'02'!L$7:L$159)+SUMIF('03'!$D$7:$D$159,$C133,'03'!L$7:L$159)+SUMIF('04'!$D$7:$D$159,$C133,'04'!L$7:L$159)+SUMIF('05'!$D$7:$D$159,$C133,'05'!L$7:L$159)+SUMIF('06'!$D$7:$D$159,$C133,'06'!L$7:L$159)+SUMIF('07'!$D$7:$D$159,$C133,'07'!L$7:L$159)+SUMIF('08'!$D$7:$D$159,$C133,'08'!L$7:L$159)</f>
        <v/>
      </c>
      <c r="K134" s="428">
        <f>SUMIF('02'!$D$7:$D$159,$C133,'02'!M$7:M$159)+SUMIF('03'!$D$7:$D$159,$C133,'03'!M$7:M$159)+SUMIF('04'!$D$7:$D$159,$C133,'04'!M$7:M$159)+SUMIF('05'!$D$7:$D$159,$C133,'05'!M$7:M$159)+SUMIF('06'!$D$7:$D$159,$C133,'06'!M$7:M$159)+SUMIF('07'!$D$7:$D$159,$C133,'07'!M$7:M$159)+SUMIF('08'!$D$7:$D$159,$C133,'08'!M$7:M$159)</f>
        <v/>
      </c>
      <c r="L134" s="429">
        <f>SUMIF('02'!$D$7:$D$159,$C133,'02'!N$7:N$159)+SUMIF('03'!$D$7:$D$159,$C133,'03'!N$7:N$159)+SUMIF('04'!$D$7:$D$159,$C133,'04'!N$7:N$159)+SUMIF('05'!$D$7:$D$159,$C133,'05'!N$7:N$159)+SUMIF('06'!$D$7:$D$159,$C133,'06'!N$7:N$159)+SUMIF('07'!$D$7:$D$159,$C133,'07'!N$7:N$159)+SUMIF('08'!$D$7:$D$159,$C133,'08'!N$7:N$159)</f>
        <v/>
      </c>
      <c r="M134" s="427">
        <f>SUMIF('02'!$D$7:$D$159,$C133,'02'!O$7:O$159)+SUMIF('03'!$D$7:$D$159,$C133,'03'!O$7:O$159)+SUMIF('04'!$D$7:$D$159,$C133,'04'!O$7:O$159)+SUMIF('05'!$D$7:$D$159,$C133,'05'!O$7:O$159)+SUMIF('06'!$D$7:$D$159,$C133,'06'!O$7:O$159)+SUMIF('07'!$D$7:$D$159,$C133,'07'!O$7:O$159)+SUMIF('08'!$D$7:$D$159,$C133,'08'!O$7:O$159)</f>
        <v/>
      </c>
      <c r="N134" s="428">
        <f>SUMIF('02'!$D$7:$D$159,$C133,'02'!P$7:P$159)+SUMIF('03'!$D$7:$D$159,$C133,'03'!P$7:P$159)+SUMIF('04'!$D$7:$D$159,$C133,'04'!P$7:P$159)+SUMIF('05'!$D$7:$D$159,$C133,'05'!P$7:P$159)+SUMIF('06'!$D$7:$D$159,$C133,'06'!P$7:P$159)+SUMIF('07'!$D$7:$D$159,$C133,'07'!P$7:P$159)+SUMIF('08'!$D$7:$D$159,$C133,'08'!P$7:P$159)</f>
        <v/>
      </c>
      <c r="O134" s="429">
        <f>SUMIF('02'!$D$7:$D$159,$C133,'02'!Q$7:Q$159)+SUMIF('03'!$D$7:$D$159,$C133,'03'!Q$7:Q$159)+SUMIF('04'!$D$7:$D$159,$C133,'04'!Q$7:Q$159)+SUMIF('05'!$D$7:$D$159,$C133,'05'!Q$7:Q$159)+SUMIF('06'!$D$7:$D$159,$C133,'06'!Q$7:Q$159)+SUMIF('07'!$D$7:$D$159,$C133,'07'!Q$7:Q$159)+SUMIF('08'!$D$7:$D$159,$C133,'08'!Q$7:Q$159)</f>
        <v/>
      </c>
      <c r="P134" s="427">
        <f>SUMIF('02'!$D$7:$D$159,$C133,'02'!R$7:R$159)+SUMIF('03'!$D$7:$D$159,$C133,'03'!R$7:R$159)+SUMIF('04'!$D$7:$D$159,$C133,'04'!R$7:R$159)+SUMIF('05'!$D$7:$D$159,$C133,'05'!R$7:R$159)+SUMIF('06'!$D$7:$D$159,$C133,'06'!R$7:R$159)+SUMIF('07'!$D$7:$D$159,$C133,'07'!R$7:R$159)+SUMIF('08'!$D$7:$D$159,$C133,'08'!R$7:R$159)</f>
        <v/>
      </c>
      <c r="Q134" s="428">
        <f>SUMIF('02'!$D$7:$D$159,$C133,'02'!S$7:S$159)+SUMIF('03'!$D$7:$D$159,$C133,'03'!S$7:S$159)+SUMIF('04'!$D$7:$D$159,$C133,'04'!S$7:S$159)+SUMIF('05'!$D$7:$D$159,$C133,'05'!S$7:S$159)+SUMIF('06'!$D$7:$D$159,$C133,'06'!S$7:S$159)+SUMIF('07'!$D$7:$D$159,$C133,'07'!S$7:S$159)+SUMIF('08'!$D$7:$D$159,$C133,'08'!S$7:S$159)</f>
        <v/>
      </c>
      <c r="R134" s="429">
        <f>SUMIF('02'!$D$7:$D$159,$C133,'02'!T$7:T$159)+SUMIF('03'!$D$7:$D$159,$C133,'03'!T$7:T$159)+SUMIF('04'!$D$7:$D$159,$C133,'04'!T$7:T$159)+SUMIF('05'!$D$7:$D$159,$C133,'05'!T$7:T$159)+SUMIF('06'!$D$7:$D$159,$C133,'06'!T$7:T$159)+SUMIF('07'!$D$7:$D$159,$C133,'07'!T$7:T$159)+SUMIF('08'!$D$7:$D$159,$C133,'08'!T$7:T$159)</f>
        <v/>
      </c>
      <c r="S134" s="427">
        <f>SUMIF('02'!$D$7:$D$159,$C133,'02'!U$7:U$159)+SUMIF('03'!$D$7:$D$159,$C133,'03'!U$7:U$159)+SUMIF('04'!$D$7:$D$159,$C133,'04'!U$7:U$159)+SUMIF('05'!$D$7:$D$159,$C133,'05'!U$7:U$159)+SUMIF('06'!$D$7:$D$159,$C133,'06'!U$7:U$159)+SUMIF('07'!$D$7:$D$159,$C133,'07'!U$7:U$159)+SUMIF('08'!$D$7:$D$159,$C133,'08'!U$7:U$159)</f>
        <v/>
      </c>
      <c r="T134" s="428">
        <f>SUMIF('02'!$D$7:$D$159,$C133,'02'!V$7:V$159)+SUMIF('03'!$D$7:$D$159,$C133,'03'!V$7:V$159)+SUMIF('04'!$D$7:$D$159,$C133,'04'!V$7:V$159)+SUMIF('05'!$D$7:$D$159,$C133,'05'!V$7:V$159)+SUMIF('06'!$D$7:$D$159,$C133,'06'!V$7:V$159)+SUMIF('07'!$D$7:$D$159,$C133,'07'!V$7:V$159)+SUMIF('08'!$D$7:$D$159,$C133,'08'!V$7:V$159)</f>
        <v/>
      </c>
      <c r="U134" s="430">
        <f>SUMIF('02'!$D$7:$D$159,$C133,'02'!W$7:W$159)+SUMIF('03'!$D$7:$D$159,$C133,'03'!W$7:W$159)+SUMIF('04'!$D$7:$D$159,$C133,'04'!W$7:W$159)+SUMIF('05'!$D$7:$D$159,$C133,'05'!W$7:W$159)+SUMIF('06'!$D$7:$D$159,$C133,'06'!W$7:W$159)+SUMIF('07'!$D$7:$D$159,$C133,'07'!W$7:W$159)+SUMIF('08'!$D$7:$D$159,$C133,'08'!W$7:W$159)</f>
        <v/>
      </c>
      <c r="V134" s="429">
        <f>SUMIF('02'!$D$7:$D$159,$C133,'02'!X$7:X$159)+SUMIF('03'!$D$7:$D$159,$C133,'03'!X$7:X$159)+SUMIF('04'!$D$7:$D$159,$C133,'04'!X$7:X$159)+SUMIF('05'!$D$7:$D$159,$C133,'05'!X$7:X$159)+SUMIF('06'!$D$7:$D$159,$C133,'06'!X$7:X$159)+SUMIF('07'!$D$7:$D$159,$C133,'07'!X$7:X$159)+SUMIF('08'!$D$7:$D$159,$C133,'08'!X$7:X$159)</f>
        <v/>
      </c>
      <c r="W134" s="429">
        <f>SUMIF('02'!$D$7:$D$159,$C133,'02'!Y$7:Y$159)+SUMIF('03'!$D$7:$D$159,$C133,'03'!Y$7:Y$159)+SUMIF('04'!$D$7:$D$159,$C133,'04'!Y$7:Y$159)+SUMIF('05'!$D$7:$D$159,$C133,'05'!Y$7:Y$159)+SUMIF('06'!$D$7:$D$159,$C133,'06'!Y$7:Y$159)+SUMIF('07'!$D$7:$D$159,$C133,'07'!Y$7:Y$159)+SUMIF('08'!$D$7:$D$159,$C133,'08'!Y$7:Y$159)</f>
        <v/>
      </c>
      <c r="X134" s="431">
        <f>SUM(J134:W134)</f>
        <v/>
      </c>
      <c r="Y134" s="413" t="n"/>
      <c r="Z134" s="432" t="n"/>
    </row>
    <row r="135" ht="14.25" customHeight="1" s="296">
      <c r="A135" s="154">
        <f>IF(OR(C135="0",COUNTIF(КлючВесна,C135)&gt;1),0,MATCH(F135,ВидыНагр,0))</f>
        <v/>
      </c>
      <c r="B135" s="154">
        <f>(COUNTA(D135:F136,J135:W135,H135:I136)=0)</f>
        <v/>
      </c>
      <c r="C135" s="155">
        <f>IF(OR(TRIM(D135)="",COUNTIF(ВидыНагр,F135)&lt;&gt;1),"0",CONCATENATE("$",TRIM(D135),"$",TRIM(E135),"$",F135,"$"))</f>
        <v/>
      </c>
      <c r="D135" s="415" t="n"/>
      <c r="E135" s="416" t="n"/>
      <c r="F135" s="417" t="n"/>
      <c r="G135" s="156" t="inlineStr">
        <is>
          <t>план</t>
        </is>
      </c>
      <c r="H135" s="157" t="n"/>
      <c r="I135" s="158" t="n"/>
      <c r="J135" s="418" t="n"/>
      <c r="K135" s="419" t="n"/>
      <c r="L135" s="420" t="n"/>
      <c r="M135" s="418" t="n"/>
      <c r="N135" s="419" t="n"/>
      <c r="O135" s="420" t="n"/>
      <c r="P135" s="418" t="n"/>
      <c r="Q135" s="419" t="n"/>
      <c r="R135" s="420" t="n"/>
      <c r="S135" s="418" t="n"/>
      <c r="T135" s="419" t="n"/>
      <c r="U135" s="421" t="n"/>
      <c r="V135" s="420" t="n"/>
      <c r="W135" s="420" t="n"/>
      <c r="X135" s="422">
        <f>SUM(J135:W135)</f>
        <v/>
      </c>
      <c r="Y135" s="423">
        <f>X136-X135</f>
        <v/>
      </c>
      <c r="Z135" s="209" t="n"/>
    </row>
    <row r="136" ht="14.25" customHeight="1" s="296">
      <c r="A136" s="154">
        <f>-A135</f>
        <v/>
      </c>
      <c r="B136" s="154">
        <f>B135</f>
        <v/>
      </c>
      <c r="C136" s="163" t="n"/>
      <c r="D136" s="424" t="n"/>
      <c r="E136" s="425" t="n"/>
      <c r="F136" s="426" t="n"/>
      <c r="G136" s="164" t="inlineStr">
        <is>
          <t>факт</t>
        </is>
      </c>
      <c r="H136" s="165" t="n"/>
      <c r="I136" s="250" t="n"/>
      <c r="J136" s="427">
        <f>SUMIF('02'!$D$7:$D$159,$C135,'02'!L$7:L$159)+SUMIF('03'!$D$7:$D$159,$C135,'03'!L$7:L$159)+SUMIF('04'!$D$7:$D$159,$C135,'04'!L$7:L$159)+SUMIF('05'!$D$7:$D$159,$C135,'05'!L$7:L$159)+SUMIF('06'!$D$7:$D$159,$C135,'06'!L$7:L$159)+SUMIF('07'!$D$7:$D$159,$C135,'07'!L$7:L$159)+SUMIF('08'!$D$7:$D$159,$C135,'08'!L$7:L$159)</f>
        <v/>
      </c>
      <c r="K136" s="428">
        <f>SUMIF('02'!$D$7:$D$159,$C135,'02'!M$7:M$159)+SUMIF('03'!$D$7:$D$159,$C135,'03'!M$7:M$159)+SUMIF('04'!$D$7:$D$159,$C135,'04'!M$7:M$159)+SUMIF('05'!$D$7:$D$159,$C135,'05'!M$7:M$159)+SUMIF('06'!$D$7:$D$159,$C135,'06'!M$7:M$159)+SUMIF('07'!$D$7:$D$159,$C135,'07'!M$7:M$159)+SUMIF('08'!$D$7:$D$159,$C135,'08'!M$7:M$159)</f>
        <v/>
      </c>
      <c r="L136" s="429">
        <f>SUMIF('02'!$D$7:$D$159,$C135,'02'!N$7:N$159)+SUMIF('03'!$D$7:$D$159,$C135,'03'!N$7:N$159)+SUMIF('04'!$D$7:$D$159,$C135,'04'!N$7:N$159)+SUMIF('05'!$D$7:$D$159,$C135,'05'!N$7:N$159)+SUMIF('06'!$D$7:$D$159,$C135,'06'!N$7:N$159)+SUMIF('07'!$D$7:$D$159,$C135,'07'!N$7:N$159)+SUMIF('08'!$D$7:$D$159,$C135,'08'!N$7:N$159)</f>
        <v/>
      </c>
      <c r="M136" s="427">
        <f>SUMIF('02'!$D$7:$D$159,$C135,'02'!O$7:O$159)+SUMIF('03'!$D$7:$D$159,$C135,'03'!O$7:O$159)+SUMIF('04'!$D$7:$D$159,$C135,'04'!O$7:O$159)+SUMIF('05'!$D$7:$D$159,$C135,'05'!O$7:O$159)+SUMIF('06'!$D$7:$D$159,$C135,'06'!O$7:O$159)+SUMIF('07'!$D$7:$D$159,$C135,'07'!O$7:O$159)+SUMIF('08'!$D$7:$D$159,$C135,'08'!O$7:O$159)</f>
        <v/>
      </c>
      <c r="N136" s="428">
        <f>SUMIF('02'!$D$7:$D$159,$C135,'02'!P$7:P$159)+SUMIF('03'!$D$7:$D$159,$C135,'03'!P$7:P$159)+SUMIF('04'!$D$7:$D$159,$C135,'04'!P$7:P$159)+SUMIF('05'!$D$7:$D$159,$C135,'05'!P$7:P$159)+SUMIF('06'!$D$7:$D$159,$C135,'06'!P$7:P$159)+SUMIF('07'!$D$7:$D$159,$C135,'07'!P$7:P$159)+SUMIF('08'!$D$7:$D$159,$C135,'08'!P$7:P$159)</f>
        <v/>
      </c>
      <c r="O136" s="429">
        <f>SUMIF('02'!$D$7:$D$159,$C135,'02'!Q$7:Q$159)+SUMIF('03'!$D$7:$D$159,$C135,'03'!Q$7:Q$159)+SUMIF('04'!$D$7:$D$159,$C135,'04'!Q$7:Q$159)+SUMIF('05'!$D$7:$D$159,$C135,'05'!Q$7:Q$159)+SUMIF('06'!$D$7:$D$159,$C135,'06'!Q$7:Q$159)+SUMIF('07'!$D$7:$D$159,$C135,'07'!Q$7:Q$159)+SUMIF('08'!$D$7:$D$159,$C135,'08'!Q$7:Q$159)</f>
        <v/>
      </c>
      <c r="P136" s="427">
        <f>SUMIF('02'!$D$7:$D$159,$C135,'02'!R$7:R$159)+SUMIF('03'!$D$7:$D$159,$C135,'03'!R$7:R$159)+SUMIF('04'!$D$7:$D$159,$C135,'04'!R$7:R$159)+SUMIF('05'!$D$7:$D$159,$C135,'05'!R$7:R$159)+SUMIF('06'!$D$7:$D$159,$C135,'06'!R$7:R$159)+SUMIF('07'!$D$7:$D$159,$C135,'07'!R$7:R$159)+SUMIF('08'!$D$7:$D$159,$C135,'08'!R$7:R$159)</f>
        <v/>
      </c>
      <c r="Q136" s="428">
        <f>SUMIF('02'!$D$7:$D$159,$C135,'02'!S$7:S$159)+SUMIF('03'!$D$7:$D$159,$C135,'03'!S$7:S$159)+SUMIF('04'!$D$7:$D$159,$C135,'04'!S$7:S$159)+SUMIF('05'!$D$7:$D$159,$C135,'05'!S$7:S$159)+SUMIF('06'!$D$7:$D$159,$C135,'06'!S$7:S$159)+SUMIF('07'!$D$7:$D$159,$C135,'07'!S$7:S$159)+SUMIF('08'!$D$7:$D$159,$C135,'08'!S$7:S$159)</f>
        <v/>
      </c>
      <c r="R136" s="429">
        <f>SUMIF('02'!$D$7:$D$159,$C135,'02'!T$7:T$159)+SUMIF('03'!$D$7:$D$159,$C135,'03'!T$7:T$159)+SUMIF('04'!$D$7:$D$159,$C135,'04'!T$7:T$159)+SUMIF('05'!$D$7:$D$159,$C135,'05'!T$7:T$159)+SUMIF('06'!$D$7:$D$159,$C135,'06'!T$7:T$159)+SUMIF('07'!$D$7:$D$159,$C135,'07'!T$7:T$159)+SUMIF('08'!$D$7:$D$159,$C135,'08'!T$7:T$159)</f>
        <v/>
      </c>
      <c r="S136" s="427">
        <f>SUMIF('02'!$D$7:$D$159,$C135,'02'!U$7:U$159)+SUMIF('03'!$D$7:$D$159,$C135,'03'!U$7:U$159)+SUMIF('04'!$D$7:$D$159,$C135,'04'!U$7:U$159)+SUMIF('05'!$D$7:$D$159,$C135,'05'!U$7:U$159)+SUMIF('06'!$D$7:$D$159,$C135,'06'!U$7:U$159)+SUMIF('07'!$D$7:$D$159,$C135,'07'!U$7:U$159)+SUMIF('08'!$D$7:$D$159,$C135,'08'!U$7:U$159)</f>
        <v/>
      </c>
      <c r="T136" s="428">
        <f>SUMIF('02'!$D$7:$D$159,$C135,'02'!V$7:V$159)+SUMIF('03'!$D$7:$D$159,$C135,'03'!V$7:V$159)+SUMIF('04'!$D$7:$D$159,$C135,'04'!V$7:V$159)+SUMIF('05'!$D$7:$D$159,$C135,'05'!V$7:V$159)+SUMIF('06'!$D$7:$D$159,$C135,'06'!V$7:V$159)+SUMIF('07'!$D$7:$D$159,$C135,'07'!V$7:V$159)+SUMIF('08'!$D$7:$D$159,$C135,'08'!V$7:V$159)</f>
        <v/>
      </c>
      <c r="U136" s="430">
        <f>SUMIF('02'!$D$7:$D$159,$C135,'02'!W$7:W$159)+SUMIF('03'!$D$7:$D$159,$C135,'03'!W$7:W$159)+SUMIF('04'!$D$7:$D$159,$C135,'04'!W$7:W$159)+SUMIF('05'!$D$7:$D$159,$C135,'05'!W$7:W$159)+SUMIF('06'!$D$7:$D$159,$C135,'06'!W$7:W$159)+SUMIF('07'!$D$7:$D$159,$C135,'07'!W$7:W$159)+SUMIF('08'!$D$7:$D$159,$C135,'08'!W$7:W$159)</f>
        <v/>
      </c>
      <c r="V136" s="429">
        <f>SUMIF('02'!$D$7:$D$159,$C135,'02'!X$7:X$159)+SUMIF('03'!$D$7:$D$159,$C135,'03'!X$7:X$159)+SUMIF('04'!$D$7:$D$159,$C135,'04'!X$7:X$159)+SUMIF('05'!$D$7:$D$159,$C135,'05'!X$7:X$159)+SUMIF('06'!$D$7:$D$159,$C135,'06'!X$7:X$159)+SUMIF('07'!$D$7:$D$159,$C135,'07'!X$7:X$159)+SUMIF('08'!$D$7:$D$159,$C135,'08'!X$7:X$159)</f>
        <v/>
      </c>
      <c r="W136" s="429">
        <f>SUMIF('02'!$D$7:$D$159,$C135,'02'!Y$7:Y$159)+SUMIF('03'!$D$7:$D$159,$C135,'03'!Y$7:Y$159)+SUMIF('04'!$D$7:$D$159,$C135,'04'!Y$7:Y$159)+SUMIF('05'!$D$7:$D$159,$C135,'05'!Y$7:Y$159)+SUMIF('06'!$D$7:$D$159,$C135,'06'!Y$7:Y$159)+SUMIF('07'!$D$7:$D$159,$C135,'07'!Y$7:Y$159)+SUMIF('08'!$D$7:$D$159,$C135,'08'!Y$7:Y$159)</f>
        <v/>
      </c>
      <c r="X136" s="431">
        <f>SUM(J136:W136)</f>
        <v/>
      </c>
      <c r="Y136" s="413" t="n"/>
      <c r="Z136" s="432" t="n"/>
    </row>
    <row r="137" ht="14.25" customHeight="1" s="296">
      <c r="A137" s="154">
        <f>IF(OR(C137="0",COUNTIF(КлючВесна,C137)&gt;1),0,MATCH(F137,ВидыНагр,0))</f>
        <v/>
      </c>
      <c r="B137" s="154">
        <f>(COUNTA(D137:F138,J137:W137,H137:I138)=0)</f>
        <v/>
      </c>
      <c r="C137" s="155">
        <f>IF(OR(TRIM(D137)="",COUNTIF(ВидыНагр,F137)&lt;&gt;1),"0",CONCATENATE("$",TRIM(D137),"$",TRIM(E137),"$",F137,"$"))</f>
        <v/>
      </c>
      <c r="D137" s="415" t="n"/>
      <c r="E137" s="416" t="n"/>
      <c r="F137" s="417" t="n"/>
      <c r="G137" s="156" t="inlineStr">
        <is>
          <t>план</t>
        </is>
      </c>
      <c r="H137" s="157" t="n"/>
      <c r="I137" s="158" t="n"/>
      <c r="J137" s="418" t="n"/>
      <c r="K137" s="419" t="n"/>
      <c r="L137" s="420" t="n"/>
      <c r="M137" s="418" t="n"/>
      <c r="N137" s="419" t="n"/>
      <c r="O137" s="420" t="n"/>
      <c r="P137" s="418" t="n"/>
      <c r="Q137" s="419" t="n"/>
      <c r="R137" s="420" t="n"/>
      <c r="S137" s="418" t="n"/>
      <c r="T137" s="419" t="n"/>
      <c r="U137" s="421" t="n"/>
      <c r="V137" s="420" t="n"/>
      <c r="W137" s="420" t="n"/>
      <c r="X137" s="422">
        <f>SUM(J137:W137)</f>
        <v/>
      </c>
      <c r="Y137" s="423">
        <f>X138-X137</f>
        <v/>
      </c>
      <c r="Z137" s="209" t="n"/>
    </row>
    <row r="138" ht="14.25" customHeight="1" s="296">
      <c r="A138" s="154">
        <f>-A137</f>
        <v/>
      </c>
      <c r="B138" s="154">
        <f>B137</f>
        <v/>
      </c>
      <c r="C138" s="163" t="n"/>
      <c r="D138" s="424" t="n"/>
      <c r="E138" s="425" t="n"/>
      <c r="F138" s="426" t="n"/>
      <c r="G138" s="164" t="inlineStr">
        <is>
          <t>факт</t>
        </is>
      </c>
      <c r="H138" s="165" t="n"/>
      <c r="I138" s="250" t="n"/>
      <c r="J138" s="427">
        <f>SUMIF('02'!$D$7:$D$159,$C137,'02'!L$7:L$159)+SUMIF('03'!$D$7:$D$159,$C137,'03'!L$7:L$159)+SUMIF('04'!$D$7:$D$159,$C137,'04'!L$7:L$159)+SUMIF('05'!$D$7:$D$159,$C137,'05'!L$7:L$159)+SUMIF('06'!$D$7:$D$159,$C137,'06'!L$7:L$159)+SUMIF('07'!$D$7:$D$159,$C137,'07'!L$7:L$159)+SUMIF('08'!$D$7:$D$159,$C137,'08'!L$7:L$159)</f>
        <v/>
      </c>
      <c r="K138" s="428">
        <f>SUMIF('02'!$D$7:$D$159,$C137,'02'!M$7:M$159)+SUMIF('03'!$D$7:$D$159,$C137,'03'!M$7:M$159)+SUMIF('04'!$D$7:$D$159,$C137,'04'!M$7:M$159)+SUMIF('05'!$D$7:$D$159,$C137,'05'!M$7:M$159)+SUMIF('06'!$D$7:$D$159,$C137,'06'!M$7:M$159)+SUMIF('07'!$D$7:$D$159,$C137,'07'!M$7:M$159)+SUMIF('08'!$D$7:$D$159,$C137,'08'!M$7:M$159)</f>
        <v/>
      </c>
      <c r="L138" s="429">
        <f>SUMIF('02'!$D$7:$D$159,$C137,'02'!N$7:N$159)+SUMIF('03'!$D$7:$D$159,$C137,'03'!N$7:N$159)+SUMIF('04'!$D$7:$D$159,$C137,'04'!N$7:N$159)+SUMIF('05'!$D$7:$D$159,$C137,'05'!N$7:N$159)+SUMIF('06'!$D$7:$D$159,$C137,'06'!N$7:N$159)+SUMIF('07'!$D$7:$D$159,$C137,'07'!N$7:N$159)+SUMIF('08'!$D$7:$D$159,$C137,'08'!N$7:N$159)</f>
        <v/>
      </c>
      <c r="M138" s="427">
        <f>SUMIF('02'!$D$7:$D$159,$C137,'02'!O$7:O$159)+SUMIF('03'!$D$7:$D$159,$C137,'03'!O$7:O$159)+SUMIF('04'!$D$7:$D$159,$C137,'04'!O$7:O$159)+SUMIF('05'!$D$7:$D$159,$C137,'05'!O$7:O$159)+SUMIF('06'!$D$7:$D$159,$C137,'06'!O$7:O$159)+SUMIF('07'!$D$7:$D$159,$C137,'07'!O$7:O$159)+SUMIF('08'!$D$7:$D$159,$C137,'08'!O$7:O$159)</f>
        <v/>
      </c>
      <c r="N138" s="428">
        <f>SUMIF('02'!$D$7:$D$159,$C137,'02'!P$7:P$159)+SUMIF('03'!$D$7:$D$159,$C137,'03'!P$7:P$159)+SUMIF('04'!$D$7:$D$159,$C137,'04'!P$7:P$159)+SUMIF('05'!$D$7:$D$159,$C137,'05'!P$7:P$159)+SUMIF('06'!$D$7:$D$159,$C137,'06'!P$7:P$159)+SUMIF('07'!$D$7:$D$159,$C137,'07'!P$7:P$159)+SUMIF('08'!$D$7:$D$159,$C137,'08'!P$7:P$159)</f>
        <v/>
      </c>
      <c r="O138" s="429">
        <f>SUMIF('02'!$D$7:$D$159,$C137,'02'!Q$7:Q$159)+SUMIF('03'!$D$7:$D$159,$C137,'03'!Q$7:Q$159)+SUMIF('04'!$D$7:$D$159,$C137,'04'!Q$7:Q$159)+SUMIF('05'!$D$7:$D$159,$C137,'05'!Q$7:Q$159)+SUMIF('06'!$D$7:$D$159,$C137,'06'!Q$7:Q$159)+SUMIF('07'!$D$7:$D$159,$C137,'07'!Q$7:Q$159)+SUMIF('08'!$D$7:$D$159,$C137,'08'!Q$7:Q$159)</f>
        <v/>
      </c>
      <c r="P138" s="427">
        <f>SUMIF('02'!$D$7:$D$159,$C137,'02'!R$7:R$159)+SUMIF('03'!$D$7:$D$159,$C137,'03'!R$7:R$159)+SUMIF('04'!$D$7:$D$159,$C137,'04'!R$7:R$159)+SUMIF('05'!$D$7:$D$159,$C137,'05'!R$7:R$159)+SUMIF('06'!$D$7:$D$159,$C137,'06'!R$7:R$159)+SUMIF('07'!$D$7:$D$159,$C137,'07'!R$7:R$159)+SUMIF('08'!$D$7:$D$159,$C137,'08'!R$7:R$159)</f>
        <v/>
      </c>
      <c r="Q138" s="428">
        <f>SUMIF('02'!$D$7:$D$159,$C137,'02'!S$7:S$159)+SUMIF('03'!$D$7:$D$159,$C137,'03'!S$7:S$159)+SUMIF('04'!$D$7:$D$159,$C137,'04'!S$7:S$159)+SUMIF('05'!$D$7:$D$159,$C137,'05'!S$7:S$159)+SUMIF('06'!$D$7:$D$159,$C137,'06'!S$7:S$159)+SUMIF('07'!$D$7:$D$159,$C137,'07'!S$7:S$159)+SUMIF('08'!$D$7:$D$159,$C137,'08'!S$7:S$159)</f>
        <v/>
      </c>
      <c r="R138" s="429">
        <f>SUMIF('02'!$D$7:$D$159,$C137,'02'!T$7:T$159)+SUMIF('03'!$D$7:$D$159,$C137,'03'!T$7:T$159)+SUMIF('04'!$D$7:$D$159,$C137,'04'!T$7:T$159)+SUMIF('05'!$D$7:$D$159,$C137,'05'!T$7:T$159)+SUMIF('06'!$D$7:$D$159,$C137,'06'!T$7:T$159)+SUMIF('07'!$D$7:$D$159,$C137,'07'!T$7:T$159)+SUMIF('08'!$D$7:$D$159,$C137,'08'!T$7:T$159)</f>
        <v/>
      </c>
      <c r="S138" s="427">
        <f>SUMIF('02'!$D$7:$D$159,$C137,'02'!U$7:U$159)+SUMIF('03'!$D$7:$D$159,$C137,'03'!U$7:U$159)+SUMIF('04'!$D$7:$D$159,$C137,'04'!U$7:U$159)+SUMIF('05'!$D$7:$D$159,$C137,'05'!U$7:U$159)+SUMIF('06'!$D$7:$D$159,$C137,'06'!U$7:U$159)+SUMIF('07'!$D$7:$D$159,$C137,'07'!U$7:U$159)+SUMIF('08'!$D$7:$D$159,$C137,'08'!U$7:U$159)</f>
        <v/>
      </c>
      <c r="T138" s="428">
        <f>SUMIF('02'!$D$7:$D$159,$C137,'02'!V$7:V$159)+SUMIF('03'!$D$7:$D$159,$C137,'03'!V$7:V$159)+SUMIF('04'!$D$7:$D$159,$C137,'04'!V$7:V$159)+SUMIF('05'!$D$7:$D$159,$C137,'05'!V$7:V$159)+SUMIF('06'!$D$7:$D$159,$C137,'06'!V$7:V$159)+SUMIF('07'!$D$7:$D$159,$C137,'07'!V$7:V$159)+SUMIF('08'!$D$7:$D$159,$C137,'08'!V$7:V$159)</f>
        <v/>
      </c>
      <c r="U138" s="430">
        <f>SUMIF('02'!$D$7:$D$159,$C137,'02'!W$7:W$159)+SUMIF('03'!$D$7:$D$159,$C137,'03'!W$7:W$159)+SUMIF('04'!$D$7:$D$159,$C137,'04'!W$7:W$159)+SUMIF('05'!$D$7:$D$159,$C137,'05'!W$7:W$159)+SUMIF('06'!$D$7:$D$159,$C137,'06'!W$7:W$159)+SUMIF('07'!$D$7:$D$159,$C137,'07'!W$7:W$159)+SUMIF('08'!$D$7:$D$159,$C137,'08'!W$7:W$159)</f>
        <v/>
      </c>
      <c r="V138" s="429">
        <f>SUMIF('02'!$D$7:$D$159,$C137,'02'!X$7:X$159)+SUMIF('03'!$D$7:$D$159,$C137,'03'!X$7:X$159)+SUMIF('04'!$D$7:$D$159,$C137,'04'!X$7:X$159)+SUMIF('05'!$D$7:$D$159,$C137,'05'!X$7:X$159)+SUMIF('06'!$D$7:$D$159,$C137,'06'!X$7:X$159)+SUMIF('07'!$D$7:$D$159,$C137,'07'!X$7:X$159)+SUMIF('08'!$D$7:$D$159,$C137,'08'!X$7:X$159)</f>
        <v/>
      </c>
      <c r="W138" s="429">
        <f>SUMIF('02'!$D$7:$D$159,$C137,'02'!Y$7:Y$159)+SUMIF('03'!$D$7:$D$159,$C137,'03'!Y$7:Y$159)+SUMIF('04'!$D$7:$D$159,$C137,'04'!Y$7:Y$159)+SUMIF('05'!$D$7:$D$159,$C137,'05'!Y$7:Y$159)+SUMIF('06'!$D$7:$D$159,$C137,'06'!Y$7:Y$159)+SUMIF('07'!$D$7:$D$159,$C137,'07'!Y$7:Y$159)+SUMIF('08'!$D$7:$D$159,$C137,'08'!Y$7:Y$159)</f>
        <v/>
      </c>
      <c r="X138" s="431">
        <f>SUM(J138:W138)</f>
        <v/>
      </c>
      <c r="Y138" s="413" t="n"/>
      <c r="Z138" s="432" t="n"/>
    </row>
    <row r="139" ht="14.25" customHeight="1" s="296">
      <c r="A139" s="154">
        <f>IF(OR(C139="0",COUNTIF(КлючВесна,C139)&gt;1),0,MATCH(F139,ВидыНагр,0))</f>
        <v/>
      </c>
      <c r="B139" s="154">
        <f>(COUNTA(D139:F140,J139:W139,H139:I140)=0)</f>
        <v/>
      </c>
      <c r="C139" s="155">
        <f>IF(OR(TRIM(D139)="",COUNTIF(ВидыНагр,F139)&lt;&gt;1),"0",CONCATENATE("$",TRIM(D139),"$",TRIM(E139),"$",F139,"$"))</f>
        <v/>
      </c>
      <c r="D139" s="415" t="n"/>
      <c r="E139" s="416" t="n"/>
      <c r="F139" s="417" t="n"/>
      <c r="G139" s="156" t="inlineStr">
        <is>
          <t>план</t>
        </is>
      </c>
      <c r="H139" s="157" t="n"/>
      <c r="I139" s="158" t="n"/>
      <c r="J139" s="418" t="n"/>
      <c r="K139" s="419" t="n"/>
      <c r="L139" s="420" t="n"/>
      <c r="M139" s="418" t="n"/>
      <c r="N139" s="419" t="n"/>
      <c r="O139" s="420" t="n"/>
      <c r="P139" s="418" t="n"/>
      <c r="Q139" s="419" t="n"/>
      <c r="R139" s="420" t="n"/>
      <c r="S139" s="418" t="n"/>
      <c r="T139" s="419" t="n"/>
      <c r="U139" s="421" t="n"/>
      <c r="V139" s="420" t="n"/>
      <c r="W139" s="420" t="n"/>
      <c r="X139" s="422">
        <f>SUM(J139:W139)</f>
        <v/>
      </c>
      <c r="Y139" s="423">
        <f>X140-X139</f>
        <v/>
      </c>
      <c r="Z139" s="209" t="n"/>
    </row>
    <row r="140" ht="14.25" customHeight="1" s="296">
      <c r="A140" s="154">
        <f>-A139</f>
        <v/>
      </c>
      <c r="B140" s="154">
        <f>B139</f>
        <v/>
      </c>
      <c r="C140" s="163" t="n"/>
      <c r="D140" s="424" t="n"/>
      <c r="E140" s="425" t="n"/>
      <c r="F140" s="426" t="n"/>
      <c r="G140" s="164" t="inlineStr">
        <is>
          <t>факт</t>
        </is>
      </c>
      <c r="H140" s="165" t="n"/>
      <c r="I140" s="250" t="n"/>
      <c r="J140" s="427">
        <f>SUMIF('02'!$D$7:$D$159,$C139,'02'!L$7:L$159)+SUMIF('03'!$D$7:$D$159,$C139,'03'!L$7:L$159)+SUMIF('04'!$D$7:$D$159,$C139,'04'!L$7:L$159)+SUMIF('05'!$D$7:$D$159,$C139,'05'!L$7:L$159)+SUMIF('06'!$D$7:$D$159,$C139,'06'!L$7:L$159)+SUMIF('07'!$D$7:$D$159,$C139,'07'!L$7:L$159)+SUMIF('08'!$D$7:$D$159,$C139,'08'!L$7:L$159)</f>
        <v/>
      </c>
      <c r="K140" s="428">
        <f>SUMIF('02'!$D$7:$D$159,$C139,'02'!M$7:M$159)+SUMIF('03'!$D$7:$D$159,$C139,'03'!M$7:M$159)+SUMIF('04'!$D$7:$D$159,$C139,'04'!M$7:M$159)+SUMIF('05'!$D$7:$D$159,$C139,'05'!M$7:M$159)+SUMIF('06'!$D$7:$D$159,$C139,'06'!M$7:M$159)+SUMIF('07'!$D$7:$D$159,$C139,'07'!M$7:M$159)+SUMIF('08'!$D$7:$D$159,$C139,'08'!M$7:M$159)</f>
        <v/>
      </c>
      <c r="L140" s="429">
        <f>SUMIF('02'!$D$7:$D$159,$C139,'02'!N$7:N$159)+SUMIF('03'!$D$7:$D$159,$C139,'03'!N$7:N$159)+SUMIF('04'!$D$7:$D$159,$C139,'04'!N$7:N$159)+SUMIF('05'!$D$7:$D$159,$C139,'05'!N$7:N$159)+SUMIF('06'!$D$7:$D$159,$C139,'06'!N$7:N$159)+SUMIF('07'!$D$7:$D$159,$C139,'07'!N$7:N$159)+SUMIF('08'!$D$7:$D$159,$C139,'08'!N$7:N$159)</f>
        <v/>
      </c>
      <c r="M140" s="427">
        <f>SUMIF('02'!$D$7:$D$159,$C139,'02'!O$7:O$159)+SUMIF('03'!$D$7:$D$159,$C139,'03'!O$7:O$159)+SUMIF('04'!$D$7:$D$159,$C139,'04'!O$7:O$159)+SUMIF('05'!$D$7:$D$159,$C139,'05'!O$7:O$159)+SUMIF('06'!$D$7:$D$159,$C139,'06'!O$7:O$159)+SUMIF('07'!$D$7:$D$159,$C139,'07'!O$7:O$159)+SUMIF('08'!$D$7:$D$159,$C139,'08'!O$7:O$159)</f>
        <v/>
      </c>
      <c r="N140" s="428">
        <f>SUMIF('02'!$D$7:$D$159,$C139,'02'!P$7:P$159)+SUMIF('03'!$D$7:$D$159,$C139,'03'!P$7:P$159)+SUMIF('04'!$D$7:$D$159,$C139,'04'!P$7:P$159)+SUMIF('05'!$D$7:$D$159,$C139,'05'!P$7:P$159)+SUMIF('06'!$D$7:$D$159,$C139,'06'!P$7:P$159)+SUMIF('07'!$D$7:$D$159,$C139,'07'!P$7:P$159)+SUMIF('08'!$D$7:$D$159,$C139,'08'!P$7:P$159)</f>
        <v/>
      </c>
      <c r="O140" s="429">
        <f>SUMIF('02'!$D$7:$D$159,$C139,'02'!Q$7:Q$159)+SUMIF('03'!$D$7:$D$159,$C139,'03'!Q$7:Q$159)+SUMIF('04'!$D$7:$D$159,$C139,'04'!Q$7:Q$159)+SUMIF('05'!$D$7:$D$159,$C139,'05'!Q$7:Q$159)+SUMIF('06'!$D$7:$D$159,$C139,'06'!Q$7:Q$159)+SUMIF('07'!$D$7:$D$159,$C139,'07'!Q$7:Q$159)+SUMIF('08'!$D$7:$D$159,$C139,'08'!Q$7:Q$159)</f>
        <v/>
      </c>
      <c r="P140" s="427">
        <f>SUMIF('02'!$D$7:$D$159,$C139,'02'!R$7:R$159)+SUMIF('03'!$D$7:$D$159,$C139,'03'!R$7:R$159)+SUMIF('04'!$D$7:$D$159,$C139,'04'!R$7:R$159)+SUMIF('05'!$D$7:$D$159,$C139,'05'!R$7:R$159)+SUMIF('06'!$D$7:$D$159,$C139,'06'!R$7:R$159)+SUMIF('07'!$D$7:$D$159,$C139,'07'!R$7:R$159)+SUMIF('08'!$D$7:$D$159,$C139,'08'!R$7:R$159)</f>
        <v/>
      </c>
      <c r="Q140" s="428">
        <f>SUMIF('02'!$D$7:$D$159,$C139,'02'!S$7:S$159)+SUMIF('03'!$D$7:$D$159,$C139,'03'!S$7:S$159)+SUMIF('04'!$D$7:$D$159,$C139,'04'!S$7:S$159)+SUMIF('05'!$D$7:$D$159,$C139,'05'!S$7:S$159)+SUMIF('06'!$D$7:$D$159,$C139,'06'!S$7:S$159)+SUMIF('07'!$D$7:$D$159,$C139,'07'!S$7:S$159)+SUMIF('08'!$D$7:$D$159,$C139,'08'!S$7:S$159)</f>
        <v/>
      </c>
      <c r="R140" s="429">
        <f>SUMIF('02'!$D$7:$D$159,$C139,'02'!T$7:T$159)+SUMIF('03'!$D$7:$D$159,$C139,'03'!T$7:T$159)+SUMIF('04'!$D$7:$D$159,$C139,'04'!T$7:T$159)+SUMIF('05'!$D$7:$D$159,$C139,'05'!T$7:T$159)+SUMIF('06'!$D$7:$D$159,$C139,'06'!T$7:T$159)+SUMIF('07'!$D$7:$D$159,$C139,'07'!T$7:T$159)+SUMIF('08'!$D$7:$D$159,$C139,'08'!T$7:T$159)</f>
        <v/>
      </c>
      <c r="S140" s="427">
        <f>SUMIF('02'!$D$7:$D$159,$C139,'02'!U$7:U$159)+SUMIF('03'!$D$7:$D$159,$C139,'03'!U$7:U$159)+SUMIF('04'!$D$7:$D$159,$C139,'04'!U$7:U$159)+SUMIF('05'!$D$7:$D$159,$C139,'05'!U$7:U$159)+SUMIF('06'!$D$7:$D$159,$C139,'06'!U$7:U$159)+SUMIF('07'!$D$7:$D$159,$C139,'07'!U$7:U$159)+SUMIF('08'!$D$7:$D$159,$C139,'08'!U$7:U$159)</f>
        <v/>
      </c>
      <c r="T140" s="428">
        <f>SUMIF('02'!$D$7:$D$159,$C139,'02'!V$7:V$159)+SUMIF('03'!$D$7:$D$159,$C139,'03'!V$7:V$159)+SUMIF('04'!$D$7:$D$159,$C139,'04'!V$7:V$159)+SUMIF('05'!$D$7:$D$159,$C139,'05'!V$7:V$159)+SUMIF('06'!$D$7:$D$159,$C139,'06'!V$7:V$159)+SUMIF('07'!$D$7:$D$159,$C139,'07'!V$7:V$159)+SUMIF('08'!$D$7:$D$159,$C139,'08'!V$7:V$159)</f>
        <v/>
      </c>
      <c r="U140" s="430">
        <f>SUMIF('02'!$D$7:$D$159,$C139,'02'!W$7:W$159)+SUMIF('03'!$D$7:$D$159,$C139,'03'!W$7:W$159)+SUMIF('04'!$D$7:$D$159,$C139,'04'!W$7:W$159)+SUMIF('05'!$D$7:$D$159,$C139,'05'!W$7:W$159)+SUMIF('06'!$D$7:$D$159,$C139,'06'!W$7:W$159)+SUMIF('07'!$D$7:$D$159,$C139,'07'!W$7:W$159)+SUMIF('08'!$D$7:$D$159,$C139,'08'!W$7:W$159)</f>
        <v/>
      </c>
      <c r="V140" s="429">
        <f>SUMIF('02'!$D$7:$D$159,$C139,'02'!X$7:X$159)+SUMIF('03'!$D$7:$D$159,$C139,'03'!X$7:X$159)+SUMIF('04'!$D$7:$D$159,$C139,'04'!X$7:X$159)+SUMIF('05'!$D$7:$D$159,$C139,'05'!X$7:X$159)+SUMIF('06'!$D$7:$D$159,$C139,'06'!X$7:X$159)+SUMIF('07'!$D$7:$D$159,$C139,'07'!X$7:X$159)+SUMIF('08'!$D$7:$D$159,$C139,'08'!X$7:X$159)</f>
        <v/>
      </c>
      <c r="W140" s="429">
        <f>SUMIF('02'!$D$7:$D$159,$C139,'02'!Y$7:Y$159)+SUMIF('03'!$D$7:$D$159,$C139,'03'!Y$7:Y$159)+SUMIF('04'!$D$7:$D$159,$C139,'04'!Y$7:Y$159)+SUMIF('05'!$D$7:$D$159,$C139,'05'!Y$7:Y$159)+SUMIF('06'!$D$7:$D$159,$C139,'06'!Y$7:Y$159)+SUMIF('07'!$D$7:$D$159,$C139,'07'!Y$7:Y$159)+SUMIF('08'!$D$7:$D$159,$C139,'08'!Y$7:Y$159)</f>
        <v/>
      </c>
      <c r="X140" s="431">
        <f>SUM(J140:W140)</f>
        <v/>
      </c>
      <c r="Y140" s="413" t="n"/>
      <c r="Z140" s="432" t="n"/>
    </row>
    <row r="141" ht="14.25" customHeight="1" s="296">
      <c r="A141" s="154">
        <f>IF(OR(C141="0",COUNTIF(КлючВесна,C141)&gt;1),0,MATCH(F141,ВидыНагр,0))</f>
        <v/>
      </c>
      <c r="B141" s="154">
        <f>(COUNTA(D141:F142,J141:W141,H141:I142)=0)</f>
        <v/>
      </c>
      <c r="C141" s="155">
        <f>IF(OR(TRIM(D141)="",COUNTIF(ВидыНагр,F141)&lt;&gt;1),"0",CONCATENATE("$",TRIM(D141),"$",TRIM(E141),"$",F141,"$"))</f>
        <v/>
      </c>
      <c r="D141" s="415" t="n"/>
      <c r="E141" s="416" t="n"/>
      <c r="F141" s="417" t="n"/>
      <c r="G141" s="156" t="inlineStr">
        <is>
          <t>план</t>
        </is>
      </c>
      <c r="H141" s="157" t="n"/>
      <c r="I141" s="158" t="n"/>
      <c r="J141" s="418" t="n"/>
      <c r="K141" s="419" t="n"/>
      <c r="L141" s="420" t="n"/>
      <c r="M141" s="418" t="n"/>
      <c r="N141" s="419" t="n"/>
      <c r="O141" s="420" t="n"/>
      <c r="P141" s="418" t="n"/>
      <c r="Q141" s="419" t="n"/>
      <c r="R141" s="420" t="n"/>
      <c r="S141" s="418" t="n"/>
      <c r="T141" s="419" t="n"/>
      <c r="U141" s="421" t="n"/>
      <c r="V141" s="420" t="n"/>
      <c r="W141" s="420" t="n"/>
      <c r="X141" s="422">
        <f>SUM(J141:W141)</f>
        <v/>
      </c>
      <c r="Y141" s="423">
        <f>X142-X141</f>
        <v/>
      </c>
      <c r="Z141" s="209" t="n"/>
    </row>
    <row r="142" ht="14.25" customHeight="1" s="296">
      <c r="A142" s="154">
        <f>-A141</f>
        <v/>
      </c>
      <c r="B142" s="154">
        <f>B141</f>
        <v/>
      </c>
      <c r="C142" s="163" t="n"/>
      <c r="D142" s="424" t="n"/>
      <c r="E142" s="425" t="n"/>
      <c r="F142" s="426" t="n"/>
      <c r="G142" s="164" t="inlineStr">
        <is>
          <t>факт</t>
        </is>
      </c>
      <c r="H142" s="165" t="n"/>
      <c r="I142" s="250" t="n"/>
      <c r="J142" s="427">
        <f>SUMIF('02'!$D$7:$D$159,$C141,'02'!L$7:L$159)+SUMIF('03'!$D$7:$D$159,$C141,'03'!L$7:L$159)+SUMIF('04'!$D$7:$D$159,$C141,'04'!L$7:L$159)+SUMIF('05'!$D$7:$D$159,$C141,'05'!L$7:L$159)+SUMIF('06'!$D$7:$D$159,$C141,'06'!L$7:L$159)+SUMIF('07'!$D$7:$D$159,$C141,'07'!L$7:L$159)+SUMIF('08'!$D$7:$D$159,$C141,'08'!L$7:L$159)</f>
        <v/>
      </c>
      <c r="K142" s="428">
        <f>SUMIF('02'!$D$7:$D$159,$C141,'02'!M$7:M$159)+SUMIF('03'!$D$7:$D$159,$C141,'03'!M$7:M$159)+SUMIF('04'!$D$7:$D$159,$C141,'04'!M$7:M$159)+SUMIF('05'!$D$7:$D$159,$C141,'05'!M$7:M$159)+SUMIF('06'!$D$7:$D$159,$C141,'06'!M$7:M$159)+SUMIF('07'!$D$7:$D$159,$C141,'07'!M$7:M$159)+SUMIF('08'!$D$7:$D$159,$C141,'08'!M$7:M$159)</f>
        <v/>
      </c>
      <c r="L142" s="429">
        <f>SUMIF('02'!$D$7:$D$159,$C141,'02'!N$7:N$159)+SUMIF('03'!$D$7:$D$159,$C141,'03'!N$7:N$159)+SUMIF('04'!$D$7:$D$159,$C141,'04'!N$7:N$159)+SUMIF('05'!$D$7:$D$159,$C141,'05'!N$7:N$159)+SUMIF('06'!$D$7:$D$159,$C141,'06'!N$7:N$159)+SUMIF('07'!$D$7:$D$159,$C141,'07'!N$7:N$159)+SUMIF('08'!$D$7:$D$159,$C141,'08'!N$7:N$159)</f>
        <v/>
      </c>
      <c r="M142" s="427">
        <f>SUMIF('02'!$D$7:$D$159,$C141,'02'!O$7:O$159)+SUMIF('03'!$D$7:$D$159,$C141,'03'!O$7:O$159)+SUMIF('04'!$D$7:$D$159,$C141,'04'!O$7:O$159)+SUMIF('05'!$D$7:$D$159,$C141,'05'!O$7:O$159)+SUMIF('06'!$D$7:$D$159,$C141,'06'!O$7:O$159)+SUMIF('07'!$D$7:$D$159,$C141,'07'!O$7:O$159)+SUMIF('08'!$D$7:$D$159,$C141,'08'!O$7:O$159)</f>
        <v/>
      </c>
      <c r="N142" s="428">
        <f>SUMIF('02'!$D$7:$D$159,$C141,'02'!P$7:P$159)+SUMIF('03'!$D$7:$D$159,$C141,'03'!P$7:P$159)+SUMIF('04'!$D$7:$D$159,$C141,'04'!P$7:P$159)+SUMIF('05'!$D$7:$D$159,$C141,'05'!P$7:P$159)+SUMIF('06'!$D$7:$D$159,$C141,'06'!P$7:P$159)+SUMIF('07'!$D$7:$D$159,$C141,'07'!P$7:P$159)+SUMIF('08'!$D$7:$D$159,$C141,'08'!P$7:P$159)</f>
        <v/>
      </c>
      <c r="O142" s="429">
        <f>SUMIF('02'!$D$7:$D$159,$C141,'02'!Q$7:Q$159)+SUMIF('03'!$D$7:$D$159,$C141,'03'!Q$7:Q$159)+SUMIF('04'!$D$7:$D$159,$C141,'04'!Q$7:Q$159)+SUMIF('05'!$D$7:$D$159,$C141,'05'!Q$7:Q$159)+SUMIF('06'!$D$7:$D$159,$C141,'06'!Q$7:Q$159)+SUMIF('07'!$D$7:$D$159,$C141,'07'!Q$7:Q$159)+SUMIF('08'!$D$7:$D$159,$C141,'08'!Q$7:Q$159)</f>
        <v/>
      </c>
      <c r="P142" s="427">
        <f>SUMIF('02'!$D$7:$D$159,$C141,'02'!R$7:R$159)+SUMIF('03'!$D$7:$D$159,$C141,'03'!R$7:R$159)+SUMIF('04'!$D$7:$D$159,$C141,'04'!R$7:R$159)+SUMIF('05'!$D$7:$D$159,$C141,'05'!R$7:R$159)+SUMIF('06'!$D$7:$D$159,$C141,'06'!R$7:R$159)+SUMIF('07'!$D$7:$D$159,$C141,'07'!R$7:R$159)+SUMIF('08'!$D$7:$D$159,$C141,'08'!R$7:R$159)</f>
        <v/>
      </c>
      <c r="Q142" s="428">
        <f>SUMIF('02'!$D$7:$D$159,$C141,'02'!S$7:S$159)+SUMIF('03'!$D$7:$D$159,$C141,'03'!S$7:S$159)+SUMIF('04'!$D$7:$D$159,$C141,'04'!S$7:S$159)+SUMIF('05'!$D$7:$D$159,$C141,'05'!S$7:S$159)+SUMIF('06'!$D$7:$D$159,$C141,'06'!S$7:S$159)+SUMIF('07'!$D$7:$D$159,$C141,'07'!S$7:S$159)+SUMIF('08'!$D$7:$D$159,$C141,'08'!S$7:S$159)</f>
        <v/>
      </c>
      <c r="R142" s="429">
        <f>SUMIF('02'!$D$7:$D$159,$C141,'02'!T$7:T$159)+SUMIF('03'!$D$7:$D$159,$C141,'03'!T$7:T$159)+SUMIF('04'!$D$7:$D$159,$C141,'04'!T$7:T$159)+SUMIF('05'!$D$7:$D$159,$C141,'05'!T$7:T$159)+SUMIF('06'!$D$7:$D$159,$C141,'06'!T$7:T$159)+SUMIF('07'!$D$7:$D$159,$C141,'07'!T$7:T$159)+SUMIF('08'!$D$7:$D$159,$C141,'08'!T$7:T$159)</f>
        <v/>
      </c>
      <c r="S142" s="427">
        <f>SUMIF('02'!$D$7:$D$159,$C141,'02'!U$7:U$159)+SUMIF('03'!$D$7:$D$159,$C141,'03'!U$7:U$159)+SUMIF('04'!$D$7:$D$159,$C141,'04'!U$7:U$159)+SUMIF('05'!$D$7:$D$159,$C141,'05'!U$7:U$159)+SUMIF('06'!$D$7:$D$159,$C141,'06'!U$7:U$159)+SUMIF('07'!$D$7:$D$159,$C141,'07'!U$7:U$159)+SUMIF('08'!$D$7:$D$159,$C141,'08'!U$7:U$159)</f>
        <v/>
      </c>
      <c r="T142" s="428">
        <f>SUMIF('02'!$D$7:$D$159,$C141,'02'!V$7:V$159)+SUMIF('03'!$D$7:$D$159,$C141,'03'!V$7:V$159)+SUMIF('04'!$D$7:$D$159,$C141,'04'!V$7:V$159)+SUMIF('05'!$D$7:$D$159,$C141,'05'!V$7:V$159)+SUMIF('06'!$D$7:$D$159,$C141,'06'!V$7:V$159)+SUMIF('07'!$D$7:$D$159,$C141,'07'!V$7:V$159)+SUMIF('08'!$D$7:$D$159,$C141,'08'!V$7:V$159)</f>
        <v/>
      </c>
      <c r="U142" s="430">
        <f>SUMIF('02'!$D$7:$D$159,$C141,'02'!W$7:W$159)+SUMIF('03'!$D$7:$D$159,$C141,'03'!W$7:W$159)+SUMIF('04'!$D$7:$D$159,$C141,'04'!W$7:W$159)+SUMIF('05'!$D$7:$D$159,$C141,'05'!W$7:W$159)+SUMIF('06'!$D$7:$D$159,$C141,'06'!W$7:W$159)+SUMIF('07'!$D$7:$D$159,$C141,'07'!W$7:W$159)+SUMIF('08'!$D$7:$D$159,$C141,'08'!W$7:W$159)</f>
        <v/>
      </c>
      <c r="V142" s="429">
        <f>SUMIF('02'!$D$7:$D$159,$C141,'02'!X$7:X$159)+SUMIF('03'!$D$7:$D$159,$C141,'03'!X$7:X$159)+SUMIF('04'!$D$7:$D$159,$C141,'04'!X$7:X$159)+SUMIF('05'!$D$7:$D$159,$C141,'05'!X$7:X$159)+SUMIF('06'!$D$7:$D$159,$C141,'06'!X$7:X$159)+SUMIF('07'!$D$7:$D$159,$C141,'07'!X$7:X$159)+SUMIF('08'!$D$7:$D$159,$C141,'08'!X$7:X$159)</f>
        <v/>
      </c>
      <c r="W142" s="429">
        <f>SUMIF('02'!$D$7:$D$159,$C141,'02'!Y$7:Y$159)+SUMIF('03'!$D$7:$D$159,$C141,'03'!Y$7:Y$159)+SUMIF('04'!$D$7:$D$159,$C141,'04'!Y$7:Y$159)+SUMIF('05'!$D$7:$D$159,$C141,'05'!Y$7:Y$159)+SUMIF('06'!$D$7:$D$159,$C141,'06'!Y$7:Y$159)+SUMIF('07'!$D$7:$D$159,$C141,'07'!Y$7:Y$159)+SUMIF('08'!$D$7:$D$159,$C141,'08'!Y$7:Y$159)</f>
        <v/>
      </c>
      <c r="X142" s="431">
        <f>SUM(J142:W142)</f>
        <v/>
      </c>
      <c r="Y142" s="413" t="n"/>
      <c r="Z142" s="432" t="n"/>
    </row>
    <row r="143" ht="14.25" customHeight="1" s="296">
      <c r="A143" s="154">
        <f>IF(OR(C143="0",COUNTIF(КлючВесна,C143)&gt;1),0,MATCH(F143,ВидыНагр,0))</f>
        <v/>
      </c>
      <c r="B143" s="154">
        <f>(COUNTA(D143:F144,J143:W143,H143:I144)=0)</f>
        <v/>
      </c>
      <c r="C143" s="155">
        <f>IF(OR(TRIM(D143)="",COUNTIF(ВидыНагр,F143)&lt;&gt;1),"0",CONCATENATE("$",TRIM(D143),"$",TRIM(E143),"$",F143,"$"))</f>
        <v/>
      </c>
      <c r="D143" s="415" t="n"/>
      <c r="E143" s="416" t="n"/>
      <c r="F143" s="417" t="n"/>
      <c r="G143" s="156" t="inlineStr">
        <is>
          <t>план</t>
        </is>
      </c>
      <c r="H143" s="157" t="n"/>
      <c r="I143" s="158" t="n"/>
      <c r="J143" s="418" t="n"/>
      <c r="K143" s="419" t="n"/>
      <c r="L143" s="420" t="n"/>
      <c r="M143" s="418" t="n"/>
      <c r="N143" s="419" t="n"/>
      <c r="O143" s="420" t="n"/>
      <c r="P143" s="418" t="n"/>
      <c r="Q143" s="419" t="n"/>
      <c r="R143" s="420" t="n"/>
      <c r="S143" s="418" t="n"/>
      <c r="T143" s="419" t="n"/>
      <c r="U143" s="421" t="n"/>
      <c r="V143" s="420" t="n"/>
      <c r="W143" s="420" t="n"/>
      <c r="X143" s="422">
        <f>SUM(J143:W143)</f>
        <v/>
      </c>
      <c r="Y143" s="423">
        <f>X144-X143</f>
        <v/>
      </c>
      <c r="Z143" s="209" t="n"/>
    </row>
    <row r="144" ht="14.25" customHeight="1" s="296">
      <c r="A144" s="154">
        <f>-A143</f>
        <v/>
      </c>
      <c r="B144" s="154">
        <f>B143</f>
        <v/>
      </c>
      <c r="C144" s="163" t="n"/>
      <c r="D144" s="424" t="n"/>
      <c r="E144" s="425" t="n"/>
      <c r="F144" s="426" t="n"/>
      <c r="G144" s="164" t="inlineStr">
        <is>
          <t>факт</t>
        </is>
      </c>
      <c r="H144" s="165" t="n"/>
      <c r="I144" s="250" t="n"/>
      <c r="J144" s="427">
        <f>SUMIF('02'!$D$7:$D$159,$C143,'02'!L$7:L$159)+SUMIF('03'!$D$7:$D$159,$C143,'03'!L$7:L$159)+SUMIF('04'!$D$7:$D$159,$C143,'04'!L$7:L$159)+SUMIF('05'!$D$7:$D$159,$C143,'05'!L$7:L$159)+SUMIF('06'!$D$7:$D$159,$C143,'06'!L$7:L$159)+SUMIF('07'!$D$7:$D$159,$C143,'07'!L$7:L$159)+SUMIF('08'!$D$7:$D$159,$C143,'08'!L$7:L$159)</f>
        <v/>
      </c>
      <c r="K144" s="428">
        <f>SUMIF('02'!$D$7:$D$159,$C143,'02'!M$7:M$159)+SUMIF('03'!$D$7:$D$159,$C143,'03'!M$7:M$159)+SUMIF('04'!$D$7:$D$159,$C143,'04'!M$7:M$159)+SUMIF('05'!$D$7:$D$159,$C143,'05'!M$7:M$159)+SUMIF('06'!$D$7:$D$159,$C143,'06'!M$7:M$159)+SUMIF('07'!$D$7:$D$159,$C143,'07'!M$7:M$159)+SUMIF('08'!$D$7:$D$159,$C143,'08'!M$7:M$159)</f>
        <v/>
      </c>
      <c r="L144" s="429">
        <f>SUMIF('02'!$D$7:$D$159,$C143,'02'!N$7:N$159)+SUMIF('03'!$D$7:$D$159,$C143,'03'!N$7:N$159)+SUMIF('04'!$D$7:$D$159,$C143,'04'!N$7:N$159)+SUMIF('05'!$D$7:$D$159,$C143,'05'!N$7:N$159)+SUMIF('06'!$D$7:$D$159,$C143,'06'!N$7:N$159)+SUMIF('07'!$D$7:$D$159,$C143,'07'!N$7:N$159)+SUMIF('08'!$D$7:$D$159,$C143,'08'!N$7:N$159)</f>
        <v/>
      </c>
      <c r="M144" s="427">
        <f>SUMIF('02'!$D$7:$D$159,$C143,'02'!O$7:O$159)+SUMIF('03'!$D$7:$D$159,$C143,'03'!O$7:O$159)+SUMIF('04'!$D$7:$D$159,$C143,'04'!O$7:O$159)+SUMIF('05'!$D$7:$D$159,$C143,'05'!O$7:O$159)+SUMIF('06'!$D$7:$D$159,$C143,'06'!O$7:O$159)+SUMIF('07'!$D$7:$D$159,$C143,'07'!O$7:O$159)+SUMIF('08'!$D$7:$D$159,$C143,'08'!O$7:O$159)</f>
        <v/>
      </c>
      <c r="N144" s="428">
        <f>SUMIF('02'!$D$7:$D$159,$C143,'02'!P$7:P$159)+SUMIF('03'!$D$7:$D$159,$C143,'03'!P$7:P$159)+SUMIF('04'!$D$7:$D$159,$C143,'04'!P$7:P$159)+SUMIF('05'!$D$7:$D$159,$C143,'05'!P$7:P$159)+SUMIF('06'!$D$7:$D$159,$C143,'06'!P$7:P$159)+SUMIF('07'!$D$7:$D$159,$C143,'07'!P$7:P$159)+SUMIF('08'!$D$7:$D$159,$C143,'08'!P$7:P$159)</f>
        <v/>
      </c>
      <c r="O144" s="429">
        <f>SUMIF('02'!$D$7:$D$159,$C143,'02'!Q$7:Q$159)+SUMIF('03'!$D$7:$D$159,$C143,'03'!Q$7:Q$159)+SUMIF('04'!$D$7:$D$159,$C143,'04'!Q$7:Q$159)+SUMIF('05'!$D$7:$D$159,$C143,'05'!Q$7:Q$159)+SUMIF('06'!$D$7:$D$159,$C143,'06'!Q$7:Q$159)+SUMIF('07'!$D$7:$D$159,$C143,'07'!Q$7:Q$159)+SUMIF('08'!$D$7:$D$159,$C143,'08'!Q$7:Q$159)</f>
        <v/>
      </c>
      <c r="P144" s="427">
        <f>SUMIF('02'!$D$7:$D$159,$C143,'02'!R$7:R$159)+SUMIF('03'!$D$7:$D$159,$C143,'03'!R$7:R$159)+SUMIF('04'!$D$7:$D$159,$C143,'04'!R$7:R$159)+SUMIF('05'!$D$7:$D$159,$C143,'05'!R$7:R$159)+SUMIF('06'!$D$7:$D$159,$C143,'06'!R$7:R$159)+SUMIF('07'!$D$7:$D$159,$C143,'07'!R$7:R$159)+SUMIF('08'!$D$7:$D$159,$C143,'08'!R$7:R$159)</f>
        <v/>
      </c>
      <c r="Q144" s="428">
        <f>SUMIF('02'!$D$7:$D$159,$C143,'02'!S$7:S$159)+SUMIF('03'!$D$7:$D$159,$C143,'03'!S$7:S$159)+SUMIF('04'!$D$7:$D$159,$C143,'04'!S$7:S$159)+SUMIF('05'!$D$7:$D$159,$C143,'05'!S$7:S$159)+SUMIF('06'!$D$7:$D$159,$C143,'06'!S$7:S$159)+SUMIF('07'!$D$7:$D$159,$C143,'07'!S$7:S$159)+SUMIF('08'!$D$7:$D$159,$C143,'08'!S$7:S$159)</f>
        <v/>
      </c>
      <c r="R144" s="429">
        <f>SUMIF('02'!$D$7:$D$159,$C143,'02'!T$7:T$159)+SUMIF('03'!$D$7:$D$159,$C143,'03'!T$7:T$159)+SUMIF('04'!$D$7:$D$159,$C143,'04'!T$7:T$159)+SUMIF('05'!$D$7:$D$159,$C143,'05'!T$7:T$159)+SUMIF('06'!$D$7:$D$159,$C143,'06'!T$7:T$159)+SUMIF('07'!$D$7:$D$159,$C143,'07'!T$7:T$159)+SUMIF('08'!$D$7:$D$159,$C143,'08'!T$7:T$159)</f>
        <v/>
      </c>
      <c r="S144" s="427">
        <f>SUMIF('02'!$D$7:$D$159,$C143,'02'!U$7:U$159)+SUMIF('03'!$D$7:$D$159,$C143,'03'!U$7:U$159)+SUMIF('04'!$D$7:$D$159,$C143,'04'!U$7:U$159)+SUMIF('05'!$D$7:$D$159,$C143,'05'!U$7:U$159)+SUMIF('06'!$D$7:$D$159,$C143,'06'!U$7:U$159)+SUMIF('07'!$D$7:$D$159,$C143,'07'!U$7:U$159)+SUMIF('08'!$D$7:$D$159,$C143,'08'!U$7:U$159)</f>
        <v/>
      </c>
      <c r="T144" s="428">
        <f>SUMIF('02'!$D$7:$D$159,$C143,'02'!V$7:V$159)+SUMIF('03'!$D$7:$D$159,$C143,'03'!V$7:V$159)+SUMIF('04'!$D$7:$D$159,$C143,'04'!V$7:V$159)+SUMIF('05'!$D$7:$D$159,$C143,'05'!V$7:V$159)+SUMIF('06'!$D$7:$D$159,$C143,'06'!V$7:V$159)+SUMIF('07'!$D$7:$D$159,$C143,'07'!V$7:V$159)+SUMIF('08'!$D$7:$D$159,$C143,'08'!V$7:V$159)</f>
        <v/>
      </c>
      <c r="U144" s="430">
        <f>SUMIF('02'!$D$7:$D$159,$C143,'02'!W$7:W$159)+SUMIF('03'!$D$7:$D$159,$C143,'03'!W$7:W$159)+SUMIF('04'!$D$7:$D$159,$C143,'04'!W$7:W$159)+SUMIF('05'!$D$7:$D$159,$C143,'05'!W$7:W$159)+SUMIF('06'!$D$7:$D$159,$C143,'06'!W$7:W$159)+SUMIF('07'!$D$7:$D$159,$C143,'07'!W$7:W$159)+SUMIF('08'!$D$7:$D$159,$C143,'08'!W$7:W$159)</f>
        <v/>
      </c>
      <c r="V144" s="429">
        <f>SUMIF('02'!$D$7:$D$159,$C143,'02'!X$7:X$159)+SUMIF('03'!$D$7:$D$159,$C143,'03'!X$7:X$159)+SUMIF('04'!$D$7:$D$159,$C143,'04'!X$7:X$159)+SUMIF('05'!$D$7:$D$159,$C143,'05'!X$7:X$159)+SUMIF('06'!$D$7:$D$159,$C143,'06'!X$7:X$159)+SUMIF('07'!$D$7:$D$159,$C143,'07'!X$7:X$159)+SUMIF('08'!$D$7:$D$159,$C143,'08'!X$7:X$159)</f>
        <v/>
      </c>
      <c r="W144" s="429">
        <f>SUMIF('02'!$D$7:$D$159,$C143,'02'!Y$7:Y$159)+SUMIF('03'!$D$7:$D$159,$C143,'03'!Y$7:Y$159)+SUMIF('04'!$D$7:$D$159,$C143,'04'!Y$7:Y$159)+SUMIF('05'!$D$7:$D$159,$C143,'05'!Y$7:Y$159)+SUMIF('06'!$D$7:$D$159,$C143,'06'!Y$7:Y$159)+SUMIF('07'!$D$7:$D$159,$C143,'07'!Y$7:Y$159)+SUMIF('08'!$D$7:$D$159,$C143,'08'!Y$7:Y$159)</f>
        <v/>
      </c>
      <c r="X144" s="431">
        <f>SUM(J144:W144)</f>
        <v/>
      </c>
      <c r="Y144" s="413" t="n"/>
      <c r="Z144" s="432" t="n"/>
    </row>
    <row r="145" ht="14.25" customHeight="1" s="296">
      <c r="A145" s="154">
        <f>IF(OR(C145="0",COUNTIF(КлючВесна,C145)&gt;1),0,MATCH(F145,ВидыНагр,0))</f>
        <v/>
      </c>
      <c r="B145" s="154">
        <f>(COUNTA(D145:F146,J145:W145,H145:I146)=0)</f>
        <v/>
      </c>
      <c r="C145" s="155">
        <f>IF(OR(TRIM(D145)="",COUNTIF(ВидыНагр,F145)&lt;&gt;1),"0",CONCATENATE("$",TRIM(D145),"$",TRIM(E145),"$",F145,"$"))</f>
        <v/>
      </c>
      <c r="D145" s="415" t="n"/>
      <c r="E145" s="416" t="n"/>
      <c r="F145" s="417" t="n"/>
      <c r="G145" s="156" t="inlineStr">
        <is>
          <t>план</t>
        </is>
      </c>
      <c r="H145" s="157" t="n"/>
      <c r="I145" s="158" t="n"/>
      <c r="J145" s="418" t="n"/>
      <c r="K145" s="419" t="n"/>
      <c r="L145" s="420" t="n"/>
      <c r="M145" s="418" t="n"/>
      <c r="N145" s="419" t="n"/>
      <c r="O145" s="420" t="n"/>
      <c r="P145" s="418" t="n"/>
      <c r="Q145" s="419" t="n"/>
      <c r="R145" s="420" t="n"/>
      <c r="S145" s="418" t="n"/>
      <c r="T145" s="419" t="n"/>
      <c r="U145" s="421" t="n"/>
      <c r="V145" s="420" t="n"/>
      <c r="W145" s="420" t="n"/>
      <c r="X145" s="422">
        <f>SUM(J145:W145)</f>
        <v/>
      </c>
      <c r="Y145" s="423">
        <f>X146-X145</f>
        <v/>
      </c>
      <c r="Z145" s="209" t="n"/>
    </row>
    <row r="146" ht="14.25" customHeight="1" s="296">
      <c r="A146" s="154">
        <f>-A145</f>
        <v/>
      </c>
      <c r="B146" s="154">
        <f>B145</f>
        <v/>
      </c>
      <c r="C146" s="163" t="n"/>
      <c r="D146" s="424" t="n"/>
      <c r="E146" s="425" t="n"/>
      <c r="F146" s="426" t="n"/>
      <c r="G146" s="164" t="inlineStr">
        <is>
          <t>факт</t>
        </is>
      </c>
      <c r="H146" s="165" t="n"/>
      <c r="I146" s="250" t="n"/>
      <c r="J146" s="427">
        <f>SUMIF('02'!$D$7:$D$159,$C145,'02'!L$7:L$159)+SUMIF('03'!$D$7:$D$159,$C145,'03'!L$7:L$159)+SUMIF('04'!$D$7:$D$159,$C145,'04'!L$7:L$159)+SUMIF('05'!$D$7:$D$159,$C145,'05'!L$7:L$159)+SUMIF('06'!$D$7:$D$159,$C145,'06'!L$7:L$159)+SUMIF('07'!$D$7:$D$159,$C145,'07'!L$7:L$159)+SUMIF('08'!$D$7:$D$159,$C145,'08'!L$7:L$159)</f>
        <v/>
      </c>
      <c r="K146" s="428">
        <f>SUMIF('02'!$D$7:$D$159,$C145,'02'!M$7:M$159)+SUMIF('03'!$D$7:$D$159,$C145,'03'!M$7:M$159)+SUMIF('04'!$D$7:$D$159,$C145,'04'!M$7:M$159)+SUMIF('05'!$D$7:$D$159,$C145,'05'!M$7:M$159)+SUMIF('06'!$D$7:$D$159,$C145,'06'!M$7:M$159)+SUMIF('07'!$D$7:$D$159,$C145,'07'!M$7:M$159)+SUMIF('08'!$D$7:$D$159,$C145,'08'!M$7:M$159)</f>
        <v/>
      </c>
      <c r="L146" s="429">
        <f>SUMIF('02'!$D$7:$D$159,$C145,'02'!N$7:N$159)+SUMIF('03'!$D$7:$D$159,$C145,'03'!N$7:N$159)+SUMIF('04'!$D$7:$D$159,$C145,'04'!N$7:N$159)+SUMIF('05'!$D$7:$D$159,$C145,'05'!N$7:N$159)+SUMIF('06'!$D$7:$D$159,$C145,'06'!N$7:N$159)+SUMIF('07'!$D$7:$D$159,$C145,'07'!N$7:N$159)+SUMIF('08'!$D$7:$D$159,$C145,'08'!N$7:N$159)</f>
        <v/>
      </c>
      <c r="M146" s="427">
        <f>SUMIF('02'!$D$7:$D$159,$C145,'02'!O$7:O$159)+SUMIF('03'!$D$7:$D$159,$C145,'03'!O$7:O$159)+SUMIF('04'!$D$7:$D$159,$C145,'04'!O$7:O$159)+SUMIF('05'!$D$7:$D$159,$C145,'05'!O$7:O$159)+SUMIF('06'!$D$7:$D$159,$C145,'06'!O$7:O$159)+SUMIF('07'!$D$7:$D$159,$C145,'07'!O$7:O$159)+SUMIF('08'!$D$7:$D$159,$C145,'08'!O$7:O$159)</f>
        <v/>
      </c>
      <c r="N146" s="428">
        <f>SUMIF('02'!$D$7:$D$159,$C145,'02'!P$7:P$159)+SUMIF('03'!$D$7:$D$159,$C145,'03'!P$7:P$159)+SUMIF('04'!$D$7:$D$159,$C145,'04'!P$7:P$159)+SUMIF('05'!$D$7:$D$159,$C145,'05'!P$7:P$159)+SUMIF('06'!$D$7:$D$159,$C145,'06'!P$7:P$159)+SUMIF('07'!$D$7:$D$159,$C145,'07'!P$7:P$159)+SUMIF('08'!$D$7:$D$159,$C145,'08'!P$7:P$159)</f>
        <v/>
      </c>
      <c r="O146" s="429">
        <f>SUMIF('02'!$D$7:$D$159,$C145,'02'!Q$7:Q$159)+SUMIF('03'!$D$7:$D$159,$C145,'03'!Q$7:Q$159)+SUMIF('04'!$D$7:$D$159,$C145,'04'!Q$7:Q$159)+SUMIF('05'!$D$7:$D$159,$C145,'05'!Q$7:Q$159)+SUMIF('06'!$D$7:$D$159,$C145,'06'!Q$7:Q$159)+SUMIF('07'!$D$7:$D$159,$C145,'07'!Q$7:Q$159)+SUMIF('08'!$D$7:$D$159,$C145,'08'!Q$7:Q$159)</f>
        <v/>
      </c>
      <c r="P146" s="427">
        <f>SUMIF('02'!$D$7:$D$159,$C145,'02'!R$7:R$159)+SUMIF('03'!$D$7:$D$159,$C145,'03'!R$7:R$159)+SUMIF('04'!$D$7:$D$159,$C145,'04'!R$7:R$159)+SUMIF('05'!$D$7:$D$159,$C145,'05'!R$7:R$159)+SUMIF('06'!$D$7:$D$159,$C145,'06'!R$7:R$159)+SUMIF('07'!$D$7:$D$159,$C145,'07'!R$7:R$159)+SUMIF('08'!$D$7:$D$159,$C145,'08'!R$7:R$159)</f>
        <v/>
      </c>
      <c r="Q146" s="428">
        <f>SUMIF('02'!$D$7:$D$159,$C145,'02'!S$7:S$159)+SUMIF('03'!$D$7:$D$159,$C145,'03'!S$7:S$159)+SUMIF('04'!$D$7:$D$159,$C145,'04'!S$7:S$159)+SUMIF('05'!$D$7:$D$159,$C145,'05'!S$7:S$159)+SUMIF('06'!$D$7:$D$159,$C145,'06'!S$7:S$159)+SUMIF('07'!$D$7:$D$159,$C145,'07'!S$7:S$159)+SUMIF('08'!$D$7:$D$159,$C145,'08'!S$7:S$159)</f>
        <v/>
      </c>
      <c r="R146" s="429">
        <f>SUMIF('02'!$D$7:$D$159,$C145,'02'!T$7:T$159)+SUMIF('03'!$D$7:$D$159,$C145,'03'!T$7:T$159)+SUMIF('04'!$D$7:$D$159,$C145,'04'!T$7:T$159)+SUMIF('05'!$D$7:$D$159,$C145,'05'!T$7:T$159)+SUMIF('06'!$D$7:$D$159,$C145,'06'!T$7:T$159)+SUMIF('07'!$D$7:$D$159,$C145,'07'!T$7:T$159)+SUMIF('08'!$D$7:$D$159,$C145,'08'!T$7:T$159)</f>
        <v/>
      </c>
      <c r="S146" s="427">
        <f>SUMIF('02'!$D$7:$D$159,$C145,'02'!U$7:U$159)+SUMIF('03'!$D$7:$D$159,$C145,'03'!U$7:U$159)+SUMIF('04'!$D$7:$D$159,$C145,'04'!U$7:U$159)+SUMIF('05'!$D$7:$D$159,$C145,'05'!U$7:U$159)+SUMIF('06'!$D$7:$D$159,$C145,'06'!U$7:U$159)+SUMIF('07'!$D$7:$D$159,$C145,'07'!U$7:U$159)+SUMIF('08'!$D$7:$D$159,$C145,'08'!U$7:U$159)</f>
        <v/>
      </c>
      <c r="T146" s="428">
        <f>SUMIF('02'!$D$7:$D$159,$C145,'02'!V$7:V$159)+SUMIF('03'!$D$7:$D$159,$C145,'03'!V$7:V$159)+SUMIF('04'!$D$7:$D$159,$C145,'04'!V$7:V$159)+SUMIF('05'!$D$7:$D$159,$C145,'05'!V$7:V$159)+SUMIF('06'!$D$7:$D$159,$C145,'06'!V$7:V$159)+SUMIF('07'!$D$7:$D$159,$C145,'07'!V$7:V$159)+SUMIF('08'!$D$7:$D$159,$C145,'08'!V$7:V$159)</f>
        <v/>
      </c>
      <c r="U146" s="430">
        <f>SUMIF('02'!$D$7:$D$159,$C145,'02'!W$7:W$159)+SUMIF('03'!$D$7:$D$159,$C145,'03'!W$7:W$159)+SUMIF('04'!$D$7:$D$159,$C145,'04'!W$7:W$159)+SUMIF('05'!$D$7:$D$159,$C145,'05'!W$7:W$159)+SUMIF('06'!$D$7:$D$159,$C145,'06'!W$7:W$159)+SUMIF('07'!$D$7:$D$159,$C145,'07'!W$7:W$159)+SUMIF('08'!$D$7:$D$159,$C145,'08'!W$7:W$159)</f>
        <v/>
      </c>
      <c r="V146" s="429">
        <f>SUMIF('02'!$D$7:$D$159,$C145,'02'!X$7:X$159)+SUMIF('03'!$D$7:$D$159,$C145,'03'!X$7:X$159)+SUMIF('04'!$D$7:$D$159,$C145,'04'!X$7:X$159)+SUMIF('05'!$D$7:$D$159,$C145,'05'!X$7:X$159)+SUMIF('06'!$D$7:$D$159,$C145,'06'!X$7:X$159)+SUMIF('07'!$D$7:$D$159,$C145,'07'!X$7:X$159)+SUMIF('08'!$D$7:$D$159,$C145,'08'!X$7:X$159)</f>
        <v/>
      </c>
      <c r="W146" s="429">
        <f>SUMIF('02'!$D$7:$D$159,$C145,'02'!Y$7:Y$159)+SUMIF('03'!$D$7:$D$159,$C145,'03'!Y$7:Y$159)+SUMIF('04'!$D$7:$D$159,$C145,'04'!Y$7:Y$159)+SUMIF('05'!$D$7:$D$159,$C145,'05'!Y$7:Y$159)+SUMIF('06'!$D$7:$D$159,$C145,'06'!Y$7:Y$159)+SUMIF('07'!$D$7:$D$159,$C145,'07'!Y$7:Y$159)+SUMIF('08'!$D$7:$D$159,$C145,'08'!Y$7:Y$159)</f>
        <v/>
      </c>
      <c r="X146" s="431">
        <f>SUM(J146:W146)</f>
        <v/>
      </c>
      <c r="Y146" s="413" t="n"/>
      <c r="Z146" s="432" t="n"/>
    </row>
    <row r="147" ht="14.25" customHeight="1" s="296">
      <c r="A147" s="154">
        <f>IF(OR(C147="0",COUNTIF(КлючВесна,C147)&gt;1),0,MATCH(F147,ВидыНагр,0))</f>
        <v/>
      </c>
      <c r="B147" s="154">
        <f>(COUNTA(D147:F148,J147:W147,H147:I148)=0)</f>
        <v/>
      </c>
      <c r="C147" s="155">
        <f>IF(OR(TRIM(D147)="",COUNTIF(ВидыНагр,F147)&lt;&gt;1),"0",CONCATENATE("$",TRIM(D147),"$",TRIM(E147),"$",F147,"$"))</f>
        <v/>
      </c>
      <c r="D147" s="415" t="n"/>
      <c r="E147" s="416" t="n"/>
      <c r="F147" s="417" t="n"/>
      <c r="G147" s="156" t="inlineStr">
        <is>
          <t>план</t>
        </is>
      </c>
      <c r="H147" s="157" t="n"/>
      <c r="I147" s="158" t="n"/>
      <c r="J147" s="418" t="n"/>
      <c r="K147" s="419" t="n"/>
      <c r="L147" s="420" t="n"/>
      <c r="M147" s="418" t="n"/>
      <c r="N147" s="419" t="n"/>
      <c r="O147" s="420" t="n"/>
      <c r="P147" s="418" t="n"/>
      <c r="Q147" s="419" t="n"/>
      <c r="R147" s="420" t="n"/>
      <c r="S147" s="418" t="n"/>
      <c r="T147" s="419" t="n"/>
      <c r="U147" s="421" t="n"/>
      <c r="V147" s="420" t="n"/>
      <c r="W147" s="420" t="n"/>
      <c r="X147" s="422">
        <f>SUM(J147:W147)</f>
        <v/>
      </c>
      <c r="Y147" s="423">
        <f>X148-X147</f>
        <v/>
      </c>
      <c r="Z147" s="209" t="n"/>
    </row>
    <row r="148" ht="14.25" customHeight="1" s="296">
      <c r="A148" s="154">
        <f>-A147</f>
        <v/>
      </c>
      <c r="B148" s="154">
        <f>B147</f>
        <v/>
      </c>
      <c r="C148" s="163" t="n"/>
      <c r="D148" s="424" t="n"/>
      <c r="E148" s="425" t="n"/>
      <c r="F148" s="426" t="n"/>
      <c r="G148" s="164" t="inlineStr">
        <is>
          <t>факт</t>
        </is>
      </c>
      <c r="H148" s="165" t="n"/>
      <c r="I148" s="250" t="n"/>
      <c r="J148" s="427">
        <f>SUMIF('02'!$D$7:$D$159,$C147,'02'!L$7:L$159)+SUMIF('03'!$D$7:$D$159,$C147,'03'!L$7:L$159)+SUMIF('04'!$D$7:$D$159,$C147,'04'!L$7:L$159)+SUMIF('05'!$D$7:$D$159,$C147,'05'!L$7:L$159)+SUMIF('06'!$D$7:$D$159,$C147,'06'!L$7:L$159)+SUMIF('07'!$D$7:$D$159,$C147,'07'!L$7:L$159)+SUMIF('08'!$D$7:$D$159,$C147,'08'!L$7:L$159)</f>
        <v/>
      </c>
      <c r="K148" s="428">
        <f>SUMIF('02'!$D$7:$D$159,$C147,'02'!M$7:M$159)+SUMIF('03'!$D$7:$D$159,$C147,'03'!M$7:M$159)+SUMIF('04'!$D$7:$D$159,$C147,'04'!M$7:M$159)+SUMIF('05'!$D$7:$D$159,$C147,'05'!M$7:M$159)+SUMIF('06'!$D$7:$D$159,$C147,'06'!M$7:M$159)+SUMIF('07'!$D$7:$D$159,$C147,'07'!M$7:M$159)+SUMIF('08'!$D$7:$D$159,$C147,'08'!M$7:M$159)</f>
        <v/>
      </c>
      <c r="L148" s="429">
        <f>SUMIF('02'!$D$7:$D$159,$C147,'02'!N$7:N$159)+SUMIF('03'!$D$7:$D$159,$C147,'03'!N$7:N$159)+SUMIF('04'!$D$7:$D$159,$C147,'04'!N$7:N$159)+SUMIF('05'!$D$7:$D$159,$C147,'05'!N$7:N$159)+SUMIF('06'!$D$7:$D$159,$C147,'06'!N$7:N$159)+SUMIF('07'!$D$7:$D$159,$C147,'07'!N$7:N$159)+SUMIF('08'!$D$7:$D$159,$C147,'08'!N$7:N$159)</f>
        <v/>
      </c>
      <c r="M148" s="427">
        <f>SUMIF('02'!$D$7:$D$159,$C147,'02'!O$7:O$159)+SUMIF('03'!$D$7:$D$159,$C147,'03'!O$7:O$159)+SUMIF('04'!$D$7:$D$159,$C147,'04'!O$7:O$159)+SUMIF('05'!$D$7:$D$159,$C147,'05'!O$7:O$159)+SUMIF('06'!$D$7:$D$159,$C147,'06'!O$7:O$159)+SUMIF('07'!$D$7:$D$159,$C147,'07'!O$7:O$159)+SUMIF('08'!$D$7:$D$159,$C147,'08'!O$7:O$159)</f>
        <v/>
      </c>
      <c r="N148" s="428">
        <f>SUMIF('02'!$D$7:$D$159,$C147,'02'!P$7:P$159)+SUMIF('03'!$D$7:$D$159,$C147,'03'!P$7:P$159)+SUMIF('04'!$D$7:$D$159,$C147,'04'!P$7:P$159)+SUMIF('05'!$D$7:$D$159,$C147,'05'!P$7:P$159)+SUMIF('06'!$D$7:$D$159,$C147,'06'!P$7:P$159)+SUMIF('07'!$D$7:$D$159,$C147,'07'!P$7:P$159)+SUMIF('08'!$D$7:$D$159,$C147,'08'!P$7:P$159)</f>
        <v/>
      </c>
      <c r="O148" s="429">
        <f>SUMIF('02'!$D$7:$D$159,$C147,'02'!Q$7:Q$159)+SUMIF('03'!$D$7:$D$159,$C147,'03'!Q$7:Q$159)+SUMIF('04'!$D$7:$D$159,$C147,'04'!Q$7:Q$159)+SUMIF('05'!$D$7:$D$159,$C147,'05'!Q$7:Q$159)+SUMIF('06'!$D$7:$D$159,$C147,'06'!Q$7:Q$159)+SUMIF('07'!$D$7:$D$159,$C147,'07'!Q$7:Q$159)+SUMIF('08'!$D$7:$D$159,$C147,'08'!Q$7:Q$159)</f>
        <v/>
      </c>
      <c r="P148" s="427">
        <f>SUMIF('02'!$D$7:$D$159,$C147,'02'!R$7:R$159)+SUMIF('03'!$D$7:$D$159,$C147,'03'!R$7:R$159)+SUMIF('04'!$D$7:$D$159,$C147,'04'!R$7:R$159)+SUMIF('05'!$D$7:$D$159,$C147,'05'!R$7:R$159)+SUMIF('06'!$D$7:$D$159,$C147,'06'!R$7:R$159)+SUMIF('07'!$D$7:$D$159,$C147,'07'!R$7:R$159)+SUMIF('08'!$D$7:$D$159,$C147,'08'!R$7:R$159)</f>
        <v/>
      </c>
      <c r="Q148" s="428">
        <f>SUMIF('02'!$D$7:$D$159,$C147,'02'!S$7:S$159)+SUMIF('03'!$D$7:$D$159,$C147,'03'!S$7:S$159)+SUMIF('04'!$D$7:$D$159,$C147,'04'!S$7:S$159)+SUMIF('05'!$D$7:$D$159,$C147,'05'!S$7:S$159)+SUMIF('06'!$D$7:$D$159,$C147,'06'!S$7:S$159)+SUMIF('07'!$D$7:$D$159,$C147,'07'!S$7:S$159)+SUMIF('08'!$D$7:$D$159,$C147,'08'!S$7:S$159)</f>
        <v/>
      </c>
      <c r="R148" s="429">
        <f>SUMIF('02'!$D$7:$D$159,$C147,'02'!T$7:T$159)+SUMIF('03'!$D$7:$D$159,$C147,'03'!T$7:T$159)+SUMIF('04'!$D$7:$D$159,$C147,'04'!T$7:T$159)+SUMIF('05'!$D$7:$D$159,$C147,'05'!T$7:T$159)+SUMIF('06'!$D$7:$D$159,$C147,'06'!T$7:T$159)+SUMIF('07'!$D$7:$D$159,$C147,'07'!T$7:T$159)+SUMIF('08'!$D$7:$D$159,$C147,'08'!T$7:T$159)</f>
        <v/>
      </c>
      <c r="S148" s="427">
        <f>SUMIF('02'!$D$7:$D$159,$C147,'02'!U$7:U$159)+SUMIF('03'!$D$7:$D$159,$C147,'03'!U$7:U$159)+SUMIF('04'!$D$7:$D$159,$C147,'04'!U$7:U$159)+SUMIF('05'!$D$7:$D$159,$C147,'05'!U$7:U$159)+SUMIF('06'!$D$7:$D$159,$C147,'06'!U$7:U$159)+SUMIF('07'!$D$7:$D$159,$C147,'07'!U$7:U$159)+SUMIF('08'!$D$7:$D$159,$C147,'08'!U$7:U$159)</f>
        <v/>
      </c>
      <c r="T148" s="428">
        <f>SUMIF('02'!$D$7:$D$159,$C147,'02'!V$7:V$159)+SUMIF('03'!$D$7:$D$159,$C147,'03'!V$7:V$159)+SUMIF('04'!$D$7:$D$159,$C147,'04'!V$7:V$159)+SUMIF('05'!$D$7:$D$159,$C147,'05'!V$7:V$159)+SUMIF('06'!$D$7:$D$159,$C147,'06'!V$7:V$159)+SUMIF('07'!$D$7:$D$159,$C147,'07'!V$7:V$159)+SUMIF('08'!$D$7:$D$159,$C147,'08'!V$7:V$159)</f>
        <v/>
      </c>
      <c r="U148" s="430">
        <f>SUMIF('02'!$D$7:$D$159,$C147,'02'!W$7:W$159)+SUMIF('03'!$D$7:$D$159,$C147,'03'!W$7:W$159)+SUMIF('04'!$D$7:$D$159,$C147,'04'!W$7:W$159)+SUMIF('05'!$D$7:$D$159,$C147,'05'!W$7:W$159)+SUMIF('06'!$D$7:$D$159,$C147,'06'!W$7:W$159)+SUMIF('07'!$D$7:$D$159,$C147,'07'!W$7:W$159)+SUMIF('08'!$D$7:$D$159,$C147,'08'!W$7:W$159)</f>
        <v/>
      </c>
      <c r="V148" s="429">
        <f>SUMIF('02'!$D$7:$D$159,$C147,'02'!X$7:X$159)+SUMIF('03'!$D$7:$D$159,$C147,'03'!X$7:X$159)+SUMIF('04'!$D$7:$D$159,$C147,'04'!X$7:X$159)+SUMIF('05'!$D$7:$D$159,$C147,'05'!X$7:X$159)+SUMIF('06'!$D$7:$D$159,$C147,'06'!X$7:X$159)+SUMIF('07'!$D$7:$D$159,$C147,'07'!X$7:X$159)+SUMIF('08'!$D$7:$D$159,$C147,'08'!X$7:X$159)</f>
        <v/>
      </c>
      <c r="W148" s="429">
        <f>SUMIF('02'!$D$7:$D$159,$C147,'02'!Y$7:Y$159)+SUMIF('03'!$D$7:$D$159,$C147,'03'!Y$7:Y$159)+SUMIF('04'!$D$7:$D$159,$C147,'04'!Y$7:Y$159)+SUMIF('05'!$D$7:$D$159,$C147,'05'!Y$7:Y$159)+SUMIF('06'!$D$7:$D$159,$C147,'06'!Y$7:Y$159)+SUMIF('07'!$D$7:$D$159,$C147,'07'!Y$7:Y$159)+SUMIF('08'!$D$7:$D$159,$C147,'08'!Y$7:Y$159)</f>
        <v/>
      </c>
      <c r="X148" s="431">
        <f>SUM(J148:W148)</f>
        <v/>
      </c>
      <c r="Y148" s="413" t="n"/>
      <c r="Z148" s="432" t="n"/>
    </row>
    <row r="149" ht="14.25" customHeight="1" s="296">
      <c r="A149" s="154">
        <f>IF(OR(C149="0",COUNTIF(КлючВесна,C149)&gt;1),0,MATCH(F149,ВидыНагр,0))</f>
        <v/>
      </c>
      <c r="B149" s="154">
        <f>(COUNTA(D149:F150,J149:W149,H149:I150)=0)</f>
        <v/>
      </c>
      <c r="C149" s="155">
        <f>IF(OR(TRIM(D149)="",COUNTIF(ВидыНагр,F149)&lt;&gt;1),"0",CONCATENATE("$",TRIM(D149),"$",TRIM(E149),"$",F149,"$"))</f>
        <v/>
      </c>
      <c r="D149" s="415" t="n"/>
      <c r="E149" s="416" t="n"/>
      <c r="F149" s="417" t="n"/>
      <c r="G149" s="156" t="inlineStr">
        <is>
          <t>план</t>
        </is>
      </c>
      <c r="H149" s="157" t="n"/>
      <c r="I149" s="158" t="n"/>
      <c r="J149" s="418" t="n"/>
      <c r="K149" s="419" t="n"/>
      <c r="L149" s="420" t="n"/>
      <c r="M149" s="418" t="n"/>
      <c r="N149" s="419" t="n"/>
      <c r="O149" s="420" t="n"/>
      <c r="P149" s="418" t="n"/>
      <c r="Q149" s="419" t="n"/>
      <c r="R149" s="420" t="n"/>
      <c r="S149" s="418" t="n"/>
      <c r="T149" s="419" t="n"/>
      <c r="U149" s="421" t="n"/>
      <c r="V149" s="420" t="n"/>
      <c r="W149" s="420" t="n"/>
      <c r="X149" s="422">
        <f>SUM(J149:W149)</f>
        <v/>
      </c>
      <c r="Y149" s="423">
        <f>X150-X149</f>
        <v/>
      </c>
      <c r="Z149" s="209" t="n"/>
    </row>
    <row r="150" ht="14.25" customHeight="1" s="296">
      <c r="A150" s="154">
        <f>-A149</f>
        <v/>
      </c>
      <c r="B150" s="154">
        <f>B149</f>
        <v/>
      </c>
      <c r="C150" s="163" t="n"/>
      <c r="D150" s="424" t="n"/>
      <c r="E150" s="425" t="n"/>
      <c r="F150" s="426" t="n"/>
      <c r="G150" s="164" t="inlineStr">
        <is>
          <t>факт</t>
        </is>
      </c>
      <c r="H150" s="165" t="n"/>
      <c r="I150" s="250" t="n"/>
      <c r="J150" s="427">
        <f>SUMIF('02'!$D$7:$D$159,$C149,'02'!L$7:L$159)+SUMIF('03'!$D$7:$D$159,$C149,'03'!L$7:L$159)+SUMIF('04'!$D$7:$D$159,$C149,'04'!L$7:L$159)+SUMIF('05'!$D$7:$D$159,$C149,'05'!L$7:L$159)+SUMIF('06'!$D$7:$D$159,$C149,'06'!L$7:L$159)+SUMIF('07'!$D$7:$D$159,$C149,'07'!L$7:L$159)+SUMIF('08'!$D$7:$D$159,$C149,'08'!L$7:L$159)</f>
        <v/>
      </c>
      <c r="K150" s="428">
        <f>SUMIF('02'!$D$7:$D$159,$C149,'02'!M$7:M$159)+SUMIF('03'!$D$7:$D$159,$C149,'03'!M$7:M$159)+SUMIF('04'!$D$7:$D$159,$C149,'04'!M$7:M$159)+SUMIF('05'!$D$7:$D$159,$C149,'05'!M$7:M$159)+SUMIF('06'!$D$7:$D$159,$C149,'06'!M$7:M$159)+SUMIF('07'!$D$7:$D$159,$C149,'07'!M$7:M$159)+SUMIF('08'!$D$7:$D$159,$C149,'08'!M$7:M$159)</f>
        <v/>
      </c>
      <c r="L150" s="429">
        <f>SUMIF('02'!$D$7:$D$159,$C149,'02'!N$7:N$159)+SUMIF('03'!$D$7:$D$159,$C149,'03'!N$7:N$159)+SUMIF('04'!$D$7:$D$159,$C149,'04'!N$7:N$159)+SUMIF('05'!$D$7:$D$159,$C149,'05'!N$7:N$159)+SUMIF('06'!$D$7:$D$159,$C149,'06'!N$7:N$159)+SUMIF('07'!$D$7:$D$159,$C149,'07'!N$7:N$159)+SUMIF('08'!$D$7:$D$159,$C149,'08'!N$7:N$159)</f>
        <v/>
      </c>
      <c r="M150" s="427">
        <f>SUMIF('02'!$D$7:$D$159,$C149,'02'!O$7:O$159)+SUMIF('03'!$D$7:$D$159,$C149,'03'!O$7:O$159)+SUMIF('04'!$D$7:$D$159,$C149,'04'!O$7:O$159)+SUMIF('05'!$D$7:$D$159,$C149,'05'!O$7:O$159)+SUMIF('06'!$D$7:$D$159,$C149,'06'!O$7:O$159)+SUMIF('07'!$D$7:$D$159,$C149,'07'!O$7:O$159)+SUMIF('08'!$D$7:$D$159,$C149,'08'!O$7:O$159)</f>
        <v/>
      </c>
      <c r="N150" s="428">
        <f>SUMIF('02'!$D$7:$D$159,$C149,'02'!P$7:P$159)+SUMIF('03'!$D$7:$D$159,$C149,'03'!P$7:P$159)+SUMIF('04'!$D$7:$D$159,$C149,'04'!P$7:P$159)+SUMIF('05'!$D$7:$D$159,$C149,'05'!P$7:P$159)+SUMIF('06'!$D$7:$D$159,$C149,'06'!P$7:P$159)+SUMIF('07'!$D$7:$D$159,$C149,'07'!P$7:P$159)+SUMIF('08'!$D$7:$D$159,$C149,'08'!P$7:P$159)</f>
        <v/>
      </c>
      <c r="O150" s="429">
        <f>SUMIF('02'!$D$7:$D$159,$C149,'02'!Q$7:Q$159)+SUMIF('03'!$D$7:$D$159,$C149,'03'!Q$7:Q$159)+SUMIF('04'!$D$7:$D$159,$C149,'04'!Q$7:Q$159)+SUMIF('05'!$D$7:$D$159,$C149,'05'!Q$7:Q$159)+SUMIF('06'!$D$7:$D$159,$C149,'06'!Q$7:Q$159)+SUMIF('07'!$D$7:$D$159,$C149,'07'!Q$7:Q$159)+SUMIF('08'!$D$7:$D$159,$C149,'08'!Q$7:Q$159)</f>
        <v/>
      </c>
      <c r="P150" s="427">
        <f>SUMIF('02'!$D$7:$D$159,$C149,'02'!R$7:R$159)+SUMIF('03'!$D$7:$D$159,$C149,'03'!R$7:R$159)+SUMIF('04'!$D$7:$D$159,$C149,'04'!R$7:R$159)+SUMIF('05'!$D$7:$D$159,$C149,'05'!R$7:R$159)+SUMIF('06'!$D$7:$D$159,$C149,'06'!R$7:R$159)+SUMIF('07'!$D$7:$D$159,$C149,'07'!R$7:R$159)+SUMIF('08'!$D$7:$D$159,$C149,'08'!R$7:R$159)</f>
        <v/>
      </c>
      <c r="Q150" s="428">
        <f>SUMIF('02'!$D$7:$D$159,$C149,'02'!S$7:S$159)+SUMIF('03'!$D$7:$D$159,$C149,'03'!S$7:S$159)+SUMIF('04'!$D$7:$D$159,$C149,'04'!S$7:S$159)+SUMIF('05'!$D$7:$D$159,$C149,'05'!S$7:S$159)+SUMIF('06'!$D$7:$D$159,$C149,'06'!S$7:S$159)+SUMIF('07'!$D$7:$D$159,$C149,'07'!S$7:S$159)+SUMIF('08'!$D$7:$D$159,$C149,'08'!S$7:S$159)</f>
        <v/>
      </c>
      <c r="R150" s="429">
        <f>SUMIF('02'!$D$7:$D$159,$C149,'02'!T$7:T$159)+SUMIF('03'!$D$7:$D$159,$C149,'03'!T$7:T$159)+SUMIF('04'!$D$7:$D$159,$C149,'04'!T$7:T$159)+SUMIF('05'!$D$7:$D$159,$C149,'05'!T$7:T$159)+SUMIF('06'!$D$7:$D$159,$C149,'06'!T$7:T$159)+SUMIF('07'!$D$7:$D$159,$C149,'07'!T$7:T$159)+SUMIF('08'!$D$7:$D$159,$C149,'08'!T$7:T$159)</f>
        <v/>
      </c>
      <c r="S150" s="427">
        <f>SUMIF('02'!$D$7:$D$159,$C149,'02'!U$7:U$159)+SUMIF('03'!$D$7:$D$159,$C149,'03'!U$7:U$159)+SUMIF('04'!$D$7:$D$159,$C149,'04'!U$7:U$159)+SUMIF('05'!$D$7:$D$159,$C149,'05'!U$7:U$159)+SUMIF('06'!$D$7:$D$159,$C149,'06'!U$7:U$159)+SUMIF('07'!$D$7:$D$159,$C149,'07'!U$7:U$159)+SUMIF('08'!$D$7:$D$159,$C149,'08'!U$7:U$159)</f>
        <v/>
      </c>
      <c r="T150" s="428">
        <f>SUMIF('02'!$D$7:$D$159,$C149,'02'!V$7:V$159)+SUMIF('03'!$D$7:$D$159,$C149,'03'!V$7:V$159)+SUMIF('04'!$D$7:$D$159,$C149,'04'!V$7:V$159)+SUMIF('05'!$D$7:$D$159,$C149,'05'!V$7:V$159)+SUMIF('06'!$D$7:$D$159,$C149,'06'!V$7:V$159)+SUMIF('07'!$D$7:$D$159,$C149,'07'!V$7:V$159)+SUMIF('08'!$D$7:$D$159,$C149,'08'!V$7:V$159)</f>
        <v/>
      </c>
      <c r="U150" s="430">
        <f>SUMIF('02'!$D$7:$D$159,$C149,'02'!W$7:W$159)+SUMIF('03'!$D$7:$D$159,$C149,'03'!W$7:W$159)+SUMIF('04'!$D$7:$D$159,$C149,'04'!W$7:W$159)+SUMIF('05'!$D$7:$D$159,$C149,'05'!W$7:W$159)+SUMIF('06'!$D$7:$D$159,$C149,'06'!W$7:W$159)+SUMIF('07'!$D$7:$D$159,$C149,'07'!W$7:W$159)+SUMIF('08'!$D$7:$D$159,$C149,'08'!W$7:W$159)</f>
        <v/>
      </c>
      <c r="V150" s="429">
        <f>SUMIF('02'!$D$7:$D$159,$C149,'02'!X$7:X$159)+SUMIF('03'!$D$7:$D$159,$C149,'03'!X$7:X$159)+SUMIF('04'!$D$7:$D$159,$C149,'04'!X$7:X$159)+SUMIF('05'!$D$7:$D$159,$C149,'05'!X$7:X$159)+SUMIF('06'!$D$7:$D$159,$C149,'06'!X$7:X$159)+SUMIF('07'!$D$7:$D$159,$C149,'07'!X$7:X$159)+SUMIF('08'!$D$7:$D$159,$C149,'08'!X$7:X$159)</f>
        <v/>
      </c>
      <c r="W150" s="429">
        <f>SUMIF('02'!$D$7:$D$159,$C149,'02'!Y$7:Y$159)+SUMIF('03'!$D$7:$D$159,$C149,'03'!Y$7:Y$159)+SUMIF('04'!$D$7:$D$159,$C149,'04'!Y$7:Y$159)+SUMIF('05'!$D$7:$D$159,$C149,'05'!Y$7:Y$159)+SUMIF('06'!$D$7:$D$159,$C149,'06'!Y$7:Y$159)+SUMIF('07'!$D$7:$D$159,$C149,'07'!Y$7:Y$159)+SUMIF('08'!$D$7:$D$159,$C149,'08'!Y$7:Y$159)</f>
        <v/>
      </c>
      <c r="X150" s="431">
        <f>SUM(J150:W150)</f>
        <v/>
      </c>
      <c r="Y150" s="413" t="n"/>
      <c r="Z150" s="432" t="n"/>
    </row>
    <row r="151" ht="14.25" customHeight="1" s="296">
      <c r="A151" s="154">
        <f>IF(OR(C151="0",COUNTIF(КлючВесна,C151)&gt;1),0,MATCH(F151,ВидыНагр,0))</f>
        <v/>
      </c>
      <c r="B151" s="154">
        <f>(COUNTA(D151:F152,J151:W151,H151:I152)=0)</f>
        <v/>
      </c>
      <c r="C151" s="155">
        <f>IF(OR(TRIM(D151)="",COUNTIF(ВидыНагр,F151)&lt;&gt;1),"0",CONCATENATE("$",TRIM(D151),"$",TRIM(E151),"$",F151,"$"))</f>
        <v/>
      </c>
      <c r="D151" s="415" t="n"/>
      <c r="E151" s="416" t="n"/>
      <c r="F151" s="417" t="n"/>
      <c r="G151" s="156" t="inlineStr">
        <is>
          <t>план</t>
        </is>
      </c>
      <c r="H151" s="157" t="n"/>
      <c r="I151" s="158" t="n"/>
      <c r="J151" s="418" t="n"/>
      <c r="K151" s="419" t="n"/>
      <c r="L151" s="420" t="n"/>
      <c r="M151" s="418" t="n"/>
      <c r="N151" s="419" t="n"/>
      <c r="O151" s="420" t="n"/>
      <c r="P151" s="418" t="n"/>
      <c r="Q151" s="419" t="n"/>
      <c r="R151" s="420" t="n"/>
      <c r="S151" s="418" t="n"/>
      <c r="T151" s="419" t="n"/>
      <c r="U151" s="421" t="n"/>
      <c r="V151" s="420" t="n"/>
      <c r="W151" s="420" t="n"/>
      <c r="X151" s="422">
        <f>SUM(J151:W151)</f>
        <v/>
      </c>
      <c r="Y151" s="423">
        <f>X152-X151</f>
        <v/>
      </c>
      <c r="Z151" s="209" t="n"/>
    </row>
    <row r="152" ht="14.25" customHeight="1" s="296">
      <c r="A152" s="154">
        <f>-A151</f>
        <v/>
      </c>
      <c r="B152" s="154">
        <f>B151</f>
        <v/>
      </c>
      <c r="C152" s="163" t="n"/>
      <c r="D152" s="424" t="n"/>
      <c r="E152" s="425" t="n"/>
      <c r="F152" s="426" t="n"/>
      <c r="G152" s="164" t="inlineStr">
        <is>
          <t>факт</t>
        </is>
      </c>
      <c r="H152" s="165" t="n"/>
      <c r="I152" s="250" t="n"/>
      <c r="J152" s="427">
        <f>SUMIF('02'!$D$7:$D$159,$C151,'02'!L$7:L$159)+SUMIF('03'!$D$7:$D$159,$C151,'03'!L$7:L$159)+SUMIF('04'!$D$7:$D$159,$C151,'04'!L$7:L$159)+SUMIF('05'!$D$7:$D$159,$C151,'05'!L$7:L$159)+SUMIF('06'!$D$7:$D$159,$C151,'06'!L$7:L$159)+SUMIF('07'!$D$7:$D$159,$C151,'07'!L$7:L$159)+SUMIF('08'!$D$7:$D$159,$C151,'08'!L$7:L$159)</f>
        <v/>
      </c>
      <c r="K152" s="428">
        <f>SUMIF('02'!$D$7:$D$159,$C151,'02'!M$7:M$159)+SUMIF('03'!$D$7:$D$159,$C151,'03'!M$7:M$159)+SUMIF('04'!$D$7:$D$159,$C151,'04'!M$7:M$159)+SUMIF('05'!$D$7:$D$159,$C151,'05'!M$7:M$159)+SUMIF('06'!$D$7:$D$159,$C151,'06'!M$7:M$159)+SUMIF('07'!$D$7:$D$159,$C151,'07'!M$7:M$159)+SUMIF('08'!$D$7:$D$159,$C151,'08'!M$7:M$159)</f>
        <v/>
      </c>
      <c r="L152" s="429">
        <f>SUMIF('02'!$D$7:$D$159,$C151,'02'!N$7:N$159)+SUMIF('03'!$D$7:$D$159,$C151,'03'!N$7:N$159)+SUMIF('04'!$D$7:$D$159,$C151,'04'!N$7:N$159)+SUMIF('05'!$D$7:$D$159,$C151,'05'!N$7:N$159)+SUMIF('06'!$D$7:$D$159,$C151,'06'!N$7:N$159)+SUMIF('07'!$D$7:$D$159,$C151,'07'!N$7:N$159)+SUMIF('08'!$D$7:$D$159,$C151,'08'!N$7:N$159)</f>
        <v/>
      </c>
      <c r="M152" s="427">
        <f>SUMIF('02'!$D$7:$D$159,$C151,'02'!O$7:O$159)+SUMIF('03'!$D$7:$D$159,$C151,'03'!O$7:O$159)+SUMIF('04'!$D$7:$D$159,$C151,'04'!O$7:O$159)+SUMIF('05'!$D$7:$D$159,$C151,'05'!O$7:O$159)+SUMIF('06'!$D$7:$D$159,$C151,'06'!O$7:O$159)+SUMIF('07'!$D$7:$D$159,$C151,'07'!O$7:O$159)+SUMIF('08'!$D$7:$D$159,$C151,'08'!O$7:O$159)</f>
        <v/>
      </c>
      <c r="N152" s="428">
        <f>SUMIF('02'!$D$7:$D$159,$C151,'02'!P$7:P$159)+SUMIF('03'!$D$7:$D$159,$C151,'03'!P$7:P$159)+SUMIF('04'!$D$7:$D$159,$C151,'04'!P$7:P$159)+SUMIF('05'!$D$7:$D$159,$C151,'05'!P$7:P$159)+SUMIF('06'!$D$7:$D$159,$C151,'06'!P$7:P$159)+SUMIF('07'!$D$7:$D$159,$C151,'07'!P$7:P$159)+SUMIF('08'!$D$7:$D$159,$C151,'08'!P$7:P$159)</f>
        <v/>
      </c>
      <c r="O152" s="429">
        <f>SUMIF('02'!$D$7:$D$159,$C151,'02'!Q$7:Q$159)+SUMIF('03'!$D$7:$D$159,$C151,'03'!Q$7:Q$159)+SUMIF('04'!$D$7:$D$159,$C151,'04'!Q$7:Q$159)+SUMIF('05'!$D$7:$D$159,$C151,'05'!Q$7:Q$159)+SUMIF('06'!$D$7:$D$159,$C151,'06'!Q$7:Q$159)+SUMIF('07'!$D$7:$D$159,$C151,'07'!Q$7:Q$159)+SUMIF('08'!$D$7:$D$159,$C151,'08'!Q$7:Q$159)</f>
        <v/>
      </c>
      <c r="P152" s="427">
        <f>SUMIF('02'!$D$7:$D$159,$C151,'02'!R$7:R$159)+SUMIF('03'!$D$7:$D$159,$C151,'03'!R$7:R$159)+SUMIF('04'!$D$7:$D$159,$C151,'04'!R$7:R$159)+SUMIF('05'!$D$7:$D$159,$C151,'05'!R$7:R$159)+SUMIF('06'!$D$7:$D$159,$C151,'06'!R$7:R$159)+SUMIF('07'!$D$7:$D$159,$C151,'07'!R$7:R$159)+SUMIF('08'!$D$7:$D$159,$C151,'08'!R$7:R$159)</f>
        <v/>
      </c>
      <c r="Q152" s="428">
        <f>SUMIF('02'!$D$7:$D$159,$C151,'02'!S$7:S$159)+SUMIF('03'!$D$7:$D$159,$C151,'03'!S$7:S$159)+SUMIF('04'!$D$7:$D$159,$C151,'04'!S$7:S$159)+SUMIF('05'!$D$7:$D$159,$C151,'05'!S$7:S$159)+SUMIF('06'!$D$7:$D$159,$C151,'06'!S$7:S$159)+SUMIF('07'!$D$7:$D$159,$C151,'07'!S$7:S$159)+SUMIF('08'!$D$7:$D$159,$C151,'08'!S$7:S$159)</f>
        <v/>
      </c>
      <c r="R152" s="429">
        <f>SUMIF('02'!$D$7:$D$159,$C151,'02'!T$7:T$159)+SUMIF('03'!$D$7:$D$159,$C151,'03'!T$7:T$159)+SUMIF('04'!$D$7:$D$159,$C151,'04'!T$7:T$159)+SUMIF('05'!$D$7:$D$159,$C151,'05'!T$7:T$159)+SUMIF('06'!$D$7:$D$159,$C151,'06'!T$7:T$159)+SUMIF('07'!$D$7:$D$159,$C151,'07'!T$7:T$159)+SUMIF('08'!$D$7:$D$159,$C151,'08'!T$7:T$159)</f>
        <v/>
      </c>
      <c r="S152" s="427">
        <f>SUMIF('02'!$D$7:$D$159,$C151,'02'!U$7:U$159)+SUMIF('03'!$D$7:$D$159,$C151,'03'!U$7:U$159)+SUMIF('04'!$D$7:$D$159,$C151,'04'!U$7:U$159)+SUMIF('05'!$D$7:$D$159,$C151,'05'!U$7:U$159)+SUMIF('06'!$D$7:$D$159,$C151,'06'!U$7:U$159)+SUMIF('07'!$D$7:$D$159,$C151,'07'!U$7:U$159)+SUMIF('08'!$D$7:$D$159,$C151,'08'!U$7:U$159)</f>
        <v/>
      </c>
      <c r="T152" s="428">
        <f>SUMIF('02'!$D$7:$D$159,$C151,'02'!V$7:V$159)+SUMIF('03'!$D$7:$D$159,$C151,'03'!V$7:V$159)+SUMIF('04'!$D$7:$D$159,$C151,'04'!V$7:V$159)+SUMIF('05'!$D$7:$D$159,$C151,'05'!V$7:V$159)+SUMIF('06'!$D$7:$D$159,$C151,'06'!V$7:V$159)+SUMIF('07'!$D$7:$D$159,$C151,'07'!V$7:V$159)+SUMIF('08'!$D$7:$D$159,$C151,'08'!V$7:V$159)</f>
        <v/>
      </c>
      <c r="U152" s="430">
        <f>SUMIF('02'!$D$7:$D$159,$C151,'02'!W$7:W$159)+SUMIF('03'!$D$7:$D$159,$C151,'03'!W$7:W$159)+SUMIF('04'!$D$7:$D$159,$C151,'04'!W$7:W$159)+SUMIF('05'!$D$7:$D$159,$C151,'05'!W$7:W$159)+SUMIF('06'!$D$7:$D$159,$C151,'06'!W$7:W$159)+SUMIF('07'!$D$7:$D$159,$C151,'07'!W$7:W$159)+SUMIF('08'!$D$7:$D$159,$C151,'08'!W$7:W$159)</f>
        <v/>
      </c>
      <c r="V152" s="429">
        <f>SUMIF('02'!$D$7:$D$159,$C151,'02'!X$7:X$159)+SUMIF('03'!$D$7:$D$159,$C151,'03'!X$7:X$159)+SUMIF('04'!$D$7:$D$159,$C151,'04'!X$7:X$159)+SUMIF('05'!$D$7:$D$159,$C151,'05'!X$7:X$159)+SUMIF('06'!$D$7:$D$159,$C151,'06'!X$7:X$159)+SUMIF('07'!$D$7:$D$159,$C151,'07'!X$7:X$159)+SUMIF('08'!$D$7:$D$159,$C151,'08'!X$7:X$159)</f>
        <v/>
      </c>
      <c r="W152" s="429">
        <f>SUMIF('02'!$D$7:$D$159,$C151,'02'!Y$7:Y$159)+SUMIF('03'!$D$7:$D$159,$C151,'03'!Y$7:Y$159)+SUMIF('04'!$D$7:$D$159,$C151,'04'!Y$7:Y$159)+SUMIF('05'!$D$7:$D$159,$C151,'05'!Y$7:Y$159)+SUMIF('06'!$D$7:$D$159,$C151,'06'!Y$7:Y$159)+SUMIF('07'!$D$7:$D$159,$C151,'07'!Y$7:Y$159)+SUMIF('08'!$D$7:$D$159,$C151,'08'!Y$7:Y$159)</f>
        <v/>
      </c>
      <c r="X152" s="431">
        <f>SUM(J152:W152)</f>
        <v/>
      </c>
      <c r="Y152" s="413" t="n"/>
      <c r="Z152" s="432" t="n"/>
    </row>
    <row r="153" ht="14.25" customHeight="1" s="296">
      <c r="A153" s="154">
        <f>IF(OR(C153="0",COUNTIF(КлючВесна,C153)&gt;1),0,MATCH(F153,ВидыНагр,0))</f>
        <v/>
      </c>
      <c r="B153" s="154">
        <f>(COUNTA(D153:F154,J153:W153,H153:I154)=0)</f>
        <v/>
      </c>
      <c r="C153" s="155">
        <f>IF(OR(TRIM(D153)="",COUNTIF(ВидыНагр,F153)&lt;&gt;1),"0",CONCATENATE("$",TRIM(D153),"$",TRIM(E153),"$",F153,"$"))</f>
        <v/>
      </c>
      <c r="D153" s="415" t="n"/>
      <c r="E153" s="416" t="n"/>
      <c r="F153" s="417" t="n"/>
      <c r="G153" s="156" t="inlineStr">
        <is>
          <t>план</t>
        </is>
      </c>
      <c r="H153" s="157" t="n"/>
      <c r="I153" s="158" t="n"/>
      <c r="J153" s="418" t="n"/>
      <c r="K153" s="419" t="n"/>
      <c r="L153" s="420" t="n"/>
      <c r="M153" s="418" t="n"/>
      <c r="N153" s="419" t="n"/>
      <c r="O153" s="420" t="n"/>
      <c r="P153" s="418" t="n"/>
      <c r="Q153" s="419" t="n"/>
      <c r="R153" s="420" t="n"/>
      <c r="S153" s="418" t="n"/>
      <c r="T153" s="419" t="n"/>
      <c r="U153" s="421" t="n"/>
      <c r="V153" s="420" t="n"/>
      <c r="W153" s="420" t="n"/>
      <c r="X153" s="422">
        <f>SUM(J153:W153)</f>
        <v/>
      </c>
      <c r="Y153" s="423">
        <f>X154-X153</f>
        <v/>
      </c>
      <c r="Z153" s="209" t="n"/>
    </row>
    <row r="154" ht="14.25" customHeight="1" s="296">
      <c r="A154" s="154">
        <f>-A153</f>
        <v/>
      </c>
      <c r="B154" s="154">
        <f>B153</f>
        <v/>
      </c>
      <c r="C154" s="163" t="n"/>
      <c r="D154" s="424" t="n"/>
      <c r="E154" s="425" t="n"/>
      <c r="F154" s="426" t="n"/>
      <c r="G154" s="164" t="inlineStr">
        <is>
          <t>факт</t>
        </is>
      </c>
      <c r="H154" s="165" t="n"/>
      <c r="I154" s="250" t="n"/>
      <c r="J154" s="427">
        <f>SUMIF('02'!$D$7:$D$159,$C153,'02'!L$7:L$159)+SUMIF('03'!$D$7:$D$159,$C153,'03'!L$7:L$159)+SUMIF('04'!$D$7:$D$159,$C153,'04'!L$7:L$159)+SUMIF('05'!$D$7:$D$159,$C153,'05'!L$7:L$159)+SUMIF('06'!$D$7:$D$159,$C153,'06'!L$7:L$159)+SUMIF('07'!$D$7:$D$159,$C153,'07'!L$7:L$159)+SUMIF('08'!$D$7:$D$159,$C153,'08'!L$7:L$159)</f>
        <v/>
      </c>
      <c r="K154" s="428">
        <f>SUMIF('02'!$D$7:$D$159,$C153,'02'!M$7:M$159)+SUMIF('03'!$D$7:$D$159,$C153,'03'!M$7:M$159)+SUMIF('04'!$D$7:$D$159,$C153,'04'!M$7:M$159)+SUMIF('05'!$D$7:$D$159,$C153,'05'!M$7:M$159)+SUMIF('06'!$D$7:$D$159,$C153,'06'!M$7:M$159)+SUMIF('07'!$D$7:$D$159,$C153,'07'!M$7:M$159)+SUMIF('08'!$D$7:$D$159,$C153,'08'!M$7:M$159)</f>
        <v/>
      </c>
      <c r="L154" s="429">
        <f>SUMIF('02'!$D$7:$D$159,$C153,'02'!N$7:N$159)+SUMIF('03'!$D$7:$D$159,$C153,'03'!N$7:N$159)+SUMIF('04'!$D$7:$D$159,$C153,'04'!N$7:N$159)+SUMIF('05'!$D$7:$D$159,$C153,'05'!N$7:N$159)+SUMIF('06'!$D$7:$D$159,$C153,'06'!N$7:N$159)+SUMIF('07'!$D$7:$D$159,$C153,'07'!N$7:N$159)+SUMIF('08'!$D$7:$D$159,$C153,'08'!N$7:N$159)</f>
        <v/>
      </c>
      <c r="M154" s="427">
        <f>SUMIF('02'!$D$7:$D$159,$C153,'02'!O$7:O$159)+SUMIF('03'!$D$7:$D$159,$C153,'03'!O$7:O$159)+SUMIF('04'!$D$7:$D$159,$C153,'04'!O$7:O$159)+SUMIF('05'!$D$7:$D$159,$C153,'05'!O$7:O$159)+SUMIF('06'!$D$7:$D$159,$C153,'06'!O$7:O$159)+SUMIF('07'!$D$7:$D$159,$C153,'07'!O$7:O$159)+SUMIF('08'!$D$7:$D$159,$C153,'08'!O$7:O$159)</f>
        <v/>
      </c>
      <c r="N154" s="428">
        <f>SUMIF('02'!$D$7:$D$159,$C153,'02'!P$7:P$159)+SUMIF('03'!$D$7:$D$159,$C153,'03'!P$7:P$159)+SUMIF('04'!$D$7:$D$159,$C153,'04'!P$7:P$159)+SUMIF('05'!$D$7:$D$159,$C153,'05'!P$7:P$159)+SUMIF('06'!$D$7:$D$159,$C153,'06'!P$7:P$159)+SUMIF('07'!$D$7:$D$159,$C153,'07'!P$7:P$159)+SUMIF('08'!$D$7:$D$159,$C153,'08'!P$7:P$159)</f>
        <v/>
      </c>
      <c r="O154" s="429">
        <f>SUMIF('02'!$D$7:$D$159,$C153,'02'!Q$7:Q$159)+SUMIF('03'!$D$7:$D$159,$C153,'03'!Q$7:Q$159)+SUMIF('04'!$D$7:$D$159,$C153,'04'!Q$7:Q$159)+SUMIF('05'!$D$7:$D$159,$C153,'05'!Q$7:Q$159)+SUMIF('06'!$D$7:$D$159,$C153,'06'!Q$7:Q$159)+SUMIF('07'!$D$7:$D$159,$C153,'07'!Q$7:Q$159)+SUMIF('08'!$D$7:$D$159,$C153,'08'!Q$7:Q$159)</f>
        <v/>
      </c>
      <c r="P154" s="427">
        <f>SUMIF('02'!$D$7:$D$159,$C153,'02'!R$7:R$159)+SUMIF('03'!$D$7:$D$159,$C153,'03'!R$7:R$159)+SUMIF('04'!$D$7:$D$159,$C153,'04'!R$7:R$159)+SUMIF('05'!$D$7:$D$159,$C153,'05'!R$7:R$159)+SUMIF('06'!$D$7:$D$159,$C153,'06'!R$7:R$159)+SUMIF('07'!$D$7:$D$159,$C153,'07'!R$7:R$159)+SUMIF('08'!$D$7:$D$159,$C153,'08'!R$7:R$159)</f>
        <v/>
      </c>
      <c r="Q154" s="428">
        <f>SUMIF('02'!$D$7:$D$159,$C153,'02'!S$7:S$159)+SUMIF('03'!$D$7:$D$159,$C153,'03'!S$7:S$159)+SUMIF('04'!$D$7:$D$159,$C153,'04'!S$7:S$159)+SUMIF('05'!$D$7:$D$159,$C153,'05'!S$7:S$159)+SUMIF('06'!$D$7:$D$159,$C153,'06'!S$7:S$159)+SUMIF('07'!$D$7:$D$159,$C153,'07'!S$7:S$159)+SUMIF('08'!$D$7:$D$159,$C153,'08'!S$7:S$159)</f>
        <v/>
      </c>
      <c r="R154" s="429">
        <f>SUMIF('02'!$D$7:$D$159,$C153,'02'!T$7:T$159)+SUMIF('03'!$D$7:$D$159,$C153,'03'!T$7:T$159)+SUMIF('04'!$D$7:$D$159,$C153,'04'!T$7:T$159)+SUMIF('05'!$D$7:$D$159,$C153,'05'!T$7:T$159)+SUMIF('06'!$D$7:$D$159,$C153,'06'!T$7:T$159)+SUMIF('07'!$D$7:$D$159,$C153,'07'!T$7:T$159)+SUMIF('08'!$D$7:$D$159,$C153,'08'!T$7:T$159)</f>
        <v/>
      </c>
      <c r="S154" s="427">
        <f>SUMIF('02'!$D$7:$D$159,$C153,'02'!U$7:U$159)+SUMIF('03'!$D$7:$D$159,$C153,'03'!U$7:U$159)+SUMIF('04'!$D$7:$D$159,$C153,'04'!U$7:U$159)+SUMIF('05'!$D$7:$D$159,$C153,'05'!U$7:U$159)+SUMIF('06'!$D$7:$D$159,$C153,'06'!U$7:U$159)+SUMIF('07'!$D$7:$D$159,$C153,'07'!U$7:U$159)+SUMIF('08'!$D$7:$D$159,$C153,'08'!U$7:U$159)</f>
        <v/>
      </c>
      <c r="T154" s="428">
        <f>SUMIF('02'!$D$7:$D$159,$C153,'02'!V$7:V$159)+SUMIF('03'!$D$7:$D$159,$C153,'03'!V$7:V$159)+SUMIF('04'!$D$7:$D$159,$C153,'04'!V$7:V$159)+SUMIF('05'!$D$7:$D$159,$C153,'05'!V$7:V$159)+SUMIF('06'!$D$7:$D$159,$C153,'06'!V$7:V$159)+SUMIF('07'!$D$7:$D$159,$C153,'07'!V$7:V$159)+SUMIF('08'!$D$7:$D$159,$C153,'08'!V$7:V$159)</f>
        <v/>
      </c>
      <c r="U154" s="430">
        <f>SUMIF('02'!$D$7:$D$159,$C153,'02'!W$7:W$159)+SUMIF('03'!$D$7:$D$159,$C153,'03'!W$7:W$159)+SUMIF('04'!$D$7:$D$159,$C153,'04'!W$7:W$159)+SUMIF('05'!$D$7:$D$159,$C153,'05'!W$7:W$159)+SUMIF('06'!$D$7:$D$159,$C153,'06'!W$7:W$159)+SUMIF('07'!$D$7:$D$159,$C153,'07'!W$7:W$159)+SUMIF('08'!$D$7:$D$159,$C153,'08'!W$7:W$159)</f>
        <v/>
      </c>
      <c r="V154" s="429">
        <f>SUMIF('02'!$D$7:$D$159,$C153,'02'!X$7:X$159)+SUMIF('03'!$D$7:$D$159,$C153,'03'!X$7:X$159)+SUMIF('04'!$D$7:$D$159,$C153,'04'!X$7:X$159)+SUMIF('05'!$D$7:$D$159,$C153,'05'!X$7:X$159)+SUMIF('06'!$D$7:$D$159,$C153,'06'!X$7:X$159)+SUMIF('07'!$D$7:$D$159,$C153,'07'!X$7:X$159)+SUMIF('08'!$D$7:$D$159,$C153,'08'!X$7:X$159)</f>
        <v/>
      </c>
      <c r="W154" s="429">
        <f>SUMIF('02'!$D$7:$D$159,$C153,'02'!Y$7:Y$159)+SUMIF('03'!$D$7:$D$159,$C153,'03'!Y$7:Y$159)+SUMIF('04'!$D$7:$D$159,$C153,'04'!Y$7:Y$159)+SUMIF('05'!$D$7:$D$159,$C153,'05'!Y$7:Y$159)+SUMIF('06'!$D$7:$D$159,$C153,'06'!Y$7:Y$159)+SUMIF('07'!$D$7:$D$159,$C153,'07'!Y$7:Y$159)+SUMIF('08'!$D$7:$D$159,$C153,'08'!Y$7:Y$159)</f>
        <v/>
      </c>
      <c r="X154" s="431">
        <f>SUM(J154:W154)</f>
        <v/>
      </c>
      <c r="Y154" s="413" t="n"/>
      <c r="Z154" s="432" t="n"/>
    </row>
    <row r="155" ht="14.25" customHeight="1" s="296">
      <c r="A155" s="154">
        <f>IF(OR(C155="0",COUNTIF(КлючВесна,C155)&gt;1),0,MATCH(F155,ВидыНагр,0))</f>
        <v/>
      </c>
      <c r="B155" s="154">
        <f>(COUNTA(D155:F156,J155:W155,H155:I156)=0)</f>
        <v/>
      </c>
      <c r="C155" s="155">
        <f>IF(OR(TRIM(D155)="",COUNTIF(ВидыНагр,F155)&lt;&gt;1),"0",CONCATENATE("$",TRIM(D155),"$",TRIM(E155),"$",F155,"$"))</f>
        <v/>
      </c>
      <c r="D155" s="415" t="n"/>
      <c r="E155" s="416" t="n"/>
      <c r="F155" s="417" t="n"/>
      <c r="G155" s="156" t="inlineStr">
        <is>
          <t>план</t>
        </is>
      </c>
      <c r="H155" s="157" t="n"/>
      <c r="I155" s="158" t="n"/>
      <c r="J155" s="418" t="n"/>
      <c r="K155" s="419" t="n"/>
      <c r="L155" s="420" t="n"/>
      <c r="M155" s="418" t="n"/>
      <c r="N155" s="419" t="n"/>
      <c r="O155" s="420" t="n"/>
      <c r="P155" s="418" t="n"/>
      <c r="Q155" s="419" t="n"/>
      <c r="R155" s="420" t="n"/>
      <c r="S155" s="418" t="n"/>
      <c r="T155" s="419" t="n"/>
      <c r="U155" s="421" t="n"/>
      <c r="V155" s="420" t="n"/>
      <c r="W155" s="420" t="n"/>
      <c r="X155" s="422">
        <f>SUM(J155:W155)</f>
        <v/>
      </c>
      <c r="Y155" s="423">
        <f>X156-X155</f>
        <v/>
      </c>
      <c r="Z155" s="209" t="n"/>
    </row>
    <row r="156" ht="14.25" customHeight="1" s="296">
      <c r="A156" s="154">
        <f>-A155</f>
        <v/>
      </c>
      <c r="B156" s="154">
        <f>B155</f>
        <v/>
      </c>
      <c r="C156" s="163" t="n"/>
      <c r="D156" s="424" t="n"/>
      <c r="E156" s="425" t="n"/>
      <c r="F156" s="426" t="n"/>
      <c r="G156" s="164" t="inlineStr">
        <is>
          <t>факт</t>
        </is>
      </c>
      <c r="H156" s="165" t="n"/>
      <c r="I156" s="250" t="n"/>
      <c r="J156" s="427">
        <f>SUMIF('02'!$D$7:$D$159,$C155,'02'!L$7:L$159)+SUMIF('03'!$D$7:$D$159,$C155,'03'!L$7:L$159)+SUMIF('04'!$D$7:$D$159,$C155,'04'!L$7:L$159)+SUMIF('05'!$D$7:$D$159,$C155,'05'!L$7:L$159)+SUMIF('06'!$D$7:$D$159,$C155,'06'!L$7:L$159)+SUMIF('07'!$D$7:$D$159,$C155,'07'!L$7:L$159)+SUMIF('08'!$D$7:$D$159,$C155,'08'!L$7:L$159)</f>
        <v/>
      </c>
      <c r="K156" s="428">
        <f>SUMIF('02'!$D$7:$D$159,$C155,'02'!M$7:M$159)+SUMIF('03'!$D$7:$D$159,$C155,'03'!M$7:M$159)+SUMIF('04'!$D$7:$D$159,$C155,'04'!M$7:M$159)+SUMIF('05'!$D$7:$D$159,$C155,'05'!M$7:M$159)+SUMIF('06'!$D$7:$D$159,$C155,'06'!M$7:M$159)+SUMIF('07'!$D$7:$D$159,$C155,'07'!M$7:M$159)+SUMIF('08'!$D$7:$D$159,$C155,'08'!M$7:M$159)</f>
        <v/>
      </c>
      <c r="L156" s="429">
        <f>SUMIF('02'!$D$7:$D$159,$C155,'02'!N$7:N$159)+SUMIF('03'!$D$7:$D$159,$C155,'03'!N$7:N$159)+SUMIF('04'!$D$7:$D$159,$C155,'04'!N$7:N$159)+SUMIF('05'!$D$7:$D$159,$C155,'05'!N$7:N$159)+SUMIF('06'!$D$7:$D$159,$C155,'06'!N$7:N$159)+SUMIF('07'!$D$7:$D$159,$C155,'07'!N$7:N$159)+SUMIF('08'!$D$7:$D$159,$C155,'08'!N$7:N$159)</f>
        <v/>
      </c>
      <c r="M156" s="427">
        <f>SUMIF('02'!$D$7:$D$159,$C155,'02'!O$7:O$159)+SUMIF('03'!$D$7:$D$159,$C155,'03'!O$7:O$159)+SUMIF('04'!$D$7:$D$159,$C155,'04'!O$7:O$159)+SUMIF('05'!$D$7:$D$159,$C155,'05'!O$7:O$159)+SUMIF('06'!$D$7:$D$159,$C155,'06'!O$7:O$159)+SUMIF('07'!$D$7:$D$159,$C155,'07'!O$7:O$159)+SUMIF('08'!$D$7:$D$159,$C155,'08'!O$7:O$159)</f>
        <v/>
      </c>
      <c r="N156" s="428">
        <f>SUMIF('02'!$D$7:$D$159,$C155,'02'!P$7:P$159)+SUMIF('03'!$D$7:$D$159,$C155,'03'!P$7:P$159)+SUMIF('04'!$D$7:$D$159,$C155,'04'!P$7:P$159)+SUMIF('05'!$D$7:$D$159,$C155,'05'!P$7:P$159)+SUMIF('06'!$D$7:$D$159,$C155,'06'!P$7:P$159)+SUMIF('07'!$D$7:$D$159,$C155,'07'!P$7:P$159)+SUMIF('08'!$D$7:$D$159,$C155,'08'!P$7:P$159)</f>
        <v/>
      </c>
      <c r="O156" s="429">
        <f>SUMIF('02'!$D$7:$D$159,$C155,'02'!Q$7:Q$159)+SUMIF('03'!$D$7:$D$159,$C155,'03'!Q$7:Q$159)+SUMIF('04'!$D$7:$D$159,$C155,'04'!Q$7:Q$159)+SUMIF('05'!$D$7:$D$159,$C155,'05'!Q$7:Q$159)+SUMIF('06'!$D$7:$D$159,$C155,'06'!Q$7:Q$159)+SUMIF('07'!$D$7:$D$159,$C155,'07'!Q$7:Q$159)+SUMIF('08'!$D$7:$D$159,$C155,'08'!Q$7:Q$159)</f>
        <v/>
      </c>
      <c r="P156" s="427">
        <f>SUMIF('02'!$D$7:$D$159,$C155,'02'!R$7:R$159)+SUMIF('03'!$D$7:$D$159,$C155,'03'!R$7:R$159)+SUMIF('04'!$D$7:$D$159,$C155,'04'!R$7:R$159)+SUMIF('05'!$D$7:$D$159,$C155,'05'!R$7:R$159)+SUMIF('06'!$D$7:$D$159,$C155,'06'!R$7:R$159)+SUMIF('07'!$D$7:$D$159,$C155,'07'!R$7:R$159)+SUMIF('08'!$D$7:$D$159,$C155,'08'!R$7:R$159)</f>
        <v/>
      </c>
      <c r="Q156" s="428">
        <f>SUMIF('02'!$D$7:$D$159,$C155,'02'!S$7:S$159)+SUMIF('03'!$D$7:$D$159,$C155,'03'!S$7:S$159)+SUMIF('04'!$D$7:$D$159,$C155,'04'!S$7:S$159)+SUMIF('05'!$D$7:$D$159,$C155,'05'!S$7:S$159)+SUMIF('06'!$D$7:$D$159,$C155,'06'!S$7:S$159)+SUMIF('07'!$D$7:$D$159,$C155,'07'!S$7:S$159)+SUMIF('08'!$D$7:$D$159,$C155,'08'!S$7:S$159)</f>
        <v/>
      </c>
      <c r="R156" s="429">
        <f>SUMIF('02'!$D$7:$D$159,$C155,'02'!T$7:T$159)+SUMIF('03'!$D$7:$D$159,$C155,'03'!T$7:T$159)+SUMIF('04'!$D$7:$D$159,$C155,'04'!T$7:T$159)+SUMIF('05'!$D$7:$D$159,$C155,'05'!T$7:T$159)+SUMIF('06'!$D$7:$D$159,$C155,'06'!T$7:T$159)+SUMIF('07'!$D$7:$D$159,$C155,'07'!T$7:T$159)+SUMIF('08'!$D$7:$D$159,$C155,'08'!T$7:T$159)</f>
        <v/>
      </c>
      <c r="S156" s="427">
        <f>SUMIF('02'!$D$7:$D$159,$C155,'02'!U$7:U$159)+SUMIF('03'!$D$7:$D$159,$C155,'03'!U$7:U$159)+SUMIF('04'!$D$7:$D$159,$C155,'04'!U$7:U$159)+SUMIF('05'!$D$7:$D$159,$C155,'05'!U$7:U$159)+SUMIF('06'!$D$7:$D$159,$C155,'06'!U$7:U$159)+SUMIF('07'!$D$7:$D$159,$C155,'07'!U$7:U$159)+SUMIF('08'!$D$7:$D$159,$C155,'08'!U$7:U$159)</f>
        <v/>
      </c>
      <c r="T156" s="428">
        <f>SUMIF('02'!$D$7:$D$159,$C155,'02'!V$7:V$159)+SUMIF('03'!$D$7:$D$159,$C155,'03'!V$7:V$159)+SUMIF('04'!$D$7:$D$159,$C155,'04'!V$7:V$159)+SUMIF('05'!$D$7:$D$159,$C155,'05'!V$7:V$159)+SUMIF('06'!$D$7:$D$159,$C155,'06'!V$7:V$159)+SUMIF('07'!$D$7:$D$159,$C155,'07'!V$7:V$159)+SUMIF('08'!$D$7:$D$159,$C155,'08'!V$7:V$159)</f>
        <v/>
      </c>
      <c r="U156" s="430">
        <f>SUMIF('02'!$D$7:$D$159,$C155,'02'!W$7:W$159)+SUMIF('03'!$D$7:$D$159,$C155,'03'!W$7:W$159)+SUMIF('04'!$D$7:$D$159,$C155,'04'!W$7:W$159)+SUMIF('05'!$D$7:$D$159,$C155,'05'!W$7:W$159)+SUMIF('06'!$D$7:$D$159,$C155,'06'!W$7:W$159)+SUMIF('07'!$D$7:$D$159,$C155,'07'!W$7:W$159)+SUMIF('08'!$D$7:$D$159,$C155,'08'!W$7:W$159)</f>
        <v/>
      </c>
      <c r="V156" s="429">
        <f>SUMIF('02'!$D$7:$D$159,$C155,'02'!X$7:X$159)+SUMIF('03'!$D$7:$D$159,$C155,'03'!X$7:X$159)+SUMIF('04'!$D$7:$D$159,$C155,'04'!X$7:X$159)+SUMIF('05'!$D$7:$D$159,$C155,'05'!X$7:X$159)+SUMIF('06'!$D$7:$D$159,$C155,'06'!X$7:X$159)+SUMIF('07'!$D$7:$D$159,$C155,'07'!X$7:X$159)+SUMIF('08'!$D$7:$D$159,$C155,'08'!X$7:X$159)</f>
        <v/>
      </c>
      <c r="W156" s="429">
        <f>SUMIF('02'!$D$7:$D$159,$C155,'02'!Y$7:Y$159)+SUMIF('03'!$D$7:$D$159,$C155,'03'!Y$7:Y$159)+SUMIF('04'!$D$7:$D$159,$C155,'04'!Y$7:Y$159)+SUMIF('05'!$D$7:$D$159,$C155,'05'!Y$7:Y$159)+SUMIF('06'!$D$7:$D$159,$C155,'06'!Y$7:Y$159)+SUMIF('07'!$D$7:$D$159,$C155,'07'!Y$7:Y$159)+SUMIF('08'!$D$7:$D$159,$C155,'08'!Y$7:Y$159)</f>
        <v/>
      </c>
      <c r="X156" s="431">
        <f>SUM(J156:W156)</f>
        <v/>
      </c>
      <c r="Y156" s="413" t="n"/>
      <c r="Z156" s="432" t="n"/>
    </row>
    <row r="157" ht="14.25" customHeight="1" s="296">
      <c r="A157" s="154">
        <f>IF(OR(C157="0",COUNTIF(КлючВесна,C157)&gt;1),0,MATCH(F157,ВидыНагр,0))</f>
        <v/>
      </c>
      <c r="B157" s="154">
        <f>(COUNTA(D157:F158,J157:W157,H157:I158)=0)</f>
        <v/>
      </c>
      <c r="C157" s="155">
        <f>IF(OR(TRIM(D157)="",COUNTIF(ВидыНагр,F157)&lt;&gt;1),"0",CONCATENATE("$",TRIM(D157),"$",TRIM(E157),"$",F157,"$"))</f>
        <v/>
      </c>
      <c r="D157" s="415" t="n"/>
      <c r="E157" s="416" t="n"/>
      <c r="F157" s="417" t="n"/>
      <c r="G157" s="156" t="inlineStr">
        <is>
          <t>план</t>
        </is>
      </c>
      <c r="H157" s="157" t="n"/>
      <c r="I157" s="158" t="n"/>
      <c r="J157" s="418" t="n"/>
      <c r="K157" s="419" t="n"/>
      <c r="L157" s="420" t="n"/>
      <c r="M157" s="418" t="n"/>
      <c r="N157" s="419" t="n"/>
      <c r="O157" s="420" t="n"/>
      <c r="P157" s="418" t="n"/>
      <c r="Q157" s="419" t="n"/>
      <c r="R157" s="420" t="n"/>
      <c r="S157" s="418" t="n"/>
      <c r="T157" s="419" t="n"/>
      <c r="U157" s="421" t="n"/>
      <c r="V157" s="420" t="n"/>
      <c r="W157" s="420" t="n"/>
      <c r="X157" s="422">
        <f>SUM(J157:W157)</f>
        <v/>
      </c>
      <c r="Y157" s="423">
        <f>X158-X157</f>
        <v/>
      </c>
      <c r="Z157" s="209" t="n"/>
    </row>
    <row r="158" ht="14.25" customHeight="1" s="296">
      <c r="A158" s="154">
        <f>-A157</f>
        <v/>
      </c>
      <c r="B158" s="154">
        <f>B157</f>
        <v/>
      </c>
      <c r="C158" s="163" t="n"/>
      <c r="D158" s="424" t="n"/>
      <c r="E158" s="425" t="n"/>
      <c r="F158" s="426" t="n"/>
      <c r="G158" s="164" t="inlineStr">
        <is>
          <t>факт</t>
        </is>
      </c>
      <c r="H158" s="165" t="n"/>
      <c r="I158" s="250" t="n"/>
      <c r="J158" s="427">
        <f>SUMIF('02'!$D$7:$D$159,$C157,'02'!L$7:L$159)+SUMIF('03'!$D$7:$D$159,$C157,'03'!L$7:L$159)+SUMIF('04'!$D$7:$D$159,$C157,'04'!L$7:L$159)+SUMIF('05'!$D$7:$D$159,$C157,'05'!L$7:L$159)+SUMIF('06'!$D$7:$D$159,$C157,'06'!L$7:L$159)+SUMIF('07'!$D$7:$D$159,$C157,'07'!L$7:L$159)+SUMIF('08'!$D$7:$D$159,$C157,'08'!L$7:L$159)</f>
        <v/>
      </c>
      <c r="K158" s="428">
        <f>SUMIF('02'!$D$7:$D$159,$C157,'02'!M$7:M$159)+SUMIF('03'!$D$7:$D$159,$C157,'03'!M$7:M$159)+SUMIF('04'!$D$7:$D$159,$C157,'04'!M$7:M$159)+SUMIF('05'!$D$7:$D$159,$C157,'05'!M$7:M$159)+SUMIF('06'!$D$7:$D$159,$C157,'06'!M$7:M$159)+SUMIF('07'!$D$7:$D$159,$C157,'07'!M$7:M$159)+SUMIF('08'!$D$7:$D$159,$C157,'08'!M$7:M$159)</f>
        <v/>
      </c>
      <c r="L158" s="429">
        <f>SUMIF('02'!$D$7:$D$159,$C157,'02'!N$7:N$159)+SUMIF('03'!$D$7:$D$159,$C157,'03'!N$7:N$159)+SUMIF('04'!$D$7:$D$159,$C157,'04'!N$7:N$159)+SUMIF('05'!$D$7:$D$159,$C157,'05'!N$7:N$159)+SUMIF('06'!$D$7:$D$159,$C157,'06'!N$7:N$159)+SUMIF('07'!$D$7:$D$159,$C157,'07'!N$7:N$159)+SUMIF('08'!$D$7:$D$159,$C157,'08'!N$7:N$159)</f>
        <v/>
      </c>
      <c r="M158" s="427">
        <f>SUMIF('02'!$D$7:$D$159,$C157,'02'!O$7:O$159)+SUMIF('03'!$D$7:$D$159,$C157,'03'!O$7:O$159)+SUMIF('04'!$D$7:$D$159,$C157,'04'!O$7:O$159)+SUMIF('05'!$D$7:$D$159,$C157,'05'!O$7:O$159)+SUMIF('06'!$D$7:$D$159,$C157,'06'!O$7:O$159)+SUMIF('07'!$D$7:$D$159,$C157,'07'!O$7:O$159)+SUMIF('08'!$D$7:$D$159,$C157,'08'!O$7:O$159)</f>
        <v/>
      </c>
      <c r="N158" s="428">
        <f>SUMIF('02'!$D$7:$D$159,$C157,'02'!P$7:P$159)+SUMIF('03'!$D$7:$D$159,$C157,'03'!P$7:P$159)+SUMIF('04'!$D$7:$D$159,$C157,'04'!P$7:P$159)+SUMIF('05'!$D$7:$D$159,$C157,'05'!P$7:P$159)+SUMIF('06'!$D$7:$D$159,$C157,'06'!P$7:P$159)+SUMIF('07'!$D$7:$D$159,$C157,'07'!P$7:P$159)+SUMIF('08'!$D$7:$D$159,$C157,'08'!P$7:P$159)</f>
        <v/>
      </c>
      <c r="O158" s="429">
        <f>SUMIF('02'!$D$7:$D$159,$C157,'02'!Q$7:Q$159)+SUMIF('03'!$D$7:$D$159,$C157,'03'!Q$7:Q$159)+SUMIF('04'!$D$7:$D$159,$C157,'04'!Q$7:Q$159)+SUMIF('05'!$D$7:$D$159,$C157,'05'!Q$7:Q$159)+SUMIF('06'!$D$7:$D$159,$C157,'06'!Q$7:Q$159)+SUMIF('07'!$D$7:$D$159,$C157,'07'!Q$7:Q$159)+SUMIF('08'!$D$7:$D$159,$C157,'08'!Q$7:Q$159)</f>
        <v/>
      </c>
      <c r="P158" s="427">
        <f>SUMIF('02'!$D$7:$D$159,$C157,'02'!R$7:R$159)+SUMIF('03'!$D$7:$D$159,$C157,'03'!R$7:R$159)+SUMIF('04'!$D$7:$D$159,$C157,'04'!R$7:R$159)+SUMIF('05'!$D$7:$D$159,$C157,'05'!R$7:R$159)+SUMIF('06'!$D$7:$D$159,$C157,'06'!R$7:R$159)+SUMIF('07'!$D$7:$D$159,$C157,'07'!R$7:R$159)+SUMIF('08'!$D$7:$D$159,$C157,'08'!R$7:R$159)</f>
        <v/>
      </c>
      <c r="Q158" s="428">
        <f>SUMIF('02'!$D$7:$D$159,$C157,'02'!S$7:S$159)+SUMIF('03'!$D$7:$D$159,$C157,'03'!S$7:S$159)+SUMIF('04'!$D$7:$D$159,$C157,'04'!S$7:S$159)+SUMIF('05'!$D$7:$D$159,$C157,'05'!S$7:S$159)+SUMIF('06'!$D$7:$D$159,$C157,'06'!S$7:S$159)+SUMIF('07'!$D$7:$D$159,$C157,'07'!S$7:S$159)+SUMIF('08'!$D$7:$D$159,$C157,'08'!S$7:S$159)</f>
        <v/>
      </c>
      <c r="R158" s="429">
        <f>SUMIF('02'!$D$7:$D$159,$C157,'02'!T$7:T$159)+SUMIF('03'!$D$7:$D$159,$C157,'03'!T$7:T$159)+SUMIF('04'!$D$7:$D$159,$C157,'04'!T$7:T$159)+SUMIF('05'!$D$7:$D$159,$C157,'05'!T$7:T$159)+SUMIF('06'!$D$7:$D$159,$C157,'06'!T$7:T$159)+SUMIF('07'!$D$7:$D$159,$C157,'07'!T$7:T$159)+SUMIF('08'!$D$7:$D$159,$C157,'08'!T$7:T$159)</f>
        <v/>
      </c>
      <c r="S158" s="427">
        <f>SUMIF('02'!$D$7:$D$159,$C157,'02'!U$7:U$159)+SUMIF('03'!$D$7:$D$159,$C157,'03'!U$7:U$159)+SUMIF('04'!$D$7:$D$159,$C157,'04'!U$7:U$159)+SUMIF('05'!$D$7:$D$159,$C157,'05'!U$7:U$159)+SUMIF('06'!$D$7:$D$159,$C157,'06'!U$7:U$159)+SUMIF('07'!$D$7:$D$159,$C157,'07'!U$7:U$159)+SUMIF('08'!$D$7:$D$159,$C157,'08'!U$7:U$159)</f>
        <v/>
      </c>
      <c r="T158" s="428">
        <f>SUMIF('02'!$D$7:$D$159,$C157,'02'!V$7:V$159)+SUMIF('03'!$D$7:$D$159,$C157,'03'!V$7:V$159)+SUMIF('04'!$D$7:$D$159,$C157,'04'!V$7:V$159)+SUMIF('05'!$D$7:$D$159,$C157,'05'!V$7:V$159)+SUMIF('06'!$D$7:$D$159,$C157,'06'!V$7:V$159)+SUMIF('07'!$D$7:$D$159,$C157,'07'!V$7:V$159)+SUMIF('08'!$D$7:$D$159,$C157,'08'!V$7:V$159)</f>
        <v/>
      </c>
      <c r="U158" s="430">
        <f>SUMIF('02'!$D$7:$D$159,$C157,'02'!W$7:W$159)+SUMIF('03'!$D$7:$D$159,$C157,'03'!W$7:W$159)+SUMIF('04'!$D$7:$D$159,$C157,'04'!W$7:W$159)+SUMIF('05'!$D$7:$D$159,$C157,'05'!W$7:W$159)+SUMIF('06'!$D$7:$D$159,$C157,'06'!W$7:W$159)+SUMIF('07'!$D$7:$D$159,$C157,'07'!W$7:W$159)+SUMIF('08'!$D$7:$D$159,$C157,'08'!W$7:W$159)</f>
        <v/>
      </c>
      <c r="V158" s="429">
        <f>SUMIF('02'!$D$7:$D$159,$C157,'02'!X$7:X$159)+SUMIF('03'!$D$7:$D$159,$C157,'03'!X$7:X$159)+SUMIF('04'!$D$7:$D$159,$C157,'04'!X$7:X$159)+SUMIF('05'!$D$7:$D$159,$C157,'05'!X$7:X$159)+SUMIF('06'!$D$7:$D$159,$C157,'06'!X$7:X$159)+SUMIF('07'!$D$7:$D$159,$C157,'07'!X$7:X$159)+SUMIF('08'!$D$7:$D$159,$C157,'08'!X$7:X$159)</f>
        <v/>
      </c>
      <c r="W158" s="429">
        <f>SUMIF('02'!$D$7:$D$159,$C157,'02'!Y$7:Y$159)+SUMIF('03'!$D$7:$D$159,$C157,'03'!Y$7:Y$159)+SUMIF('04'!$D$7:$D$159,$C157,'04'!Y$7:Y$159)+SUMIF('05'!$D$7:$D$159,$C157,'05'!Y$7:Y$159)+SUMIF('06'!$D$7:$D$159,$C157,'06'!Y$7:Y$159)+SUMIF('07'!$D$7:$D$159,$C157,'07'!Y$7:Y$159)+SUMIF('08'!$D$7:$D$159,$C157,'08'!Y$7:Y$159)</f>
        <v/>
      </c>
      <c r="X158" s="431">
        <f>SUM(J158:W158)</f>
        <v/>
      </c>
      <c r="Y158" s="413" t="n"/>
      <c r="Z158" s="432" t="n"/>
    </row>
    <row r="159" ht="14.25" customHeight="1" s="296">
      <c r="A159" s="154">
        <f>IF(OR(C159="0",COUNTIF(КлючВесна,C159)&gt;1),0,MATCH(F159,ВидыНагр,0))</f>
        <v/>
      </c>
      <c r="B159" s="154">
        <f>(COUNTA(D159:F160,J159:W159,H159:I160)=0)</f>
        <v/>
      </c>
      <c r="C159" s="155">
        <f>IF(OR(TRIM(D159)="",COUNTIF(ВидыНагр,F159)&lt;&gt;1),"0",CONCATENATE("$",TRIM(D159),"$",TRIM(E159),"$",F159,"$"))</f>
        <v/>
      </c>
      <c r="D159" s="415" t="n"/>
      <c r="E159" s="416" t="n"/>
      <c r="F159" s="417" t="n"/>
      <c r="G159" s="156" t="inlineStr">
        <is>
          <t>план</t>
        </is>
      </c>
      <c r="H159" s="157" t="n"/>
      <c r="I159" s="158" t="n"/>
      <c r="J159" s="418" t="n"/>
      <c r="K159" s="419" t="n"/>
      <c r="L159" s="420" t="n"/>
      <c r="M159" s="418" t="n"/>
      <c r="N159" s="419" t="n"/>
      <c r="O159" s="420" t="n"/>
      <c r="P159" s="418" t="n"/>
      <c r="Q159" s="419" t="n"/>
      <c r="R159" s="420" t="n"/>
      <c r="S159" s="418" t="n"/>
      <c r="T159" s="419" t="n"/>
      <c r="U159" s="421" t="n"/>
      <c r="V159" s="420" t="n"/>
      <c r="W159" s="420" t="n"/>
      <c r="X159" s="422">
        <f>SUM(J159:W159)</f>
        <v/>
      </c>
      <c r="Y159" s="423">
        <f>X160-X159</f>
        <v/>
      </c>
      <c r="Z159" s="209" t="n"/>
    </row>
    <row r="160" ht="14.25" customHeight="1" s="296">
      <c r="A160" s="154">
        <f>-A159</f>
        <v/>
      </c>
      <c r="B160" s="154">
        <f>B159</f>
        <v/>
      </c>
      <c r="C160" s="163" t="n"/>
      <c r="D160" s="424" t="n"/>
      <c r="E160" s="425" t="n"/>
      <c r="F160" s="426" t="n"/>
      <c r="G160" s="164" t="inlineStr">
        <is>
          <t>факт</t>
        </is>
      </c>
      <c r="H160" s="165" t="n"/>
      <c r="I160" s="250" t="n"/>
      <c r="J160" s="427">
        <f>SUMIF('02'!$D$7:$D$159,$C159,'02'!L$7:L$159)+SUMIF('03'!$D$7:$D$159,$C159,'03'!L$7:L$159)+SUMIF('04'!$D$7:$D$159,$C159,'04'!L$7:L$159)+SUMIF('05'!$D$7:$D$159,$C159,'05'!L$7:L$159)+SUMIF('06'!$D$7:$D$159,$C159,'06'!L$7:L$159)+SUMIF('07'!$D$7:$D$159,$C159,'07'!L$7:L$159)+SUMIF('08'!$D$7:$D$159,$C159,'08'!L$7:L$159)</f>
        <v/>
      </c>
      <c r="K160" s="428">
        <f>SUMIF('02'!$D$7:$D$159,$C159,'02'!M$7:M$159)+SUMIF('03'!$D$7:$D$159,$C159,'03'!M$7:M$159)+SUMIF('04'!$D$7:$D$159,$C159,'04'!M$7:M$159)+SUMIF('05'!$D$7:$D$159,$C159,'05'!M$7:M$159)+SUMIF('06'!$D$7:$D$159,$C159,'06'!M$7:M$159)+SUMIF('07'!$D$7:$D$159,$C159,'07'!M$7:M$159)+SUMIF('08'!$D$7:$D$159,$C159,'08'!M$7:M$159)</f>
        <v/>
      </c>
      <c r="L160" s="429">
        <f>SUMIF('02'!$D$7:$D$159,$C159,'02'!N$7:N$159)+SUMIF('03'!$D$7:$D$159,$C159,'03'!N$7:N$159)+SUMIF('04'!$D$7:$D$159,$C159,'04'!N$7:N$159)+SUMIF('05'!$D$7:$D$159,$C159,'05'!N$7:N$159)+SUMIF('06'!$D$7:$D$159,$C159,'06'!N$7:N$159)+SUMIF('07'!$D$7:$D$159,$C159,'07'!N$7:N$159)+SUMIF('08'!$D$7:$D$159,$C159,'08'!N$7:N$159)</f>
        <v/>
      </c>
      <c r="M160" s="427">
        <f>SUMIF('02'!$D$7:$D$159,$C159,'02'!O$7:O$159)+SUMIF('03'!$D$7:$D$159,$C159,'03'!O$7:O$159)+SUMIF('04'!$D$7:$D$159,$C159,'04'!O$7:O$159)+SUMIF('05'!$D$7:$D$159,$C159,'05'!O$7:O$159)+SUMIF('06'!$D$7:$D$159,$C159,'06'!O$7:O$159)+SUMIF('07'!$D$7:$D$159,$C159,'07'!O$7:O$159)+SUMIF('08'!$D$7:$D$159,$C159,'08'!O$7:O$159)</f>
        <v/>
      </c>
      <c r="N160" s="428">
        <f>SUMIF('02'!$D$7:$D$159,$C159,'02'!P$7:P$159)+SUMIF('03'!$D$7:$D$159,$C159,'03'!P$7:P$159)+SUMIF('04'!$D$7:$D$159,$C159,'04'!P$7:P$159)+SUMIF('05'!$D$7:$D$159,$C159,'05'!P$7:P$159)+SUMIF('06'!$D$7:$D$159,$C159,'06'!P$7:P$159)+SUMIF('07'!$D$7:$D$159,$C159,'07'!P$7:P$159)+SUMIF('08'!$D$7:$D$159,$C159,'08'!P$7:P$159)</f>
        <v/>
      </c>
      <c r="O160" s="429">
        <f>SUMIF('02'!$D$7:$D$159,$C159,'02'!Q$7:Q$159)+SUMIF('03'!$D$7:$D$159,$C159,'03'!Q$7:Q$159)+SUMIF('04'!$D$7:$D$159,$C159,'04'!Q$7:Q$159)+SUMIF('05'!$D$7:$D$159,$C159,'05'!Q$7:Q$159)+SUMIF('06'!$D$7:$D$159,$C159,'06'!Q$7:Q$159)+SUMIF('07'!$D$7:$D$159,$C159,'07'!Q$7:Q$159)+SUMIF('08'!$D$7:$D$159,$C159,'08'!Q$7:Q$159)</f>
        <v/>
      </c>
      <c r="P160" s="427">
        <f>SUMIF('02'!$D$7:$D$159,$C159,'02'!R$7:R$159)+SUMIF('03'!$D$7:$D$159,$C159,'03'!R$7:R$159)+SUMIF('04'!$D$7:$D$159,$C159,'04'!R$7:R$159)+SUMIF('05'!$D$7:$D$159,$C159,'05'!R$7:R$159)+SUMIF('06'!$D$7:$D$159,$C159,'06'!R$7:R$159)+SUMIF('07'!$D$7:$D$159,$C159,'07'!R$7:R$159)+SUMIF('08'!$D$7:$D$159,$C159,'08'!R$7:R$159)</f>
        <v/>
      </c>
      <c r="Q160" s="428">
        <f>SUMIF('02'!$D$7:$D$159,$C159,'02'!S$7:S$159)+SUMIF('03'!$D$7:$D$159,$C159,'03'!S$7:S$159)+SUMIF('04'!$D$7:$D$159,$C159,'04'!S$7:S$159)+SUMIF('05'!$D$7:$D$159,$C159,'05'!S$7:S$159)+SUMIF('06'!$D$7:$D$159,$C159,'06'!S$7:S$159)+SUMIF('07'!$D$7:$D$159,$C159,'07'!S$7:S$159)+SUMIF('08'!$D$7:$D$159,$C159,'08'!S$7:S$159)</f>
        <v/>
      </c>
      <c r="R160" s="429">
        <f>SUMIF('02'!$D$7:$D$159,$C159,'02'!T$7:T$159)+SUMIF('03'!$D$7:$D$159,$C159,'03'!T$7:T$159)+SUMIF('04'!$D$7:$D$159,$C159,'04'!T$7:T$159)+SUMIF('05'!$D$7:$D$159,$C159,'05'!T$7:T$159)+SUMIF('06'!$D$7:$D$159,$C159,'06'!T$7:T$159)+SUMIF('07'!$D$7:$D$159,$C159,'07'!T$7:T$159)+SUMIF('08'!$D$7:$D$159,$C159,'08'!T$7:T$159)</f>
        <v/>
      </c>
      <c r="S160" s="427">
        <f>SUMIF('02'!$D$7:$D$159,$C159,'02'!U$7:U$159)+SUMIF('03'!$D$7:$D$159,$C159,'03'!U$7:U$159)+SUMIF('04'!$D$7:$D$159,$C159,'04'!U$7:U$159)+SUMIF('05'!$D$7:$D$159,$C159,'05'!U$7:U$159)+SUMIF('06'!$D$7:$D$159,$C159,'06'!U$7:U$159)+SUMIF('07'!$D$7:$D$159,$C159,'07'!U$7:U$159)+SUMIF('08'!$D$7:$D$159,$C159,'08'!U$7:U$159)</f>
        <v/>
      </c>
      <c r="T160" s="428">
        <f>SUMIF('02'!$D$7:$D$159,$C159,'02'!V$7:V$159)+SUMIF('03'!$D$7:$D$159,$C159,'03'!V$7:V$159)+SUMIF('04'!$D$7:$D$159,$C159,'04'!V$7:V$159)+SUMIF('05'!$D$7:$D$159,$C159,'05'!V$7:V$159)+SUMIF('06'!$D$7:$D$159,$C159,'06'!V$7:V$159)+SUMIF('07'!$D$7:$D$159,$C159,'07'!V$7:V$159)+SUMIF('08'!$D$7:$D$159,$C159,'08'!V$7:V$159)</f>
        <v/>
      </c>
      <c r="U160" s="430">
        <f>SUMIF('02'!$D$7:$D$159,$C159,'02'!W$7:W$159)+SUMIF('03'!$D$7:$D$159,$C159,'03'!W$7:W$159)+SUMIF('04'!$D$7:$D$159,$C159,'04'!W$7:W$159)+SUMIF('05'!$D$7:$D$159,$C159,'05'!W$7:W$159)+SUMIF('06'!$D$7:$D$159,$C159,'06'!W$7:W$159)+SUMIF('07'!$D$7:$D$159,$C159,'07'!W$7:W$159)+SUMIF('08'!$D$7:$D$159,$C159,'08'!W$7:W$159)</f>
        <v/>
      </c>
      <c r="V160" s="429">
        <f>SUMIF('02'!$D$7:$D$159,$C159,'02'!X$7:X$159)+SUMIF('03'!$D$7:$D$159,$C159,'03'!X$7:X$159)+SUMIF('04'!$D$7:$D$159,$C159,'04'!X$7:X$159)+SUMIF('05'!$D$7:$D$159,$C159,'05'!X$7:X$159)+SUMIF('06'!$D$7:$D$159,$C159,'06'!X$7:X$159)+SUMIF('07'!$D$7:$D$159,$C159,'07'!X$7:X$159)+SUMIF('08'!$D$7:$D$159,$C159,'08'!X$7:X$159)</f>
        <v/>
      </c>
      <c r="W160" s="429">
        <f>SUMIF('02'!$D$7:$D$159,$C159,'02'!Y$7:Y$159)+SUMIF('03'!$D$7:$D$159,$C159,'03'!Y$7:Y$159)+SUMIF('04'!$D$7:$D$159,$C159,'04'!Y$7:Y$159)+SUMIF('05'!$D$7:$D$159,$C159,'05'!Y$7:Y$159)+SUMIF('06'!$D$7:$D$159,$C159,'06'!Y$7:Y$159)+SUMIF('07'!$D$7:$D$159,$C159,'07'!Y$7:Y$159)+SUMIF('08'!$D$7:$D$159,$C159,'08'!Y$7:Y$159)</f>
        <v/>
      </c>
      <c r="X160" s="431">
        <f>SUM(J160:W160)</f>
        <v/>
      </c>
      <c r="Y160" s="413" t="n"/>
      <c r="Z160" s="432" t="n"/>
    </row>
    <row r="161" ht="14.25" customHeight="1" s="296">
      <c r="A161" s="154">
        <f>IF(OR(C161="0",COUNTIF(КлючВесна,C161)&gt;1),0,MATCH(F161,ВидыНагр,0))</f>
        <v/>
      </c>
      <c r="B161" s="154">
        <f>(COUNTA(D161:F162,J161:W161,H161:I162)=0)</f>
        <v/>
      </c>
      <c r="C161" s="155">
        <f>IF(OR(TRIM(D161)="",COUNTIF(ВидыНагр,F161)&lt;&gt;1),"0",CONCATENATE("$",TRIM(D161),"$",TRIM(E161),"$",F161,"$"))</f>
        <v/>
      </c>
      <c r="D161" s="415" t="n"/>
      <c r="E161" s="416" t="n"/>
      <c r="F161" s="417" t="n"/>
      <c r="G161" s="156" t="inlineStr">
        <is>
          <t>план</t>
        </is>
      </c>
      <c r="H161" s="157" t="n"/>
      <c r="I161" s="158" t="n"/>
      <c r="J161" s="418" t="n"/>
      <c r="K161" s="419" t="n"/>
      <c r="L161" s="420" t="n"/>
      <c r="M161" s="418" t="n"/>
      <c r="N161" s="419" t="n"/>
      <c r="O161" s="420" t="n"/>
      <c r="P161" s="418" t="n"/>
      <c r="Q161" s="419" t="n"/>
      <c r="R161" s="420" t="n"/>
      <c r="S161" s="418" t="n"/>
      <c r="T161" s="419" t="n"/>
      <c r="U161" s="421" t="n"/>
      <c r="V161" s="420" t="n"/>
      <c r="W161" s="420" t="n"/>
      <c r="X161" s="422">
        <f>SUM(J161:W161)</f>
        <v/>
      </c>
      <c r="Y161" s="423">
        <f>X162-X161</f>
        <v/>
      </c>
      <c r="Z161" s="209" t="n"/>
    </row>
    <row r="162" ht="14.25" customHeight="1" s="296">
      <c r="A162" s="154">
        <f>-A161</f>
        <v/>
      </c>
      <c r="B162" s="154">
        <f>B161</f>
        <v/>
      </c>
      <c r="C162" s="163" t="n"/>
      <c r="D162" s="424" t="n"/>
      <c r="E162" s="425" t="n"/>
      <c r="F162" s="426" t="n"/>
      <c r="G162" s="164" t="inlineStr">
        <is>
          <t>факт</t>
        </is>
      </c>
      <c r="H162" s="165" t="n"/>
      <c r="I162" s="250" t="n"/>
      <c r="J162" s="427">
        <f>SUMIF('02'!$D$7:$D$159,$C161,'02'!L$7:L$159)+SUMIF('03'!$D$7:$D$159,$C161,'03'!L$7:L$159)+SUMIF('04'!$D$7:$D$159,$C161,'04'!L$7:L$159)+SUMIF('05'!$D$7:$D$159,$C161,'05'!L$7:L$159)+SUMIF('06'!$D$7:$D$159,$C161,'06'!L$7:L$159)+SUMIF('07'!$D$7:$D$159,$C161,'07'!L$7:L$159)+SUMIF('08'!$D$7:$D$159,$C161,'08'!L$7:L$159)</f>
        <v/>
      </c>
      <c r="K162" s="428">
        <f>SUMIF('02'!$D$7:$D$159,$C161,'02'!M$7:M$159)+SUMIF('03'!$D$7:$D$159,$C161,'03'!M$7:M$159)+SUMIF('04'!$D$7:$D$159,$C161,'04'!M$7:M$159)+SUMIF('05'!$D$7:$D$159,$C161,'05'!M$7:M$159)+SUMIF('06'!$D$7:$D$159,$C161,'06'!M$7:M$159)+SUMIF('07'!$D$7:$D$159,$C161,'07'!M$7:M$159)+SUMIF('08'!$D$7:$D$159,$C161,'08'!M$7:M$159)</f>
        <v/>
      </c>
      <c r="L162" s="429">
        <f>SUMIF('02'!$D$7:$D$159,$C161,'02'!N$7:N$159)+SUMIF('03'!$D$7:$D$159,$C161,'03'!N$7:N$159)+SUMIF('04'!$D$7:$D$159,$C161,'04'!N$7:N$159)+SUMIF('05'!$D$7:$D$159,$C161,'05'!N$7:N$159)+SUMIF('06'!$D$7:$D$159,$C161,'06'!N$7:N$159)+SUMIF('07'!$D$7:$D$159,$C161,'07'!N$7:N$159)+SUMIF('08'!$D$7:$D$159,$C161,'08'!N$7:N$159)</f>
        <v/>
      </c>
      <c r="M162" s="427">
        <f>SUMIF('02'!$D$7:$D$159,$C161,'02'!O$7:O$159)+SUMIF('03'!$D$7:$D$159,$C161,'03'!O$7:O$159)+SUMIF('04'!$D$7:$D$159,$C161,'04'!O$7:O$159)+SUMIF('05'!$D$7:$D$159,$C161,'05'!O$7:O$159)+SUMIF('06'!$D$7:$D$159,$C161,'06'!O$7:O$159)+SUMIF('07'!$D$7:$D$159,$C161,'07'!O$7:O$159)+SUMIF('08'!$D$7:$D$159,$C161,'08'!O$7:O$159)</f>
        <v/>
      </c>
      <c r="N162" s="428">
        <f>SUMIF('02'!$D$7:$D$159,$C161,'02'!P$7:P$159)+SUMIF('03'!$D$7:$D$159,$C161,'03'!P$7:P$159)+SUMIF('04'!$D$7:$D$159,$C161,'04'!P$7:P$159)+SUMIF('05'!$D$7:$D$159,$C161,'05'!P$7:P$159)+SUMIF('06'!$D$7:$D$159,$C161,'06'!P$7:P$159)+SUMIF('07'!$D$7:$D$159,$C161,'07'!P$7:P$159)+SUMIF('08'!$D$7:$D$159,$C161,'08'!P$7:P$159)</f>
        <v/>
      </c>
      <c r="O162" s="429">
        <f>SUMIF('02'!$D$7:$D$159,$C161,'02'!Q$7:Q$159)+SUMIF('03'!$D$7:$D$159,$C161,'03'!Q$7:Q$159)+SUMIF('04'!$D$7:$D$159,$C161,'04'!Q$7:Q$159)+SUMIF('05'!$D$7:$D$159,$C161,'05'!Q$7:Q$159)+SUMIF('06'!$D$7:$D$159,$C161,'06'!Q$7:Q$159)+SUMIF('07'!$D$7:$D$159,$C161,'07'!Q$7:Q$159)+SUMIF('08'!$D$7:$D$159,$C161,'08'!Q$7:Q$159)</f>
        <v/>
      </c>
      <c r="P162" s="427">
        <f>SUMIF('02'!$D$7:$D$159,$C161,'02'!R$7:R$159)+SUMIF('03'!$D$7:$D$159,$C161,'03'!R$7:R$159)+SUMIF('04'!$D$7:$D$159,$C161,'04'!R$7:R$159)+SUMIF('05'!$D$7:$D$159,$C161,'05'!R$7:R$159)+SUMIF('06'!$D$7:$D$159,$C161,'06'!R$7:R$159)+SUMIF('07'!$D$7:$D$159,$C161,'07'!R$7:R$159)+SUMIF('08'!$D$7:$D$159,$C161,'08'!R$7:R$159)</f>
        <v/>
      </c>
      <c r="Q162" s="428">
        <f>SUMIF('02'!$D$7:$D$159,$C161,'02'!S$7:S$159)+SUMIF('03'!$D$7:$D$159,$C161,'03'!S$7:S$159)+SUMIF('04'!$D$7:$D$159,$C161,'04'!S$7:S$159)+SUMIF('05'!$D$7:$D$159,$C161,'05'!S$7:S$159)+SUMIF('06'!$D$7:$D$159,$C161,'06'!S$7:S$159)+SUMIF('07'!$D$7:$D$159,$C161,'07'!S$7:S$159)+SUMIF('08'!$D$7:$D$159,$C161,'08'!S$7:S$159)</f>
        <v/>
      </c>
      <c r="R162" s="429">
        <f>SUMIF('02'!$D$7:$D$159,$C161,'02'!T$7:T$159)+SUMIF('03'!$D$7:$D$159,$C161,'03'!T$7:T$159)+SUMIF('04'!$D$7:$D$159,$C161,'04'!T$7:T$159)+SUMIF('05'!$D$7:$D$159,$C161,'05'!T$7:T$159)+SUMIF('06'!$D$7:$D$159,$C161,'06'!T$7:T$159)+SUMIF('07'!$D$7:$D$159,$C161,'07'!T$7:T$159)+SUMIF('08'!$D$7:$D$159,$C161,'08'!T$7:T$159)</f>
        <v/>
      </c>
      <c r="S162" s="427">
        <f>SUMIF('02'!$D$7:$D$159,$C161,'02'!U$7:U$159)+SUMIF('03'!$D$7:$D$159,$C161,'03'!U$7:U$159)+SUMIF('04'!$D$7:$D$159,$C161,'04'!U$7:U$159)+SUMIF('05'!$D$7:$D$159,$C161,'05'!U$7:U$159)+SUMIF('06'!$D$7:$D$159,$C161,'06'!U$7:U$159)+SUMIF('07'!$D$7:$D$159,$C161,'07'!U$7:U$159)+SUMIF('08'!$D$7:$D$159,$C161,'08'!U$7:U$159)</f>
        <v/>
      </c>
      <c r="T162" s="428">
        <f>SUMIF('02'!$D$7:$D$159,$C161,'02'!V$7:V$159)+SUMIF('03'!$D$7:$D$159,$C161,'03'!V$7:V$159)+SUMIF('04'!$D$7:$D$159,$C161,'04'!V$7:V$159)+SUMIF('05'!$D$7:$D$159,$C161,'05'!V$7:V$159)+SUMIF('06'!$D$7:$D$159,$C161,'06'!V$7:V$159)+SUMIF('07'!$D$7:$D$159,$C161,'07'!V$7:V$159)+SUMIF('08'!$D$7:$D$159,$C161,'08'!V$7:V$159)</f>
        <v/>
      </c>
      <c r="U162" s="430">
        <f>SUMIF('02'!$D$7:$D$159,$C161,'02'!W$7:W$159)+SUMIF('03'!$D$7:$D$159,$C161,'03'!W$7:W$159)+SUMIF('04'!$D$7:$D$159,$C161,'04'!W$7:W$159)+SUMIF('05'!$D$7:$D$159,$C161,'05'!W$7:W$159)+SUMIF('06'!$D$7:$D$159,$C161,'06'!W$7:W$159)+SUMIF('07'!$D$7:$D$159,$C161,'07'!W$7:W$159)+SUMIF('08'!$D$7:$D$159,$C161,'08'!W$7:W$159)</f>
        <v/>
      </c>
      <c r="V162" s="429">
        <f>SUMIF('02'!$D$7:$D$159,$C161,'02'!X$7:X$159)+SUMIF('03'!$D$7:$D$159,$C161,'03'!X$7:X$159)+SUMIF('04'!$D$7:$D$159,$C161,'04'!X$7:X$159)+SUMIF('05'!$D$7:$D$159,$C161,'05'!X$7:X$159)+SUMIF('06'!$D$7:$D$159,$C161,'06'!X$7:X$159)+SUMIF('07'!$D$7:$D$159,$C161,'07'!X$7:X$159)+SUMIF('08'!$D$7:$D$159,$C161,'08'!X$7:X$159)</f>
        <v/>
      </c>
      <c r="W162" s="429">
        <f>SUMIF('02'!$D$7:$D$159,$C161,'02'!Y$7:Y$159)+SUMIF('03'!$D$7:$D$159,$C161,'03'!Y$7:Y$159)+SUMIF('04'!$D$7:$D$159,$C161,'04'!Y$7:Y$159)+SUMIF('05'!$D$7:$D$159,$C161,'05'!Y$7:Y$159)+SUMIF('06'!$D$7:$D$159,$C161,'06'!Y$7:Y$159)+SUMIF('07'!$D$7:$D$159,$C161,'07'!Y$7:Y$159)+SUMIF('08'!$D$7:$D$159,$C161,'08'!Y$7:Y$159)</f>
        <v/>
      </c>
      <c r="X162" s="431">
        <f>SUM(J162:W162)</f>
        <v/>
      </c>
      <c r="Y162" s="413" t="n"/>
      <c r="Z162" s="432" t="n"/>
    </row>
    <row r="163" ht="14.25" customHeight="1" s="296">
      <c r="A163" s="154">
        <f>IF(OR(C163="0",COUNTIF(КлючВесна,C163)&gt;1),0,MATCH(F163,ВидыНагр,0))</f>
        <v/>
      </c>
      <c r="B163" s="154">
        <f>(COUNTA(D163:F164,J163:W163,H163:I164)=0)</f>
        <v/>
      </c>
      <c r="C163" s="155">
        <f>IF(OR(TRIM(D163)="",COUNTIF(ВидыНагр,F163)&lt;&gt;1),"0",CONCATENATE("$",TRIM(D163),"$",TRIM(E163),"$",F163,"$"))</f>
        <v/>
      </c>
      <c r="D163" s="415" t="n"/>
      <c r="E163" s="416" t="n"/>
      <c r="F163" s="417" t="n"/>
      <c r="G163" s="156" t="inlineStr">
        <is>
          <t>план</t>
        </is>
      </c>
      <c r="H163" s="157" t="n"/>
      <c r="I163" s="158" t="n"/>
      <c r="J163" s="418" t="n"/>
      <c r="K163" s="419" t="n"/>
      <c r="L163" s="420" t="n"/>
      <c r="M163" s="418" t="n"/>
      <c r="N163" s="419" t="n"/>
      <c r="O163" s="420" t="n"/>
      <c r="P163" s="418" t="n"/>
      <c r="Q163" s="419" t="n"/>
      <c r="R163" s="420" t="n"/>
      <c r="S163" s="418" t="n"/>
      <c r="T163" s="419" t="n"/>
      <c r="U163" s="421" t="n"/>
      <c r="V163" s="420" t="n"/>
      <c r="W163" s="420" t="n"/>
      <c r="X163" s="422">
        <f>SUM(J163:W163)</f>
        <v/>
      </c>
      <c r="Y163" s="423">
        <f>X164-X163</f>
        <v/>
      </c>
      <c r="Z163" s="209" t="n"/>
    </row>
    <row r="164" ht="14.25" customHeight="1" s="296">
      <c r="A164" s="154">
        <f>-A163</f>
        <v/>
      </c>
      <c r="B164" s="154">
        <f>B163</f>
        <v/>
      </c>
      <c r="C164" s="163" t="n"/>
      <c r="D164" s="424" t="n"/>
      <c r="E164" s="425" t="n"/>
      <c r="F164" s="426" t="n"/>
      <c r="G164" s="164" t="inlineStr">
        <is>
          <t>факт</t>
        </is>
      </c>
      <c r="H164" s="165" t="n"/>
      <c r="I164" s="250" t="n"/>
      <c r="J164" s="427">
        <f>SUMIF('02'!$D$7:$D$159,$C163,'02'!L$7:L$159)+SUMIF('03'!$D$7:$D$159,$C163,'03'!L$7:L$159)+SUMIF('04'!$D$7:$D$159,$C163,'04'!L$7:L$159)+SUMIF('05'!$D$7:$D$159,$C163,'05'!L$7:L$159)+SUMIF('06'!$D$7:$D$159,$C163,'06'!L$7:L$159)+SUMIF('07'!$D$7:$D$159,$C163,'07'!L$7:L$159)+SUMIF('08'!$D$7:$D$159,$C163,'08'!L$7:L$159)</f>
        <v/>
      </c>
      <c r="K164" s="428">
        <f>SUMIF('02'!$D$7:$D$159,$C163,'02'!M$7:M$159)+SUMIF('03'!$D$7:$D$159,$C163,'03'!M$7:M$159)+SUMIF('04'!$D$7:$D$159,$C163,'04'!M$7:M$159)+SUMIF('05'!$D$7:$D$159,$C163,'05'!M$7:M$159)+SUMIF('06'!$D$7:$D$159,$C163,'06'!M$7:M$159)+SUMIF('07'!$D$7:$D$159,$C163,'07'!M$7:M$159)+SUMIF('08'!$D$7:$D$159,$C163,'08'!M$7:M$159)</f>
        <v/>
      </c>
      <c r="L164" s="429">
        <f>SUMIF('02'!$D$7:$D$159,$C163,'02'!N$7:N$159)+SUMIF('03'!$D$7:$D$159,$C163,'03'!N$7:N$159)+SUMIF('04'!$D$7:$D$159,$C163,'04'!N$7:N$159)+SUMIF('05'!$D$7:$D$159,$C163,'05'!N$7:N$159)+SUMIF('06'!$D$7:$D$159,$C163,'06'!N$7:N$159)+SUMIF('07'!$D$7:$D$159,$C163,'07'!N$7:N$159)+SUMIF('08'!$D$7:$D$159,$C163,'08'!N$7:N$159)</f>
        <v/>
      </c>
      <c r="M164" s="427">
        <f>SUMIF('02'!$D$7:$D$159,$C163,'02'!O$7:O$159)+SUMIF('03'!$D$7:$D$159,$C163,'03'!O$7:O$159)+SUMIF('04'!$D$7:$D$159,$C163,'04'!O$7:O$159)+SUMIF('05'!$D$7:$D$159,$C163,'05'!O$7:O$159)+SUMIF('06'!$D$7:$D$159,$C163,'06'!O$7:O$159)+SUMIF('07'!$D$7:$D$159,$C163,'07'!O$7:O$159)+SUMIF('08'!$D$7:$D$159,$C163,'08'!O$7:O$159)</f>
        <v/>
      </c>
      <c r="N164" s="428">
        <f>SUMIF('02'!$D$7:$D$159,$C163,'02'!P$7:P$159)+SUMIF('03'!$D$7:$D$159,$C163,'03'!P$7:P$159)+SUMIF('04'!$D$7:$D$159,$C163,'04'!P$7:P$159)+SUMIF('05'!$D$7:$D$159,$C163,'05'!P$7:P$159)+SUMIF('06'!$D$7:$D$159,$C163,'06'!P$7:P$159)+SUMIF('07'!$D$7:$D$159,$C163,'07'!P$7:P$159)+SUMIF('08'!$D$7:$D$159,$C163,'08'!P$7:P$159)</f>
        <v/>
      </c>
      <c r="O164" s="429">
        <f>SUMIF('02'!$D$7:$D$159,$C163,'02'!Q$7:Q$159)+SUMIF('03'!$D$7:$D$159,$C163,'03'!Q$7:Q$159)+SUMIF('04'!$D$7:$D$159,$C163,'04'!Q$7:Q$159)+SUMIF('05'!$D$7:$D$159,$C163,'05'!Q$7:Q$159)+SUMIF('06'!$D$7:$D$159,$C163,'06'!Q$7:Q$159)+SUMIF('07'!$D$7:$D$159,$C163,'07'!Q$7:Q$159)+SUMIF('08'!$D$7:$D$159,$C163,'08'!Q$7:Q$159)</f>
        <v/>
      </c>
      <c r="P164" s="427">
        <f>SUMIF('02'!$D$7:$D$159,$C163,'02'!R$7:R$159)+SUMIF('03'!$D$7:$D$159,$C163,'03'!R$7:R$159)+SUMIF('04'!$D$7:$D$159,$C163,'04'!R$7:R$159)+SUMIF('05'!$D$7:$D$159,$C163,'05'!R$7:R$159)+SUMIF('06'!$D$7:$D$159,$C163,'06'!R$7:R$159)+SUMIF('07'!$D$7:$D$159,$C163,'07'!R$7:R$159)+SUMIF('08'!$D$7:$D$159,$C163,'08'!R$7:R$159)</f>
        <v/>
      </c>
      <c r="Q164" s="428">
        <f>SUMIF('02'!$D$7:$D$159,$C163,'02'!S$7:S$159)+SUMIF('03'!$D$7:$D$159,$C163,'03'!S$7:S$159)+SUMIF('04'!$D$7:$D$159,$C163,'04'!S$7:S$159)+SUMIF('05'!$D$7:$D$159,$C163,'05'!S$7:S$159)+SUMIF('06'!$D$7:$D$159,$C163,'06'!S$7:S$159)+SUMIF('07'!$D$7:$D$159,$C163,'07'!S$7:S$159)+SUMIF('08'!$D$7:$D$159,$C163,'08'!S$7:S$159)</f>
        <v/>
      </c>
      <c r="R164" s="429">
        <f>SUMIF('02'!$D$7:$D$159,$C163,'02'!T$7:T$159)+SUMIF('03'!$D$7:$D$159,$C163,'03'!T$7:T$159)+SUMIF('04'!$D$7:$D$159,$C163,'04'!T$7:T$159)+SUMIF('05'!$D$7:$D$159,$C163,'05'!T$7:T$159)+SUMIF('06'!$D$7:$D$159,$C163,'06'!T$7:T$159)+SUMIF('07'!$D$7:$D$159,$C163,'07'!T$7:T$159)+SUMIF('08'!$D$7:$D$159,$C163,'08'!T$7:T$159)</f>
        <v/>
      </c>
      <c r="S164" s="427">
        <f>SUMIF('02'!$D$7:$D$159,$C163,'02'!U$7:U$159)+SUMIF('03'!$D$7:$D$159,$C163,'03'!U$7:U$159)+SUMIF('04'!$D$7:$D$159,$C163,'04'!U$7:U$159)+SUMIF('05'!$D$7:$D$159,$C163,'05'!U$7:U$159)+SUMIF('06'!$D$7:$D$159,$C163,'06'!U$7:U$159)+SUMIF('07'!$D$7:$D$159,$C163,'07'!U$7:U$159)+SUMIF('08'!$D$7:$D$159,$C163,'08'!U$7:U$159)</f>
        <v/>
      </c>
      <c r="T164" s="428">
        <f>SUMIF('02'!$D$7:$D$159,$C163,'02'!V$7:V$159)+SUMIF('03'!$D$7:$D$159,$C163,'03'!V$7:V$159)+SUMIF('04'!$D$7:$D$159,$C163,'04'!V$7:V$159)+SUMIF('05'!$D$7:$D$159,$C163,'05'!V$7:V$159)+SUMIF('06'!$D$7:$D$159,$C163,'06'!V$7:V$159)+SUMIF('07'!$D$7:$D$159,$C163,'07'!V$7:V$159)+SUMIF('08'!$D$7:$D$159,$C163,'08'!V$7:V$159)</f>
        <v/>
      </c>
      <c r="U164" s="430">
        <f>SUMIF('02'!$D$7:$D$159,$C163,'02'!W$7:W$159)+SUMIF('03'!$D$7:$D$159,$C163,'03'!W$7:W$159)+SUMIF('04'!$D$7:$D$159,$C163,'04'!W$7:W$159)+SUMIF('05'!$D$7:$D$159,$C163,'05'!W$7:W$159)+SUMIF('06'!$D$7:$D$159,$C163,'06'!W$7:W$159)+SUMIF('07'!$D$7:$D$159,$C163,'07'!W$7:W$159)+SUMIF('08'!$D$7:$D$159,$C163,'08'!W$7:W$159)</f>
        <v/>
      </c>
      <c r="V164" s="429">
        <f>SUMIF('02'!$D$7:$D$159,$C163,'02'!X$7:X$159)+SUMIF('03'!$D$7:$D$159,$C163,'03'!X$7:X$159)+SUMIF('04'!$D$7:$D$159,$C163,'04'!X$7:X$159)+SUMIF('05'!$D$7:$D$159,$C163,'05'!X$7:X$159)+SUMIF('06'!$D$7:$D$159,$C163,'06'!X$7:X$159)+SUMIF('07'!$D$7:$D$159,$C163,'07'!X$7:X$159)+SUMIF('08'!$D$7:$D$159,$C163,'08'!X$7:X$159)</f>
        <v/>
      </c>
      <c r="W164" s="429">
        <f>SUMIF('02'!$D$7:$D$159,$C163,'02'!Y$7:Y$159)+SUMIF('03'!$D$7:$D$159,$C163,'03'!Y$7:Y$159)+SUMIF('04'!$D$7:$D$159,$C163,'04'!Y$7:Y$159)+SUMIF('05'!$D$7:$D$159,$C163,'05'!Y$7:Y$159)+SUMIF('06'!$D$7:$D$159,$C163,'06'!Y$7:Y$159)+SUMIF('07'!$D$7:$D$159,$C163,'07'!Y$7:Y$159)+SUMIF('08'!$D$7:$D$159,$C163,'08'!Y$7:Y$159)</f>
        <v/>
      </c>
      <c r="X164" s="431">
        <f>SUM(J164:W164)</f>
        <v/>
      </c>
      <c r="Y164" s="413" t="n"/>
      <c r="Z164" s="432" t="n"/>
    </row>
    <row r="165" ht="14.25" customHeight="1" s="296">
      <c r="A165" s="154">
        <f>IF(OR(C165="0",COUNTIF(КлючВесна,C165)&gt;1),0,MATCH(F165,ВидыНагр,0))</f>
        <v/>
      </c>
      <c r="B165" s="154">
        <f>(COUNTA(D165:F166,J165:W165,H165:I166)=0)</f>
        <v/>
      </c>
      <c r="C165" s="155">
        <f>IF(OR(TRIM(D165)="",COUNTIF(ВидыНагр,F165)&lt;&gt;1),"0",CONCATENATE("$",TRIM(D165),"$",TRIM(E165),"$",F165,"$"))</f>
        <v/>
      </c>
      <c r="D165" s="415" t="n"/>
      <c r="E165" s="416" t="n"/>
      <c r="F165" s="417" t="n"/>
      <c r="G165" s="156" t="inlineStr">
        <is>
          <t>план</t>
        </is>
      </c>
      <c r="H165" s="157" t="n"/>
      <c r="I165" s="158" t="n"/>
      <c r="J165" s="418" t="n"/>
      <c r="K165" s="419" t="n"/>
      <c r="L165" s="420" t="n"/>
      <c r="M165" s="418" t="n"/>
      <c r="N165" s="419" t="n"/>
      <c r="O165" s="420" t="n"/>
      <c r="P165" s="418" t="n"/>
      <c r="Q165" s="419" t="n"/>
      <c r="R165" s="420" t="n"/>
      <c r="S165" s="418" t="n"/>
      <c r="T165" s="419" t="n"/>
      <c r="U165" s="421" t="n"/>
      <c r="V165" s="420" t="n"/>
      <c r="W165" s="420" t="n"/>
      <c r="X165" s="422">
        <f>SUM(J165:W165)</f>
        <v/>
      </c>
      <c r="Y165" s="423">
        <f>X166-X165</f>
        <v/>
      </c>
      <c r="Z165" s="209" t="n"/>
    </row>
    <row r="166" ht="14.25" customHeight="1" s="296">
      <c r="A166" s="154">
        <f>-A165</f>
        <v/>
      </c>
      <c r="B166" s="154">
        <f>B165</f>
        <v/>
      </c>
      <c r="C166" s="163" t="n"/>
      <c r="D166" s="424" t="n"/>
      <c r="E166" s="425" t="n"/>
      <c r="F166" s="426" t="n"/>
      <c r="G166" s="164" t="inlineStr">
        <is>
          <t>факт</t>
        </is>
      </c>
      <c r="H166" s="165" t="n"/>
      <c r="I166" s="250" t="n"/>
      <c r="J166" s="427">
        <f>SUMIF('02'!$D$7:$D$159,$C165,'02'!L$7:L$159)+SUMIF('03'!$D$7:$D$159,$C165,'03'!L$7:L$159)+SUMIF('04'!$D$7:$D$159,$C165,'04'!L$7:L$159)+SUMIF('05'!$D$7:$D$159,$C165,'05'!L$7:L$159)+SUMIF('06'!$D$7:$D$159,$C165,'06'!L$7:L$159)+SUMIF('07'!$D$7:$D$159,$C165,'07'!L$7:L$159)+SUMIF('08'!$D$7:$D$159,$C165,'08'!L$7:L$159)</f>
        <v/>
      </c>
      <c r="K166" s="428">
        <f>SUMIF('02'!$D$7:$D$159,$C165,'02'!M$7:M$159)+SUMIF('03'!$D$7:$D$159,$C165,'03'!M$7:M$159)+SUMIF('04'!$D$7:$D$159,$C165,'04'!M$7:M$159)+SUMIF('05'!$D$7:$D$159,$C165,'05'!M$7:M$159)+SUMIF('06'!$D$7:$D$159,$C165,'06'!M$7:M$159)+SUMIF('07'!$D$7:$D$159,$C165,'07'!M$7:M$159)+SUMIF('08'!$D$7:$D$159,$C165,'08'!M$7:M$159)</f>
        <v/>
      </c>
      <c r="L166" s="429">
        <f>SUMIF('02'!$D$7:$D$159,$C165,'02'!N$7:N$159)+SUMIF('03'!$D$7:$D$159,$C165,'03'!N$7:N$159)+SUMIF('04'!$D$7:$D$159,$C165,'04'!N$7:N$159)+SUMIF('05'!$D$7:$D$159,$C165,'05'!N$7:N$159)+SUMIF('06'!$D$7:$D$159,$C165,'06'!N$7:N$159)+SUMIF('07'!$D$7:$D$159,$C165,'07'!N$7:N$159)+SUMIF('08'!$D$7:$D$159,$C165,'08'!N$7:N$159)</f>
        <v/>
      </c>
      <c r="M166" s="427">
        <f>SUMIF('02'!$D$7:$D$159,$C165,'02'!O$7:O$159)+SUMIF('03'!$D$7:$D$159,$C165,'03'!O$7:O$159)+SUMIF('04'!$D$7:$D$159,$C165,'04'!O$7:O$159)+SUMIF('05'!$D$7:$D$159,$C165,'05'!O$7:O$159)+SUMIF('06'!$D$7:$D$159,$C165,'06'!O$7:O$159)+SUMIF('07'!$D$7:$D$159,$C165,'07'!O$7:O$159)+SUMIF('08'!$D$7:$D$159,$C165,'08'!O$7:O$159)</f>
        <v/>
      </c>
      <c r="N166" s="428">
        <f>SUMIF('02'!$D$7:$D$159,$C165,'02'!P$7:P$159)+SUMIF('03'!$D$7:$D$159,$C165,'03'!P$7:P$159)+SUMIF('04'!$D$7:$D$159,$C165,'04'!P$7:P$159)+SUMIF('05'!$D$7:$D$159,$C165,'05'!P$7:P$159)+SUMIF('06'!$D$7:$D$159,$C165,'06'!P$7:P$159)+SUMIF('07'!$D$7:$D$159,$C165,'07'!P$7:P$159)+SUMIF('08'!$D$7:$D$159,$C165,'08'!P$7:P$159)</f>
        <v/>
      </c>
      <c r="O166" s="429">
        <f>SUMIF('02'!$D$7:$D$159,$C165,'02'!Q$7:Q$159)+SUMIF('03'!$D$7:$D$159,$C165,'03'!Q$7:Q$159)+SUMIF('04'!$D$7:$D$159,$C165,'04'!Q$7:Q$159)+SUMIF('05'!$D$7:$D$159,$C165,'05'!Q$7:Q$159)+SUMIF('06'!$D$7:$D$159,$C165,'06'!Q$7:Q$159)+SUMIF('07'!$D$7:$D$159,$C165,'07'!Q$7:Q$159)+SUMIF('08'!$D$7:$D$159,$C165,'08'!Q$7:Q$159)</f>
        <v/>
      </c>
      <c r="P166" s="427">
        <f>SUMIF('02'!$D$7:$D$159,$C165,'02'!R$7:R$159)+SUMIF('03'!$D$7:$D$159,$C165,'03'!R$7:R$159)+SUMIF('04'!$D$7:$D$159,$C165,'04'!R$7:R$159)+SUMIF('05'!$D$7:$D$159,$C165,'05'!R$7:R$159)+SUMIF('06'!$D$7:$D$159,$C165,'06'!R$7:R$159)+SUMIF('07'!$D$7:$D$159,$C165,'07'!R$7:R$159)+SUMIF('08'!$D$7:$D$159,$C165,'08'!R$7:R$159)</f>
        <v/>
      </c>
      <c r="Q166" s="428">
        <f>SUMIF('02'!$D$7:$D$159,$C165,'02'!S$7:S$159)+SUMIF('03'!$D$7:$D$159,$C165,'03'!S$7:S$159)+SUMIF('04'!$D$7:$D$159,$C165,'04'!S$7:S$159)+SUMIF('05'!$D$7:$D$159,$C165,'05'!S$7:S$159)+SUMIF('06'!$D$7:$D$159,$C165,'06'!S$7:S$159)+SUMIF('07'!$D$7:$D$159,$C165,'07'!S$7:S$159)+SUMIF('08'!$D$7:$D$159,$C165,'08'!S$7:S$159)</f>
        <v/>
      </c>
      <c r="R166" s="429">
        <f>SUMIF('02'!$D$7:$D$159,$C165,'02'!T$7:T$159)+SUMIF('03'!$D$7:$D$159,$C165,'03'!T$7:T$159)+SUMIF('04'!$D$7:$D$159,$C165,'04'!T$7:T$159)+SUMIF('05'!$D$7:$D$159,$C165,'05'!T$7:T$159)+SUMIF('06'!$D$7:$D$159,$C165,'06'!T$7:T$159)+SUMIF('07'!$D$7:$D$159,$C165,'07'!T$7:T$159)+SUMIF('08'!$D$7:$D$159,$C165,'08'!T$7:T$159)</f>
        <v/>
      </c>
      <c r="S166" s="427">
        <f>SUMIF('02'!$D$7:$D$159,$C165,'02'!U$7:U$159)+SUMIF('03'!$D$7:$D$159,$C165,'03'!U$7:U$159)+SUMIF('04'!$D$7:$D$159,$C165,'04'!U$7:U$159)+SUMIF('05'!$D$7:$D$159,$C165,'05'!U$7:U$159)+SUMIF('06'!$D$7:$D$159,$C165,'06'!U$7:U$159)+SUMIF('07'!$D$7:$D$159,$C165,'07'!U$7:U$159)+SUMIF('08'!$D$7:$D$159,$C165,'08'!U$7:U$159)</f>
        <v/>
      </c>
      <c r="T166" s="428">
        <f>SUMIF('02'!$D$7:$D$159,$C165,'02'!V$7:V$159)+SUMIF('03'!$D$7:$D$159,$C165,'03'!V$7:V$159)+SUMIF('04'!$D$7:$D$159,$C165,'04'!V$7:V$159)+SUMIF('05'!$D$7:$D$159,$C165,'05'!V$7:V$159)+SUMIF('06'!$D$7:$D$159,$C165,'06'!V$7:V$159)+SUMIF('07'!$D$7:$D$159,$C165,'07'!V$7:V$159)+SUMIF('08'!$D$7:$D$159,$C165,'08'!V$7:V$159)</f>
        <v/>
      </c>
      <c r="U166" s="430">
        <f>SUMIF('02'!$D$7:$D$159,$C165,'02'!W$7:W$159)+SUMIF('03'!$D$7:$D$159,$C165,'03'!W$7:W$159)+SUMIF('04'!$D$7:$D$159,$C165,'04'!W$7:W$159)+SUMIF('05'!$D$7:$D$159,$C165,'05'!W$7:W$159)+SUMIF('06'!$D$7:$D$159,$C165,'06'!W$7:W$159)+SUMIF('07'!$D$7:$D$159,$C165,'07'!W$7:W$159)+SUMIF('08'!$D$7:$D$159,$C165,'08'!W$7:W$159)</f>
        <v/>
      </c>
      <c r="V166" s="429">
        <f>SUMIF('02'!$D$7:$D$159,$C165,'02'!X$7:X$159)+SUMIF('03'!$D$7:$D$159,$C165,'03'!X$7:X$159)+SUMIF('04'!$D$7:$D$159,$C165,'04'!X$7:X$159)+SUMIF('05'!$D$7:$D$159,$C165,'05'!X$7:X$159)+SUMIF('06'!$D$7:$D$159,$C165,'06'!X$7:X$159)+SUMIF('07'!$D$7:$D$159,$C165,'07'!X$7:X$159)+SUMIF('08'!$D$7:$D$159,$C165,'08'!X$7:X$159)</f>
        <v/>
      </c>
      <c r="W166" s="429">
        <f>SUMIF('02'!$D$7:$D$159,$C165,'02'!Y$7:Y$159)+SUMIF('03'!$D$7:$D$159,$C165,'03'!Y$7:Y$159)+SUMIF('04'!$D$7:$D$159,$C165,'04'!Y$7:Y$159)+SUMIF('05'!$D$7:$D$159,$C165,'05'!Y$7:Y$159)+SUMIF('06'!$D$7:$D$159,$C165,'06'!Y$7:Y$159)+SUMIF('07'!$D$7:$D$159,$C165,'07'!Y$7:Y$159)+SUMIF('08'!$D$7:$D$159,$C165,'08'!Y$7:Y$159)</f>
        <v/>
      </c>
      <c r="X166" s="431">
        <f>SUM(J166:W166)</f>
        <v/>
      </c>
      <c r="Y166" s="413" t="n"/>
      <c r="Z166" s="432" t="n"/>
    </row>
    <row r="167" ht="14.25" customHeight="1" s="296">
      <c r="A167" s="154">
        <f>IF(OR(C167="0",COUNTIF(КлючВесна,C167)&gt;1),0,MATCH(F167,ВидыНагр,0))</f>
        <v/>
      </c>
      <c r="B167" s="154">
        <f>(COUNTA(D167:F168,J167:W167,H167:I168)=0)</f>
        <v/>
      </c>
      <c r="C167" s="155">
        <f>IF(OR(TRIM(D167)="",COUNTIF(ВидыНагр,F167)&lt;&gt;1),"0",CONCATENATE("$",TRIM(D167),"$",TRIM(E167),"$",F167,"$"))</f>
        <v/>
      </c>
      <c r="D167" s="415" t="n"/>
      <c r="E167" s="416" t="n"/>
      <c r="F167" s="417" t="n"/>
      <c r="G167" s="156" t="inlineStr">
        <is>
          <t>план</t>
        </is>
      </c>
      <c r="H167" s="157" t="n"/>
      <c r="I167" s="158" t="n"/>
      <c r="J167" s="418" t="n"/>
      <c r="K167" s="419" t="n"/>
      <c r="L167" s="420" t="n"/>
      <c r="M167" s="418" t="n"/>
      <c r="N167" s="419" t="n"/>
      <c r="O167" s="420" t="n"/>
      <c r="P167" s="418" t="n"/>
      <c r="Q167" s="419" t="n"/>
      <c r="R167" s="420" t="n"/>
      <c r="S167" s="418" t="n"/>
      <c r="T167" s="419" t="n"/>
      <c r="U167" s="421" t="n"/>
      <c r="V167" s="420" t="n"/>
      <c r="W167" s="420" t="n"/>
      <c r="X167" s="422">
        <f>SUM(J167:W167)</f>
        <v/>
      </c>
      <c r="Y167" s="423">
        <f>X168-X167</f>
        <v/>
      </c>
      <c r="Z167" s="209" t="n"/>
    </row>
    <row r="168" ht="14.25" customHeight="1" s="296">
      <c r="A168" s="154">
        <f>-A167</f>
        <v/>
      </c>
      <c r="B168" s="154">
        <f>B167</f>
        <v/>
      </c>
      <c r="C168" s="163" t="n"/>
      <c r="D168" s="424" t="n"/>
      <c r="E168" s="425" t="n"/>
      <c r="F168" s="426" t="n"/>
      <c r="G168" s="164" t="inlineStr">
        <is>
          <t>факт</t>
        </is>
      </c>
      <c r="H168" s="165" t="n"/>
      <c r="I168" s="250" t="n"/>
      <c r="J168" s="427">
        <f>SUMIF('02'!$D$7:$D$159,$C167,'02'!L$7:L$159)+SUMIF('03'!$D$7:$D$159,$C167,'03'!L$7:L$159)+SUMIF('04'!$D$7:$D$159,$C167,'04'!L$7:L$159)+SUMIF('05'!$D$7:$D$159,$C167,'05'!L$7:L$159)+SUMIF('06'!$D$7:$D$159,$C167,'06'!L$7:L$159)+SUMIF('07'!$D$7:$D$159,$C167,'07'!L$7:L$159)+SUMIF('08'!$D$7:$D$159,$C167,'08'!L$7:L$159)</f>
        <v/>
      </c>
      <c r="K168" s="428">
        <f>SUMIF('02'!$D$7:$D$159,$C167,'02'!M$7:M$159)+SUMIF('03'!$D$7:$D$159,$C167,'03'!M$7:M$159)+SUMIF('04'!$D$7:$D$159,$C167,'04'!M$7:M$159)+SUMIF('05'!$D$7:$D$159,$C167,'05'!M$7:M$159)+SUMIF('06'!$D$7:$D$159,$C167,'06'!M$7:M$159)+SUMIF('07'!$D$7:$D$159,$C167,'07'!M$7:M$159)+SUMIF('08'!$D$7:$D$159,$C167,'08'!M$7:M$159)</f>
        <v/>
      </c>
      <c r="L168" s="429">
        <f>SUMIF('02'!$D$7:$D$159,$C167,'02'!N$7:N$159)+SUMIF('03'!$D$7:$D$159,$C167,'03'!N$7:N$159)+SUMIF('04'!$D$7:$D$159,$C167,'04'!N$7:N$159)+SUMIF('05'!$D$7:$D$159,$C167,'05'!N$7:N$159)+SUMIF('06'!$D$7:$D$159,$C167,'06'!N$7:N$159)+SUMIF('07'!$D$7:$D$159,$C167,'07'!N$7:N$159)+SUMIF('08'!$D$7:$D$159,$C167,'08'!N$7:N$159)</f>
        <v/>
      </c>
      <c r="M168" s="427">
        <f>SUMIF('02'!$D$7:$D$159,$C167,'02'!O$7:O$159)+SUMIF('03'!$D$7:$D$159,$C167,'03'!O$7:O$159)+SUMIF('04'!$D$7:$D$159,$C167,'04'!O$7:O$159)+SUMIF('05'!$D$7:$D$159,$C167,'05'!O$7:O$159)+SUMIF('06'!$D$7:$D$159,$C167,'06'!O$7:O$159)+SUMIF('07'!$D$7:$D$159,$C167,'07'!O$7:O$159)+SUMIF('08'!$D$7:$D$159,$C167,'08'!O$7:O$159)</f>
        <v/>
      </c>
      <c r="N168" s="428">
        <f>SUMIF('02'!$D$7:$D$159,$C167,'02'!P$7:P$159)+SUMIF('03'!$D$7:$D$159,$C167,'03'!P$7:P$159)+SUMIF('04'!$D$7:$D$159,$C167,'04'!P$7:P$159)+SUMIF('05'!$D$7:$D$159,$C167,'05'!P$7:P$159)+SUMIF('06'!$D$7:$D$159,$C167,'06'!P$7:P$159)+SUMIF('07'!$D$7:$D$159,$C167,'07'!P$7:P$159)+SUMIF('08'!$D$7:$D$159,$C167,'08'!P$7:P$159)</f>
        <v/>
      </c>
      <c r="O168" s="429">
        <f>SUMIF('02'!$D$7:$D$159,$C167,'02'!Q$7:Q$159)+SUMIF('03'!$D$7:$D$159,$C167,'03'!Q$7:Q$159)+SUMIF('04'!$D$7:$D$159,$C167,'04'!Q$7:Q$159)+SUMIF('05'!$D$7:$D$159,$C167,'05'!Q$7:Q$159)+SUMIF('06'!$D$7:$D$159,$C167,'06'!Q$7:Q$159)+SUMIF('07'!$D$7:$D$159,$C167,'07'!Q$7:Q$159)+SUMIF('08'!$D$7:$D$159,$C167,'08'!Q$7:Q$159)</f>
        <v/>
      </c>
      <c r="P168" s="427">
        <f>SUMIF('02'!$D$7:$D$159,$C167,'02'!R$7:R$159)+SUMIF('03'!$D$7:$D$159,$C167,'03'!R$7:R$159)+SUMIF('04'!$D$7:$D$159,$C167,'04'!R$7:R$159)+SUMIF('05'!$D$7:$D$159,$C167,'05'!R$7:R$159)+SUMIF('06'!$D$7:$D$159,$C167,'06'!R$7:R$159)+SUMIF('07'!$D$7:$D$159,$C167,'07'!R$7:R$159)+SUMIF('08'!$D$7:$D$159,$C167,'08'!R$7:R$159)</f>
        <v/>
      </c>
      <c r="Q168" s="428">
        <f>SUMIF('02'!$D$7:$D$159,$C167,'02'!S$7:S$159)+SUMIF('03'!$D$7:$D$159,$C167,'03'!S$7:S$159)+SUMIF('04'!$D$7:$D$159,$C167,'04'!S$7:S$159)+SUMIF('05'!$D$7:$D$159,$C167,'05'!S$7:S$159)+SUMIF('06'!$D$7:$D$159,$C167,'06'!S$7:S$159)+SUMIF('07'!$D$7:$D$159,$C167,'07'!S$7:S$159)+SUMIF('08'!$D$7:$D$159,$C167,'08'!S$7:S$159)</f>
        <v/>
      </c>
      <c r="R168" s="429">
        <f>SUMIF('02'!$D$7:$D$159,$C167,'02'!T$7:T$159)+SUMIF('03'!$D$7:$D$159,$C167,'03'!T$7:T$159)+SUMIF('04'!$D$7:$D$159,$C167,'04'!T$7:T$159)+SUMIF('05'!$D$7:$D$159,$C167,'05'!T$7:T$159)+SUMIF('06'!$D$7:$D$159,$C167,'06'!T$7:T$159)+SUMIF('07'!$D$7:$D$159,$C167,'07'!T$7:T$159)+SUMIF('08'!$D$7:$D$159,$C167,'08'!T$7:T$159)</f>
        <v/>
      </c>
      <c r="S168" s="427">
        <f>SUMIF('02'!$D$7:$D$159,$C167,'02'!U$7:U$159)+SUMIF('03'!$D$7:$D$159,$C167,'03'!U$7:U$159)+SUMIF('04'!$D$7:$D$159,$C167,'04'!U$7:U$159)+SUMIF('05'!$D$7:$D$159,$C167,'05'!U$7:U$159)+SUMIF('06'!$D$7:$D$159,$C167,'06'!U$7:U$159)+SUMIF('07'!$D$7:$D$159,$C167,'07'!U$7:U$159)+SUMIF('08'!$D$7:$D$159,$C167,'08'!U$7:U$159)</f>
        <v/>
      </c>
      <c r="T168" s="428">
        <f>SUMIF('02'!$D$7:$D$159,$C167,'02'!V$7:V$159)+SUMIF('03'!$D$7:$D$159,$C167,'03'!V$7:V$159)+SUMIF('04'!$D$7:$D$159,$C167,'04'!V$7:V$159)+SUMIF('05'!$D$7:$D$159,$C167,'05'!V$7:V$159)+SUMIF('06'!$D$7:$D$159,$C167,'06'!V$7:V$159)+SUMIF('07'!$D$7:$D$159,$C167,'07'!V$7:V$159)+SUMIF('08'!$D$7:$D$159,$C167,'08'!V$7:V$159)</f>
        <v/>
      </c>
      <c r="U168" s="430">
        <f>SUMIF('02'!$D$7:$D$159,$C167,'02'!W$7:W$159)+SUMIF('03'!$D$7:$D$159,$C167,'03'!W$7:W$159)+SUMIF('04'!$D$7:$D$159,$C167,'04'!W$7:W$159)+SUMIF('05'!$D$7:$D$159,$C167,'05'!W$7:W$159)+SUMIF('06'!$D$7:$D$159,$C167,'06'!W$7:W$159)+SUMIF('07'!$D$7:$D$159,$C167,'07'!W$7:W$159)+SUMIF('08'!$D$7:$D$159,$C167,'08'!W$7:W$159)</f>
        <v/>
      </c>
      <c r="V168" s="429">
        <f>SUMIF('02'!$D$7:$D$159,$C167,'02'!X$7:X$159)+SUMIF('03'!$D$7:$D$159,$C167,'03'!X$7:X$159)+SUMIF('04'!$D$7:$D$159,$C167,'04'!X$7:X$159)+SUMIF('05'!$D$7:$D$159,$C167,'05'!X$7:X$159)+SUMIF('06'!$D$7:$D$159,$C167,'06'!X$7:X$159)+SUMIF('07'!$D$7:$D$159,$C167,'07'!X$7:X$159)+SUMIF('08'!$D$7:$D$159,$C167,'08'!X$7:X$159)</f>
        <v/>
      </c>
      <c r="W168" s="429">
        <f>SUMIF('02'!$D$7:$D$159,$C167,'02'!Y$7:Y$159)+SUMIF('03'!$D$7:$D$159,$C167,'03'!Y$7:Y$159)+SUMIF('04'!$D$7:$D$159,$C167,'04'!Y$7:Y$159)+SUMIF('05'!$D$7:$D$159,$C167,'05'!Y$7:Y$159)+SUMIF('06'!$D$7:$D$159,$C167,'06'!Y$7:Y$159)+SUMIF('07'!$D$7:$D$159,$C167,'07'!Y$7:Y$159)+SUMIF('08'!$D$7:$D$159,$C167,'08'!Y$7:Y$159)</f>
        <v/>
      </c>
      <c r="X168" s="431">
        <f>SUM(J168:W168)</f>
        <v/>
      </c>
      <c r="Y168" s="413" t="n"/>
      <c r="Z168" s="432" t="n"/>
    </row>
    <row r="169" ht="14.25" customHeight="1" s="296">
      <c r="A169" s="154">
        <f>IF(OR(C169="0",COUNTIF(КлючВесна,C169)&gt;1),0,MATCH(F169,ВидыНагр,0))</f>
        <v/>
      </c>
      <c r="B169" s="154">
        <f>(COUNTA(D169:F170,J169:W169,H169:I170)=0)</f>
        <v/>
      </c>
      <c r="C169" s="155">
        <f>IF(OR(TRIM(D169)="",COUNTIF(ВидыНагр,F169)&lt;&gt;1),"0",CONCATENATE("$",TRIM(D169),"$",TRIM(E169),"$",F169,"$"))</f>
        <v/>
      </c>
      <c r="D169" s="415" t="n"/>
      <c r="E169" s="416" t="n"/>
      <c r="F169" s="417" t="n"/>
      <c r="G169" s="156" t="inlineStr">
        <is>
          <t>план</t>
        </is>
      </c>
      <c r="H169" s="157" t="n"/>
      <c r="I169" s="158" t="n"/>
      <c r="J169" s="418" t="n"/>
      <c r="K169" s="419" t="n"/>
      <c r="L169" s="420" t="n"/>
      <c r="M169" s="418" t="n"/>
      <c r="N169" s="419" t="n"/>
      <c r="O169" s="420" t="n"/>
      <c r="P169" s="418" t="n"/>
      <c r="Q169" s="419" t="n"/>
      <c r="R169" s="420" t="n"/>
      <c r="S169" s="418" t="n"/>
      <c r="T169" s="419" t="n"/>
      <c r="U169" s="421" t="n"/>
      <c r="V169" s="420" t="n"/>
      <c r="W169" s="420" t="n"/>
      <c r="X169" s="422">
        <f>SUM(J169:W169)</f>
        <v/>
      </c>
      <c r="Y169" s="423">
        <f>X170-X169</f>
        <v/>
      </c>
      <c r="Z169" s="209" t="n"/>
    </row>
    <row r="170" ht="14.25" customHeight="1" s="296">
      <c r="A170" s="154">
        <f>-A169</f>
        <v/>
      </c>
      <c r="B170" s="154">
        <f>B169</f>
        <v/>
      </c>
      <c r="C170" s="163" t="n"/>
      <c r="D170" s="424" t="n"/>
      <c r="E170" s="425" t="n"/>
      <c r="F170" s="426" t="n"/>
      <c r="G170" s="164" t="inlineStr">
        <is>
          <t>факт</t>
        </is>
      </c>
      <c r="H170" s="165" t="n"/>
      <c r="I170" s="250" t="n"/>
      <c r="J170" s="427">
        <f>SUMIF('02'!$D$7:$D$159,$C169,'02'!L$7:L$159)+SUMIF('03'!$D$7:$D$159,$C169,'03'!L$7:L$159)+SUMIF('04'!$D$7:$D$159,$C169,'04'!L$7:L$159)+SUMIF('05'!$D$7:$D$159,$C169,'05'!L$7:L$159)+SUMIF('06'!$D$7:$D$159,$C169,'06'!L$7:L$159)+SUMIF('07'!$D$7:$D$159,$C169,'07'!L$7:L$159)+SUMIF('08'!$D$7:$D$159,$C169,'08'!L$7:L$159)</f>
        <v/>
      </c>
      <c r="K170" s="428">
        <f>SUMIF('02'!$D$7:$D$159,$C169,'02'!M$7:M$159)+SUMIF('03'!$D$7:$D$159,$C169,'03'!M$7:M$159)+SUMIF('04'!$D$7:$D$159,$C169,'04'!M$7:M$159)+SUMIF('05'!$D$7:$D$159,$C169,'05'!M$7:M$159)+SUMIF('06'!$D$7:$D$159,$C169,'06'!M$7:M$159)+SUMIF('07'!$D$7:$D$159,$C169,'07'!M$7:M$159)+SUMIF('08'!$D$7:$D$159,$C169,'08'!M$7:M$159)</f>
        <v/>
      </c>
      <c r="L170" s="429">
        <f>SUMIF('02'!$D$7:$D$159,$C169,'02'!N$7:N$159)+SUMIF('03'!$D$7:$D$159,$C169,'03'!N$7:N$159)+SUMIF('04'!$D$7:$D$159,$C169,'04'!N$7:N$159)+SUMIF('05'!$D$7:$D$159,$C169,'05'!N$7:N$159)+SUMIF('06'!$D$7:$D$159,$C169,'06'!N$7:N$159)+SUMIF('07'!$D$7:$D$159,$C169,'07'!N$7:N$159)+SUMIF('08'!$D$7:$D$159,$C169,'08'!N$7:N$159)</f>
        <v/>
      </c>
      <c r="M170" s="427">
        <f>SUMIF('02'!$D$7:$D$159,$C169,'02'!O$7:O$159)+SUMIF('03'!$D$7:$D$159,$C169,'03'!O$7:O$159)+SUMIF('04'!$D$7:$D$159,$C169,'04'!O$7:O$159)+SUMIF('05'!$D$7:$D$159,$C169,'05'!O$7:O$159)+SUMIF('06'!$D$7:$D$159,$C169,'06'!O$7:O$159)+SUMIF('07'!$D$7:$D$159,$C169,'07'!O$7:O$159)+SUMIF('08'!$D$7:$D$159,$C169,'08'!O$7:O$159)</f>
        <v/>
      </c>
      <c r="N170" s="428">
        <f>SUMIF('02'!$D$7:$D$159,$C169,'02'!P$7:P$159)+SUMIF('03'!$D$7:$D$159,$C169,'03'!P$7:P$159)+SUMIF('04'!$D$7:$D$159,$C169,'04'!P$7:P$159)+SUMIF('05'!$D$7:$D$159,$C169,'05'!P$7:P$159)+SUMIF('06'!$D$7:$D$159,$C169,'06'!P$7:P$159)+SUMIF('07'!$D$7:$D$159,$C169,'07'!P$7:P$159)+SUMIF('08'!$D$7:$D$159,$C169,'08'!P$7:P$159)</f>
        <v/>
      </c>
      <c r="O170" s="429">
        <f>SUMIF('02'!$D$7:$D$159,$C169,'02'!Q$7:Q$159)+SUMIF('03'!$D$7:$D$159,$C169,'03'!Q$7:Q$159)+SUMIF('04'!$D$7:$D$159,$C169,'04'!Q$7:Q$159)+SUMIF('05'!$D$7:$D$159,$C169,'05'!Q$7:Q$159)+SUMIF('06'!$D$7:$D$159,$C169,'06'!Q$7:Q$159)+SUMIF('07'!$D$7:$D$159,$C169,'07'!Q$7:Q$159)+SUMIF('08'!$D$7:$D$159,$C169,'08'!Q$7:Q$159)</f>
        <v/>
      </c>
      <c r="P170" s="427">
        <f>SUMIF('02'!$D$7:$D$159,$C169,'02'!R$7:R$159)+SUMIF('03'!$D$7:$D$159,$C169,'03'!R$7:R$159)+SUMIF('04'!$D$7:$D$159,$C169,'04'!R$7:R$159)+SUMIF('05'!$D$7:$D$159,$C169,'05'!R$7:R$159)+SUMIF('06'!$D$7:$D$159,$C169,'06'!R$7:R$159)+SUMIF('07'!$D$7:$D$159,$C169,'07'!R$7:R$159)+SUMIF('08'!$D$7:$D$159,$C169,'08'!R$7:R$159)</f>
        <v/>
      </c>
      <c r="Q170" s="428">
        <f>SUMIF('02'!$D$7:$D$159,$C169,'02'!S$7:S$159)+SUMIF('03'!$D$7:$D$159,$C169,'03'!S$7:S$159)+SUMIF('04'!$D$7:$D$159,$C169,'04'!S$7:S$159)+SUMIF('05'!$D$7:$D$159,$C169,'05'!S$7:S$159)+SUMIF('06'!$D$7:$D$159,$C169,'06'!S$7:S$159)+SUMIF('07'!$D$7:$D$159,$C169,'07'!S$7:S$159)+SUMIF('08'!$D$7:$D$159,$C169,'08'!S$7:S$159)</f>
        <v/>
      </c>
      <c r="R170" s="429">
        <f>SUMIF('02'!$D$7:$D$159,$C169,'02'!T$7:T$159)+SUMIF('03'!$D$7:$D$159,$C169,'03'!T$7:T$159)+SUMIF('04'!$D$7:$D$159,$C169,'04'!T$7:T$159)+SUMIF('05'!$D$7:$D$159,$C169,'05'!T$7:T$159)+SUMIF('06'!$D$7:$D$159,$C169,'06'!T$7:T$159)+SUMIF('07'!$D$7:$D$159,$C169,'07'!T$7:T$159)+SUMIF('08'!$D$7:$D$159,$C169,'08'!T$7:T$159)</f>
        <v/>
      </c>
      <c r="S170" s="427">
        <f>SUMIF('02'!$D$7:$D$159,$C169,'02'!U$7:U$159)+SUMIF('03'!$D$7:$D$159,$C169,'03'!U$7:U$159)+SUMIF('04'!$D$7:$D$159,$C169,'04'!U$7:U$159)+SUMIF('05'!$D$7:$D$159,$C169,'05'!U$7:U$159)+SUMIF('06'!$D$7:$D$159,$C169,'06'!U$7:U$159)+SUMIF('07'!$D$7:$D$159,$C169,'07'!U$7:U$159)+SUMIF('08'!$D$7:$D$159,$C169,'08'!U$7:U$159)</f>
        <v/>
      </c>
      <c r="T170" s="428">
        <f>SUMIF('02'!$D$7:$D$159,$C169,'02'!V$7:V$159)+SUMIF('03'!$D$7:$D$159,$C169,'03'!V$7:V$159)+SUMIF('04'!$D$7:$D$159,$C169,'04'!V$7:V$159)+SUMIF('05'!$D$7:$D$159,$C169,'05'!V$7:V$159)+SUMIF('06'!$D$7:$D$159,$C169,'06'!V$7:V$159)+SUMIF('07'!$D$7:$D$159,$C169,'07'!V$7:V$159)+SUMIF('08'!$D$7:$D$159,$C169,'08'!V$7:V$159)</f>
        <v/>
      </c>
      <c r="U170" s="430">
        <f>SUMIF('02'!$D$7:$D$159,$C169,'02'!W$7:W$159)+SUMIF('03'!$D$7:$D$159,$C169,'03'!W$7:W$159)+SUMIF('04'!$D$7:$D$159,$C169,'04'!W$7:W$159)+SUMIF('05'!$D$7:$D$159,$C169,'05'!W$7:W$159)+SUMIF('06'!$D$7:$D$159,$C169,'06'!W$7:W$159)+SUMIF('07'!$D$7:$D$159,$C169,'07'!W$7:W$159)+SUMIF('08'!$D$7:$D$159,$C169,'08'!W$7:W$159)</f>
        <v/>
      </c>
      <c r="V170" s="429">
        <f>SUMIF('02'!$D$7:$D$159,$C169,'02'!X$7:X$159)+SUMIF('03'!$D$7:$D$159,$C169,'03'!X$7:X$159)+SUMIF('04'!$D$7:$D$159,$C169,'04'!X$7:X$159)+SUMIF('05'!$D$7:$D$159,$C169,'05'!X$7:X$159)+SUMIF('06'!$D$7:$D$159,$C169,'06'!X$7:X$159)+SUMIF('07'!$D$7:$D$159,$C169,'07'!X$7:X$159)+SUMIF('08'!$D$7:$D$159,$C169,'08'!X$7:X$159)</f>
        <v/>
      </c>
      <c r="W170" s="429">
        <f>SUMIF('02'!$D$7:$D$159,$C169,'02'!Y$7:Y$159)+SUMIF('03'!$D$7:$D$159,$C169,'03'!Y$7:Y$159)+SUMIF('04'!$D$7:$D$159,$C169,'04'!Y$7:Y$159)+SUMIF('05'!$D$7:$D$159,$C169,'05'!Y$7:Y$159)+SUMIF('06'!$D$7:$D$159,$C169,'06'!Y$7:Y$159)+SUMIF('07'!$D$7:$D$159,$C169,'07'!Y$7:Y$159)+SUMIF('08'!$D$7:$D$159,$C169,'08'!Y$7:Y$159)</f>
        <v/>
      </c>
      <c r="X170" s="431">
        <f>SUM(J170:W170)</f>
        <v/>
      </c>
      <c r="Y170" s="413" t="n"/>
      <c r="Z170" s="432" t="n"/>
    </row>
    <row r="171" ht="14.25" customHeight="1" s="296">
      <c r="A171" s="154">
        <f>IF(OR(C171="0",COUNTIF(КлючВесна,C171)&gt;1),0,MATCH(F171,ВидыНагр,0))</f>
        <v/>
      </c>
      <c r="B171" s="154">
        <f>(COUNTA(D171:F172,J171:W171,H171:I172)=0)</f>
        <v/>
      </c>
      <c r="C171" s="155">
        <f>IF(OR(TRIM(D171)="",COUNTIF(ВидыНагр,F171)&lt;&gt;1),"0",CONCATENATE("$",TRIM(D171),"$",TRIM(E171),"$",F171,"$"))</f>
        <v/>
      </c>
      <c r="D171" s="415" t="n"/>
      <c r="E171" s="416" t="n"/>
      <c r="F171" s="417" t="n"/>
      <c r="G171" s="156" t="inlineStr">
        <is>
          <t>план</t>
        </is>
      </c>
      <c r="H171" s="157" t="n"/>
      <c r="I171" s="158" t="n"/>
      <c r="J171" s="418" t="n"/>
      <c r="K171" s="419" t="n"/>
      <c r="L171" s="420" t="n"/>
      <c r="M171" s="418" t="n"/>
      <c r="N171" s="419" t="n"/>
      <c r="O171" s="420" t="n"/>
      <c r="P171" s="418" t="n"/>
      <c r="Q171" s="419" t="n"/>
      <c r="R171" s="420" t="n"/>
      <c r="S171" s="418" t="n"/>
      <c r="T171" s="419" t="n"/>
      <c r="U171" s="421" t="n"/>
      <c r="V171" s="420" t="n"/>
      <c r="W171" s="420" t="n"/>
      <c r="X171" s="422">
        <f>SUM(J171:W171)</f>
        <v/>
      </c>
      <c r="Y171" s="423">
        <f>X172-X171</f>
        <v/>
      </c>
      <c r="Z171" s="209" t="n"/>
    </row>
    <row r="172" ht="14.25" customHeight="1" s="296">
      <c r="A172" s="154">
        <f>-A171</f>
        <v/>
      </c>
      <c r="B172" s="154">
        <f>B171</f>
        <v/>
      </c>
      <c r="C172" s="163" t="n"/>
      <c r="D172" s="424" t="n"/>
      <c r="E172" s="425" t="n"/>
      <c r="F172" s="426" t="n"/>
      <c r="G172" s="164" t="inlineStr">
        <is>
          <t>факт</t>
        </is>
      </c>
      <c r="H172" s="165" t="n"/>
      <c r="I172" s="250" t="n"/>
      <c r="J172" s="427">
        <f>SUMIF('02'!$D$7:$D$159,$C171,'02'!L$7:L$159)+SUMIF('03'!$D$7:$D$159,$C171,'03'!L$7:L$159)+SUMIF('04'!$D$7:$D$159,$C171,'04'!L$7:L$159)+SUMIF('05'!$D$7:$D$159,$C171,'05'!L$7:L$159)+SUMIF('06'!$D$7:$D$159,$C171,'06'!L$7:L$159)+SUMIF('07'!$D$7:$D$159,$C171,'07'!L$7:L$159)+SUMIF('08'!$D$7:$D$159,$C171,'08'!L$7:L$159)</f>
        <v/>
      </c>
      <c r="K172" s="428">
        <f>SUMIF('02'!$D$7:$D$159,$C171,'02'!M$7:M$159)+SUMIF('03'!$D$7:$D$159,$C171,'03'!M$7:M$159)+SUMIF('04'!$D$7:$D$159,$C171,'04'!M$7:M$159)+SUMIF('05'!$D$7:$D$159,$C171,'05'!M$7:M$159)+SUMIF('06'!$D$7:$D$159,$C171,'06'!M$7:M$159)+SUMIF('07'!$D$7:$D$159,$C171,'07'!M$7:M$159)+SUMIF('08'!$D$7:$D$159,$C171,'08'!M$7:M$159)</f>
        <v/>
      </c>
      <c r="L172" s="429">
        <f>SUMIF('02'!$D$7:$D$159,$C171,'02'!N$7:N$159)+SUMIF('03'!$D$7:$D$159,$C171,'03'!N$7:N$159)+SUMIF('04'!$D$7:$D$159,$C171,'04'!N$7:N$159)+SUMIF('05'!$D$7:$D$159,$C171,'05'!N$7:N$159)+SUMIF('06'!$D$7:$D$159,$C171,'06'!N$7:N$159)+SUMIF('07'!$D$7:$D$159,$C171,'07'!N$7:N$159)+SUMIF('08'!$D$7:$D$159,$C171,'08'!N$7:N$159)</f>
        <v/>
      </c>
      <c r="M172" s="427">
        <f>SUMIF('02'!$D$7:$D$159,$C171,'02'!O$7:O$159)+SUMIF('03'!$D$7:$D$159,$C171,'03'!O$7:O$159)+SUMIF('04'!$D$7:$D$159,$C171,'04'!O$7:O$159)+SUMIF('05'!$D$7:$D$159,$C171,'05'!O$7:O$159)+SUMIF('06'!$D$7:$D$159,$C171,'06'!O$7:O$159)+SUMIF('07'!$D$7:$D$159,$C171,'07'!O$7:O$159)+SUMIF('08'!$D$7:$D$159,$C171,'08'!O$7:O$159)</f>
        <v/>
      </c>
      <c r="N172" s="428">
        <f>SUMIF('02'!$D$7:$D$159,$C171,'02'!P$7:P$159)+SUMIF('03'!$D$7:$D$159,$C171,'03'!P$7:P$159)+SUMIF('04'!$D$7:$D$159,$C171,'04'!P$7:P$159)+SUMIF('05'!$D$7:$D$159,$C171,'05'!P$7:P$159)+SUMIF('06'!$D$7:$D$159,$C171,'06'!P$7:P$159)+SUMIF('07'!$D$7:$D$159,$C171,'07'!P$7:P$159)+SUMIF('08'!$D$7:$D$159,$C171,'08'!P$7:P$159)</f>
        <v/>
      </c>
      <c r="O172" s="429">
        <f>SUMIF('02'!$D$7:$D$159,$C171,'02'!Q$7:Q$159)+SUMIF('03'!$D$7:$D$159,$C171,'03'!Q$7:Q$159)+SUMIF('04'!$D$7:$D$159,$C171,'04'!Q$7:Q$159)+SUMIF('05'!$D$7:$D$159,$C171,'05'!Q$7:Q$159)+SUMIF('06'!$D$7:$D$159,$C171,'06'!Q$7:Q$159)+SUMIF('07'!$D$7:$D$159,$C171,'07'!Q$7:Q$159)+SUMIF('08'!$D$7:$D$159,$C171,'08'!Q$7:Q$159)</f>
        <v/>
      </c>
      <c r="P172" s="427">
        <f>SUMIF('02'!$D$7:$D$159,$C171,'02'!R$7:R$159)+SUMIF('03'!$D$7:$D$159,$C171,'03'!R$7:R$159)+SUMIF('04'!$D$7:$D$159,$C171,'04'!R$7:R$159)+SUMIF('05'!$D$7:$D$159,$C171,'05'!R$7:R$159)+SUMIF('06'!$D$7:$D$159,$C171,'06'!R$7:R$159)+SUMIF('07'!$D$7:$D$159,$C171,'07'!R$7:R$159)+SUMIF('08'!$D$7:$D$159,$C171,'08'!R$7:R$159)</f>
        <v/>
      </c>
      <c r="Q172" s="428">
        <f>SUMIF('02'!$D$7:$D$159,$C171,'02'!S$7:S$159)+SUMIF('03'!$D$7:$D$159,$C171,'03'!S$7:S$159)+SUMIF('04'!$D$7:$D$159,$C171,'04'!S$7:S$159)+SUMIF('05'!$D$7:$D$159,$C171,'05'!S$7:S$159)+SUMIF('06'!$D$7:$D$159,$C171,'06'!S$7:S$159)+SUMIF('07'!$D$7:$D$159,$C171,'07'!S$7:S$159)+SUMIF('08'!$D$7:$D$159,$C171,'08'!S$7:S$159)</f>
        <v/>
      </c>
      <c r="R172" s="429">
        <f>SUMIF('02'!$D$7:$D$159,$C171,'02'!T$7:T$159)+SUMIF('03'!$D$7:$D$159,$C171,'03'!T$7:T$159)+SUMIF('04'!$D$7:$D$159,$C171,'04'!T$7:T$159)+SUMIF('05'!$D$7:$D$159,$C171,'05'!T$7:T$159)+SUMIF('06'!$D$7:$D$159,$C171,'06'!T$7:T$159)+SUMIF('07'!$D$7:$D$159,$C171,'07'!T$7:T$159)+SUMIF('08'!$D$7:$D$159,$C171,'08'!T$7:T$159)</f>
        <v/>
      </c>
      <c r="S172" s="427">
        <f>SUMIF('02'!$D$7:$D$159,$C171,'02'!U$7:U$159)+SUMIF('03'!$D$7:$D$159,$C171,'03'!U$7:U$159)+SUMIF('04'!$D$7:$D$159,$C171,'04'!U$7:U$159)+SUMIF('05'!$D$7:$D$159,$C171,'05'!U$7:U$159)+SUMIF('06'!$D$7:$D$159,$C171,'06'!U$7:U$159)+SUMIF('07'!$D$7:$D$159,$C171,'07'!U$7:U$159)+SUMIF('08'!$D$7:$D$159,$C171,'08'!U$7:U$159)</f>
        <v/>
      </c>
      <c r="T172" s="428">
        <f>SUMIF('02'!$D$7:$D$159,$C171,'02'!V$7:V$159)+SUMIF('03'!$D$7:$D$159,$C171,'03'!V$7:V$159)+SUMIF('04'!$D$7:$D$159,$C171,'04'!V$7:V$159)+SUMIF('05'!$D$7:$D$159,$C171,'05'!V$7:V$159)+SUMIF('06'!$D$7:$D$159,$C171,'06'!V$7:V$159)+SUMIF('07'!$D$7:$D$159,$C171,'07'!V$7:V$159)+SUMIF('08'!$D$7:$D$159,$C171,'08'!V$7:V$159)</f>
        <v/>
      </c>
      <c r="U172" s="430">
        <f>SUMIF('02'!$D$7:$D$159,$C171,'02'!W$7:W$159)+SUMIF('03'!$D$7:$D$159,$C171,'03'!W$7:W$159)+SUMIF('04'!$D$7:$D$159,$C171,'04'!W$7:W$159)+SUMIF('05'!$D$7:$D$159,$C171,'05'!W$7:W$159)+SUMIF('06'!$D$7:$D$159,$C171,'06'!W$7:W$159)+SUMIF('07'!$D$7:$D$159,$C171,'07'!W$7:W$159)+SUMIF('08'!$D$7:$D$159,$C171,'08'!W$7:W$159)</f>
        <v/>
      </c>
      <c r="V172" s="429">
        <f>SUMIF('02'!$D$7:$D$159,$C171,'02'!X$7:X$159)+SUMIF('03'!$D$7:$D$159,$C171,'03'!X$7:X$159)+SUMIF('04'!$D$7:$D$159,$C171,'04'!X$7:X$159)+SUMIF('05'!$D$7:$D$159,$C171,'05'!X$7:X$159)+SUMIF('06'!$D$7:$D$159,$C171,'06'!X$7:X$159)+SUMIF('07'!$D$7:$D$159,$C171,'07'!X$7:X$159)+SUMIF('08'!$D$7:$D$159,$C171,'08'!X$7:X$159)</f>
        <v/>
      </c>
      <c r="W172" s="429">
        <f>SUMIF('02'!$D$7:$D$159,$C171,'02'!Y$7:Y$159)+SUMIF('03'!$D$7:$D$159,$C171,'03'!Y$7:Y$159)+SUMIF('04'!$D$7:$D$159,$C171,'04'!Y$7:Y$159)+SUMIF('05'!$D$7:$D$159,$C171,'05'!Y$7:Y$159)+SUMIF('06'!$D$7:$D$159,$C171,'06'!Y$7:Y$159)+SUMIF('07'!$D$7:$D$159,$C171,'07'!Y$7:Y$159)+SUMIF('08'!$D$7:$D$159,$C171,'08'!Y$7:Y$159)</f>
        <v/>
      </c>
      <c r="X172" s="431">
        <f>SUM(J172:W172)</f>
        <v/>
      </c>
      <c r="Y172" s="413" t="n"/>
      <c r="Z172" s="432" t="n"/>
    </row>
    <row r="173" ht="14.25" customHeight="1" s="296">
      <c r="A173" s="154">
        <f>IF(OR(C173="0",COUNTIF(КлючВесна,C173)&gt;1),0,MATCH(F173,ВидыНагр,0))</f>
        <v/>
      </c>
      <c r="B173" s="154">
        <f>(COUNTA(D173:F174,J173:W173,H173:I174)=0)</f>
        <v/>
      </c>
      <c r="C173" s="155">
        <f>IF(OR(TRIM(D173)="",COUNTIF(ВидыНагр,F173)&lt;&gt;1),"0",CONCATENATE("$",TRIM(D173),"$",TRIM(E173),"$",F173,"$"))</f>
        <v/>
      </c>
      <c r="D173" s="415" t="n"/>
      <c r="E173" s="416" t="n"/>
      <c r="F173" s="417" t="n"/>
      <c r="G173" s="156" t="inlineStr">
        <is>
          <t>план</t>
        </is>
      </c>
      <c r="H173" s="157" t="n"/>
      <c r="I173" s="158" t="n"/>
      <c r="J173" s="418" t="n"/>
      <c r="K173" s="419" t="n"/>
      <c r="L173" s="420" t="n"/>
      <c r="M173" s="418" t="n"/>
      <c r="N173" s="419" t="n"/>
      <c r="O173" s="420" t="n"/>
      <c r="P173" s="418" t="n"/>
      <c r="Q173" s="419" t="n"/>
      <c r="R173" s="420" t="n"/>
      <c r="S173" s="418" t="n"/>
      <c r="T173" s="419" t="n"/>
      <c r="U173" s="421" t="n"/>
      <c r="V173" s="420" t="n"/>
      <c r="W173" s="420" t="n"/>
      <c r="X173" s="422">
        <f>SUM(J173:W173)</f>
        <v/>
      </c>
      <c r="Y173" s="423">
        <f>X174-X173</f>
        <v/>
      </c>
      <c r="Z173" s="209" t="n"/>
    </row>
    <row r="174" ht="14.25" customHeight="1" s="296">
      <c r="A174" s="154">
        <f>-A173</f>
        <v/>
      </c>
      <c r="B174" s="154">
        <f>B173</f>
        <v/>
      </c>
      <c r="C174" s="163" t="n"/>
      <c r="D174" s="424" t="n"/>
      <c r="E174" s="425" t="n"/>
      <c r="F174" s="426" t="n"/>
      <c r="G174" s="164" t="inlineStr">
        <is>
          <t>факт</t>
        </is>
      </c>
      <c r="H174" s="165" t="n"/>
      <c r="I174" s="250" t="n"/>
      <c r="J174" s="427">
        <f>SUMIF('02'!$D$7:$D$159,$C173,'02'!L$7:L$159)+SUMIF('03'!$D$7:$D$159,$C173,'03'!L$7:L$159)+SUMIF('04'!$D$7:$D$159,$C173,'04'!L$7:L$159)+SUMIF('05'!$D$7:$D$159,$C173,'05'!L$7:L$159)+SUMIF('06'!$D$7:$D$159,$C173,'06'!L$7:L$159)+SUMIF('07'!$D$7:$D$159,$C173,'07'!L$7:L$159)+SUMIF('08'!$D$7:$D$159,$C173,'08'!L$7:L$159)</f>
        <v/>
      </c>
      <c r="K174" s="428">
        <f>SUMIF('02'!$D$7:$D$159,$C173,'02'!M$7:M$159)+SUMIF('03'!$D$7:$D$159,$C173,'03'!M$7:M$159)+SUMIF('04'!$D$7:$D$159,$C173,'04'!M$7:M$159)+SUMIF('05'!$D$7:$D$159,$C173,'05'!M$7:M$159)+SUMIF('06'!$D$7:$D$159,$C173,'06'!M$7:M$159)+SUMIF('07'!$D$7:$D$159,$C173,'07'!M$7:M$159)+SUMIF('08'!$D$7:$D$159,$C173,'08'!M$7:M$159)</f>
        <v/>
      </c>
      <c r="L174" s="429">
        <f>SUMIF('02'!$D$7:$D$159,$C173,'02'!N$7:N$159)+SUMIF('03'!$D$7:$D$159,$C173,'03'!N$7:N$159)+SUMIF('04'!$D$7:$D$159,$C173,'04'!N$7:N$159)+SUMIF('05'!$D$7:$D$159,$C173,'05'!N$7:N$159)+SUMIF('06'!$D$7:$D$159,$C173,'06'!N$7:N$159)+SUMIF('07'!$D$7:$D$159,$C173,'07'!N$7:N$159)+SUMIF('08'!$D$7:$D$159,$C173,'08'!N$7:N$159)</f>
        <v/>
      </c>
      <c r="M174" s="427">
        <f>SUMIF('02'!$D$7:$D$159,$C173,'02'!O$7:O$159)+SUMIF('03'!$D$7:$D$159,$C173,'03'!O$7:O$159)+SUMIF('04'!$D$7:$D$159,$C173,'04'!O$7:O$159)+SUMIF('05'!$D$7:$D$159,$C173,'05'!O$7:O$159)+SUMIF('06'!$D$7:$D$159,$C173,'06'!O$7:O$159)+SUMIF('07'!$D$7:$D$159,$C173,'07'!O$7:O$159)+SUMIF('08'!$D$7:$D$159,$C173,'08'!O$7:O$159)</f>
        <v/>
      </c>
      <c r="N174" s="428">
        <f>SUMIF('02'!$D$7:$D$159,$C173,'02'!P$7:P$159)+SUMIF('03'!$D$7:$D$159,$C173,'03'!P$7:P$159)+SUMIF('04'!$D$7:$D$159,$C173,'04'!P$7:P$159)+SUMIF('05'!$D$7:$D$159,$C173,'05'!P$7:P$159)+SUMIF('06'!$D$7:$D$159,$C173,'06'!P$7:P$159)+SUMIF('07'!$D$7:$D$159,$C173,'07'!P$7:P$159)+SUMIF('08'!$D$7:$D$159,$C173,'08'!P$7:P$159)</f>
        <v/>
      </c>
      <c r="O174" s="429">
        <f>SUMIF('02'!$D$7:$D$159,$C173,'02'!Q$7:Q$159)+SUMIF('03'!$D$7:$D$159,$C173,'03'!Q$7:Q$159)+SUMIF('04'!$D$7:$D$159,$C173,'04'!Q$7:Q$159)+SUMIF('05'!$D$7:$D$159,$C173,'05'!Q$7:Q$159)+SUMIF('06'!$D$7:$D$159,$C173,'06'!Q$7:Q$159)+SUMIF('07'!$D$7:$D$159,$C173,'07'!Q$7:Q$159)+SUMIF('08'!$D$7:$D$159,$C173,'08'!Q$7:Q$159)</f>
        <v/>
      </c>
      <c r="P174" s="427">
        <f>SUMIF('02'!$D$7:$D$159,$C173,'02'!R$7:R$159)+SUMIF('03'!$D$7:$D$159,$C173,'03'!R$7:R$159)+SUMIF('04'!$D$7:$D$159,$C173,'04'!R$7:R$159)+SUMIF('05'!$D$7:$D$159,$C173,'05'!R$7:R$159)+SUMIF('06'!$D$7:$D$159,$C173,'06'!R$7:R$159)+SUMIF('07'!$D$7:$D$159,$C173,'07'!R$7:R$159)+SUMIF('08'!$D$7:$D$159,$C173,'08'!R$7:R$159)</f>
        <v/>
      </c>
      <c r="Q174" s="428">
        <f>SUMIF('02'!$D$7:$D$159,$C173,'02'!S$7:S$159)+SUMIF('03'!$D$7:$D$159,$C173,'03'!S$7:S$159)+SUMIF('04'!$D$7:$D$159,$C173,'04'!S$7:S$159)+SUMIF('05'!$D$7:$D$159,$C173,'05'!S$7:S$159)+SUMIF('06'!$D$7:$D$159,$C173,'06'!S$7:S$159)+SUMIF('07'!$D$7:$D$159,$C173,'07'!S$7:S$159)+SUMIF('08'!$D$7:$D$159,$C173,'08'!S$7:S$159)</f>
        <v/>
      </c>
      <c r="R174" s="429">
        <f>SUMIF('02'!$D$7:$D$159,$C173,'02'!T$7:T$159)+SUMIF('03'!$D$7:$D$159,$C173,'03'!T$7:T$159)+SUMIF('04'!$D$7:$D$159,$C173,'04'!T$7:T$159)+SUMIF('05'!$D$7:$D$159,$C173,'05'!T$7:T$159)+SUMIF('06'!$D$7:$D$159,$C173,'06'!T$7:T$159)+SUMIF('07'!$D$7:$D$159,$C173,'07'!T$7:T$159)+SUMIF('08'!$D$7:$D$159,$C173,'08'!T$7:T$159)</f>
        <v/>
      </c>
      <c r="S174" s="427">
        <f>SUMIF('02'!$D$7:$D$159,$C173,'02'!U$7:U$159)+SUMIF('03'!$D$7:$D$159,$C173,'03'!U$7:U$159)+SUMIF('04'!$D$7:$D$159,$C173,'04'!U$7:U$159)+SUMIF('05'!$D$7:$D$159,$C173,'05'!U$7:U$159)+SUMIF('06'!$D$7:$D$159,$C173,'06'!U$7:U$159)+SUMIF('07'!$D$7:$D$159,$C173,'07'!U$7:U$159)+SUMIF('08'!$D$7:$D$159,$C173,'08'!U$7:U$159)</f>
        <v/>
      </c>
      <c r="T174" s="428">
        <f>SUMIF('02'!$D$7:$D$159,$C173,'02'!V$7:V$159)+SUMIF('03'!$D$7:$D$159,$C173,'03'!V$7:V$159)+SUMIF('04'!$D$7:$D$159,$C173,'04'!V$7:V$159)+SUMIF('05'!$D$7:$D$159,$C173,'05'!V$7:V$159)+SUMIF('06'!$D$7:$D$159,$C173,'06'!V$7:V$159)+SUMIF('07'!$D$7:$D$159,$C173,'07'!V$7:V$159)+SUMIF('08'!$D$7:$D$159,$C173,'08'!V$7:V$159)</f>
        <v/>
      </c>
      <c r="U174" s="430">
        <f>SUMIF('02'!$D$7:$D$159,$C173,'02'!W$7:W$159)+SUMIF('03'!$D$7:$D$159,$C173,'03'!W$7:W$159)+SUMIF('04'!$D$7:$D$159,$C173,'04'!W$7:W$159)+SUMIF('05'!$D$7:$D$159,$C173,'05'!W$7:W$159)+SUMIF('06'!$D$7:$D$159,$C173,'06'!W$7:W$159)+SUMIF('07'!$D$7:$D$159,$C173,'07'!W$7:W$159)+SUMIF('08'!$D$7:$D$159,$C173,'08'!W$7:W$159)</f>
        <v/>
      </c>
      <c r="V174" s="429">
        <f>SUMIF('02'!$D$7:$D$159,$C173,'02'!X$7:X$159)+SUMIF('03'!$D$7:$D$159,$C173,'03'!X$7:X$159)+SUMIF('04'!$D$7:$D$159,$C173,'04'!X$7:X$159)+SUMIF('05'!$D$7:$D$159,$C173,'05'!X$7:X$159)+SUMIF('06'!$D$7:$D$159,$C173,'06'!X$7:X$159)+SUMIF('07'!$D$7:$D$159,$C173,'07'!X$7:X$159)+SUMIF('08'!$D$7:$D$159,$C173,'08'!X$7:X$159)</f>
        <v/>
      </c>
      <c r="W174" s="429">
        <f>SUMIF('02'!$D$7:$D$159,$C173,'02'!Y$7:Y$159)+SUMIF('03'!$D$7:$D$159,$C173,'03'!Y$7:Y$159)+SUMIF('04'!$D$7:$D$159,$C173,'04'!Y$7:Y$159)+SUMIF('05'!$D$7:$D$159,$C173,'05'!Y$7:Y$159)+SUMIF('06'!$D$7:$D$159,$C173,'06'!Y$7:Y$159)+SUMIF('07'!$D$7:$D$159,$C173,'07'!Y$7:Y$159)+SUMIF('08'!$D$7:$D$159,$C173,'08'!Y$7:Y$159)</f>
        <v/>
      </c>
      <c r="X174" s="431">
        <f>SUM(J174:W174)</f>
        <v/>
      </c>
      <c r="Y174" s="413" t="n"/>
      <c r="Z174" s="432" t="n"/>
    </row>
    <row r="175" ht="14.25" customHeight="1" s="296">
      <c r="A175" s="154">
        <f>IF(OR(C175="0",COUNTIF(КлючВесна,C175)&gt;1),0,MATCH(F175,ВидыНагр,0))</f>
        <v/>
      </c>
      <c r="B175" s="154">
        <f>(COUNTA(D175:F176,J175:W175,H175:I176)=0)</f>
        <v/>
      </c>
      <c r="C175" s="155">
        <f>IF(OR(TRIM(D175)="",COUNTIF(ВидыНагр,F175)&lt;&gt;1),"0",CONCATENATE("$",TRIM(D175),"$",TRIM(E175),"$",F175,"$"))</f>
        <v/>
      </c>
      <c r="D175" s="415" t="n"/>
      <c r="E175" s="416" t="n"/>
      <c r="F175" s="417" t="n"/>
      <c r="G175" s="156" t="inlineStr">
        <is>
          <t>план</t>
        </is>
      </c>
      <c r="H175" s="157" t="n"/>
      <c r="I175" s="158" t="n"/>
      <c r="J175" s="418" t="n"/>
      <c r="K175" s="419" t="n"/>
      <c r="L175" s="420" t="n"/>
      <c r="M175" s="418" t="n"/>
      <c r="N175" s="419" t="n"/>
      <c r="O175" s="420" t="n"/>
      <c r="P175" s="418" t="n"/>
      <c r="Q175" s="419" t="n"/>
      <c r="R175" s="420" t="n"/>
      <c r="S175" s="418" t="n"/>
      <c r="T175" s="419" t="n"/>
      <c r="U175" s="421" t="n"/>
      <c r="V175" s="420" t="n"/>
      <c r="W175" s="420" t="n"/>
      <c r="X175" s="422">
        <f>SUM(J175:W175)</f>
        <v/>
      </c>
      <c r="Y175" s="423">
        <f>X176-X175</f>
        <v/>
      </c>
      <c r="Z175" s="209" t="n"/>
    </row>
    <row r="176" ht="14.25" customHeight="1" s="296">
      <c r="A176" s="154">
        <f>-A175</f>
        <v/>
      </c>
      <c r="B176" s="154">
        <f>B175</f>
        <v/>
      </c>
      <c r="C176" s="163" t="n"/>
      <c r="D176" s="424" t="n"/>
      <c r="E176" s="425" t="n"/>
      <c r="F176" s="426" t="n"/>
      <c r="G176" s="164" t="inlineStr">
        <is>
          <t>факт</t>
        </is>
      </c>
      <c r="H176" s="165" t="n"/>
      <c r="I176" s="250" t="n"/>
      <c r="J176" s="427">
        <f>SUMIF('02'!$D$7:$D$159,$C175,'02'!L$7:L$159)+SUMIF('03'!$D$7:$D$159,$C175,'03'!L$7:L$159)+SUMIF('04'!$D$7:$D$159,$C175,'04'!L$7:L$159)+SUMIF('05'!$D$7:$D$159,$C175,'05'!L$7:L$159)+SUMIF('06'!$D$7:$D$159,$C175,'06'!L$7:L$159)+SUMIF('07'!$D$7:$D$159,$C175,'07'!L$7:L$159)+SUMIF('08'!$D$7:$D$159,$C175,'08'!L$7:L$159)</f>
        <v/>
      </c>
      <c r="K176" s="428">
        <f>SUMIF('02'!$D$7:$D$159,$C175,'02'!M$7:M$159)+SUMIF('03'!$D$7:$D$159,$C175,'03'!M$7:M$159)+SUMIF('04'!$D$7:$D$159,$C175,'04'!M$7:M$159)+SUMIF('05'!$D$7:$D$159,$C175,'05'!M$7:M$159)+SUMIF('06'!$D$7:$D$159,$C175,'06'!M$7:M$159)+SUMIF('07'!$D$7:$D$159,$C175,'07'!M$7:M$159)+SUMIF('08'!$D$7:$D$159,$C175,'08'!M$7:M$159)</f>
        <v/>
      </c>
      <c r="L176" s="429">
        <f>SUMIF('02'!$D$7:$D$159,$C175,'02'!N$7:N$159)+SUMIF('03'!$D$7:$D$159,$C175,'03'!N$7:N$159)+SUMIF('04'!$D$7:$D$159,$C175,'04'!N$7:N$159)+SUMIF('05'!$D$7:$D$159,$C175,'05'!N$7:N$159)+SUMIF('06'!$D$7:$D$159,$C175,'06'!N$7:N$159)+SUMIF('07'!$D$7:$D$159,$C175,'07'!N$7:N$159)+SUMIF('08'!$D$7:$D$159,$C175,'08'!N$7:N$159)</f>
        <v/>
      </c>
      <c r="M176" s="427">
        <f>SUMIF('02'!$D$7:$D$159,$C175,'02'!O$7:O$159)+SUMIF('03'!$D$7:$D$159,$C175,'03'!O$7:O$159)+SUMIF('04'!$D$7:$D$159,$C175,'04'!O$7:O$159)+SUMIF('05'!$D$7:$D$159,$C175,'05'!O$7:O$159)+SUMIF('06'!$D$7:$D$159,$C175,'06'!O$7:O$159)+SUMIF('07'!$D$7:$D$159,$C175,'07'!O$7:O$159)+SUMIF('08'!$D$7:$D$159,$C175,'08'!O$7:O$159)</f>
        <v/>
      </c>
      <c r="N176" s="428">
        <f>SUMIF('02'!$D$7:$D$159,$C175,'02'!P$7:P$159)+SUMIF('03'!$D$7:$D$159,$C175,'03'!P$7:P$159)+SUMIF('04'!$D$7:$D$159,$C175,'04'!P$7:P$159)+SUMIF('05'!$D$7:$D$159,$C175,'05'!P$7:P$159)+SUMIF('06'!$D$7:$D$159,$C175,'06'!P$7:P$159)+SUMIF('07'!$D$7:$D$159,$C175,'07'!P$7:P$159)+SUMIF('08'!$D$7:$D$159,$C175,'08'!P$7:P$159)</f>
        <v/>
      </c>
      <c r="O176" s="429">
        <f>SUMIF('02'!$D$7:$D$159,$C175,'02'!Q$7:Q$159)+SUMIF('03'!$D$7:$D$159,$C175,'03'!Q$7:Q$159)+SUMIF('04'!$D$7:$D$159,$C175,'04'!Q$7:Q$159)+SUMIF('05'!$D$7:$D$159,$C175,'05'!Q$7:Q$159)+SUMIF('06'!$D$7:$D$159,$C175,'06'!Q$7:Q$159)+SUMIF('07'!$D$7:$D$159,$C175,'07'!Q$7:Q$159)+SUMIF('08'!$D$7:$D$159,$C175,'08'!Q$7:Q$159)</f>
        <v/>
      </c>
      <c r="P176" s="427">
        <f>SUMIF('02'!$D$7:$D$159,$C175,'02'!R$7:R$159)+SUMIF('03'!$D$7:$D$159,$C175,'03'!R$7:R$159)+SUMIF('04'!$D$7:$D$159,$C175,'04'!R$7:R$159)+SUMIF('05'!$D$7:$D$159,$C175,'05'!R$7:R$159)+SUMIF('06'!$D$7:$D$159,$C175,'06'!R$7:R$159)+SUMIF('07'!$D$7:$D$159,$C175,'07'!R$7:R$159)+SUMIF('08'!$D$7:$D$159,$C175,'08'!R$7:R$159)</f>
        <v/>
      </c>
      <c r="Q176" s="428">
        <f>SUMIF('02'!$D$7:$D$159,$C175,'02'!S$7:S$159)+SUMIF('03'!$D$7:$D$159,$C175,'03'!S$7:S$159)+SUMIF('04'!$D$7:$D$159,$C175,'04'!S$7:S$159)+SUMIF('05'!$D$7:$D$159,$C175,'05'!S$7:S$159)+SUMIF('06'!$D$7:$D$159,$C175,'06'!S$7:S$159)+SUMIF('07'!$D$7:$D$159,$C175,'07'!S$7:S$159)+SUMIF('08'!$D$7:$D$159,$C175,'08'!S$7:S$159)</f>
        <v/>
      </c>
      <c r="R176" s="429">
        <f>SUMIF('02'!$D$7:$D$159,$C175,'02'!T$7:T$159)+SUMIF('03'!$D$7:$D$159,$C175,'03'!T$7:T$159)+SUMIF('04'!$D$7:$D$159,$C175,'04'!T$7:T$159)+SUMIF('05'!$D$7:$D$159,$C175,'05'!T$7:T$159)+SUMIF('06'!$D$7:$D$159,$C175,'06'!T$7:T$159)+SUMIF('07'!$D$7:$D$159,$C175,'07'!T$7:T$159)+SUMIF('08'!$D$7:$D$159,$C175,'08'!T$7:T$159)</f>
        <v/>
      </c>
      <c r="S176" s="427">
        <f>SUMIF('02'!$D$7:$D$159,$C175,'02'!U$7:U$159)+SUMIF('03'!$D$7:$D$159,$C175,'03'!U$7:U$159)+SUMIF('04'!$D$7:$D$159,$C175,'04'!U$7:U$159)+SUMIF('05'!$D$7:$D$159,$C175,'05'!U$7:U$159)+SUMIF('06'!$D$7:$D$159,$C175,'06'!U$7:U$159)+SUMIF('07'!$D$7:$D$159,$C175,'07'!U$7:U$159)+SUMIF('08'!$D$7:$D$159,$C175,'08'!U$7:U$159)</f>
        <v/>
      </c>
      <c r="T176" s="428">
        <f>SUMIF('02'!$D$7:$D$159,$C175,'02'!V$7:V$159)+SUMIF('03'!$D$7:$D$159,$C175,'03'!V$7:V$159)+SUMIF('04'!$D$7:$D$159,$C175,'04'!V$7:V$159)+SUMIF('05'!$D$7:$D$159,$C175,'05'!V$7:V$159)+SUMIF('06'!$D$7:$D$159,$C175,'06'!V$7:V$159)+SUMIF('07'!$D$7:$D$159,$C175,'07'!V$7:V$159)+SUMIF('08'!$D$7:$D$159,$C175,'08'!V$7:V$159)</f>
        <v/>
      </c>
      <c r="U176" s="430">
        <f>SUMIF('02'!$D$7:$D$159,$C175,'02'!W$7:W$159)+SUMIF('03'!$D$7:$D$159,$C175,'03'!W$7:W$159)+SUMIF('04'!$D$7:$D$159,$C175,'04'!W$7:W$159)+SUMIF('05'!$D$7:$D$159,$C175,'05'!W$7:W$159)+SUMIF('06'!$D$7:$D$159,$C175,'06'!W$7:W$159)+SUMIF('07'!$D$7:$D$159,$C175,'07'!W$7:W$159)+SUMIF('08'!$D$7:$D$159,$C175,'08'!W$7:W$159)</f>
        <v/>
      </c>
      <c r="V176" s="429">
        <f>SUMIF('02'!$D$7:$D$159,$C175,'02'!X$7:X$159)+SUMIF('03'!$D$7:$D$159,$C175,'03'!X$7:X$159)+SUMIF('04'!$D$7:$D$159,$C175,'04'!X$7:X$159)+SUMIF('05'!$D$7:$D$159,$C175,'05'!X$7:X$159)+SUMIF('06'!$D$7:$D$159,$C175,'06'!X$7:X$159)+SUMIF('07'!$D$7:$D$159,$C175,'07'!X$7:X$159)+SUMIF('08'!$D$7:$D$159,$C175,'08'!X$7:X$159)</f>
        <v/>
      </c>
      <c r="W176" s="429">
        <f>SUMIF('02'!$D$7:$D$159,$C175,'02'!Y$7:Y$159)+SUMIF('03'!$D$7:$D$159,$C175,'03'!Y$7:Y$159)+SUMIF('04'!$D$7:$D$159,$C175,'04'!Y$7:Y$159)+SUMIF('05'!$D$7:$D$159,$C175,'05'!Y$7:Y$159)+SUMIF('06'!$D$7:$D$159,$C175,'06'!Y$7:Y$159)+SUMIF('07'!$D$7:$D$159,$C175,'07'!Y$7:Y$159)+SUMIF('08'!$D$7:$D$159,$C175,'08'!Y$7:Y$159)</f>
        <v/>
      </c>
      <c r="X176" s="431">
        <f>SUM(J176:W176)</f>
        <v/>
      </c>
      <c r="Y176" s="413" t="n"/>
      <c r="Z176" s="432" t="n"/>
    </row>
    <row r="177" ht="14.25" customHeight="1" s="296">
      <c r="A177" s="154">
        <f>IF(OR(C177="0",COUNTIF(КлючВесна,C177)&gt;1),0,MATCH(F177,ВидыНагр,0))</f>
        <v/>
      </c>
      <c r="B177" s="154">
        <f>(COUNTA(D177:F178,J177:W177,H177:I178)=0)</f>
        <v/>
      </c>
      <c r="C177" s="155">
        <f>IF(OR(TRIM(D177)="",COUNTIF(ВидыНагр,F177)&lt;&gt;1),"0",CONCATENATE("$",TRIM(D177),"$",TRIM(E177),"$",F177,"$"))</f>
        <v/>
      </c>
      <c r="D177" s="415" t="n"/>
      <c r="E177" s="416" t="n"/>
      <c r="F177" s="417" t="n"/>
      <c r="G177" s="156" t="inlineStr">
        <is>
          <t>план</t>
        </is>
      </c>
      <c r="H177" s="157" t="n"/>
      <c r="I177" s="158" t="n"/>
      <c r="J177" s="418" t="n"/>
      <c r="K177" s="419" t="n"/>
      <c r="L177" s="420" t="n"/>
      <c r="M177" s="418" t="n"/>
      <c r="N177" s="419" t="n"/>
      <c r="O177" s="420" t="n"/>
      <c r="P177" s="418" t="n"/>
      <c r="Q177" s="419" t="n"/>
      <c r="R177" s="420" t="n"/>
      <c r="S177" s="418" t="n"/>
      <c r="T177" s="419" t="n"/>
      <c r="U177" s="421" t="n"/>
      <c r="V177" s="420" t="n"/>
      <c r="W177" s="420" t="n"/>
      <c r="X177" s="422">
        <f>SUM(J177:W177)</f>
        <v/>
      </c>
      <c r="Y177" s="423">
        <f>X178-X177</f>
        <v/>
      </c>
      <c r="Z177" s="209" t="n"/>
    </row>
    <row r="178" ht="14.25" customHeight="1" s="296">
      <c r="A178" s="154">
        <f>-A177</f>
        <v/>
      </c>
      <c r="B178" s="154">
        <f>B177</f>
        <v/>
      </c>
      <c r="C178" s="163" t="n"/>
      <c r="D178" s="424" t="n"/>
      <c r="E178" s="425" t="n"/>
      <c r="F178" s="426" t="n"/>
      <c r="G178" s="164" t="inlineStr">
        <is>
          <t>факт</t>
        </is>
      </c>
      <c r="H178" s="165" t="n"/>
      <c r="I178" s="250" t="n"/>
      <c r="J178" s="427">
        <f>SUMIF('02'!$D$7:$D$159,$C177,'02'!L$7:L$159)+SUMIF('03'!$D$7:$D$159,$C177,'03'!L$7:L$159)+SUMIF('04'!$D$7:$D$159,$C177,'04'!L$7:L$159)+SUMIF('05'!$D$7:$D$159,$C177,'05'!L$7:L$159)+SUMIF('06'!$D$7:$D$159,$C177,'06'!L$7:L$159)+SUMIF('07'!$D$7:$D$159,$C177,'07'!L$7:L$159)+SUMIF('08'!$D$7:$D$159,$C177,'08'!L$7:L$159)</f>
        <v/>
      </c>
      <c r="K178" s="428">
        <f>SUMIF('02'!$D$7:$D$159,$C177,'02'!M$7:M$159)+SUMIF('03'!$D$7:$D$159,$C177,'03'!M$7:M$159)+SUMIF('04'!$D$7:$D$159,$C177,'04'!M$7:M$159)+SUMIF('05'!$D$7:$D$159,$C177,'05'!M$7:M$159)+SUMIF('06'!$D$7:$D$159,$C177,'06'!M$7:M$159)+SUMIF('07'!$D$7:$D$159,$C177,'07'!M$7:M$159)+SUMIF('08'!$D$7:$D$159,$C177,'08'!M$7:M$159)</f>
        <v/>
      </c>
      <c r="L178" s="429">
        <f>SUMIF('02'!$D$7:$D$159,$C177,'02'!N$7:N$159)+SUMIF('03'!$D$7:$D$159,$C177,'03'!N$7:N$159)+SUMIF('04'!$D$7:$D$159,$C177,'04'!N$7:N$159)+SUMIF('05'!$D$7:$D$159,$C177,'05'!N$7:N$159)+SUMIF('06'!$D$7:$D$159,$C177,'06'!N$7:N$159)+SUMIF('07'!$D$7:$D$159,$C177,'07'!N$7:N$159)+SUMIF('08'!$D$7:$D$159,$C177,'08'!N$7:N$159)</f>
        <v/>
      </c>
      <c r="M178" s="427">
        <f>SUMIF('02'!$D$7:$D$159,$C177,'02'!O$7:O$159)+SUMIF('03'!$D$7:$D$159,$C177,'03'!O$7:O$159)+SUMIF('04'!$D$7:$D$159,$C177,'04'!O$7:O$159)+SUMIF('05'!$D$7:$D$159,$C177,'05'!O$7:O$159)+SUMIF('06'!$D$7:$D$159,$C177,'06'!O$7:O$159)+SUMIF('07'!$D$7:$D$159,$C177,'07'!O$7:O$159)+SUMIF('08'!$D$7:$D$159,$C177,'08'!O$7:O$159)</f>
        <v/>
      </c>
      <c r="N178" s="428">
        <f>SUMIF('02'!$D$7:$D$159,$C177,'02'!P$7:P$159)+SUMIF('03'!$D$7:$D$159,$C177,'03'!P$7:P$159)+SUMIF('04'!$D$7:$D$159,$C177,'04'!P$7:P$159)+SUMIF('05'!$D$7:$D$159,$C177,'05'!P$7:P$159)+SUMIF('06'!$D$7:$D$159,$C177,'06'!P$7:P$159)+SUMIF('07'!$D$7:$D$159,$C177,'07'!P$7:P$159)+SUMIF('08'!$D$7:$D$159,$C177,'08'!P$7:P$159)</f>
        <v/>
      </c>
      <c r="O178" s="429">
        <f>SUMIF('02'!$D$7:$D$159,$C177,'02'!Q$7:Q$159)+SUMIF('03'!$D$7:$D$159,$C177,'03'!Q$7:Q$159)+SUMIF('04'!$D$7:$D$159,$C177,'04'!Q$7:Q$159)+SUMIF('05'!$D$7:$D$159,$C177,'05'!Q$7:Q$159)+SUMIF('06'!$D$7:$D$159,$C177,'06'!Q$7:Q$159)+SUMIF('07'!$D$7:$D$159,$C177,'07'!Q$7:Q$159)+SUMIF('08'!$D$7:$D$159,$C177,'08'!Q$7:Q$159)</f>
        <v/>
      </c>
      <c r="P178" s="427">
        <f>SUMIF('02'!$D$7:$D$159,$C177,'02'!R$7:R$159)+SUMIF('03'!$D$7:$D$159,$C177,'03'!R$7:R$159)+SUMIF('04'!$D$7:$D$159,$C177,'04'!R$7:R$159)+SUMIF('05'!$D$7:$D$159,$C177,'05'!R$7:R$159)+SUMIF('06'!$D$7:$D$159,$C177,'06'!R$7:R$159)+SUMIF('07'!$D$7:$D$159,$C177,'07'!R$7:R$159)+SUMIF('08'!$D$7:$D$159,$C177,'08'!R$7:R$159)</f>
        <v/>
      </c>
      <c r="Q178" s="428">
        <f>SUMIF('02'!$D$7:$D$159,$C177,'02'!S$7:S$159)+SUMIF('03'!$D$7:$D$159,$C177,'03'!S$7:S$159)+SUMIF('04'!$D$7:$D$159,$C177,'04'!S$7:S$159)+SUMIF('05'!$D$7:$D$159,$C177,'05'!S$7:S$159)+SUMIF('06'!$D$7:$D$159,$C177,'06'!S$7:S$159)+SUMIF('07'!$D$7:$D$159,$C177,'07'!S$7:S$159)+SUMIF('08'!$D$7:$D$159,$C177,'08'!S$7:S$159)</f>
        <v/>
      </c>
      <c r="R178" s="429">
        <f>SUMIF('02'!$D$7:$D$159,$C177,'02'!T$7:T$159)+SUMIF('03'!$D$7:$D$159,$C177,'03'!T$7:T$159)+SUMIF('04'!$D$7:$D$159,$C177,'04'!T$7:T$159)+SUMIF('05'!$D$7:$D$159,$C177,'05'!T$7:T$159)+SUMIF('06'!$D$7:$D$159,$C177,'06'!T$7:T$159)+SUMIF('07'!$D$7:$D$159,$C177,'07'!T$7:T$159)+SUMIF('08'!$D$7:$D$159,$C177,'08'!T$7:T$159)</f>
        <v/>
      </c>
      <c r="S178" s="427">
        <f>SUMIF('02'!$D$7:$D$159,$C177,'02'!U$7:U$159)+SUMIF('03'!$D$7:$D$159,$C177,'03'!U$7:U$159)+SUMIF('04'!$D$7:$D$159,$C177,'04'!U$7:U$159)+SUMIF('05'!$D$7:$D$159,$C177,'05'!U$7:U$159)+SUMIF('06'!$D$7:$D$159,$C177,'06'!U$7:U$159)+SUMIF('07'!$D$7:$D$159,$C177,'07'!U$7:U$159)+SUMIF('08'!$D$7:$D$159,$C177,'08'!U$7:U$159)</f>
        <v/>
      </c>
      <c r="T178" s="428">
        <f>SUMIF('02'!$D$7:$D$159,$C177,'02'!V$7:V$159)+SUMIF('03'!$D$7:$D$159,$C177,'03'!V$7:V$159)+SUMIF('04'!$D$7:$D$159,$C177,'04'!V$7:V$159)+SUMIF('05'!$D$7:$D$159,$C177,'05'!V$7:V$159)+SUMIF('06'!$D$7:$D$159,$C177,'06'!V$7:V$159)+SUMIF('07'!$D$7:$D$159,$C177,'07'!V$7:V$159)+SUMIF('08'!$D$7:$D$159,$C177,'08'!V$7:V$159)</f>
        <v/>
      </c>
      <c r="U178" s="430">
        <f>SUMIF('02'!$D$7:$D$159,$C177,'02'!W$7:W$159)+SUMIF('03'!$D$7:$D$159,$C177,'03'!W$7:W$159)+SUMIF('04'!$D$7:$D$159,$C177,'04'!W$7:W$159)+SUMIF('05'!$D$7:$D$159,$C177,'05'!W$7:W$159)+SUMIF('06'!$D$7:$D$159,$C177,'06'!W$7:W$159)+SUMIF('07'!$D$7:$D$159,$C177,'07'!W$7:W$159)+SUMIF('08'!$D$7:$D$159,$C177,'08'!W$7:W$159)</f>
        <v/>
      </c>
      <c r="V178" s="429">
        <f>SUMIF('02'!$D$7:$D$159,$C177,'02'!X$7:X$159)+SUMIF('03'!$D$7:$D$159,$C177,'03'!X$7:X$159)+SUMIF('04'!$D$7:$D$159,$C177,'04'!X$7:X$159)+SUMIF('05'!$D$7:$D$159,$C177,'05'!X$7:X$159)+SUMIF('06'!$D$7:$D$159,$C177,'06'!X$7:X$159)+SUMIF('07'!$D$7:$D$159,$C177,'07'!X$7:X$159)+SUMIF('08'!$D$7:$D$159,$C177,'08'!X$7:X$159)</f>
        <v/>
      </c>
      <c r="W178" s="429">
        <f>SUMIF('02'!$D$7:$D$159,$C177,'02'!Y$7:Y$159)+SUMIF('03'!$D$7:$D$159,$C177,'03'!Y$7:Y$159)+SUMIF('04'!$D$7:$D$159,$C177,'04'!Y$7:Y$159)+SUMIF('05'!$D$7:$D$159,$C177,'05'!Y$7:Y$159)+SUMIF('06'!$D$7:$D$159,$C177,'06'!Y$7:Y$159)+SUMIF('07'!$D$7:$D$159,$C177,'07'!Y$7:Y$159)+SUMIF('08'!$D$7:$D$159,$C177,'08'!Y$7:Y$159)</f>
        <v/>
      </c>
      <c r="X178" s="431">
        <f>SUM(J178:W178)</f>
        <v/>
      </c>
      <c r="Y178" s="413" t="n"/>
      <c r="Z178" s="432" t="n"/>
    </row>
    <row r="180">
      <c r="Y180" s="2" t="n"/>
    </row>
    <row r="181">
      <c r="Y181" s="2" t="n"/>
    </row>
    <row r="182">
      <c r="Y182" s="2" t="n"/>
    </row>
    <row r="183">
      <c r="Y183" s="2" t="n"/>
    </row>
    <row r="184">
      <c r="Y184" s="2" t="n"/>
    </row>
    <row r="185">
      <c r="Y185" s="2" t="n"/>
    </row>
    <row r="186">
      <c r="Y186" s="2" t="n"/>
    </row>
    <row r="187">
      <c r="Y187" s="2" t="n"/>
    </row>
    <row r="188">
      <c r="Y188" s="2" t="n"/>
    </row>
    <row r="189">
      <c r="Y189" s="2" t="n"/>
    </row>
    <row r="190">
      <c r="Y190" s="2" t="n"/>
    </row>
    <row r="191">
      <c r="Y191" s="2" t="n"/>
    </row>
    <row r="192">
      <c r="Y192" s="2" t="n"/>
    </row>
    <row r="193">
      <c r="Y193" s="2" t="n"/>
    </row>
    <row r="194">
      <c r="Y194" s="2" t="n"/>
    </row>
  </sheetData>
  <sheetProtection selectLockedCells="0" selectUnlockedCells="0" algorithmName="SHA-512" sheet="1" objects="1" insertRows="1" insertHyperlinks="1" autoFilter="1" scenarios="1" formatColumns="1" deleteColumns="1" insertColumns="1" pivotTables="1" deleteRows="1" formatCells="1" saltValue="VN2oRen15IQcHrWAMG6fJQ==" formatRows="1" sort="1" spinCount="100000" hashValue="5eSfEzx/QYZVSfVfse31gDjbrgv8TJ2NL/X9ONRtguiM0tgwytcs9qCZMrXvQ+UJAmMHMSxCxE9/OWAzWzGaqw=="/>
  <mergeCells count="439">
    <mergeCell ref="F133:F134"/>
    <mergeCell ref="F127:F128"/>
    <mergeCell ref="Z75:Z76"/>
    <mergeCell ref="Z135:Z136"/>
    <mergeCell ref="D21:D22"/>
    <mergeCell ref="F173:F174"/>
    <mergeCell ref="Z25:Z26"/>
    <mergeCell ref="E155:E156"/>
    <mergeCell ref="Y89:Y90"/>
    <mergeCell ref="E65:E66"/>
    <mergeCell ref="Y51:Y52"/>
    <mergeCell ref="Y153:Y154"/>
    <mergeCell ref="E157:E158"/>
    <mergeCell ref="D87:D88"/>
    <mergeCell ref="Z37:Z38"/>
    <mergeCell ref="F13:F14"/>
    <mergeCell ref="F57:F58"/>
    <mergeCell ref="E25:E26"/>
    <mergeCell ref="Y33:Y34"/>
    <mergeCell ref="Z65:Z66"/>
    <mergeCell ref="Y87:Y88"/>
    <mergeCell ref="E93:E94"/>
    <mergeCell ref="Z129:Z130"/>
    <mergeCell ref="D153:D154"/>
    <mergeCell ref="Y133:Y134"/>
    <mergeCell ref="Y127:Y128"/>
    <mergeCell ref="E13:E14"/>
    <mergeCell ref="Z131:Z132"/>
    <mergeCell ref="D17:D18"/>
    <mergeCell ref="D77:D78"/>
    <mergeCell ref="D11:D12"/>
    <mergeCell ref="D141:D142"/>
    <mergeCell ref="D75:D76"/>
    <mergeCell ref="D135:D136"/>
    <mergeCell ref="F75:F76"/>
    <mergeCell ref="F141:F142"/>
    <mergeCell ref="F135:F136"/>
    <mergeCell ref="Z83:Z84"/>
    <mergeCell ref="Z33:Z34"/>
    <mergeCell ref="D143:D144"/>
    <mergeCell ref="E27:E28"/>
    <mergeCell ref="F149:F150"/>
    <mergeCell ref="Z13:Z14"/>
    <mergeCell ref="D37:D38"/>
    <mergeCell ref="E91:E92"/>
    <mergeCell ref="Z15:Z16"/>
    <mergeCell ref="E81:E82"/>
    <mergeCell ref="Y75:Y76"/>
    <mergeCell ref="D159:D160"/>
    <mergeCell ref="Z55:Z56"/>
    <mergeCell ref="D65:D66"/>
    <mergeCell ref="F65:F66"/>
    <mergeCell ref="Z175:Z176"/>
    <mergeCell ref="F129:F130"/>
    <mergeCell ref="E59:E60"/>
    <mergeCell ref="Z81:Z82"/>
    <mergeCell ref="Y159:Y160"/>
    <mergeCell ref="E99:E100"/>
    <mergeCell ref="E15:E16"/>
    <mergeCell ref="Y149:Y150"/>
    <mergeCell ref="Y65:Y66"/>
    <mergeCell ref="D83:D84"/>
    <mergeCell ref="D93:D94"/>
    <mergeCell ref="Y151:Y152"/>
    <mergeCell ref="F49:F50"/>
    <mergeCell ref="D85:D86"/>
    <mergeCell ref="Z35:Z36"/>
    <mergeCell ref="D157:D158"/>
    <mergeCell ref="F157:F158"/>
    <mergeCell ref="Y131:Y132"/>
    <mergeCell ref="F151:F152"/>
    <mergeCell ref="Z99:Z100"/>
    <mergeCell ref="F15:F16"/>
    <mergeCell ref="E43:E44"/>
    <mergeCell ref="Z163:Z164"/>
    <mergeCell ref="Z101:Z102"/>
    <mergeCell ref="D109:D110"/>
    <mergeCell ref="E141:E142"/>
    <mergeCell ref="Y83:Y84"/>
    <mergeCell ref="E107:E108"/>
    <mergeCell ref="Z21:Z22"/>
    <mergeCell ref="D111:D112"/>
    <mergeCell ref="E143:E144"/>
    <mergeCell ref="Y85:Y86"/>
    <mergeCell ref="Y35:Y36"/>
    <mergeCell ref="D175:D176"/>
    <mergeCell ref="D91:D92"/>
    <mergeCell ref="F131:F132"/>
    <mergeCell ref="D33:D34"/>
    <mergeCell ref="E61:E62"/>
    <mergeCell ref="E125:E126"/>
    <mergeCell ref="Y111:Y112"/>
    <mergeCell ref="Z49:Z50"/>
    <mergeCell ref="E127:E128"/>
    <mergeCell ref="Y175:Y176"/>
    <mergeCell ref="F147:F148"/>
    <mergeCell ref="E129:E130"/>
    <mergeCell ref="D35:D36"/>
    <mergeCell ref="D59:D60"/>
    <mergeCell ref="Z105:Z106"/>
    <mergeCell ref="Y177:Y178"/>
    <mergeCell ref="E39:E40"/>
    <mergeCell ref="D99:D100"/>
    <mergeCell ref="E131:E132"/>
    <mergeCell ref="F99:F100"/>
    <mergeCell ref="D61:D62"/>
    <mergeCell ref="D163:D164"/>
    <mergeCell ref="D101:D102"/>
    <mergeCell ref="F163:F164"/>
    <mergeCell ref="F101:F102"/>
    <mergeCell ref="F79:F80"/>
    <mergeCell ref="Z171:Z172"/>
    <mergeCell ref="Z165:Z166"/>
    <mergeCell ref="E49:E50"/>
    <mergeCell ref="F81:F82"/>
    <mergeCell ref="Z29:Z30"/>
    <mergeCell ref="F31:F32"/>
    <mergeCell ref="Y155:Y156"/>
    <mergeCell ref="Z39:Z40"/>
    <mergeCell ref="E113:E114"/>
    <mergeCell ref="Y105:Y106"/>
    <mergeCell ref="Y99:Y100"/>
    <mergeCell ref="D177:D178"/>
    <mergeCell ref="Z103:Z104"/>
    <mergeCell ref="Y107:Y108"/>
    <mergeCell ref="E115:E116"/>
    <mergeCell ref="Y163:Y164"/>
    <mergeCell ref="Y101:Y102"/>
    <mergeCell ref="Y165:Y166"/>
    <mergeCell ref="F7:F8"/>
    <mergeCell ref="F63:F64"/>
    <mergeCell ref="D49:D50"/>
    <mergeCell ref="Z57:Z58"/>
    <mergeCell ref="E175:E176"/>
    <mergeCell ref="Z113:Z114"/>
    <mergeCell ref="F5:F6"/>
    <mergeCell ref="E177:E178"/>
    <mergeCell ref="Z115:Z116"/>
    <mergeCell ref="E103:E104"/>
    <mergeCell ref="F33:F34"/>
    <mergeCell ref="Y7:Y8"/>
    <mergeCell ref="D125:D126"/>
    <mergeCell ref="F125:F126"/>
    <mergeCell ref="Y49:Y50"/>
    <mergeCell ref="D127:D128"/>
    <mergeCell ref="E57:E58"/>
    <mergeCell ref="D39:D40"/>
    <mergeCell ref="E121:E122"/>
    <mergeCell ref="E83:E84"/>
    <mergeCell ref="Z45:Z46"/>
    <mergeCell ref="E123:E124"/>
    <mergeCell ref="Y171:Y172"/>
    <mergeCell ref="Z47:Z48"/>
    <mergeCell ref="E165:E166"/>
    <mergeCell ref="Y173:Y174"/>
    <mergeCell ref="Y29:Y30"/>
    <mergeCell ref="F21:F22"/>
    <mergeCell ref="Y39:Y40"/>
    <mergeCell ref="D57:D58"/>
    <mergeCell ref="F113:F114"/>
    <mergeCell ref="Y31:Y32"/>
    <mergeCell ref="Z121:Z122"/>
    <mergeCell ref="F23:F24"/>
    <mergeCell ref="E149:E150"/>
    <mergeCell ref="F115:F116"/>
    <mergeCell ref="Z123:Z124"/>
    <mergeCell ref="Y13:Y14"/>
    <mergeCell ref="E7:E8"/>
    <mergeCell ref="F39:F40"/>
    <mergeCell ref="D133:D134"/>
    <mergeCell ref="D3:F4"/>
    <mergeCell ref="E71:E72"/>
    <mergeCell ref="Y57:Y58"/>
    <mergeCell ref="Y23:Y24"/>
    <mergeCell ref="Y121:Y122"/>
    <mergeCell ref="Y115:Y116"/>
    <mergeCell ref="Z149:Z150"/>
    <mergeCell ref="F103:F104"/>
    <mergeCell ref="Y123:Y124"/>
    <mergeCell ref="E33:E34"/>
    <mergeCell ref="Z151:Z152"/>
    <mergeCell ref="Z7:Z8"/>
    <mergeCell ref="E35:E36"/>
    <mergeCell ref="Z71:Z72"/>
    <mergeCell ref="F169:F170"/>
    <mergeCell ref="E173:E174"/>
    <mergeCell ref="Z73:Z74"/>
    <mergeCell ref="F27:F28"/>
    <mergeCell ref="D121:D122"/>
    <mergeCell ref="F121:F122"/>
    <mergeCell ref="Y45:Y46"/>
    <mergeCell ref="D129:D130"/>
    <mergeCell ref="D123:D124"/>
    <mergeCell ref="F123:F124"/>
    <mergeCell ref="Y47:Y48"/>
    <mergeCell ref="Z137:Z138"/>
    <mergeCell ref="Z173:Z174"/>
    <mergeCell ref="F53:F54"/>
    <mergeCell ref="Z139:Z140"/>
    <mergeCell ref="E79:E80"/>
    <mergeCell ref="E73:E74"/>
    <mergeCell ref="F55:F56"/>
    <mergeCell ref="E23:E24"/>
    <mergeCell ref="J1:W1"/>
    <mergeCell ref="Y129:Y130"/>
    <mergeCell ref="E137:E138"/>
    <mergeCell ref="E87:E88"/>
    <mergeCell ref="D13:D14"/>
    <mergeCell ref="D151:D152"/>
    <mergeCell ref="D7:D8"/>
    <mergeCell ref="E89:E90"/>
    <mergeCell ref="D15:D16"/>
    <mergeCell ref="D71:D72"/>
    <mergeCell ref="E105:E106"/>
    <mergeCell ref="F71:F72"/>
    <mergeCell ref="Z79:Z80"/>
    <mergeCell ref="Y139:Y140"/>
    <mergeCell ref="F37:F38"/>
    <mergeCell ref="D73:D74"/>
    <mergeCell ref="Z23:Z24"/>
    <mergeCell ref="F73:F74"/>
    <mergeCell ref="E163:E164"/>
    <mergeCell ref="E101:E102"/>
    <mergeCell ref="Z31:Z32"/>
    <mergeCell ref="Z87:Z88"/>
    <mergeCell ref="E21:E22"/>
    <mergeCell ref="Z145:Z146"/>
    <mergeCell ref="Z89:Z90"/>
    <mergeCell ref="Y15:Y16"/>
    <mergeCell ref="Y71:Y72"/>
    <mergeCell ref="D155:D156"/>
    <mergeCell ref="D149:D150"/>
    <mergeCell ref="Y117:Y118"/>
    <mergeCell ref="Y55:Y56"/>
    <mergeCell ref="Y79:Y80"/>
    <mergeCell ref="Y73:Y74"/>
    <mergeCell ref="D139:D140"/>
    <mergeCell ref="Y119:Y120"/>
    <mergeCell ref="Y137:Y138"/>
    <mergeCell ref="E31:E32"/>
    <mergeCell ref="Z67:Z68"/>
    <mergeCell ref="Z5:Z6"/>
    <mergeCell ref="E95:E96"/>
    <mergeCell ref="F61:F62"/>
    <mergeCell ref="Z69:Z70"/>
    <mergeCell ref="D25:D26"/>
    <mergeCell ref="E159:E160"/>
    <mergeCell ref="E97:E98"/>
    <mergeCell ref="Z133:Z134"/>
    <mergeCell ref="D79:D80"/>
    <mergeCell ref="D23:D24"/>
    <mergeCell ref="Y147:Y148"/>
    <mergeCell ref="Y3:Y4"/>
    <mergeCell ref="D81:D82"/>
    <mergeCell ref="F137:F138"/>
    <mergeCell ref="Y67:Y68"/>
    <mergeCell ref="Y5:Y6"/>
    <mergeCell ref="Z95:Z96"/>
    <mergeCell ref="D145:D146"/>
    <mergeCell ref="F145:F146"/>
    <mergeCell ref="F139:F140"/>
    <mergeCell ref="E29:E30"/>
    <mergeCell ref="F89:F90"/>
    <mergeCell ref="Z159:Z160"/>
    <mergeCell ref="Z97:Z98"/>
    <mergeCell ref="D105:D106"/>
    <mergeCell ref="F51:F52"/>
    <mergeCell ref="Z161:Z162"/>
    <mergeCell ref="Z17:Z18"/>
    <mergeCell ref="D107:D108"/>
    <mergeCell ref="Y81:Y82"/>
    <mergeCell ref="D171:D172"/>
    <mergeCell ref="Z19:Z20"/>
    <mergeCell ref="D165:D166"/>
    <mergeCell ref="Y145:Y146"/>
    <mergeCell ref="F165:F166"/>
    <mergeCell ref="Y95:Y96"/>
    <mergeCell ref="D173:D174"/>
    <mergeCell ref="E139:E140"/>
    <mergeCell ref="D29:D30"/>
    <mergeCell ref="D1:I1"/>
    <mergeCell ref="F29:F30"/>
    <mergeCell ref="D31:D32"/>
    <mergeCell ref="Z77:Z78"/>
    <mergeCell ref="F87:F88"/>
    <mergeCell ref="Y63:Y64"/>
    <mergeCell ref="E151:E152"/>
    <mergeCell ref="E17:E18"/>
    <mergeCell ref="Z141:Z142"/>
    <mergeCell ref="Z85:Z86"/>
    <mergeCell ref="E19:E20"/>
    <mergeCell ref="D95:D96"/>
    <mergeCell ref="Y69:Y70"/>
    <mergeCell ref="D147:D148"/>
    <mergeCell ref="D97:D98"/>
    <mergeCell ref="F159:F160"/>
    <mergeCell ref="F97:F98"/>
    <mergeCell ref="F153:F154"/>
    <mergeCell ref="Z167:Z168"/>
    <mergeCell ref="Z63:Z64"/>
    <mergeCell ref="D161:D162"/>
    <mergeCell ref="F161:F162"/>
    <mergeCell ref="Y135:Y136"/>
    <mergeCell ref="E45:E46"/>
    <mergeCell ref="F77:F78"/>
    <mergeCell ref="D19:D20"/>
    <mergeCell ref="E53:E54"/>
    <mergeCell ref="F19:F20"/>
    <mergeCell ref="E109:E110"/>
    <mergeCell ref="E47:E48"/>
    <mergeCell ref="Z27:Z28"/>
    <mergeCell ref="D113:D114"/>
    <mergeCell ref="E145:E146"/>
    <mergeCell ref="E111:E112"/>
    <mergeCell ref="Y103:Y104"/>
    <mergeCell ref="F143:F144"/>
    <mergeCell ref="Y97:Y98"/>
    <mergeCell ref="D115:D116"/>
    <mergeCell ref="E147:E148"/>
    <mergeCell ref="Y161:Y162"/>
    <mergeCell ref="F59:F60"/>
    <mergeCell ref="E63:E64"/>
    <mergeCell ref="F95:F96"/>
    <mergeCell ref="D45:D46"/>
    <mergeCell ref="Z91:Z92"/>
    <mergeCell ref="F45:F46"/>
    <mergeCell ref="Y19:Y20"/>
    <mergeCell ref="Z53:Z54"/>
    <mergeCell ref="E171:E172"/>
    <mergeCell ref="Z109:Z110"/>
    <mergeCell ref="Y113:Y114"/>
    <mergeCell ref="Z155:Z156"/>
    <mergeCell ref="D47:D48"/>
    <mergeCell ref="Z93:Z94"/>
    <mergeCell ref="F47:F48"/>
    <mergeCell ref="Z117:Z118"/>
    <mergeCell ref="Z111:Z112"/>
    <mergeCell ref="Z147:Z148"/>
    <mergeCell ref="Z157:Z158"/>
    <mergeCell ref="D103:D104"/>
    <mergeCell ref="Y77:Y78"/>
    <mergeCell ref="E41:E42"/>
    <mergeCell ref="D167:D168"/>
    <mergeCell ref="Z177:Z178"/>
    <mergeCell ref="Y141:Y142"/>
    <mergeCell ref="D63:D64"/>
    <mergeCell ref="D169:D170"/>
    <mergeCell ref="E135:E136"/>
    <mergeCell ref="Y143:Y144"/>
    <mergeCell ref="D27:D28"/>
    <mergeCell ref="E117:E118"/>
    <mergeCell ref="F83:F84"/>
    <mergeCell ref="E55:E56"/>
    <mergeCell ref="Y21:Y22"/>
    <mergeCell ref="Z41:Z42"/>
    <mergeCell ref="F85:F86"/>
    <mergeCell ref="Y167:Y168"/>
    <mergeCell ref="F35:F36"/>
    <mergeCell ref="Z43:Z44"/>
    <mergeCell ref="E161:E162"/>
    <mergeCell ref="Y109:Y110"/>
    <mergeCell ref="Y169:Y170"/>
    <mergeCell ref="D53:D54"/>
    <mergeCell ref="D9:D10"/>
    <mergeCell ref="F109:F110"/>
    <mergeCell ref="F9:F10"/>
    <mergeCell ref="Y27:Y28"/>
    <mergeCell ref="F167:F168"/>
    <mergeCell ref="D117:D118"/>
    <mergeCell ref="D55:D56"/>
    <mergeCell ref="F117:F118"/>
    <mergeCell ref="F111:F112"/>
    <mergeCell ref="Y91:Y92"/>
    <mergeCell ref="F11:F12"/>
    <mergeCell ref="Z59:Z60"/>
    <mergeCell ref="Z119:Z120"/>
    <mergeCell ref="F175:F176"/>
    <mergeCell ref="Z61:Z62"/>
    <mergeCell ref="F177:F178"/>
    <mergeCell ref="E67:E68"/>
    <mergeCell ref="E5:E6"/>
    <mergeCell ref="Y53:Y54"/>
    <mergeCell ref="Y9:Y10"/>
    <mergeCell ref="D131:D132"/>
    <mergeCell ref="E51:E52"/>
    <mergeCell ref="Y93:Y94"/>
    <mergeCell ref="E69:E70"/>
    <mergeCell ref="Y11:Y12"/>
    <mergeCell ref="Y157:Y158"/>
    <mergeCell ref="F91:F92"/>
    <mergeCell ref="F17:F18"/>
    <mergeCell ref="D41:D42"/>
    <mergeCell ref="F41:F42"/>
    <mergeCell ref="F155:F156"/>
    <mergeCell ref="F93:F94"/>
    <mergeCell ref="D43:D44"/>
    <mergeCell ref="F105:F106"/>
    <mergeCell ref="F43:F44"/>
    <mergeCell ref="Z51:Z52"/>
    <mergeCell ref="E169:E170"/>
    <mergeCell ref="Z107:Z108"/>
    <mergeCell ref="Z143:Z144"/>
    <mergeCell ref="Y37:Y38"/>
    <mergeCell ref="Y41:Y42"/>
    <mergeCell ref="D119:D120"/>
    <mergeCell ref="F119:F120"/>
    <mergeCell ref="Y43:Y44"/>
    <mergeCell ref="F25:F26"/>
    <mergeCell ref="Z169:Z170"/>
    <mergeCell ref="Z125:Z126"/>
    <mergeCell ref="E153:E154"/>
    <mergeCell ref="E9:E10"/>
    <mergeCell ref="Z127:Z128"/>
    <mergeCell ref="Y17:Y18"/>
    <mergeCell ref="E167:E168"/>
    <mergeCell ref="E77:E78"/>
    <mergeCell ref="E11:E12"/>
    <mergeCell ref="Y59:Y60"/>
    <mergeCell ref="E133:E134"/>
    <mergeCell ref="D137:D138"/>
    <mergeCell ref="E119:E120"/>
    <mergeCell ref="Y25:Y26"/>
    <mergeCell ref="E75:E76"/>
    <mergeCell ref="Y61:Y62"/>
    <mergeCell ref="E85:E86"/>
    <mergeCell ref="D89:D90"/>
    <mergeCell ref="D67:D68"/>
    <mergeCell ref="D5:D6"/>
    <mergeCell ref="F67:F68"/>
    <mergeCell ref="Y125:Y126"/>
    <mergeCell ref="Z153:Z154"/>
    <mergeCell ref="Z9:Z10"/>
    <mergeCell ref="D51:D52"/>
    <mergeCell ref="F107:F108"/>
    <mergeCell ref="D69:D70"/>
    <mergeCell ref="F69:F70"/>
    <mergeCell ref="E37:E38"/>
    <mergeCell ref="Z11:Z12"/>
    <mergeCell ref="F171:F172"/>
  </mergeCells>
  <conditionalFormatting sqref="D5:F178">
    <cfRule type="expression" priority="1" dxfId="5" stopIfTrue="1">
      <formula>$B5</formula>
    </cfRule>
    <cfRule type="expression" priority="10" dxfId="86" stopIfTrue="1">
      <formula>OR(AND(Ставка=0,D5="осн."),AND(Ставка_С=0,D5="совм."))</formula>
    </cfRule>
    <cfRule type="expression" priority="11" dxfId="1" stopIfTrue="1">
      <formula>($A5=0)</formula>
    </cfRule>
  </conditionalFormatting>
  <conditionalFormatting sqref="H5:Z178">
    <cfRule type="expression" priority="8" dxfId="5" stopIfTrue="1">
      <formula>$B5</formula>
    </cfRule>
  </conditionalFormatting>
  <dataValidations count="3">
    <dataValidation sqref="F5:F41 F43:F178" showDropDown="0" showInputMessage="1" showErrorMessage="1" allowBlank="1" type="list">
      <formula1>ВидыНагр</formula1>
    </dataValidation>
    <dataValidation sqref="D5:D178" showDropDown="0" showInputMessage="0" showErrorMessage="0" allowBlank="1" type="list">
      <formula1>OFFSET(ДисциплиныВесна,0,0,ДисциплиныВеснаКол,1)</formula1>
    </dataValidation>
    <dataValidation sqref="E5:E178" showDropDown="0" showInputMessage="0" showErrorMessage="0" allowBlank="1" type="list">
      <formula1>OFFSET(ГруппыВесна,0,0,ГруппыВеснаКол,1)</formula1>
    </dataValidation>
  </dataValidations>
  <printOptions horizontalCentered="1"/>
  <pageMargins left="0.3937007874015748" right="0.3937007874015748" top="1.181102362204725" bottom="0.7086614173228347" header="0.8661417322834646" footer="0.3937007874015748"/>
  <pageSetup orientation="landscape" paperSize="9" scale="75" fitToHeight="10" horizontalDpi="300" verticalDpi="300"/>
  <headerFooter>
    <oddHeader>&amp;L&amp;"Open Sans,полужирный"Весенний семестр&amp;"Open Sans,обычный" (с. &amp;P из &amp;N)&amp;R&amp;F</oddHeader>
    <oddFooter>&amp;LПреподаватель  ________________&amp;CЗав. кафедрой  ________________</oddFooter>
    <evenHeader/>
    <evenFooter/>
    <firstHeader/>
    <firstFooter/>
  </headerFooter>
</worksheet>
</file>

<file path=xl/worksheets/sheet7.xml><?xml version="1.0" encoding="utf-8"?>
<worksheet xmlns="http://schemas.openxmlformats.org/spreadsheetml/2006/main">
  <sheetPr codeName="Лист25">
    <outlinePr summaryBelow="1" summaryRight="1"/>
    <pageSetUpPr fitToPage="1"/>
  </sheetPr>
  <dimension ref="A1:T79"/>
  <sheetViews>
    <sheetView zoomScale="85" zoomScaleNormal="85" workbookViewId="0">
      <pane xSplit="3" ySplit="6" topLeftCell="D34" activePane="bottomRight" state="frozen"/>
      <selection pane="topRight" activeCell="D1" sqref="D1"/>
      <selection pane="bottomLeft" activeCell="A7" sqref="A7"/>
      <selection pane="bottomRight" activeCell="A2" sqref="A2"/>
    </sheetView>
  </sheetViews>
  <sheetFormatPr baseColWidth="8" defaultColWidth="9.109375" defaultRowHeight="13.2"/>
  <cols>
    <col width="12.6640625" customWidth="1" style="2" min="1" max="1"/>
    <col width="3.6640625" customWidth="1" style="2" min="2" max="2"/>
    <col width="6.6640625" customWidth="1" style="2" min="3" max="3"/>
    <col width="6.88671875" customWidth="1" style="2" min="4" max="9"/>
    <col width="6.88671875" customWidth="1" style="3" min="10" max="16"/>
    <col width="6.88671875" customWidth="1" style="2" min="17" max="17"/>
    <col width="9.6640625" customWidth="1" style="2" min="18" max="19"/>
    <col width="9.109375" customWidth="1" style="2" min="20" max="16384"/>
  </cols>
  <sheetData>
    <row r="1">
      <c r="A1" s="216" t="inlineStr">
        <is>
          <t>Ничего заполнять не нужно, все значения рассчитываются автоматически.</t>
        </is>
      </c>
      <c r="B1" s="62" t="n"/>
      <c r="C1" s="62" t="n"/>
      <c r="D1" s="62" t="n"/>
      <c r="E1" s="62" t="n"/>
      <c r="F1" s="62" t="n"/>
      <c r="G1" s="62" t="n"/>
      <c r="H1" s="62" t="n"/>
      <c r="I1" s="62" t="n"/>
      <c r="J1" s="213" t="n"/>
      <c r="K1" s="213" t="n"/>
    </row>
    <row r="3">
      <c r="A3" s="2" t="inlineStr">
        <is>
          <t>Преподаватель</t>
        </is>
      </c>
      <c r="C3" s="353">
        <f>IF(Т_Преподаватель="","(не указан)",Т_Преподаватель)</f>
        <v/>
      </c>
      <c r="D3" s="406" t="n"/>
      <c r="E3" s="406" t="n"/>
      <c r="F3" s="406" t="n"/>
      <c r="G3" s="406" t="n"/>
      <c r="H3" s="406" t="n"/>
      <c r="I3" s="406" t="n"/>
      <c r="J3" s="406" t="n"/>
      <c r="K3" s="406" t="n"/>
      <c r="L3" s="406" t="n"/>
      <c r="M3" s="406" t="n"/>
      <c r="N3" s="2" t="n"/>
      <c r="O3" s="1" t="inlineStr">
        <is>
          <t>Должность</t>
        </is>
      </c>
      <c r="P3" s="2" t="n"/>
      <c r="Q3" s="353">
        <f>IF(Т_Должность="","(не указана)",Т_Должность)</f>
        <v/>
      </c>
      <c r="R3" s="406" t="n"/>
      <c r="S3" s="406" t="n"/>
    </row>
    <row r="4">
      <c r="A4" s="2" t="inlineStr">
        <is>
          <t>Кафедра</t>
        </is>
      </c>
      <c r="C4" s="357">
        <f>IF(Т_Кафедра="","(не указана)",Т_Кафедра)</f>
        <v/>
      </c>
      <c r="D4" s="392" t="n"/>
      <c r="E4" s="392" t="n"/>
      <c r="F4" s="392" t="n"/>
      <c r="G4" s="392" t="n"/>
      <c r="H4" s="392" t="n"/>
      <c r="I4" s="392" t="n"/>
      <c r="J4" s="392" t="n"/>
      <c r="K4" s="392" t="n"/>
      <c r="L4" s="392" t="n"/>
      <c r="M4" s="392" t="n"/>
      <c r="N4" s="2" t="n"/>
      <c r="O4" s="1" t="inlineStr">
        <is>
          <t>Форма</t>
        </is>
      </c>
      <c r="P4" s="217" t="n"/>
      <c r="Q4" s="354">
        <f>IF(Т_Форма="","(не указана)",Т_Форма)</f>
        <v/>
      </c>
      <c r="R4" s="392" t="n"/>
      <c r="S4" s="392" t="n"/>
    </row>
    <row r="6" ht="112.5" customFormat="1" customHeight="1" s="9" thickBot="1">
      <c r="A6" s="433">
        <f>CONCATENATE("Месяц учебного года ",Т_УчГод)</f>
        <v/>
      </c>
      <c r="B6" s="434" t="n"/>
      <c r="C6" s="4" t="inlineStr">
        <is>
          <t>Количество часов
по видам занятий:</t>
        </is>
      </c>
      <c r="D6" s="5" t="inlineStr">
        <is>
          <t>лекции</t>
        </is>
      </c>
      <c r="E6" s="6" t="inlineStr">
        <is>
          <t>практические занятия 
и семинары</t>
        </is>
      </c>
      <c r="F6" s="7" t="inlineStr">
        <is>
          <t>лабораторные работы</t>
        </is>
      </c>
      <c r="G6" s="8" t="inlineStr">
        <is>
          <t>консультации</t>
        </is>
      </c>
      <c r="H6" s="6" t="inlineStr">
        <is>
          <t>контрольные работы</t>
        </is>
      </c>
      <c r="I6" s="7" t="inlineStr">
        <is>
          <t>курсовые проекты и работы</t>
        </is>
      </c>
      <c r="J6" s="8" t="inlineStr">
        <is>
          <t>зачеты, дифферен-цированные зачеты</t>
        </is>
      </c>
      <c r="K6" s="6" t="inlineStr">
        <is>
          <t>семестровые экзамены</t>
        </is>
      </c>
      <c r="L6" s="149" t="inlineStr">
        <is>
          <t>КСР</t>
        </is>
      </c>
      <c r="M6" s="8" t="inlineStr">
        <is>
          <t>руководство 
практиками</t>
        </is>
      </c>
      <c r="N6" s="6" t="inlineStr">
        <is>
          <t>руководство 
научной работой</t>
        </is>
      </c>
      <c r="O6" s="17" t="inlineStr">
        <is>
          <t>руководство ВКР (дипломные проекты)</t>
        </is>
      </c>
      <c r="P6" s="7" t="inlineStr">
        <is>
          <t>ГЭК, ИАК</t>
        </is>
      </c>
      <c r="Q6" s="4" t="inlineStr">
        <is>
          <t>прочие</t>
        </is>
      </c>
      <c r="R6" s="4" t="inlineStr">
        <is>
          <t>Всего за месяц</t>
        </is>
      </c>
      <c r="S6" s="4" t="inlineStr">
        <is>
          <t>Всего с начала года
(нарастающим итогом)</t>
        </is>
      </c>
    </row>
    <row r="7" ht="13.8" customHeight="1" s="296" thickTop="1">
      <c r="A7" s="435" t="inlineStr">
        <is>
          <t>сентябрь</t>
        </is>
      </c>
      <c r="B7" s="436" t="n"/>
      <c r="C7" s="10" t="inlineStr">
        <is>
          <t>осн.</t>
        </is>
      </c>
      <c r="D7" s="437">
        <f>'09'!L2</f>
        <v/>
      </c>
      <c r="E7" s="438">
        <f>'09'!M2</f>
        <v/>
      </c>
      <c r="F7" s="439">
        <f>'09'!N2</f>
        <v/>
      </c>
      <c r="G7" s="440">
        <f>'09'!O2</f>
        <v/>
      </c>
      <c r="H7" s="438">
        <f>'09'!P2</f>
        <v/>
      </c>
      <c r="I7" s="441">
        <f>'09'!Q2</f>
        <v/>
      </c>
      <c r="J7" s="437">
        <f>'09'!R2</f>
        <v/>
      </c>
      <c r="K7" s="438">
        <f>'09'!S2</f>
        <v/>
      </c>
      <c r="L7" s="439">
        <f>'09'!T2</f>
        <v/>
      </c>
      <c r="M7" s="437">
        <f>'09'!U2</f>
        <v/>
      </c>
      <c r="N7" s="438">
        <f>'09'!V2</f>
        <v/>
      </c>
      <c r="O7" s="441">
        <f>'09'!W2</f>
        <v/>
      </c>
      <c r="P7" s="439">
        <f>'09'!X2</f>
        <v/>
      </c>
      <c r="Q7" s="442">
        <f>'09'!Y2</f>
        <v/>
      </c>
      <c r="R7" s="443">
        <f>SUM(D7:Q7)</f>
        <v/>
      </c>
      <c r="S7" s="443">
        <f>R7</f>
        <v/>
      </c>
    </row>
    <row r="8">
      <c r="A8" s="59" t="n"/>
      <c r="B8" s="444" t="n"/>
      <c r="C8" s="11" t="inlineStr">
        <is>
          <t>совм.</t>
        </is>
      </c>
      <c r="D8" s="445">
        <f>'09'!L3</f>
        <v/>
      </c>
      <c r="E8" s="446">
        <f>'09'!M3</f>
        <v/>
      </c>
      <c r="F8" s="447">
        <f>'09'!N3</f>
        <v/>
      </c>
      <c r="G8" s="448">
        <f>'09'!O3</f>
        <v/>
      </c>
      <c r="H8" s="446">
        <f>'09'!P3</f>
        <v/>
      </c>
      <c r="I8" s="449">
        <f>'09'!Q3</f>
        <v/>
      </c>
      <c r="J8" s="445">
        <f>'09'!R3</f>
        <v/>
      </c>
      <c r="K8" s="446">
        <f>'09'!S3</f>
        <v/>
      </c>
      <c r="L8" s="447">
        <f>'09'!T3</f>
        <v/>
      </c>
      <c r="M8" s="445">
        <f>'09'!U3</f>
        <v/>
      </c>
      <c r="N8" s="446">
        <f>'09'!V3</f>
        <v/>
      </c>
      <c r="O8" s="449">
        <f>'09'!W3</f>
        <v/>
      </c>
      <c r="P8" s="447">
        <f>'09'!X3</f>
        <v/>
      </c>
      <c r="Q8" s="450">
        <f>'09'!Y3</f>
        <v/>
      </c>
      <c r="R8" s="451">
        <f>SUM(D8:Q8)</f>
        <v/>
      </c>
      <c r="S8" s="451">
        <f>R8</f>
        <v/>
      </c>
    </row>
    <row r="9">
      <c r="A9" s="59" t="n"/>
      <c r="B9" s="444" t="n"/>
      <c r="C9" s="11" t="inlineStr">
        <is>
          <t>почас.</t>
        </is>
      </c>
      <c r="D9" s="445">
        <f>'09'!L4</f>
        <v/>
      </c>
      <c r="E9" s="446">
        <f>'09'!M4</f>
        <v/>
      </c>
      <c r="F9" s="447">
        <f>'09'!N4</f>
        <v/>
      </c>
      <c r="G9" s="448">
        <f>'09'!O4</f>
        <v/>
      </c>
      <c r="H9" s="446">
        <f>'09'!P4</f>
        <v/>
      </c>
      <c r="I9" s="449">
        <f>'09'!Q4</f>
        <v/>
      </c>
      <c r="J9" s="445">
        <f>'09'!R4</f>
        <v/>
      </c>
      <c r="K9" s="446">
        <f>'09'!S4</f>
        <v/>
      </c>
      <c r="L9" s="447">
        <f>'09'!T4</f>
        <v/>
      </c>
      <c r="M9" s="445">
        <f>'09'!U4</f>
        <v/>
      </c>
      <c r="N9" s="446">
        <f>'09'!V4</f>
        <v/>
      </c>
      <c r="O9" s="449">
        <f>'09'!W4</f>
        <v/>
      </c>
      <c r="P9" s="447">
        <f>'09'!X4</f>
        <v/>
      </c>
      <c r="Q9" s="450">
        <f>'09'!Y4</f>
        <v/>
      </c>
      <c r="R9" s="451">
        <f>SUM(D9:Q9)</f>
        <v/>
      </c>
      <c r="S9" s="451">
        <f>R9</f>
        <v/>
      </c>
    </row>
    <row r="10">
      <c r="A10" s="405" t="n"/>
      <c r="B10" s="452" t="n"/>
      <c r="C10" s="218" t="inlineStr">
        <is>
          <t>всего</t>
        </is>
      </c>
      <c r="D10" s="453">
        <f>'09'!L5</f>
        <v/>
      </c>
      <c r="E10" s="454">
        <f>'09'!M5</f>
        <v/>
      </c>
      <c r="F10" s="455">
        <f>'09'!N5</f>
        <v/>
      </c>
      <c r="G10" s="456">
        <f>'09'!O5</f>
        <v/>
      </c>
      <c r="H10" s="454">
        <f>'09'!P5</f>
        <v/>
      </c>
      <c r="I10" s="457">
        <f>'09'!Q5</f>
        <v/>
      </c>
      <c r="J10" s="453">
        <f>'09'!R5</f>
        <v/>
      </c>
      <c r="K10" s="454">
        <f>'09'!S5</f>
        <v/>
      </c>
      <c r="L10" s="455">
        <f>'09'!T5</f>
        <v/>
      </c>
      <c r="M10" s="453">
        <f>'09'!U5</f>
        <v/>
      </c>
      <c r="N10" s="454">
        <f>'09'!V5</f>
        <v/>
      </c>
      <c r="O10" s="457">
        <f>'09'!W5</f>
        <v/>
      </c>
      <c r="P10" s="455">
        <f>'09'!X5</f>
        <v/>
      </c>
      <c r="Q10" s="458">
        <f>'09'!Y5</f>
        <v/>
      </c>
      <c r="R10" s="458">
        <f>SUM(D10:Q10)</f>
        <v/>
      </c>
      <c r="S10" s="458">
        <f>R10</f>
        <v/>
      </c>
    </row>
    <row r="11">
      <c r="A11" s="459" t="inlineStr">
        <is>
          <t>октябрь</t>
        </is>
      </c>
      <c r="B11" s="460" t="n"/>
      <c r="C11" s="12" t="inlineStr">
        <is>
          <t>осн.</t>
        </is>
      </c>
      <c r="D11" s="461">
        <f>'10'!L2</f>
        <v/>
      </c>
      <c r="E11" s="462">
        <f>'10'!M2</f>
        <v/>
      </c>
      <c r="F11" s="463">
        <f>'10'!N2</f>
        <v/>
      </c>
      <c r="G11" s="464">
        <f>'10'!O2</f>
        <v/>
      </c>
      <c r="H11" s="462">
        <f>'10'!P2</f>
        <v/>
      </c>
      <c r="I11" s="465">
        <f>'10'!Q2</f>
        <v/>
      </c>
      <c r="J11" s="461">
        <f>'10'!R2</f>
        <v/>
      </c>
      <c r="K11" s="462">
        <f>'10'!S2</f>
        <v/>
      </c>
      <c r="L11" s="463">
        <f>'10'!T2</f>
        <v/>
      </c>
      <c r="M11" s="461">
        <f>'10'!U2</f>
        <v/>
      </c>
      <c r="N11" s="462">
        <f>'10'!V2</f>
        <v/>
      </c>
      <c r="O11" s="465">
        <f>'10'!W2</f>
        <v/>
      </c>
      <c r="P11" s="463">
        <f>'10'!X2</f>
        <v/>
      </c>
      <c r="Q11" s="466">
        <f>'10'!Y2</f>
        <v/>
      </c>
      <c r="R11" s="467">
        <f>SUM(D11:Q11)</f>
        <v/>
      </c>
      <c r="S11" s="467">
        <f>IF(R11&lt;&gt;0,S7+R11,0)</f>
        <v/>
      </c>
    </row>
    <row r="12">
      <c r="A12" s="59" t="n"/>
      <c r="B12" s="444" t="n"/>
      <c r="C12" s="11" t="inlineStr">
        <is>
          <t>совм.</t>
        </is>
      </c>
      <c r="D12" s="445">
        <f>'10'!L3</f>
        <v/>
      </c>
      <c r="E12" s="446">
        <f>'10'!M3</f>
        <v/>
      </c>
      <c r="F12" s="447">
        <f>'10'!N3</f>
        <v/>
      </c>
      <c r="G12" s="448">
        <f>'10'!O3</f>
        <v/>
      </c>
      <c r="H12" s="446">
        <f>'10'!P3</f>
        <v/>
      </c>
      <c r="I12" s="449">
        <f>'10'!Q3</f>
        <v/>
      </c>
      <c r="J12" s="445">
        <f>'10'!R3</f>
        <v/>
      </c>
      <c r="K12" s="446">
        <f>'10'!S3</f>
        <v/>
      </c>
      <c r="L12" s="447">
        <f>'10'!T3</f>
        <v/>
      </c>
      <c r="M12" s="445">
        <f>'10'!U3</f>
        <v/>
      </c>
      <c r="N12" s="446">
        <f>'10'!V3</f>
        <v/>
      </c>
      <c r="O12" s="449">
        <f>'10'!W3</f>
        <v/>
      </c>
      <c r="P12" s="447">
        <f>'10'!X3</f>
        <v/>
      </c>
      <c r="Q12" s="450">
        <f>'10'!Y3</f>
        <v/>
      </c>
      <c r="R12" s="451">
        <f>SUM(D12:Q12)</f>
        <v/>
      </c>
      <c r="S12" s="451">
        <f>IF(R12&lt;&gt;0,S8+R12,0)</f>
        <v/>
      </c>
    </row>
    <row r="13">
      <c r="A13" s="59" t="n"/>
      <c r="B13" s="444" t="n"/>
      <c r="C13" s="11" t="inlineStr">
        <is>
          <t>почас.</t>
        </is>
      </c>
      <c r="D13" s="445">
        <f>'10'!L4</f>
        <v/>
      </c>
      <c r="E13" s="446">
        <f>'10'!M4</f>
        <v/>
      </c>
      <c r="F13" s="447">
        <f>'10'!N4</f>
        <v/>
      </c>
      <c r="G13" s="448">
        <f>'10'!O4</f>
        <v/>
      </c>
      <c r="H13" s="446">
        <f>'10'!P4</f>
        <v/>
      </c>
      <c r="I13" s="449">
        <f>'10'!Q4</f>
        <v/>
      </c>
      <c r="J13" s="445">
        <f>'10'!R4</f>
        <v/>
      </c>
      <c r="K13" s="446">
        <f>'10'!S4</f>
        <v/>
      </c>
      <c r="L13" s="447">
        <f>'10'!T4</f>
        <v/>
      </c>
      <c r="M13" s="445">
        <f>'10'!U4</f>
        <v/>
      </c>
      <c r="N13" s="446">
        <f>'10'!V4</f>
        <v/>
      </c>
      <c r="O13" s="449">
        <f>'10'!W4</f>
        <v/>
      </c>
      <c r="P13" s="447">
        <f>'10'!X4</f>
        <v/>
      </c>
      <c r="Q13" s="450">
        <f>'10'!Y4</f>
        <v/>
      </c>
      <c r="R13" s="451">
        <f>SUM(D13:Q13)</f>
        <v/>
      </c>
      <c r="S13" s="451">
        <f>IF(R13&lt;&gt;0,S9+R13,0)</f>
        <v/>
      </c>
    </row>
    <row r="14">
      <c r="A14" s="405" t="n"/>
      <c r="B14" s="452" t="n"/>
      <c r="C14" s="218" t="inlineStr">
        <is>
          <t>всего</t>
        </is>
      </c>
      <c r="D14" s="453">
        <f>'10'!L5</f>
        <v/>
      </c>
      <c r="E14" s="454">
        <f>'10'!M5</f>
        <v/>
      </c>
      <c r="F14" s="455">
        <f>'10'!N5</f>
        <v/>
      </c>
      <c r="G14" s="456">
        <f>'10'!O5</f>
        <v/>
      </c>
      <c r="H14" s="454">
        <f>'10'!P5</f>
        <v/>
      </c>
      <c r="I14" s="457">
        <f>'10'!Q5</f>
        <v/>
      </c>
      <c r="J14" s="453">
        <f>'10'!R5</f>
        <v/>
      </c>
      <c r="K14" s="454">
        <f>'10'!S5</f>
        <v/>
      </c>
      <c r="L14" s="455">
        <f>'10'!T5</f>
        <v/>
      </c>
      <c r="M14" s="453">
        <f>'10'!U5</f>
        <v/>
      </c>
      <c r="N14" s="454">
        <f>'10'!V5</f>
        <v/>
      </c>
      <c r="O14" s="457">
        <f>'10'!W5</f>
        <v/>
      </c>
      <c r="P14" s="455">
        <f>'10'!X5</f>
        <v/>
      </c>
      <c r="Q14" s="458">
        <f>'10'!Y5</f>
        <v/>
      </c>
      <c r="R14" s="458">
        <f>SUM(D14:Q14)</f>
        <v/>
      </c>
      <c r="S14" s="458">
        <f>IF(R14&lt;&gt;0,S10+R14,0)</f>
        <v/>
      </c>
    </row>
    <row r="15">
      <c r="A15" s="459" t="inlineStr">
        <is>
          <t>ноябрь</t>
        </is>
      </c>
      <c r="B15" s="460" t="n"/>
      <c r="C15" s="12" t="inlineStr">
        <is>
          <t>осн.</t>
        </is>
      </c>
      <c r="D15" s="461">
        <f>'11'!L2</f>
        <v/>
      </c>
      <c r="E15" s="462">
        <f>'11'!M2</f>
        <v/>
      </c>
      <c r="F15" s="463">
        <f>'11'!N2</f>
        <v/>
      </c>
      <c r="G15" s="464">
        <f>'11'!O2</f>
        <v/>
      </c>
      <c r="H15" s="462">
        <f>'11'!P2</f>
        <v/>
      </c>
      <c r="I15" s="465">
        <f>'11'!Q2</f>
        <v/>
      </c>
      <c r="J15" s="461">
        <f>'11'!R2</f>
        <v/>
      </c>
      <c r="K15" s="462">
        <f>'11'!S2</f>
        <v/>
      </c>
      <c r="L15" s="463">
        <f>'11'!T2</f>
        <v/>
      </c>
      <c r="M15" s="461">
        <f>'11'!U2</f>
        <v/>
      </c>
      <c r="N15" s="462">
        <f>'11'!V2</f>
        <v/>
      </c>
      <c r="O15" s="465">
        <f>'11'!W2</f>
        <v/>
      </c>
      <c r="P15" s="463">
        <f>'11'!X2</f>
        <v/>
      </c>
      <c r="Q15" s="466">
        <f>'11'!Y2</f>
        <v/>
      </c>
      <c r="R15" s="467">
        <f>SUM(D15:Q15)</f>
        <v/>
      </c>
      <c r="S15" s="467">
        <f>IF(R15&lt;&gt;0,MAX(S7,S11)+R15,0)</f>
        <v/>
      </c>
    </row>
    <row r="16">
      <c r="A16" s="59" t="n"/>
      <c r="B16" s="444" t="n"/>
      <c r="C16" s="11" t="inlineStr">
        <is>
          <t>совм.</t>
        </is>
      </c>
      <c r="D16" s="445">
        <f>'11'!L3</f>
        <v/>
      </c>
      <c r="E16" s="446">
        <f>'11'!M3</f>
        <v/>
      </c>
      <c r="F16" s="447">
        <f>'11'!N3</f>
        <v/>
      </c>
      <c r="G16" s="448">
        <f>'11'!O3</f>
        <v/>
      </c>
      <c r="H16" s="446">
        <f>'11'!P3</f>
        <v/>
      </c>
      <c r="I16" s="449">
        <f>'11'!Q3</f>
        <v/>
      </c>
      <c r="J16" s="445">
        <f>'11'!R3</f>
        <v/>
      </c>
      <c r="K16" s="446">
        <f>'11'!S3</f>
        <v/>
      </c>
      <c r="L16" s="447">
        <f>'11'!T3</f>
        <v/>
      </c>
      <c r="M16" s="445">
        <f>'11'!U3</f>
        <v/>
      </c>
      <c r="N16" s="446">
        <f>'11'!V3</f>
        <v/>
      </c>
      <c r="O16" s="449">
        <f>'11'!W3</f>
        <v/>
      </c>
      <c r="P16" s="447">
        <f>'11'!X3</f>
        <v/>
      </c>
      <c r="Q16" s="450">
        <f>'11'!Y3</f>
        <v/>
      </c>
      <c r="R16" s="451">
        <f>SUM(D16:Q16)</f>
        <v/>
      </c>
      <c r="S16" s="451">
        <f>IF(R16&lt;&gt;0,MAX(S8,S12)+R16,0)</f>
        <v/>
      </c>
    </row>
    <row r="17">
      <c r="A17" s="59" t="n"/>
      <c r="B17" s="444" t="n"/>
      <c r="C17" s="11" t="inlineStr">
        <is>
          <t>почас.</t>
        </is>
      </c>
      <c r="D17" s="445">
        <f>'11'!L4</f>
        <v/>
      </c>
      <c r="E17" s="446">
        <f>'11'!M4</f>
        <v/>
      </c>
      <c r="F17" s="447">
        <f>'11'!N4</f>
        <v/>
      </c>
      <c r="G17" s="448">
        <f>'11'!O4</f>
        <v/>
      </c>
      <c r="H17" s="446">
        <f>'11'!P4</f>
        <v/>
      </c>
      <c r="I17" s="449">
        <f>'11'!Q4</f>
        <v/>
      </c>
      <c r="J17" s="445">
        <f>'11'!R4</f>
        <v/>
      </c>
      <c r="K17" s="446">
        <f>'11'!S4</f>
        <v/>
      </c>
      <c r="L17" s="447">
        <f>'11'!T4</f>
        <v/>
      </c>
      <c r="M17" s="445">
        <f>'11'!U4</f>
        <v/>
      </c>
      <c r="N17" s="446">
        <f>'11'!V4</f>
        <v/>
      </c>
      <c r="O17" s="449">
        <f>'11'!W4</f>
        <v/>
      </c>
      <c r="P17" s="447">
        <f>'11'!X4</f>
        <v/>
      </c>
      <c r="Q17" s="450">
        <f>'11'!Y4</f>
        <v/>
      </c>
      <c r="R17" s="451">
        <f>SUM(D17:Q17)</f>
        <v/>
      </c>
      <c r="S17" s="451">
        <f>IF(R17&lt;&gt;0,MAX(S9,S13)+R17,0)</f>
        <v/>
      </c>
    </row>
    <row r="18">
      <c r="A18" s="405" t="n"/>
      <c r="B18" s="452" t="n"/>
      <c r="C18" s="218" t="inlineStr">
        <is>
          <t>всего</t>
        </is>
      </c>
      <c r="D18" s="453">
        <f>'11'!L5</f>
        <v/>
      </c>
      <c r="E18" s="454">
        <f>'11'!M5</f>
        <v/>
      </c>
      <c r="F18" s="455">
        <f>'11'!N5</f>
        <v/>
      </c>
      <c r="G18" s="456">
        <f>'11'!O5</f>
        <v/>
      </c>
      <c r="H18" s="454">
        <f>'11'!P5</f>
        <v/>
      </c>
      <c r="I18" s="457">
        <f>'11'!Q5</f>
        <v/>
      </c>
      <c r="J18" s="453">
        <f>'11'!R5</f>
        <v/>
      </c>
      <c r="K18" s="454">
        <f>'11'!S5</f>
        <v/>
      </c>
      <c r="L18" s="455">
        <f>'11'!T5</f>
        <v/>
      </c>
      <c r="M18" s="453">
        <f>'11'!U5</f>
        <v/>
      </c>
      <c r="N18" s="454">
        <f>'11'!V5</f>
        <v/>
      </c>
      <c r="O18" s="457">
        <f>'11'!W5</f>
        <v/>
      </c>
      <c r="P18" s="455">
        <f>'11'!X5</f>
        <v/>
      </c>
      <c r="Q18" s="458">
        <f>'11'!Y5</f>
        <v/>
      </c>
      <c r="R18" s="458">
        <f>SUM(D18:Q18)</f>
        <v/>
      </c>
      <c r="S18" s="458">
        <f>IF(R18&lt;&gt;0,MAX(S10,S14)+R18,0)</f>
        <v/>
      </c>
    </row>
    <row r="19">
      <c r="A19" s="459" t="inlineStr">
        <is>
          <t>декабрь</t>
        </is>
      </c>
      <c r="B19" s="460" t="n"/>
      <c r="C19" s="12" t="inlineStr">
        <is>
          <t>осн.</t>
        </is>
      </c>
      <c r="D19" s="461">
        <f>'12'!L2</f>
        <v/>
      </c>
      <c r="E19" s="462">
        <f>'12'!M2</f>
        <v/>
      </c>
      <c r="F19" s="463">
        <f>'12'!N2</f>
        <v/>
      </c>
      <c r="G19" s="464">
        <f>'12'!O2</f>
        <v/>
      </c>
      <c r="H19" s="462">
        <f>'12'!P2</f>
        <v/>
      </c>
      <c r="I19" s="465">
        <f>'12'!Q2</f>
        <v/>
      </c>
      <c r="J19" s="461">
        <f>'12'!R2</f>
        <v/>
      </c>
      <c r="K19" s="462">
        <f>'12'!S2</f>
        <v/>
      </c>
      <c r="L19" s="463">
        <f>'12'!T2</f>
        <v/>
      </c>
      <c r="M19" s="461">
        <f>'12'!U2</f>
        <v/>
      </c>
      <c r="N19" s="462">
        <f>'12'!V2</f>
        <v/>
      </c>
      <c r="O19" s="465">
        <f>'12'!W2</f>
        <v/>
      </c>
      <c r="P19" s="463">
        <f>'12'!X2</f>
        <v/>
      </c>
      <c r="Q19" s="466">
        <f>'12'!Y2</f>
        <v/>
      </c>
      <c r="R19" s="467">
        <f>SUM(D19:Q19)</f>
        <v/>
      </c>
      <c r="S19" s="467">
        <f>IF(R19&lt;&gt;0,MAX(S7,S11,S15)+R19,0)</f>
        <v/>
      </c>
    </row>
    <row r="20">
      <c r="A20" s="59" t="n"/>
      <c r="B20" s="444" t="n"/>
      <c r="C20" s="11" t="inlineStr">
        <is>
          <t>совм.</t>
        </is>
      </c>
      <c r="D20" s="445">
        <f>'12'!L3</f>
        <v/>
      </c>
      <c r="E20" s="446">
        <f>'12'!M3</f>
        <v/>
      </c>
      <c r="F20" s="447">
        <f>'12'!N3</f>
        <v/>
      </c>
      <c r="G20" s="448">
        <f>'12'!O3</f>
        <v/>
      </c>
      <c r="H20" s="446">
        <f>'12'!P3</f>
        <v/>
      </c>
      <c r="I20" s="449">
        <f>'12'!Q3</f>
        <v/>
      </c>
      <c r="J20" s="445">
        <f>'12'!R3</f>
        <v/>
      </c>
      <c r="K20" s="446">
        <f>'12'!S3</f>
        <v/>
      </c>
      <c r="L20" s="447">
        <f>'12'!T3</f>
        <v/>
      </c>
      <c r="M20" s="445">
        <f>'12'!U3</f>
        <v/>
      </c>
      <c r="N20" s="446">
        <f>'12'!V3</f>
        <v/>
      </c>
      <c r="O20" s="449">
        <f>'12'!W3</f>
        <v/>
      </c>
      <c r="P20" s="447">
        <f>'12'!X3</f>
        <v/>
      </c>
      <c r="Q20" s="450">
        <f>'12'!Y3</f>
        <v/>
      </c>
      <c r="R20" s="451">
        <f>SUM(D20:Q20)</f>
        <v/>
      </c>
      <c r="S20" s="451">
        <f>IF(R20&lt;&gt;0,MAX(S8,S12,S16)+R20,0)</f>
        <v/>
      </c>
    </row>
    <row r="21">
      <c r="A21" s="59" t="n"/>
      <c r="B21" s="444" t="n"/>
      <c r="C21" s="11" t="inlineStr">
        <is>
          <t>почас.</t>
        </is>
      </c>
      <c r="D21" s="445">
        <f>'12'!L4</f>
        <v/>
      </c>
      <c r="E21" s="446">
        <f>'12'!M4</f>
        <v/>
      </c>
      <c r="F21" s="447">
        <f>'12'!N4</f>
        <v/>
      </c>
      <c r="G21" s="448">
        <f>'12'!O4</f>
        <v/>
      </c>
      <c r="H21" s="446">
        <f>'12'!P4</f>
        <v/>
      </c>
      <c r="I21" s="449">
        <f>'12'!Q4</f>
        <v/>
      </c>
      <c r="J21" s="445">
        <f>'12'!R4</f>
        <v/>
      </c>
      <c r="K21" s="446">
        <f>'12'!S4</f>
        <v/>
      </c>
      <c r="L21" s="447">
        <f>'12'!T4</f>
        <v/>
      </c>
      <c r="M21" s="445">
        <f>'12'!U4</f>
        <v/>
      </c>
      <c r="N21" s="446">
        <f>'12'!V4</f>
        <v/>
      </c>
      <c r="O21" s="449">
        <f>'12'!W4</f>
        <v/>
      </c>
      <c r="P21" s="447">
        <f>'12'!X4</f>
        <v/>
      </c>
      <c r="Q21" s="450">
        <f>'12'!Y4</f>
        <v/>
      </c>
      <c r="R21" s="451">
        <f>SUM(D21:Q21)</f>
        <v/>
      </c>
      <c r="S21" s="451">
        <f>IF(R21&lt;&gt;0,MAX(S9,S13,S17)+R21,0)</f>
        <v/>
      </c>
    </row>
    <row r="22">
      <c r="A22" s="405" t="n"/>
      <c r="B22" s="452" t="n"/>
      <c r="C22" s="218" t="inlineStr">
        <is>
          <t>всего</t>
        </is>
      </c>
      <c r="D22" s="453">
        <f>'12'!L5</f>
        <v/>
      </c>
      <c r="E22" s="454">
        <f>'12'!M5</f>
        <v/>
      </c>
      <c r="F22" s="455">
        <f>'12'!N5</f>
        <v/>
      </c>
      <c r="G22" s="456">
        <f>'12'!O5</f>
        <v/>
      </c>
      <c r="H22" s="454">
        <f>'12'!P5</f>
        <v/>
      </c>
      <c r="I22" s="457">
        <f>'12'!Q5</f>
        <v/>
      </c>
      <c r="J22" s="453">
        <f>'12'!R5</f>
        <v/>
      </c>
      <c r="K22" s="454">
        <f>'12'!S5</f>
        <v/>
      </c>
      <c r="L22" s="455">
        <f>'12'!T5</f>
        <v/>
      </c>
      <c r="M22" s="453">
        <f>'12'!U5</f>
        <v/>
      </c>
      <c r="N22" s="454">
        <f>'12'!V5</f>
        <v/>
      </c>
      <c r="O22" s="457">
        <f>'12'!W5</f>
        <v/>
      </c>
      <c r="P22" s="455">
        <f>'12'!X5</f>
        <v/>
      </c>
      <c r="Q22" s="458">
        <f>'12'!Y5</f>
        <v/>
      </c>
      <c r="R22" s="458">
        <f>SUM(D22:Q22)</f>
        <v/>
      </c>
      <c r="S22" s="458">
        <f>IF(R22&lt;&gt;0,MAX(S10,S14,S18)+R22,0)</f>
        <v/>
      </c>
    </row>
    <row r="23">
      <c r="A23" s="468" t="inlineStr">
        <is>
          <t>январь</t>
        </is>
      </c>
      <c r="B23" s="460" t="n"/>
      <c r="C23" s="12" t="inlineStr">
        <is>
          <t>осн.</t>
        </is>
      </c>
      <c r="D23" s="461">
        <f>'01'!L2</f>
        <v/>
      </c>
      <c r="E23" s="462">
        <f>'01'!M2</f>
        <v/>
      </c>
      <c r="F23" s="463">
        <f>'01'!N2</f>
        <v/>
      </c>
      <c r="G23" s="464">
        <f>'01'!O2</f>
        <v/>
      </c>
      <c r="H23" s="462">
        <f>'01'!P2</f>
        <v/>
      </c>
      <c r="I23" s="465">
        <f>'01'!Q2</f>
        <v/>
      </c>
      <c r="J23" s="461">
        <f>'01'!R2</f>
        <v/>
      </c>
      <c r="K23" s="462">
        <f>'01'!S2</f>
        <v/>
      </c>
      <c r="L23" s="463">
        <f>'01'!T2</f>
        <v/>
      </c>
      <c r="M23" s="461">
        <f>'01'!U2</f>
        <v/>
      </c>
      <c r="N23" s="462">
        <f>'01'!V2</f>
        <v/>
      </c>
      <c r="O23" s="465">
        <f>'01'!W2</f>
        <v/>
      </c>
      <c r="P23" s="463">
        <f>'01'!X2</f>
        <v/>
      </c>
      <c r="Q23" s="466">
        <f>'01'!Y2</f>
        <v/>
      </c>
      <c r="R23" s="467">
        <f>SUM(D23:Q23)</f>
        <v/>
      </c>
      <c r="S23" s="467">
        <f>IF(R23&lt;&gt;0,MAX(S7,S11,S15,S19)+R23,0)</f>
        <v/>
      </c>
    </row>
    <row r="24">
      <c r="A24" s="59" t="n"/>
      <c r="B24" s="444" t="n"/>
      <c r="C24" s="11" t="inlineStr">
        <is>
          <t>совм.</t>
        </is>
      </c>
      <c r="D24" s="445">
        <f>'01'!L3</f>
        <v/>
      </c>
      <c r="E24" s="446">
        <f>'01'!M3</f>
        <v/>
      </c>
      <c r="F24" s="447">
        <f>'01'!N3</f>
        <v/>
      </c>
      <c r="G24" s="448">
        <f>'01'!O3</f>
        <v/>
      </c>
      <c r="H24" s="446">
        <f>'01'!P3</f>
        <v/>
      </c>
      <c r="I24" s="449">
        <f>'01'!Q3</f>
        <v/>
      </c>
      <c r="J24" s="445">
        <f>'01'!R3</f>
        <v/>
      </c>
      <c r="K24" s="446">
        <f>'01'!S3</f>
        <v/>
      </c>
      <c r="L24" s="447">
        <f>'01'!T3</f>
        <v/>
      </c>
      <c r="M24" s="445">
        <f>'01'!U3</f>
        <v/>
      </c>
      <c r="N24" s="446">
        <f>'01'!V3</f>
        <v/>
      </c>
      <c r="O24" s="449">
        <f>'01'!W3</f>
        <v/>
      </c>
      <c r="P24" s="447">
        <f>'01'!X3</f>
        <v/>
      </c>
      <c r="Q24" s="450">
        <f>'01'!Y3</f>
        <v/>
      </c>
      <c r="R24" s="451">
        <f>SUM(D24:Q24)</f>
        <v/>
      </c>
      <c r="S24" s="451">
        <f>IF(R24&lt;&gt;0,MAX(S8,S12,S16,S20)+R24,0)</f>
        <v/>
      </c>
    </row>
    <row r="25">
      <c r="A25" s="59" t="n"/>
      <c r="B25" s="444" t="n"/>
      <c r="C25" s="11" t="inlineStr">
        <is>
          <t>почас.</t>
        </is>
      </c>
      <c r="D25" s="445">
        <f>'01'!L4</f>
        <v/>
      </c>
      <c r="E25" s="446">
        <f>'01'!M4</f>
        <v/>
      </c>
      <c r="F25" s="447">
        <f>'01'!N4</f>
        <v/>
      </c>
      <c r="G25" s="448">
        <f>'01'!O4</f>
        <v/>
      </c>
      <c r="H25" s="446">
        <f>'01'!P4</f>
        <v/>
      </c>
      <c r="I25" s="449">
        <f>'01'!Q4</f>
        <v/>
      </c>
      <c r="J25" s="445">
        <f>'01'!R4</f>
        <v/>
      </c>
      <c r="K25" s="446">
        <f>'01'!S4</f>
        <v/>
      </c>
      <c r="L25" s="447">
        <f>'01'!T4</f>
        <v/>
      </c>
      <c r="M25" s="445">
        <f>'01'!U4</f>
        <v/>
      </c>
      <c r="N25" s="446">
        <f>'01'!V4</f>
        <v/>
      </c>
      <c r="O25" s="449">
        <f>'01'!W4</f>
        <v/>
      </c>
      <c r="P25" s="447">
        <f>'01'!X4</f>
        <v/>
      </c>
      <c r="Q25" s="450">
        <f>'01'!Y4</f>
        <v/>
      </c>
      <c r="R25" s="451">
        <f>SUM(D25:Q25)</f>
        <v/>
      </c>
      <c r="S25" s="451">
        <f>IF(R25&lt;&gt;0,MAX(S9,S13,S17,S21)+R25,0)</f>
        <v/>
      </c>
    </row>
    <row r="26" ht="13.8" customHeight="1" s="296" thickBot="1">
      <c r="A26" s="469" t="n"/>
      <c r="B26" s="470" t="n"/>
      <c r="C26" s="225" t="inlineStr">
        <is>
          <t>всего</t>
        </is>
      </c>
      <c r="D26" s="471">
        <f>'01'!L5</f>
        <v/>
      </c>
      <c r="E26" s="472">
        <f>'01'!M5</f>
        <v/>
      </c>
      <c r="F26" s="473">
        <f>'01'!N5</f>
        <v/>
      </c>
      <c r="G26" s="474">
        <f>'01'!O5</f>
        <v/>
      </c>
      <c r="H26" s="472">
        <f>'01'!P5</f>
        <v/>
      </c>
      <c r="I26" s="475">
        <f>'01'!Q5</f>
        <v/>
      </c>
      <c r="J26" s="471">
        <f>'01'!R5</f>
        <v/>
      </c>
      <c r="K26" s="472">
        <f>'01'!S5</f>
        <v/>
      </c>
      <c r="L26" s="473">
        <f>'01'!T5</f>
        <v/>
      </c>
      <c r="M26" s="471">
        <f>'01'!U5</f>
        <v/>
      </c>
      <c r="N26" s="472">
        <f>'01'!V5</f>
        <v/>
      </c>
      <c r="O26" s="475">
        <f>'01'!W5</f>
        <v/>
      </c>
      <c r="P26" s="473">
        <f>'01'!X5</f>
        <v/>
      </c>
      <c r="Q26" s="476">
        <f>'01'!Y5</f>
        <v/>
      </c>
      <c r="R26" s="476">
        <f>SUM(D26:Q26)</f>
        <v/>
      </c>
      <c r="S26" s="476">
        <f>IF(R26&lt;&gt;0,MAX(S10,S14,S18,S22)+R26,0)</f>
        <v/>
      </c>
    </row>
    <row r="27" ht="13.8" customHeight="1" s="296" thickTop="1">
      <c r="A27" s="477" t="inlineStr">
        <is>
          <t>Итого за 
I-й семестр</t>
        </is>
      </c>
      <c r="B27" s="328" t="inlineStr">
        <is>
          <t>план</t>
        </is>
      </c>
      <c r="C27" s="10" t="inlineStr">
        <is>
          <t>осн.</t>
        </is>
      </c>
      <c r="D27" s="478">
        <f>SUMIF(осень!$A$5:$A$178,1,осень!J$5:J$178)</f>
        <v/>
      </c>
      <c r="E27" s="479">
        <f>SUMIF(осень!$A$5:$A$178,1,осень!K$5:K$178)</f>
        <v/>
      </c>
      <c r="F27" s="480">
        <f>SUMIF(осень!$A$5:$A$178,1,осень!L$5:L$178)</f>
        <v/>
      </c>
      <c r="G27" s="481">
        <f>SUMIF(осень!$A$5:$A$178,1,осень!M$5:M$178)</f>
        <v/>
      </c>
      <c r="H27" s="479">
        <f>SUMIF(осень!$A$5:$A$178,1,осень!N$5:N$178)</f>
        <v/>
      </c>
      <c r="I27" s="482">
        <f>SUMIF(осень!$A$5:$A$178,1,осень!O$5:O$178)</f>
        <v/>
      </c>
      <c r="J27" s="478">
        <f>SUMIF(осень!$A$5:$A$178,1,осень!P$5:P$178)</f>
        <v/>
      </c>
      <c r="K27" s="479">
        <f>SUMIF(осень!$A$5:$A$178,1,осень!Q$5:Q$178)</f>
        <v/>
      </c>
      <c r="L27" s="480">
        <f>SUMIF(осень!$A$5:$A$178,1,осень!R$5:R$178)</f>
        <v/>
      </c>
      <c r="M27" s="478">
        <f>SUMIF(осень!$A$5:$A$178,1,осень!S$5:S$178)</f>
        <v/>
      </c>
      <c r="N27" s="479">
        <f>SUMIF(осень!$A$5:$A$178,1,осень!T$5:T$178)</f>
        <v/>
      </c>
      <c r="O27" s="482">
        <f>SUMIF(осень!$A$5:$A$178,1,осень!U$5:U$178)</f>
        <v/>
      </c>
      <c r="P27" s="480">
        <f>SUMIF(осень!$A$5:$A$178,1,осень!V$5:V$178)</f>
        <v/>
      </c>
      <c r="Q27" s="443">
        <f>SUMIF(осень!$A$5:$A$178,1,осень!W$5:W$178)</f>
        <v/>
      </c>
      <c r="R27" s="483">
        <f>Утв_План</f>
        <v/>
      </c>
      <c r="S27" s="443">
        <f>SUM(D27:Q27)</f>
        <v/>
      </c>
    </row>
    <row r="28">
      <c r="A28" s="59" t="n"/>
      <c r="B28" s="484" t="n"/>
      <c r="C28" s="11" t="inlineStr">
        <is>
          <t>совм.</t>
        </is>
      </c>
      <c r="D28" s="485">
        <f>SUMIF(осень!$A$5:$A$178,2,осень!J$5:J$178)</f>
        <v/>
      </c>
      <c r="E28" s="486">
        <f>SUMIF(осень!$A$5:$A$178,2,осень!K$5:K$178)</f>
        <v/>
      </c>
      <c r="F28" s="487">
        <f>SUMIF(осень!$A$5:$A$178,2,осень!L$5:L$178)</f>
        <v/>
      </c>
      <c r="G28" s="488">
        <f>SUMIF(осень!$A$5:$A$178,2,осень!M$5:M$178)</f>
        <v/>
      </c>
      <c r="H28" s="486">
        <f>SUMIF(осень!$A$5:$A$178,2,осень!N$5:N$178)</f>
        <v/>
      </c>
      <c r="I28" s="489">
        <f>SUMIF(осень!$A$5:$A$178,2,осень!O$5:O$178)</f>
        <v/>
      </c>
      <c r="J28" s="485">
        <f>SUMIF(осень!$A$5:$A$178,2,осень!P$5:P$178)</f>
        <v/>
      </c>
      <c r="K28" s="486">
        <f>SUMIF(осень!$A$5:$A$178,2,осень!Q$5:Q$178)</f>
        <v/>
      </c>
      <c r="L28" s="487">
        <f>SUMIF(осень!$A$5:$A$178,2,осень!R$5:R$178)</f>
        <v/>
      </c>
      <c r="M28" s="485">
        <f>SUMIF(осень!$A$5:$A$178,2,осень!S$5:S$178)</f>
        <v/>
      </c>
      <c r="N28" s="486">
        <f>SUMIF(осень!$A$5:$A$178,2,осень!T$5:T$178)</f>
        <v/>
      </c>
      <c r="O28" s="489">
        <f>SUMIF(осень!$A$5:$A$178,2,осень!U$5:U$178)</f>
        <v/>
      </c>
      <c r="P28" s="487">
        <f>SUMIF(осень!$A$5:$A$178,2,осень!V$5:V$178)</f>
        <v/>
      </c>
      <c r="Q28" s="451">
        <f>SUMIF(осень!$A$5:$A$178,2,осень!W$5:W$178)</f>
        <v/>
      </c>
      <c r="R28" s="490" t="n"/>
      <c r="S28" s="451">
        <f>SUM(D28:Q28)</f>
        <v/>
      </c>
    </row>
    <row r="29">
      <c r="A29" s="59" t="n"/>
      <c r="B29" s="484" t="n"/>
      <c r="C29" s="11" t="inlineStr">
        <is>
          <t>почас.</t>
        </is>
      </c>
      <c r="D29" s="485">
        <f>SUMIF(осень!$A$5:$A$178,3,осень!J$5:J$178)</f>
        <v/>
      </c>
      <c r="E29" s="486">
        <f>SUMIF(осень!$A$5:$A$178,3,осень!K$5:K$178)</f>
        <v/>
      </c>
      <c r="F29" s="487">
        <f>SUMIF(осень!$A$5:$A$178,3,осень!L$5:L$178)</f>
        <v/>
      </c>
      <c r="G29" s="488">
        <f>SUMIF(осень!$A$5:$A$178,3,осень!M$5:M$178)</f>
        <v/>
      </c>
      <c r="H29" s="486">
        <f>SUMIF(осень!$A$5:$A$178,3,осень!N$5:N$178)</f>
        <v/>
      </c>
      <c r="I29" s="489">
        <f>SUMIF(осень!$A$5:$A$178,3,осень!O$5:O$178)</f>
        <v/>
      </c>
      <c r="J29" s="485">
        <f>SUMIF(осень!$A$5:$A$178,3,осень!P$5:P$178)</f>
        <v/>
      </c>
      <c r="K29" s="486">
        <f>SUMIF(осень!$A$5:$A$178,3,осень!Q$5:Q$178)</f>
        <v/>
      </c>
      <c r="L29" s="487">
        <f>SUMIF(осень!$A$5:$A$178,3,осень!R$5:R$178)</f>
        <v/>
      </c>
      <c r="M29" s="485">
        <f>SUMIF(осень!$A$5:$A$178,3,осень!S$5:S$178)</f>
        <v/>
      </c>
      <c r="N29" s="486">
        <f>SUMIF(осень!$A$5:$A$178,3,осень!T$5:T$178)</f>
        <v/>
      </c>
      <c r="O29" s="489">
        <f>SUMIF(осень!$A$5:$A$178,3,осень!U$5:U$178)</f>
        <v/>
      </c>
      <c r="P29" s="487">
        <f>SUMIF(осень!$A$5:$A$178,3,осень!V$5:V$178)</f>
        <v/>
      </c>
      <c r="Q29" s="451">
        <f>SUMIF(осень!$A$5:$A$178,3,осень!W$5:W$178)</f>
        <v/>
      </c>
      <c r="R29" s="490" t="n"/>
      <c r="S29" s="451">
        <f>SUM(D29:Q29)</f>
        <v/>
      </c>
    </row>
    <row r="30">
      <c r="A30" s="59" t="n"/>
      <c r="B30" s="491" t="n"/>
      <c r="C30" s="218" t="inlineStr">
        <is>
          <t>всего</t>
        </is>
      </c>
      <c r="D30" s="453">
        <f>осень!J$3</f>
        <v/>
      </c>
      <c r="E30" s="454">
        <f>осень!K$3</f>
        <v/>
      </c>
      <c r="F30" s="455">
        <f>осень!L$3</f>
        <v/>
      </c>
      <c r="G30" s="456">
        <f>осень!M$3</f>
        <v/>
      </c>
      <c r="H30" s="454">
        <f>осень!N$3</f>
        <v/>
      </c>
      <c r="I30" s="457">
        <f>осень!O$3</f>
        <v/>
      </c>
      <c r="J30" s="453">
        <f>осень!P$3</f>
        <v/>
      </c>
      <c r="K30" s="454">
        <f>осень!Q$3</f>
        <v/>
      </c>
      <c r="L30" s="455">
        <f>осень!R$3</f>
        <v/>
      </c>
      <c r="M30" s="453">
        <f>осень!S$3</f>
        <v/>
      </c>
      <c r="N30" s="454">
        <f>осень!T$3</f>
        <v/>
      </c>
      <c r="O30" s="457">
        <f>осень!U$3</f>
        <v/>
      </c>
      <c r="P30" s="455">
        <f>осень!V$3</f>
        <v/>
      </c>
      <c r="Q30" s="458">
        <f>осень!W$3</f>
        <v/>
      </c>
      <c r="R30" s="413" t="n"/>
      <c r="S30" s="458">
        <f>SUM(D30:Q30)</f>
        <v/>
      </c>
    </row>
    <row r="31">
      <c r="A31" s="59" t="n"/>
      <c r="B31" s="329" t="inlineStr">
        <is>
          <t>факт</t>
        </is>
      </c>
      <c r="C31" s="13" t="inlineStr">
        <is>
          <t>осн.</t>
        </is>
      </c>
      <c r="D31" s="492">
        <f>D7+D11+D15+D19+D23</f>
        <v/>
      </c>
      <c r="E31" s="493">
        <f>E7+E11+E15+E19+E23</f>
        <v/>
      </c>
      <c r="F31" s="494">
        <f>F7+F11+F15+F19+F23</f>
        <v/>
      </c>
      <c r="G31" s="495">
        <f>G7+G11+G15+G19+G23</f>
        <v/>
      </c>
      <c r="H31" s="493">
        <f>H7+H11+H15+H19+H23</f>
        <v/>
      </c>
      <c r="I31" s="496">
        <f>I7+I11+I15+I19+I23</f>
        <v/>
      </c>
      <c r="J31" s="492">
        <f>J7+J11+J15+J19+J23</f>
        <v/>
      </c>
      <c r="K31" s="493">
        <f>K7+K11+K15+K19+K23</f>
        <v/>
      </c>
      <c r="L31" s="494">
        <f>L7+L11+L15+L19+L23</f>
        <v/>
      </c>
      <c r="M31" s="492">
        <f>M7+M11+M15+M19+M23</f>
        <v/>
      </c>
      <c r="N31" s="493">
        <f>N7+N11+N15+N19+N23</f>
        <v/>
      </c>
      <c r="O31" s="496">
        <f>O7+O11+O15+O19+O23</f>
        <v/>
      </c>
      <c r="P31" s="494">
        <f>P7+P11+P15+P19+P23</f>
        <v/>
      </c>
      <c r="Q31" s="497">
        <f>Q7+Q11+Q15+Q19+Q23</f>
        <v/>
      </c>
      <c r="R31" s="498">
        <f>Утв_Осень</f>
        <v/>
      </c>
      <c r="S31" s="497">
        <f>SUM(D31:Q31)</f>
        <v/>
      </c>
    </row>
    <row r="32">
      <c r="A32" s="59" t="n"/>
      <c r="B32" s="484" t="n"/>
      <c r="C32" s="11" t="inlineStr">
        <is>
          <t>совм.</t>
        </is>
      </c>
      <c r="D32" s="485">
        <f>D8+D12+D16+D20+D24</f>
        <v/>
      </c>
      <c r="E32" s="486">
        <f>E8+E12+E16+E20+E24</f>
        <v/>
      </c>
      <c r="F32" s="487">
        <f>F8+F12+F16+F20+F24</f>
        <v/>
      </c>
      <c r="G32" s="488">
        <f>G8+G12+G16+G20+G24</f>
        <v/>
      </c>
      <c r="H32" s="486">
        <f>H8+H12+H16+H20+H24</f>
        <v/>
      </c>
      <c r="I32" s="489">
        <f>I8+I12+I16+I20+I24</f>
        <v/>
      </c>
      <c r="J32" s="485">
        <f>J8+J12+J16+J20+J24</f>
        <v/>
      </c>
      <c r="K32" s="486">
        <f>K8+K12+K16+K20+K24</f>
        <v/>
      </c>
      <c r="L32" s="487">
        <f>L8+L12+L16+L20+L24</f>
        <v/>
      </c>
      <c r="M32" s="485">
        <f>M8+M12+M16+M20+M24</f>
        <v/>
      </c>
      <c r="N32" s="486">
        <f>N8+N12+N16+N20+N24</f>
        <v/>
      </c>
      <c r="O32" s="489">
        <f>O8+O12+O16+O20+O24</f>
        <v/>
      </c>
      <c r="P32" s="487">
        <f>P8+P12+P16+P20+P24</f>
        <v/>
      </c>
      <c r="Q32" s="451">
        <f>Q8+Q12+Q16+Q20+Q24</f>
        <v/>
      </c>
      <c r="R32" s="490" t="n"/>
      <c r="S32" s="451">
        <f>SUM(D32:Q32)</f>
        <v/>
      </c>
    </row>
    <row r="33">
      <c r="A33" s="59" t="n"/>
      <c r="B33" s="484" t="n"/>
      <c r="C33" s="11" t="inlineStr">
        <is>
          <t>почас.</t>
        </is>
      </c>
      <c r="D33" s="485">
        <f>D9+D13+D17+D21+D25</f>
        <v/>
      </c>
      <c r="E33" s="486">
        <f>E9+E13+E17+E21+E25</f>
        <v/>
      </c>
      <c r="F33" s="487">
        <f>F9+F13+F17+F21+F25</f>
        <v/>
      </c>
      <c r="G33" s="488">
        <f>G9+G13+G17+G21+G25</f>
        <v/>
      </c>
      <c r="H33" s="486">
        <f>H9+H13+H17+H21+H25</f>
        <v/>
      </c>
      <c r="I33" s="489">
        <f>I9+I13+I17+I21+I25</f>
        <v/>
      </c>
      <c r="J33" s="485">
        <f>J9+J13+J17+J21+J25</f>
        <v/>
      </c>
      <c r="K33" s="486">
        <f>K9+K13+K17+K21+K25</f>
        <v/>
      </c>
      <c r="L33" s="487">
        <f>L9+L13+L17+L21+L25</f>
        <v/>
      </c>
      <c r="M33" s="485">
        <f>M9+M13+M17+M21+M25</f>
        <v/>
      </c>
      <c r="N33" s="486">
        <f>N9+N13+N17+N21+N25</f>
        <v/>
      </c>
      <c r="O33" s="489">
        <f>O9+O13+O17+O21+O25</f>
        <v/>
      </c>
      <c r="P33" s="487">
        <f>P9+P13+P17+P21+P25</f>
        <v/>
      </c>
      <c r="Q33" s="451">
        <f>Q9+Q13+Q17+Q21+Q25</f>
        <v/>
      </c>
      <c r="R33" s="490" t="n"/>
      <c r="S33" s="451">
        <f>SUM(D33:Q33)</f>
        <v/>
      </c>
    </row>
    <row r="34" ht="13.8" customHeight="1" s="296" thickBot="1">
      <c r="A34" s="469" t="n"/>
      <c r="B34" s="491" t="n"/>
      <c r="C34" s="225" t="inlineStr">
        <is>
          <t>всего</t>
        </is>
      </c>
      <c r="D34" s="471">
        <f>D10+D14+D18+D22+D26</f>
        <v/>
      </c>
      <c r="E34" s="472">
        <f>E10+E14+E18+E22+E26</f>
        <v/>
      </c>
      <c r="F34" s="473">
        <f>F10+F14+F18+F22+F26</f>
        <v/>
      </c>
      <c r="G34" s="474">
        <f>G10+G14+G18+G22+G26</f>
        <v/>
      </c>
      <c r="H34" s="472">
        <f>H10+H14+H18+H22+H26</f>
        <v/>
      </c>
      <c r="I34" s="475">
        <f>I10+I14+I18+I22+I26</f>
        <v/>
      </c>
      <c r="J34" s="471">
        <f>J10+J14+J18+J22+J26</f>
        <v/>
      </c>
      <c r="K34" s="472">
        <f>K10+K14+K18+K22+K26</f>
        <v/>
      </c>
      <c r="L34" s="473">
        <f>L10+L14+L18+L22+L26</f>
        <v/>
      </c>
      <c r="M34" s="471">
        <f>M10+M14+M18+M22+M26</f>
        <v/>
      </c>
      <c r="N34" s="472">
        <f>N10+N14+N18+N22+N26</f>
        <v/>
      </c>
      <c r="O34" s="475">
        <f>O10+O14+O18+O22+O26</f>
        <v/>
      </c>
      <c r="P34" s="473">
        <f>P10+P14+P18+P22+P26</f>
        <v/>
      </c>
      <c r="Q34" s="476">
        <f>Q10+Q14+Q18+Q22+Q26</f>
        <v/>
      </c>
      <c r="R34" s="499" t="n"/>
      <c r="S34" s="476">
        <f>SUM(D34:Q34)</f>
        <v/>
      </c>
    </row>
    <row r="35" ht="13.8" customHeight="1" s="296" thickTop="1">
      <c r="A35" s="435" t="inlineStr">
        <is>
          <t>февраль</t>
        </is>
      </c>
      <c r="B35" s="436" t="n"/>
      <c r="C35" s="10" t="inlineStr">
        <is>
          <t>осн.</t>
        </is>
      </c>
      <c r="D35" s="437">
        <f>'02'!L2</f>
        <v/>
      </c>
      <c r="E35" s="438">
        <f>'02'!M2</f>
        <v/>
      </c>
      <c r="F35" s="439">
        <f>'02'!N2</f>
        <v/>
      </c>
      <c r="G35" s="440">
        <f>'02'!O2</f>
        <v/>
      </c>
      <c r="H35" s="438">
        <f>'02'!P2</f>
        <v/>
      </c>
      <c r="I35" s="441">
        <f>'02'!Q2</f>
        <v/>
      </c>
      <c r="J35" s="437">
        <f>'02'!R2</f>
        <v/>
      </c>
      <c r="K35" s="438">
        <f>'02'!S2</f>
        <v/>
      </c>
      <c r="L35" s="439">
        <f>'02'!T2</f>
        <v/>
      </c>
      <c r="M35" s="437">
        <f>'02'!U2</f>
        <v/>
      </c>
      <c r="N35" s="438">
        <f>'02'!V2</f>
        <v/>
      </c>
      <c r="O35" s="441">
        <f>'02'!W2</f>
        <v/>
      </c>
      <c r="P35" s="439">
        <f>'02'!X2</f>
        <v/>
      </c>
      <c r="Q35" s="442">
        <f>'02'!Y2</f>
        <v/>
      </c>
      <c r="R35" s="443">
        <f>SUM(D35:Q35)</f>
        <v/>
      </c>
      <c r="S35" s="443">
        <f>IF(R35&lt;&gt;0,S31+R35,0)</f>
        <v/>
      </c>
    </row>
    <row r="36">
      <c r="A36" s="59" t="n"/>
      <c r="B36" s="444" t="n"/>
      <c r="C36" s="11" t="inlineStr">
        <is>
          <t>совм.</t>
        </is>
      </c>
      <c r="D36" s="445">
        <f>'02'!L3</f>
        <v/>
      </c>
      <c r="E36" s="446">
        <f>'02'!M3</f>
        <v/>
      </c>
      <c r="F36" s="447">
        <f>'02'!N3</f>
        <v/>
      </c>
      <c r="G36" s="448">
        <f>'02'!O3</f>
        <v/>
      </c>
      <c r="H36" s="446">
        <f>'02'!P3</f>
        <v/>
      </c>
      <c r="I36" s="449">
        <f>'02'!Q3</f>
        <v/>
      </c>
      <c r="J36" s="445">
        <f>'02'!R3</f>
        <v/>
      </c>
      <c r="K36" s="446">
        <f>'02'!S3</f>
        <v/>
      </c>
      <c r="L36" s="447">
        <f>'02'!T3</f>
        <v/>
      </c>
      <c r="M36" s="445">
        <f>'02'!U3</f>
        <v/>
      </c>
      <c r="N36" s="446">
        <f>'02'!V3</f>
        <v/>
      </c>
      <c r="O36" s="449">
        <f>'02'!W3</f>
        <v/>
      </c>
      <c r="P36" s="447">
        <f>'02'!X3</f>
        <v/>
      </c>
      <c r="Q36" s="450">
        <f>'02'!Y3</f>
        <v/>
      </c>
      <c r="R36" s="451">
        <f>SUM(D36:Q36)</f>
        <v/>
      </c>
      <c r="S36" s="451">
        <f>IF(R36&lt;&gt;0,S32+R36,0)</f>
        <v/>
      </c>
    </row>
    <row r="37">
      <c r="A37" s="59" t="n"/>
      <c r="B37" s="444" t="n"/>
      <c r="C37" s="11" t="inlineStr">
        <is>
          <t>почас.</t>
        </is>
      </c>
      <c r="D37" s="445">
        <f>'02'!L4</f>
        <v/>
      </c>
      <c r="E37" s="446">
        <f>'02'!M4</f>
        <v/>
      </c>
      <c r="F37" s="447">
        <f>'02'!N4</f>
        <v/>
      </c>
      <c r="G37" s="448">
        <f>'02'!O4</f>
        <v/>
      </c>
      <c r="H37" s="446">
        <f>'02'!P4</f>
        <v/>
      </c>
      <c r="I37" s="449">
        <f>'02'!Q4</f>
        <v/>
      </c>
      <c r="J37" s="445">
        <f>'02'!R4</f>
        <v/>
      </c>
      <c r="K37" s="446">
        <f>'02'!S4</f>
        <v/>
      </c>
      <c r="L37" s="447">
        <f>'02'!T4</f>
        <v/>
      </c>
      <c r="M37" s="445">
        <f>'02'!U4</f>
        <v/>
      </c>
      <c r="N37" s="446">
        <f>'02'!V4</f>
        <v/>
      </c>
      <c r="O37" s="449">
        <f>'02'!W4</f>
        <v/>
      </c>
      <c r="P37" s="447">
        <f>'02'!X4</f>
        <v/>
      </c>
      <c r="Q37" s="450">
        <f>'02'!Y4</f>
        <v/>
      </c>
      <c r="R37" s="451">
        <f>SUM(D37:Q37)</f>
        <v/>
      </c>
      <c r="S37" s="451">
        <f>IF(R37&lt;&gt;0,S33+R37,0)</f>
        <v/>
      </c>
    </row>
    <row r="38">
      <c r="A38" s="405" t="n"/>
      <c r="B38" s="452" t="n"/>
      <c r="C38" s="218" t="inlineStr">
        <is>
          <t>всего</t>
        </is>
      </c>
      <c r="D38" s="453">
        <f>'02'!L5</f>
        <v/>
      </c>
      <c r="E38" s="454">
        <f>'02'!M5</f>
        <v/>
      </c>
      <c r="F38" s="455">
        <f>'02'!N5</f>
        <v/>
      </c>
      <c r="G38" s="456">
        <f>'02'!O5</f>
        <v/>
      </c>
      <c r="H38" s="454">
        <f>'02'!P5</f>
        <v/>
      </c>
      <c r="I38" s="457">
        <f>'02'!Q5</f>
        <v/>
      </c>
      <c r="J38" s="453">
        <f>'02'!R5</f>
        <v/>
      </c>
      <c r="K38" s="454">
        <f>'02'!S5</f>
        <v/>
      </c>
      <c r="L38" s="455">
        <f>'02'!T5</f>
        <v/>
      </c>
      <c r="M38" s="453">
        <f>'02'!U5</f>
        <v/>
      </c>
      <c r="N38" s="454">
        <f>'02'!V5</f>
        <v/>
      </c>
      <c r="O38" s="457">
        <f>'02'!W5</f>
        <v/>
      </c>
      <c r="P38" s="455">
        <f>'02'!X5</f>
        <v/>
      </c>
      <c r="Q38" s="458">
        <f>'02'!Y5</f>
        <v/>
      </c>
      <c r="R38" s="458">
        <f>SUM(D38:Q38)</f>
        <v/>
      </c>
      <c r="S38" s="458">
        <f>IF(R38&lt;&gt;0,S34+R38,0)</f>
        <v/>
      </c>
    </row>
    <row r="39">
      <c r="A39" s="459" t="inlineStr">
        <is>
          <t>март</t>
        </is>
      </c>
      <c r="B39" s="460" t="n"/>
      <c r="C39" s="12" t="inlineStr">
        <is>
          <t>осн.</t>
        </is>
      </c>
      <c r="D39" s="461">
        <f>'03'!L2</f>
        <v/>
      </c>
      <c r="E39" s="462">
        <f>'03'!M2</f>
        <v/>
      </c>
      <c r="F39" s="463">
        <f>'03'!N2</f>
        <v/>
      </c>
      <c r="G39" s="464">
        <f>'03'!O2</f>
        <v/>
      </c>
      <c r="H39" s="462">
        <f>'03'!P2</f>
        <v/>
      </c>
      <c r="I39" s="465">
        <f>'03'!Q2</f>
        <v/>
      </c>
      <c r="J39" s="461">
        <f>'03'!R2</f>
        <v/>
      </c>
      <c r="K39" s="462">
        <f>'03'!S2</f>
        <v/>
      </c>
      <c r="L39" s="463">
        <f>'03'!T2</f>
        <v/>
      </c>
      <c r="M39" s="461">
        <f>'03'!U2</f>
        <v/>
      </c>
      <c r="N39" s="462">
        <f>'03'!V2</f>
        <v/>
      </c>
      <c r="O39" s="465">
        <f>'03'!W2</f>
        <v/>
      </c>
      <c r="P39" s="463">
        <f>'03'!X2</f>
        <v/>
      </c>
      <c r="Q39" s="466">
        <f>'03'!Y2</f>
        <v/>
      </c>
      <c r="R39" s="467">
        <f>SUM(D39:Q39)</f>
        <v/>
      </c>
      <c r="S39" s="467">
        <f>IF(R39&lt;&gt;0,MAX(S31,S35)+R39,0)</f>
        <v/>
      </c>
    </row>
    <row r="40">
      <c r="A40" s="59" t="n"/>
      <c r="B40" s="444" t="n"/>
      <c r="C40" s="11" t="inlineStr">
        <is>
          <t>совм.</t>
        </is>
      </c>
      <c r="D40" s="445">
        <f>'03'!L3</f>
        <v/>
      </c>
      <c r="E40" s="446">
        <f>'03'!M3</f>
        <v/>
      </c>
      <c r="F40" s="447">
        <f>'03'!N3</f>
        <v/>
      </c>
      <c r="G40" s="448">
        <f>'03'!O3</f>
        <v/>
      </c>
      <c r="H40" s="446">
        <f>'03'!P3</f>
        <v/>
      </c>
      <c r="I40" s="449">
        <f>'03'!Q3</f>
        <v/>
      </c>
      <c r="J40" s="445">
        <f>'03'!R3</f>
        <v/>
      </c>
      <c r="K40" s="446">
        <f>'03'!S3</f>
        <v/>
      </c>
      <c r="L40" s="447">
        <f>'03'!T3</f>
        <v/>
      </c>
      <c r="M40" s="445">
        <f>'03'!U3</f>
        <v/>
      </c>
      <c r="N40" s="446">
        <f>'03'!V3</f>
        <v/>
      </c>
      <c r="O40" s="449">
        <f>'03'!W3</f>
        <v/>
      </c>
      <c r="P40" s="447">
        <f>'03'!X3</f>
        <v/>
      </c>
      <c r="Q40" s="450">
        <f>'03'!Y3</f>
        <v/>
      </c>
      <c r="R40" s="451">
        <f>SUM(D40:Q40)</f>
        <v/>
      </c>
      <c r="S40" s="451">
        <f>IF(R40&lt;&gt;0,MAX(S32,S36)+R40,0)</f>
        <v/>
      </c>
    </row>
    <row r="41">
      <c r="A41" s="59" t="n"/>
      <c r="B41" s="444" t="n"/>
      <c r="C41" s="11" t="inlineStr">
        <is>
          <t>почас.</t>
        </is>
      </c>
      <c r="D41" s="445">
        <f>'03'!L4</f>
        <v/>
      </c>
      <c r="E41" s="446">
        <f>'03'!M4</f>
        <v/>
      </c>
      <c r="F41" s="447">
        <f>'03'!N4</f>
        <v/>
      </c>
      <c r="G41" s="448">
        <f>'03'!O4</f>
        <v/>
      </c>
      <c r="H41" s="446">
        <f>'03'!P4</f>
        <v/>
      </c>
      <c r="I41" s="449">
        <f>'03'!Q4</f>
        <v/>
      </c>
      <c r="J41" s="445">
        <f>'03'!R4</f>
        <v/>
      </c>
      <c r="K41" s="446">
        <f>'03'!S4</f>
        <v/>
      </c>
      <c r="L41" s="447">
        <f>'03'!T4</f>
        <v/>
      </c>
      <c r="M41" s="445">
        <f>'03'!U4</f>
        <v/>
      </c>
      <c r="N41" s="446">
        <f>'03'!V4</f>
        <v/>
      </c>
      <c r="O41" s="449">
        <f>'03'!W4</f>
        <v/>
      </c>
      <c r="P41" s="447">
        <f>'03'!X4</f>
        <v/>
      </c>
      <c r="Q41" s="450">
        <f>'03'!Y4</f>
        <v/>
      </c>
      <c r="R41" s="451">
        <f>SUM(D41:Q41)</f>
        <v/>
      </c>
      <c r="S41" s="451">
        <f>IF(R41&lt;&gt;0,MAX(S33,S37)+R41,0)</f>
        <v/>
      </c>
    </row>
    <row r="42">
      <c r="A42" s="405" t="n"/>
      <c r="B42" s="452" t="n"/>
      <c r="C42" s="218" t="inlineStr">
        <is>
          <t>всего</t>
        </is>
      </c>
      <c r="D42" s="453">
        <f>'03'!L5</f>
        <v/>
      </c>
      <c r="E42" s="454">
        <f>'03'!M5</f>
        <v/>
      </c>
      <c r="F42" s="455">
        <f>'03'!N5</f>
        <v/>
      </c>
      <c r="G42" s="456">
        <f>'03'!O5</f>
        <v/>
      </c>
      <c r="H42" s="454">
        <f>'03'!P5</f>
        <v/>
      </c>
      <c r="I42" s="457">
        <f>'03'!Q5</f>
        <v/>
      </c>
      <c r="J42" s="453">
        <f>'03'!R5</f>
        <v/>
      </c>
      <c r="K42" s="454">
        <f>'03'!S5</f>
        <v/>
      </c>
      <c r="L42" s="455">
        <f>'03'!T5</f>
        <v/>
      </c>
      <c r="M42" s="453">
        <f>'03'!U5</f>
        <v/>
      </c>
      <c r="N42" s="454">
        <f>'03'!V5</f>
        <v/>
      </c>
      <c r="O42" s="457">
        <f>'03'!W5</f>
        <v/>
      </c>
      <c r="P42" s="455">
        <f>'03'!X5</f>
        <v/>
      </c>
      <c r="Q42" s="458">
        <f>'03'!Y5</f>
        <v/>
      </c>
      <c r="R42" s="458">
        <f>SUM(D42:Q42)</f>
        <v/>
      </c>
      <c r="S42" s="458">
        <f>IF(R42&lt;&gt;0,MAX(S34,S38)+R42,0)</f>
        <v/>
      </c>
    </row>
    <row r="43">
      <c r="A43" s="459" t="inlineStr">
        <is>
          <t>апрель</t>
        </is>
      </c>
      <c r="B43" s="460" t="n"/>
      <c r="C43" s="12" t="inlineStr">
        <is>
          <t>осн.</t>
        </is>
      </c>
      <c r="D43" s="461">
        <f>'04'!L2</f>
        <v/>
      </c>
      <c r="E43" s="462">
        <f>'04'!M2</f>
        <v/>
      </c>
      <c r="F43" s="463">
        <f>'04'!N2</f>
        <v/>
      </c>
      <c r="G43" s="464">
        <f>'04'!O2</f>
        <v/>
      </c>
      <c r="H43" s="462">
        <f>'04'!P2</f>
        <v/>
      </c>
      <c r="I43" s="465">
        <f>'04'!Q2</f>
        <v/>
      </c>
      <c r="J43" s="461">
        <f>'04'!R2</f>
        <v/>
      </c>
      <c r="K43" s="462">
        <f>'04'!S2</f>
        <v/>
      </c>
      <c r="L43" s="463">
        <f>'04'!T2</f>
        <v/>
      </c>
      <c r="M43" s="461">
        <f>'04'!U2</f>
        <v/>
      </c>
      <c r="N43" s="462">
        <f>'04'!V2</f>
        <v/>
      </c>
      <c r="O43" s="465">
        <f>'04'!W2</f>
        <v/>
      </c>
      <c r="P43" s="463">
        <f>'04'!X2</f>
        <v/>
      </c>
      <c r="Q43" s="466">
        <f>'04'!Y2</f>
        <v/>
      </c>
      <c r="R43" s="467">
        <f>SUM(D43:Q43)</f>
        <v/>
      </c>
      <c r="S43" s="467">
        <f>IF(R43&lt;&gt;0,MAX(S31,S35,S39)+R43,0)</f>
        <v/>
      </c>
    </row>
    <row r="44">
      <c r="A44" s="59" t="n"/>
      <c r="B44" s="444" t="n"/>
      <c r="C44" s="11" t="inlineStr">
        <is>
          <t>совм.</t>
        </is>
      </c>
      <c r="D44" s="445">
        <f>'04'!L3</f>
        <v/>
      </c>
      <c r="E44" s="446">
        <f>'04'!M3</f>
        <v/>
      </c>
      <c r="F44" s="447">
        <f>'04'!N3</f>
        <v/>
      </c>
      <c r="G44" s="448">
        <f>'04'!O3</f>
        <v/>
      </c>
      <c r="H44" s="446">
        <f>'04'!P3</f>
        <v/>
      </c>
      <c r="I44" s="449">
        <f>'04'!Q3</f>
        <v/>
      </c>
      <c r="J44" s="445">
        <f>'04'!R3</f>
        <v/>
      </c>
      <c r="K44" s="446">
        <f>'04'!S3</f>
        <v/>
      </c>
      <c r="L44" s="447">
        <f>'04'!T3</f>
        <v/>
      </c>
      <c r="M44" s="445">
        <f>'04'!U3</f>
        <v/>
      </c>
      <c r="N44" s="446">
        <f>'04'!V3</f>
        <v/>
      </c>
      <c r="O44" s="449">
        <f>'04'!W3</f>
        <v/>
      </c>
      <c r="P44" s="447">
        <f>'04'!X3</f>
        <v/>
      </c>
      <c r="Q44" s="450">
        <f>'04'!Y3</f>
        <v/>
      </c>
      <c r="R44" s="451">
        <f>SUM(D44:Q44)</f>
        <v/>
      </c>
      <c r="S44" s="451">
        <f>IF(R44&lt;&gt;0,MAX(S32,S36,S40)+R44,0)</f>
        <v/>
      </c>
    </row>
    <row r="45">
      <c r="A45" s="59" t="n"/>
      <c r="B45" s="444" t="n"/>
      <c r="C45" s="11" t="inlineStr">
        <is>
          <t>почас.</t>
        </is>
      </c>
      <c r="D45" s="445">
        <f>'04'!L4</f>
        <v/>
      </c>
      <c r="E45" s="446">
        <f>'04'!M4</f>
        <v/>
      </c>
      <c r="F45" s="447">
        <f>'04'!N4</f>
        <v/>
      </c>
      <c r="G45" s="448">
        <f>'04'!O4</f>
        <v/>
      </c>
      <c r="H45" s="446">
        <f>'04'!P4</f>
        <v/>
      </c>
      <c r="I45" s="449">
        <f>'04'!Q4</f>
        <v/>
      </c>
      <c r="J45" s="445">
        <f>'04'!R4</f>
        <v/>
      </c>
      <c r="K45" s="446">
        <f>'04'!S4</f>
        <v/>
      </c>
      <c r="L45" s="447">
        <f>'04'!T4</f>
        <v/>
      </c>
      <c r="M45" s="445">
        <f>'04'!U4</f>
        <v/>
      </c>
      <c r="N45" s="446">
        <f>'04'!V4</f>
        <v/>
      </c>
      <c r="O45" s="449">
        <f>'04'!W4</f>
        <v/>
      </c>
      <c r="P45" s="447">
        <f>'04'!X4</f>
        <v/>
      </c>
      <c r="Q45" s="450">
        <f>'04'!Y4</f>
        <v/>
      </c>
      <c r="R45" s="451">
        <f>SUM(D45:Q45)</f>
        <v/>
      </c>
      <c r="S45" s="451">
        <f>IF(R45&lt;&gt;0,MAX(S33,S37,S41)+R45,0)</f>
        <v/>
      </c>
    </row>
    <row r="46">
      <c r="A46" s="405" t="n"/>
      <c r="B46" s="452" t="n"/>
      <c r="C46" s="218" t="inlineStr">
        <is>
          <t>всего</t>
        </is>
      </c>
      <c r="D46" s="453">
        <f>'04'!L5</f>
        <v/>
      </c>
      <c r="E46" s="454">
        <f>'04'!M5</f>
        <v/>
      </c>
      <c r="F46" s="455">
        <f>'04'!N5</f>
        <v/>
      </c>
      <c r="G46" s="456">
        <f>'04'!O5</f>
        <v/>
      </c>
      <c r="H46" s="454">
        <f>'04'!P5</f>
        <v/>
      </c>
      <c r="I46" s="457">
        <f>'04'!Q5</f>
        <v/>
      </c>
      <c r="J46" s="453">
        <f>'04'!R5</f>
        <v/>
      </c>
      <c r="K46" s="454">
        <f>'04'!S5</f>
        <v/>
      </c>
      <c r="L46" s="455">
        <f>'04'!T5</f>
        <v/>
      </c>
      <c r="M46" s="453">
        <f>'04'!U5</f>
        <v/>
      </c>
      <c r="N46" s="454">
        <f>'04'!V5</f>
        <v/>
      </c>
      <c r="O46" s="457">
        <f>'04'!W5</f>
        <v/>
      </c>
      <c r="P46" s="455">
        <f>'04'!X5</f>
        <v/>
      </c>
      <c r="Q46" s="458">
        <f>'04'!Y5</f>
        <v/>
      </c>
      <c r="R46" s="458">
        <f>SUM(D46:Q46)</f>
        <v/>
      </c>
      <c r="S46" s="458">
        <f>IF(R46&lt;&gt;0,MAX(S34,S38,S42)+R46,0)</f>
        <v/>
      </c>
    </row>
    <row r="47">
      <c r="A47" s="459" t="inlineStr">
        <is>
          <t>май</t>
        </is>
      </c>
      <c r="B47" s="460" t="n"/>
      <c r="C47" s="12" t="inlineStr">
        <is>
          <t>осн.</t>
        </is>
      </c>
      <c r="D47" s="461">
        <f>'05'!L2</f>
        <v/>
      </c>
      <c r="E47" s="462">
        <f>'05'!M2</f>
        <v/>
      </c>
      <c r="F47" s="463">
        <f>'05'!N2</f>
        <v/>
      </c>
      <c r="G47" s="464">
        <f>'05'!O2</f>
        <v/>
      </c>
      <c r="H47" s="462">
        <f>'05'!P2</f>
        <v/>
      </c>
      <c r="I47" s="465">
        <f>'05'!Q2</f>
        <v/>
      </c>
      <c r="J47" s="461">
        <f>'05'!R2</f>
        <v/>
      </c>
      <c r="K47" s="462">
        <f>'05'!S2</f>
        <v/>
      </c>
      <c r="L47" s="463">
        <f>'05'!T2</f>
        <v/>
      </c>
      <c r="M47" s="461">
        <f>'05'!U2</f>
        <v/>
      </c>
      <c r="N47" s="462">
        <f>'05'!V2</f>
        <v/>
      </c>
      <c r="O47" s="465">
        <f>'05'!W2</f>
        <v/>
      </c>
      <c r="P47" s="463">
        <f>'05'!X2</f>
        <v/>
      </c>
      <c r="Q47" s="466">
        <f>'05'!Y2</f>
        <v/>
      </c>
      <c r="R47" s="467">
        <f>SUM(D47:Q47)</f>
        <v/>
      </c>
      <c r="S47" s="467">
        <f>IF(R47&lt;&gt;0,MAX(S31,S35,S39,S43)+R47,0)</f>
        <v/>
      </c>
    </row>
    <row r="48">
      <c r="A48" s="59" t="n"/>
      <c r="B48" s="444" t="n"/>
      <c r="C48" s="11" t="inlineStr">
        <is>
          <t>совм.</t>
        </is>
      </c>
      <c r="D48" s="445">
        <f>'05'!L3</f>
        <v/>
      </c>
      <c r="E48" s="446">
        <f>'05'!M3</f>
        <v/>
      </c>
      <c r="F48" s="447">
        <f>'05'!N3</f>
        <v/>
      </c>
      <c r="G48" s="448">
        <f>'05'!O3</f>
        <v/>
      </c>
      <c r="H48" s="446">
        <f>'05'!P3</f>
        <v/>
      </c>
      <c r="I48" s="449">
        <f>'05'!Q3</f>
        <v/>
      </c>
      <c r="J48" s="445">
        <f>'05'!R3</f>
        <v/>
      </c>
      <c r="K48" s="446">
        <f>'05'!S3</f>
        <v/>
      </c>
      <c r="L48" s="447">
        <f>'05'!T3</f>
        <v/>
      </c>
      <c r="M48" s="445">
        <f>'05'!U3</f>
        <v/>
      </c>
      <c r="N48" s="446">
        <f>'05'!V3</f>
        <v/>
      </c>
      <c r="O48" s="449">
        <f>'05'!W3</f>
        <v/>
      </c>
      <c r="P48" s="447">
        <f>'05'!X3</f>
        <v/>
      </c>
      <c r="Q48" s="450">
        <f>'05'!Y3</f>
        <v/>
      </c>
      <c r="R48" s="451">
        <f>SUM(D48:Q48)</f>
        <v/>
      </c>
      <c r="S48" s="451">
        <f>IF(R48&lt;&gt;0,MAX(S32,S36,S40,S44)+R48,0)</f>
        <v/>
      </c>
    </row>
    <row r="49">
      <c r="A49" s="59" t="n"/>
      <c r="B49" s="444" t="n"/>
      <c r="C49" s="11" t="inlineStr">
        <is>
          <t>почас.</t>
        </is>
      </c>
      <c r="D49" s="445">
        <f>'05'!L4</f>
        <v/>
      </c>
      <c r="E49" s="446">
        <f>'05'!M4</f>
        <v/>
      </c>
      <c r="F49" s="447">
        <f>'05'!N4</f>
        <v/>
      </c>
      <c r="G49" s="448">
        <f>'05'!O4</f>
        <v/>
      </c>
      <c r="H49" s="446">
        <f>'05'!P4</f>
        <v/>
      </c>
      <c r="I49" s="449">
        <f>'05'!Q4</f>
        <v/>
      </c>
      <c r="J49" s="445">
        <f>'05'!R4</f>
        <v/>
      </c>
      <c r="K49" s="446">
        <f>'05'!S4</f>
        <v/>
      </c>
      <c r="L49" s="447">
        <f>'05'!T4</f>
        <v/>
      </c>
      <c r="M49" s="445">
        <f>'05'!U4</f>
        <v/>
      </c>
      <c r="N49" s="446">
        <f>'05'!V4</f>
        <v/>
      </c>
      <c r="O49" s="449">
        <f>'05'!W4</f>
        <v/>
      </c>
      <c r="P49" s="447">
        <f>'05'!X4</f>
        <v/>
      </c>
      <c r="Q49" s="450">
        <f>'05'!Y4</f>
        <v/>
      </c>
      <c r="R49" s="451">
        <f>SUM(D49:Q49)</f>
        <v/>
      </c>
      <c r="S49" s="451">
        <f>IF(R49&lt;&gt;0,MAX(S33,S37,S41,S45)+R49,0)</f>
        <v/>
      </c>
    </row>
    <row r="50">
      <c r="A50" s="405" t="n"/>
      <c r="B50" s="452" t="n"/>
      <c r="C50" s="218" t="inlineStr">
        <is>
          <t>всего</t>
        </is>
      </c>
      <c r="D50" s="453">
        <f>'05'!L5</f>
        <v/>
      </c>
      <c r="E50" s="454">
        <f>'05'!M5</f>
        <v/>
      </c>
      <c r="F50" s="455">
        <f>'05'!N5</f>
        <v/>
      </c>
      <c r="G50" s="456">
        <f>'05'!O5</f>
        <v/>
      </c>
      <c r="H50" s="454">
        <f>'05'!P5</f>
        <v/>
      </c>
      <c r="I50" s="457">
        <f>'05'!Q5</f>
        <v/>
      </c>
      <c r="J50" s="453">
        <f>'05'!R5</f>
        <v/>
      </c>
      <c r="K50" s="454">
        <f>'05'!S5</f>
        <v/>
      </c>
      <c r="L50" s="455">
        <f>'05'!T5</f>
        <v/>
      </c>
      <c r="M50" s="453">
        <f>'05'!U5</f>
        <v/>
      </c>
      <c r="N50" s="454">
        <f>'05'!V5</f>
        <v/>
      </c>
      <c r="O50" s="457">
        <f>'05'!W5</f>
        <v/>
      </c>
      <c r="P50" s="455">
        <f>'05'!X5</f>
        <v/>
      </c>
      <c r="Q50" s="458">
        <f>'05'!Y5</f>
        <v/>
      </c>
      <c r="R50" s="458">
        <f>SUM(D50:Q50)</f>
        <v/>
      </c>
      <c r="S50" s="458">
        <f>IF(R50&lt;&gt;0,MAX(S34,S38,S42,S46)+R50,0)</f>
        <v/>
      </c>
    </row>
    <row r="51">
      <c r="A51" s="468" t="inlineStr">
        <is>
          <t>июнь</t>
        </is>
      </c>
      <c r="B51" s="460" t="n"/>
      <c r="C51" s="12" t="inlineStr">
        <is>
          <t>осн.</t>
        </is>
      </c>
      <c r="D51" s="461">
        <f>'06'!L2</f>
        <v/>
      </c>
      <c r="E51" s="462">
        <f>'06'!M2</f>
        <v/>
      </c>
      <c r="F51" s="463">
        <f>'06'!N2</f>
        <v/>
      </c>
      <c r="G51" s="464">
        <f>'06'!O2</f>
        <v/>
      </c>
      <c r="H51" s="462">
        <f>'06'!P2</f>
        <v/>
      </c>
      <c r="I51" s="465">
        <f>'06'!Q2</f>
        <v/>
      </c>
      <c r="J51" s="461">
        <f>'06'!R2</f>
        <v/>
      </c>
      <c r="K51" s="462">
        <f>'06'!S2</f>
        <v/>
      </c>
      <c r="L51" s="463">
        <f>'06'!T2</f>
        <v/>
      </c>
      <c r="M51" s="461">
        <f>'06'!U2</f>
        <v/>
      </c>
      <c r="N51" s="462">
        <f>'06'!V2</f>
        <v/>
      </c>
      <c r="O51" s="465">
        <f>'06'!W2</f>
        <v/>
      </c>
      <c r="P51" s="463">
        <f>'06'!X2</f>
        <v/>
      </c>
      <c r="Q51" s="466">
        <f>'06'!Y2</f>
        <v/>
      </c>
      <c r="R51" s="467">
        <f>SUM(D51:Q51)</f>
        <v/>
      </c>
      <c r="S51" s="467">
        <f>IF(R51&lt;&gt;0,MAX(S31,S35,S39,S43,S47)+R51,0)</f>
        <v/>
      </c>
    </row>
    <row r="52">
      <c r="A52" s="59" t="n"/>
      <c r="B52" s="444" t="n"/>
      <c r="C52" s="11" t="inlineStr">
        <is>
          <t>совм.</t>
        </is>
      </c>
      <c r="D52" s="445">
        <f>'06'!L3</f>
        <v/>
      </c>
      <c r="E52" s="446">
        <f>'06'!M3</f>
        <v/>
      </c>
      <c r="F52" s="447">
        <f>'06'!N3</f>
        <v/>
      </c>
      <c r="G52" s="448">
        <f>'06'!O3</f>
        <v/>
      </c>
      <c r="H52" s="446">
        <f>'06'!P3</f>
        <v/>
      </c>
      <c r="I52" s="449">
        <f>'06'!Q3</f>
        <v/>
      </c>
      <c r="J52" s="445">
        <f>'06'!R3</f>
        <v/>
      </c>
      <c r="K52" s="446">
        <f>'06'!S3</f>
        <v/>
      </c>
      <c r="L52" s="447">
        <f>'06'!T3</f>
        <v/>
      </c>
      <c r="M52" s="445">
        <f>'06'!U3</f>
        <v/>
      </c>
      <c r="N52" s="446">
        <f>'06'!V3</f>
        <v/>
      </c>
      <c r="O52" s="449">
        <f>'06'!W3</f>
        <v/>
      </c>
      <c r="P52" s="447">
        <f>'06'!X3</f>
        <v/>
      </c>
      <c r="Q52" s="450">
        <f>'06'!Y3</f>
        <v/>
      </c>
      <c r="R52" s="451">
        <f>SUM(D52:Q52)</f>
        <v/>
      </c>
      <c r="S52" s="451">
        <f>IF(R52&lt;&gt;0,MAX(S32,S36,S40,S44,S48)+R52,0)</f>
        <v/>
      </c>
    </row>
    <row r="53">
      <c r="A53" s="59" t="n"/>
      <c r="B53" s="444" t="n"/>
      <c r="C53" s="11" t="inlineStr">
        <is>
          <t>почас.</t>
        </is>
      </c>
      <c r="D53" s="445">
        <f>'06'!L4</f>
        <v/>
      </c>
      <c r="E53" s="446">
        <f>'06'!M4</f>
        <v/>
      </c>
      <c r="F53" s="447">
        <f>'06'!N4</f>
        <v/>
      </c>
      <c r="G53" s="448">
        <f>'06'!O4</f>
        <v/>
      </c>
      <c r="H53" s="446">
        <f>'06'!P4</f>
        <v/>
      </c>
      <c r="I53" s="449">
        <f>'06'!Q4</f>
        <v/>
      </c>
      <c r="J53" s="445">
        <f>'06'!R4</f>
        <v/>
      </c>
      <c r="K53" s="446">
        <f>'06'!S4</f>
        <v/>
      </c>
      <c r="L53" s="447">
        <f>'06'!T4</f>
        <v/>
      </c>
      <c r="M53" s="445">
        <f>'06'!U4</f>
        <v/>
      </c>
      <c r="N53" s="446">
        <f>'06'!V4</f>
        <v/>
      </c>
      <c r="O53" s="449">
        <f>'06'!W4</f>
        <v/>
      </c>
      <c r="P53" s="447">
        <f>'06'!X4</f>
        <v/>
      </c>
      <c r="Q53" s="450">
        <f>'06'!Y4</f>
        <v/>
      </c>
      <c r="R53" s="451">
        <f>SUM(D53:Q53)</f>
        <v/>
      </c>
      <c r="S53" s="451">
        <f>IF(R53&lt;&gt;0,MAX(S33,S37,S41,S45,S49)+R53,0)</f>
        <v/>
      </c>
    </row>
    <row r="54" ht="13.8" customHeight="1" s="296" thickBot="1">
      <c r="A54" s="469" t="n"/>
      <c r="B54" s="470" t="n"/>
      <c r="C54" s="225" t="inlineStr">
        <is>
          <t>всего</t>
        </is>
      </c>
      <c r="D54" s="471">
        <f>'06'!L5</f>
        <v/>
      </c>
      <c r="E54" s="472">
        <f>'06'!M5</f>
        <v/>
      </c>
      <c r="F54" s="473">
        <f>'06'!N5</f>
        <v/>
      </c>
      <c r="G54" s="474">
        <f>'06'!O5</f>
        <v/>
      </c>
      <c r="H54" s="472">
        <f>'06'!P5</f>
        <v/>
      </c>
      <c r="I54" s="475">
        <f>'06'!Q5</f>
        <v/>
      </c>
      <c r="J54" s="471">
        <f>'06'!R5</f>
        <v/>
      </c>
      <c r="K54" s="472">
        <f>'06'!S5</f>
        <v/>
      </c>
      <c r="L54" s="473">
        <f>'06'!T5</f>
        <v/>
      </c>
      <c r="M54" s="471">
        <f>'06'!U5</f>
        <v/>
      </c>
      <c r="N54" s="472">
        <f>'06'!V5</f>
        <v/>
      </c>
      <c r="O54" s="475">
        <f>'06'!W5</f>
        <v/>
      </c>
      <c r="P54" s="473">
        <f>'06'!X5</f>
        <v/>
      </c>
      <c r="Q54" s="476">
        <f>'06'!Y5</f>
        <v/>
      </c>
      <c r="R54" s="476">
        <f>SUM(D54:Q54)</f>
        <v/>
      </c>
      <c r="S54" s="476">
        <f>IF(R54&lt;&gt;0,MAX(S34,S38,S42,S46,S50)+R54,0)</f>
        <v/>
      </c>
    </row>
    <row r="55" ht="13.8" customHeight="1" s="296" thickTop="1">
      <c r="A55" s="435" t="inlineStr">
        <is>
          <t>июль</t>
        </is>
      </c>
      <c r="B55" s="436" t="n"/>
      <c r="C55" s="10" t="inlineStr">
        <is>
          <t>осн.</t>
        </is>
      </c>
      <c r="D55" s="437">
        <f>'07'!L2</f>
        <v/>
      </c>
      <c r="E55" s="438">
        <f>'07'!M2</f>
        <v/>
      </c>
      <c r="F55" s="439">
        <f>'07'!N2</f>
        <v/>
      </c>
      <c r="G55" s="440">
        <f>'07'!O2</f>
        <v/>
      </c>
      <c r="H55" s="438">
        <f>'07'!P2</f>
        <v/>
      </c>
      <c r="I55" s="441">
        <f>'07'!Q2</f>
        <v/>
      </c>
      <c r="J55" s="437">
        <f>'07'!R2</f>
        <v/>
      </c>
      <c r="K55" s="438">
        <f>'07'!S2</f>
        <v/>
      </c>
      <c r="L55" s="439">
        <f>'07'!T2</f>
        <v/>
      </c>
      <c r="M55" s="437">
        <f>'07'!U2</f>
        <v/>
      </c>
      <c r="N55" s="438">
        <f>'07'!V2</f>
        <v/>
      </c>
      <c r="O55" s="441">
        <f>'07'!W2</f>
        <v/>
      </c>
      <c r="P55" s="439">
        <f>'07'!X2</f>
        <v/>
      </c>
      <c r="Q55" s="442">
        <f>'07'!Y2</f>
        <v/>
      </c>
      <c r="R55" s="443">
        <f>SUM(D55:Q55)</f>
        <v/>
      </c>
      <c r="S55" s="443">
        <f>IF(R55&lt;&gt;0,MAX(S31,S35,S39,S43,S47,S51)+R55,0)</f>
        <v/>
      </c>
    </row>
    <row r="56">
      <c r="A56" s="59" t="n"/>
      <c r="B56" s="444" t="n"/>
      <c r="C56" s="11" t="inlineStr">
        <is>
          <t>совм.</t>
        </is>
      </c>
      <c r="D56" s="445">
        <f>'07'!L3</f>
        <v/>
      </c>
      <c r="E56" s="446">
        <f>'07'!M3</f>
        <v/>
      </c>
      <c r="F56" s="447">
        <f>'07'!N3</f>
        <v/>
      </c>
      <c r="G56" s="448">
        <f>'07'!O3</f>
        <v/>
      </c>
      <c r="H56" s="446">
        <f>'07'!P3</f>
        <v/>
      </c>
      <c r="I56" s="449">
        <f>'07'!Q3</f>
        <v/>
      </c>
      <c r="J56" s="445">
        <f>'07'!R3</f>
        <v/>
      </c>
      <c r="K56" s="446">
        <f>'07'!S3</f>
        <v/>
      </c>
      <c r="L56" s="447">
        <f>'07'!T3</f>
        <v/>
      </c>
      <c r="M56" s="445">
        <f>'07'!U3</f>
        <v/>
      </c>
      <c r="N56" s="446">
        <f>'07'!V3</f>
        <v/>
      </c>
      <c r="O56" s="449">
        <f>'07'!W3</f>
        <v/>
      </c>
      <c r="P56" s="447">
        <f>'07'!X3</f>
        <v/>
      </c>
      <c r="Q56" s="450">
        <f>'07'!Y3</f>
        <v/>
      </c>
      <c r="R56" s="451">
        <f>SUM(D56:Q56)</f>
        <v/>
      </c>
      <c r="S56" s="451">
        <f>IF(R56&lt;&gt;0,MAX(S32,S36,S40,S44,S48,S52)+R56,0)</f>
        <v/>
      </c>
    </row>
    <row r="57">
      <c r="A57" s="59" t="n"/>
      <c r="B57" s="444" t="n"/>
      <c r="C57" s="11" t="inlineStr">
        <is>
          <t>почас.</t>
        </is>
      </c>
      <c r="D57" s="445">
        <f>'07'!L4</f>
        <v/>
      </c>
      <c r="E57" s="446">
        <f>'07'!M4</f>
        <v/>
      </c>
      <c r="F57" s="447">
        <f>'07'!N4</f>
        <v/>
      </c>
      <c r="G57" s="448">
        <f>'07'!O4</f>
        <v/>
      </c>
      <c r="H57" s="446">
        <f>'07'!P4</f>
        <v/>
      </c>
      <c r="I57" s="449">
        <f>'07'!Q4</f>
        <v/>
      </c>
      <c r="J57" s="445">
        <f>'07'!R4</f>
        <v/>
      </c>
      <c r="K57" s="446">
        <f>'07'!S4</f>
        <v/>
      </c>
      <c r="L57" s="447">
        <f>'07'!T4</f>
        <v/>
      </c>
      <c r="M57" s="445">
        <f>'07'!U4</f>
        <v/>
      </c>
      <c r="N57" s="446">
        <f>'07'!V4</f>
        <v/>
      </c>
      <c r="O57" s="449">
        <f>'07'!W4</f>
        <v/>
      </c>
      <c r="P57" s="447">
        <f>'07'!X4</f>
        <v/>
      </c>
      <c r="Q57" s="450">
        <f>'07'!Y4</f>
        <v/>
      </c>
      <c r="R57" s="451">
        <f>SUM(D57:Q57)</f>
        <v/>
      </c>
      <c r="S57" s="451">
        <f>IF(R57&lt;&gt;0,MAX(S33,S37,S41,S45,S49,S53)+R57,0)</f>
        <v/>
      </c>
    </row>
    <row r="58">
      <c r="A58" s="405" t="n"/>
      <c r="B58" s="452" t="n"/>
      <c r="C58" s="218" t="inlineStr">
        <is>
          <t>всего</t>
        </is>
      </c>
      <c r="D58" s="453">
        <f>'07'!L5</f>
        <v/>
      </c>
      <c r="E58" s="454">
        <f>'07'!M5</f>
        <v/>
      </c>
      <c r="F58" s="455">
        <f>'07'!N5</f>
        <v/>
      </c>
      <c r="G58" s="456">
        <f>'07'!O5</f>
        <v/>
      </c>
      <c r="H58" s="454">
        <f>'07'!P5</f>
        <v/>
      </c>
      <c r="I58" s="457">
        <f>'07'!Q5</f>
        <v/>
      </c>
      <c r="J58" s="453">
        <f>'07'!R5</f>
        <v/>
      </c>
      <c r="K58" s="454">
        <f>'07'!S5</f>
        <v/>
      </c>
      <c r="L58" s="455">
        <f>'07'!T5</f>
        <v/>
      </c>
      <c r="M58" s="453">
        <f>'07'!U5</f>
        <v/>
      </c>
      <c r="N58" s="454">
        <f>'07'!V5</f>
        <v/>
      </c>
      <c r="O58" s="457">
        <f>'07'!W5</f>
        <v/>
      </c>
      <c r="P58" s="455">
        <f>'07'!X5</f>
        <v/>
      </c>
      <c r="Q58" s="458">
        <f>'07'!Y5</f>
        <v/>
      </c>
      <c r="R58" s="458">
        <f>SUM(D58:Q58)</f>
        <v/>
      </c>
      <c r="S58" s="458">
        <f>IF(R58&lt;&gt;0,MAX(S34,S38,S42,S46,S50,S54)+R58,0)</f>
        <v/>
      </c>
    </row>
    <row r="59">
      <c r="A59" s="468" t="inlineStr">
        <is>
          <t>август</t>
        </is>
      </c>
      <c r="B59" s="460" t="n"/>
      <c r="C59" s="12" t="inlineStr">
        <is>
          <t>осн.</t>
        </is>
      </c>
      <c r="D59" s="461">
        <f>'08'!L2</f>
        <v/>
      </c>
      <c r="E59" s="462">
        <f>'08'!M2</f>
        <v/>
      </c>
      <c r="F59" s="463">
        <f>'08'!N2</f>
        <v/>
      </c>
      <c r="G59" s="464">
        <f>'08'!O2</f>
        <v/>
      </c>
      <c r="H59" s="462">
        <f>'08'!P2</f>
        <v/>
      </c>
      <c r="I59" s="465">
        <f>'08'!Q2</f>
        <v/>
      </c>
      <c r="J59" s="461">
        <f>'08'!R2</f>
        <v/>
      </c>
      <c r="K59" s="462">
        <f>'08'!S2</f>
        <v/>
      </c>
      <c r="L59" s="463">
        <f>'08'!T2</f>
        <v/>
      </c>
      <c r="M59" s="461">
        <f>'08'!U2</f>
        <v/>
      </c>
      <c r="N59" s="462">
        <f>'08'!V2</f>
        <v/>
      </c>
      <c r="O59" s="465">
        <f>'08'!W2</f>
        <v/>
      </c>
      <c r="P59" s="463">
        <f>'08'!X2</f>
        <v/>
      </c>
      <c r="Q59" s="466">
        <f>'08'!Y2</f>
        <v/>
      </c>
      <c r="R59" s="467">
        <f>SUM(D59:Q59)</f>
        <v/>
      </c>
      <c r="S59" s="467">
        <f>IF(R59&lt;&gt;0,MAX(S31,S35,S39,S43,S47,S51,S55)+R59,0)</f>
        <v/>
      </c>
    </row>
    <row r="60">
      <c r="A60" s="59" t="n"/>
      <c r="B60" s="444" t="n"/>
      <c r="C60" s="11" t="inlineStr">
        <is>
          <t>совм.</t>
        </is>
      </c>
      <c r="D60" s="445">
        <f>'08'!L3</f>
        <v/>
      </c>
      <c r="E60" s="446">
        <f>'08'!M3</f>
        <v/>
      </c>
      <c r="F60" s="447">
        <f>'08'!N3</f>
        <v/>
      </c>
      <c r="G60" s="448">
        <f>'08'!O3</f>
        <v/>
      </c>
      <c r="H60" s="446">
        <f>'08'!P3</f>
        <v/>
      </c>
      <c r="I60" s="449">
        <f>'08'!Q3</f>
        <v/>
      </c>
      <c r="J60" s="445">
        <f>'08'!R3</f>
        <v/>
      </c>
      <c r="K60" s="446">
        <f>'08'!S3</f>
        <v/>
      </c>
      <c r="L60" s="447">
        <f>'08'!T3</f>
        <v/>
      </c>
      <c r="M60" s="445">
        <f>'08'!U3</f>
        <v/>
      </c>
      <c r="N60" s="446">
        <f>'08'!V3</f>
        <v/>
      </c>
      <c r="O60" s="449">
        <f>'08'!W3</f>
        <v/>
      </c>
      <c r="P60" s="447">
        <f>'08'!X3</f>
        <v/>
      </c>
      <c r="Q60" s="450">
        <f>'08'!Y3</f>
        <v/>
      </c>
      <c r="R60" s="451">
        <f>SUM(D60:Q60)</f>
        <v/>
      </c>
      <c r="S60" s="451">
        <f>IF(R60&lt;&gt;0,MAX(S32,S36,S40,S44,S48,S52,S56)+R60,0)</f>
        <v/>
      </c>
    </row>
    <row r="61">
      <c r="A61" s="59" t="n"/>
      <c r="B61" s="444" t="n"/>
      <c r="C61" s="11" t="inlineStr">
        <is>
          <t>почас.</t>
        </is>
      </c>
      <c r="D61" s="445">
        <f>'08'!L4</f>
        <v/>
      </c>
      <c r="E61" s="446">
        <f>'08'!M4</f>
        <v/>
      </c>
      <c r="F61" s="447">
        <f>'08'!N4</f>
        <v/>
      </c>
      <c r="G61" s="448">
        <f>'08'!O4</f>
        <v/>
      </c>
      <c r="H61" s="446">
        <f>'08'!P4</f>
        <v/>
      </c>
      <c r="I61" s="449">
        <f>'08'!Q4</f>
        <v/>
      </c>
      <c r="J61" s="445">
        <f>'08'!R4</f>
        <v/>
      </c>
      <c r="K61" s="446">
        <f>'08'!S4</f>
        <v/>
      </c>
      <c r="L61" s="447">
        <f>'08'!T4</f>
        <v/>
      </c>
      <c r="M61" s="445">
        <f>'08'!U4</f>
        <v/>
      </c>
      <c r="N61" s="446">
        <f>'08'!V4</f>
        <v/>
      </c>
      <c r="O61" s="449">
        <f>'08'!W4</f>
        <v/>
      </c>
      <c r="P61" s="447">
        <f>'08'!X4</f>
        <v/>
      </c>
      <c r="Q61" s="450">
        <f>'08'!Y4</f>
        <v/>
      </c>
      <c r="R61" s="451">
        <f>SUM(D61:Q61)</f>
        <v/>
      </c>
      <c r="S61" s="451">
        <f>IF(R61&lt;&gt;0,MAX(S33,S37,S41,S45,S49,S53,S57)+R61,0)</f>
        <v/>
      </c>
    </row>
    <row r="62" ht="13.8" customHeight="1" s="296" thickBot="1">
      <c r="A62" s="469" t="n"/>
      <c r="B62" s="470" t="n"/>
      <c r="C62" s="225" t="inlineStr">
        <is>
          <t>всего</t>
        </is>
      </c>
      <c r="D62" s="471">
        <f>'08'!L5</f>
        <v/>
      </c>
      <c r="E62" s="472">
        <f>'08'!M5</f>
        <v/>
      </c>
      <c r="F62" s="473">
        <f>'08'!N5</f>
        <v/>
      </c>
      <c r="G62" s="474">
        <f>'08'!O5</f>
        <v/>
      </c>
      <c r="H62" s="472">
        <f>'08'!P5</f>
        <v/>
      </c>
      <c r="I62" s="475">
        <f>'08'!Q5</f>
        <v/>
      </c>
      <c r="J62" s="471">
        <f>'08'!R5</f>
        <v/>
      </c>
      <c r="K62" s="472">
        <f>'08'!S5</f>
        <v/>
      </c>
      <c r="L62" s="473">
        <f>'08'!T5</f>
        <v/>
      </c>
      <c r="M62" s="471">
        <f>'08'!U5</f>
        <v/>
      </c>
      <c r="N62" s="472">
        <f>'08'!V5</f>
        <v/>
      </c>
      <c r="O62" s="475">
        <f>'08'!W5</f>
        <v/>
      </c>
      <c r="P62" s="473">
        <f>'08'!X5</f>
        <v/>
      </c>
      <c r="Q62" s="476">
        <f>'08'!Y5</f>
        <v/>
      </c>
      <c r="R62" s="476">
        <f>SUM(D62:Q62)</f>
        <v/>
      </c>
      <c r="S62" s="476">
        <f>IF(R62&lt;&gt;0,MAX(S34,S38,S42,S46,S50,S54,S58)+R62,0)</f>
        <v/>
      </c>
    </row>
    <row r="63" ht="13.5" customHeight="1" s="296" thickTop="1">
      <c r="A63" s="500" t="inlineStr">
        <is>
          <t>Итого за 
II-й семестр</t>
        </is>
      </c>
      <c r="B63" s="328" t="inlineStr">
        <is>
          <t>план</t>
        </is>
      </c>
      <c r="C63" s="10" t="inlineStr">
        <is>
          <t>осн.</t>
        </is>
      </c>
      <c r="D63" s="478">
        <f>SUMIF(весна!$A$5:$A$178,1,весна!J$5:J$178)</f>
        <v/>
      </c>
      <c r="E63" s="479">
        <f>SUMIF(весна!$A$5:$A$178,1,весна!K$5:K$178)</f>
        <v/>
      </c>
      <c r="F63" s="480">
        <f>SUMIF(весна!$A$5:$A$178,1,весна!L$5:L$178)</f>
        <v/>
      </c>
      <c r="G63" s="481">
        <f>SUMIF(весна!$A$5:$A$178,1,весна!M$5:M$178)</f>
        <v/>
      </c>
      <c r="H63" s="479">
        <f>SUMIF(весна!$A$5:$A$178,1,весна!N$5:N$178)</f>
        <v/>
      </c>
      <c r="I63" s="482">
        <f>SUMIF(весна!$A$5:$A$178,1,весна!O$5:O$178)</f>
        <v/>
      </c>
      <c r="J63" s="478">
        <f>SUMIF(весна!$A$5:$A$178,1,весна!P$5:P$178)</f>
        <v/>
      </c>
      <c r="K63" s="479">
        <f>SUMIF(весна!$A$5:$A$178,1,весна!Q$5:Q$178)</f>
        <v/>
      </c>
      <c r="L63" s="480">
        <f>SUMIF(весна!$A$5:$A$178,1,весна!R$5:R$178)</f>
        <v/>
      </c>
      <c r="M63" s="478">
        <f>SUMIF(весна!$A$5:$A$178,1,весна!S$5:S$178)</f>
        <v/>
      </c>
      <c r="N63" s="479">
        <f>SUMIF(весна!$A$5:$A$178,1,весна!T$5:T$178)</f>
        <v/>
      </c>
      <c r="O63" s="482">
        <f>SUMIF(весна!$A$5:$A$178,1,весна!U$5:U$178)</f>
        <v/>
      </c>
      <c r="P63" s="480">
        <f>SUMIF(весна!$A$5:$A$178,1,весна!V$5:V$178)</f>
        <v/>
      </c>
      <c r="Q63" s="443">
        <f>SUMIF(весна!$A$5:$A$178,1,весна!W$5:W$178)</f>
        <v/>
      </c>
      <c r="R63" s="483">
        <f>Утв_План</f>
        <v/>
      </c>
      <c r="S63" s="443">
        <f>SUM(D63:Q63)</f>
        <v/>
      </c>
    </row>
    <row r="64">
      <c r="A64" s="484" t="n"/>
      <c r="B64" s="484" t="n"/>
      <c r="C64" s="11" t="inlineStr">
        <is>
          <t>совм.</t>
        </is>
      </c>
      <c r="D64" s="485">
        <f>SUMIF(весна!$A$5:$A$178,2,весна!J$5:J$178)</f>
        <v/>
      </c>
      <c r="E64" s="486">
        <f>SUMIF(весна!$A$5:$A$178,2,весна!K$5:K$178)</f>
        <v/>
      </c>
      <c r="F64" s="487">
        <f>SUMIF(весна!$A$5:$A$178,2,весна!L$5:L$178)</f>
        <v/>
      </c>
      <c r="G64" s="488">
        <f>SUMIF(весна!$A$5:$A$178,2,весна!M$5:M$178)</f>
        <v/>
      </c>
      <c r="H64" s="486">
        <f>SUMIF(весна!$A$5:$A$178,2,весна!N$5:N$178)</f>
        <v/>
      </c>
      <c r="I64" s="489">
        <f>SUMIF(весна!$A$5:$A$178,2,весна!O$5:O$178)</f>
        <v/>
      </c>
      <c r="J64" s="485">
        <f>SUMIF(весна!$A$5:$A$178,2,весна!P$5:P$178)</f>
        <v/>
      </c>
      <c r="K64" s="486">
        <f>SUMIF(весна!$A$5:$A$178,2,весна!Q$5:Q$178)</f>
        <v/>
      </c>
      <c r="L64" s="487">
        <f>SUMIF(весна!$A$5:$A$178,2,весна!R$5:R$178)</f>
        <v/>
      </c>
      <c r="M64" s="485">
        <f>SUMIF(весна!$A$5:$A$178,2,весна!S$5:S$178)</f>
        <v/>
      </c>
      <c r="N64" s="486">
        <f>SUMIF(весна!$A$5:$A$178,2,весна!T$5:T$178)</f>
        <v/>
      </c>
      <c r="O64" s="489">
        <f>SUMIF(весна!$A$5:$A$178,2,весна!U$5:U$178)</f>
        <v/>
      </c>
      <c r="P64" s="487">
        <f>SUMIF(весна!$A$5:$A$178,2,весна!V$5:V$178)</f>
        <v/>
      </c>
      <c r="Q64" s="451">
        <f>SUMIF(весна!$A$5:$A$178,2,весна!W$5:W$178)</f>
        <v/>
      </c>
      <c r="R64" s="490" t="n"/>
      <c r="S64" s="451">
        <f>SUM(D64:Q64)</f>
        <v/>
      </c>
    </row>
    <row r="65">
      <c r="A65" s="484" t="n"/>
      <c r="B65" s="484" t="n"/>
      <c r="C65" s="11" t="inlineStr">
        <is>
          <t>почас.</t>
        </is>
      </c>
      <c r="D65" s="485">
        <f>SUMIF(весна!$A$5:$A$178,3,весна!J$5:J$178)</f>
        <v/>
      </c>
      <c r="E65" s="486">
        <f>SUMIF(весна!$A$5:$A$178,3,весна!K$5:K$178)</f>
        <v/>
      </c>
      <c r="F65" s="487">
        <f>SUMIF(весна!$A$5:$A$178,3,весна!L$5:L$178)</f>
        <v/>
      </c>
      <c r="G65" s="488">
        <f>SUMIF(весна!$A$5:$A$178,3,весна!M$5:M$178)</f>
        <v/>
      </c>
      <c r="H65" s="486">
        <f>SUMIF(весна!$A$5:$A$178,3,весна!N$5:N$178)</f>
        <v/>
      </c>
      <c r="I65" s="489">
        <f>SUMIF(весна!$A$5:$A$178,3,весна!O$5:O$178)</f>
        <v/>
      </c>
      <c r="J65" s="485">
        <f>SUMIF(весна!$A$5:$A$178,3,весна!P$5:P$178)</f>
        <v/>
      </c>
      <c r="K65" s="486">
        <f>SUMIF(весна!$A$5:$A$178,3,весна!Q$5:Q$178)</f>
        <v/>
      </c>
      <c r="L65" s="487">
        <f>SUMIF(весна!$A$5:$A$178,3,весна!R$5:R$178)</f>
        <v/>
      </c>
      <c r="M65" s="485">
        <f>SUMIF(весна!$A$5:$A$178,3,весна!S$5:S$178)</f>
        <v/>
      </c>
      <c r="N65" s="486">
        <f>SUMIF(весна!$A$5:$A$178,3,весна!T$5:T$178)</f>
        <v/>
      </c>
      <c r="O65" s="489">
        <f>SUMIF(весна!$A$5:$A$178,3,весна!U$5:U$178)</f>
        <v/>
      </c>
      <c r="P65" s="487">
        <f>SUMIF(весна!$A$5:$A$178,3,весна!V$5:V$178)</f>
        <v/>
      </c>
      <c r="Q65" s="451">
        <f>SUMIF(весна!$A$5:$A$178,3,весна!W$5:W$178)</f>
        <v/>
      </c>
      <c r="R65" s="490" t="n"/>
      <c r="S65" s="451">
        <f>SUM(D65:Q65)</f>
        <v/>
      </c>
    </row>
    <row r="66">
      <c r="A66" s="484" t="n"/>
      <c r="B66" s="491" t="n"/>
      <c r="C66" s="218" t="inlineStr">
        <is>
          <t>всего</t>
        </is>
      </c>
      <c r="D66" s="453">
        <f>весна!J$3</f>
        <v/>
      </c>
      <c r="E66" s="454">
        <f>весна!K$3</f>
        <v/>
      </c>
      <c r="F66" s="455">
        <f>весна!L$3</f>
        <v/>
      </c>
      <c r="G66" s="456">
        <f>весна!M$3</f>
        <v/>
      </c>
      <c r="H66" s="454">
        <f>весна!N$3</f>
        <v/>
      </c>
      <c r="I66" s="457">
        <f>весна!O$3</f>
        <v/>
      </c>
      <c r="J66" s="453">
        <f>весна!P$3</f>
        <v/>
      </c>
      <c r="K66" s="454">
        <f>весна!Q$3</f>
        <v/>
      </c>
      <c r="L66" s="455">
        <f>весна!R$3</f>
        <v/>
      </c>
      <c r="M66" s="453">
        <f>весна!S$3</f>
        <v/>
      </c>
      <c r="N66" s="454">
        <f>весна!T$3</f>
        <v/>
      </c>
      <c r="O66" s="457">
        <f>весна!U$3</f>
        <v/>
      </c>
      <c r="P66" s="455">
        <f>весна!V$3</f>
        <v/>
      </c>
      <c r="Q66" s="458">
        <f>весна!W$3</f>
        <v/>
      </c>
      <c r="R66" s="413" t="n"/>
      <c r="S66" s="458">
        <f>SUM(D66:Q66)</f>
        <v/>
      </c>
      <c r="T66" s="214" t="n"/>
    </row>
    <row r="67" ht="12.75" customHeight="1" s="296">
      <c r="A67" s="484" t="n"/>
      <c r="B67" s="329" t="inlineStr">
        <is>
          <t>факт</t>
        </is>
      </c>
      <c r="C67" s="13" t="inlineStr">
        <is>
          <t>осн.</t>
        </is>
      </c>
      <c r="D67" s="492">
        <f>D35+D39+D43+D47+D51+D55+D59</f>
        <v/>
      </c>
      <c r="E67" s="493">
        <f>E35+E39+E43+E47+E51+E55+E59</f>
        <v/>
      </c>
      <c r="F67" s="494">
        <f>F35+F39+F43+F47+F51+F55+F59</f>
        <v/>
      </c>
      <c r="G67" s="495">
        <f>G35+G39+G43+G47+G51+G55+G59</f>
        <v/>
      </c>
      <c r="H67" s="493">
        <f>H35+H39+H43+H47+H51+H55+H59</f>
        <v/>
      </c>
      <c r="I67" s="496">
        <f>I35+I39+I43+I47+I51+I55+I59</f>
        <v/>
      </c>
      <c r="J67" s="492">
        <f>J35+J39+J43+J47+J51+J55+J59</f>
        <v/>
      </c>
      <c r="K67" s="493">
        <f>K35+K39+K43+K47+K51+K55+K59</f>
        <v/>
      </c>
      <c r="L67" s="494">
        <f>L35+L39+L43+L47+L51+L55+L59</f>
        <v/>
      </c>
      <c r="M67" s="492">
        <f>M35+M39+M43+M47+M51+M55+M59</f>
        <v/>
      </c>
      <c r="N67" s="493">
        <f>N35+N39+N43+N47+N51+N55+N59</f>
        <v/>
      </c>
      <c r="O67" s="496">
        <f>O35+O39+O43+O47+O51+O55+O59</f>
        <v/>
      </c>
      <c r="P67" s="494">
        <f>P35+P39+P43+P47+P51+P55+P59</f>
        <v/>
      </c>
      <c r="Q67" s="497">
        <f>Q35+Q39+Q43+Q47+Q51+Q55+Q59</f>
        <v/>
      </c>
      <c r="R67" s="498">
        <f>Утв_Весна</f>
        <v/>
      </c>
      <c r="S67" s="497">
        <f>SUM(D67:Q67)</f>
        <v/>
      </c>
    </row>
    <row r="68">
      <c r="A68" s="484" t="n"/>
      <c r="B68" s="484" t="n"/>
      <c r="C68" s="11" t="inlineStr">
        <is>
          <t>совм.</t>
        </is>
      </c>
      <c r="D68" s="485">
        <f>D36+D40+D44+D48+D52+D56+D60</f>
        <v/>
      </c>
      <c r="E68" s="486">
        <f>E36+E40+E44+E48+E52+E56+E60</f>
        <v/>
      </c>
      <c r="F68" s="487">
        <f>F36+F40+F44+F48+F52+F56+F60</f>
        <v/>
      </c>
      <c r="G68" s="488">
        <f>G36+G40+G44+G48+G52+G56+G60</f>
        <v/>
      </c>
      <c r="H68" s="486">
        <f>H36+H40+H44+H48+H52+H56+H60</f>
        <v/>
      </c>
      <c r="I68" s="489">
        <f>I36+I40+I44+I48+I52+I56+I60</f>
        <v/>
      </c>
      <c r="J68" s="485">
        <f>J36+J40+J44+J48+J52+J56+J60</f>
        <v/>
      </c>
      <c r="K68" s="486">
        <f>K36+K40+K44+K48+K52+K56+K60</f>
        <v/>
      </c>
      <c r="L68" s="487">
        <f>L36+L40+L44+L48+L52+L56+L60</f>
        <v/>
      </c>
      <c r="M68" s="485">
        <f>M36+M40+M44+M48+M52+M56+M60</f>
        <v/>
      </c>
      <c r="N68" s="486">
        <f>N36+N40+N44+N48+N52+N56+N60</f>
        <v/>
      </c>
      <c r="O68" s="489">
        <f>O36+O40+O44+O48+O52+O56+O60</f>
        <v/>
      </c>
      <c r="P68" s="487">
        <f>P36+P40+P44+P48+P52+P56+P60</f>
        <v/>
      </c>
      <c r="Q68" s="451">
        <f>Q36+Q40+Q44+Q48+Q52+Q56+Q60</f>
        <v/>
      </c>
      <c r="R68" s="490" t="n"/>
      <c r="S68" s="451">
        <f>SUM(D68:Q68)</f>
        <v/>
      </c>
    </row>
    <row r="69">
      <c r="A69" s="484" t="n"/>
      <c r="B69" s="484" t="n"/>
      <c r="C69" s="11" t="inlineStr">
        <is>
          <t>почас.</t>
        </is>
      </c>
      <c r="D69" s="485">
        <f>D37+D41+D45+D49+D53+D57+D61</f>
        <v/>
      </c>
      <c r="E69" s="486">
        <f>E37+E41+E45+E49+E53+E57+E61</f>
        <v/>
      </c>
      <c r="F69" s="487">
        <f>F37+F41+F45+F49+F53+F57+F61</f>
        <v/>
      </c>
      <c r="G69" s="488">
        <f>G37+G41+G45+G49+G53+G57+G61</f>
        <v/>
      </c>
      <c r="H69" s="486">
        <f>H37+H41+H45+H49+H53+H57+H61</f>
        <v/>
      </c>
      <c r="I69" s="489">
        <f>I37+I41+I45+I49+I53+I57+I61</f>
        <v/>
      </c>
      <c r="J69" s="485">
        <f>J37+J41+J45+J49+J53+J57+J61</f>
        <v/>
      </c>
      <c r="K69" s="486">
        <f>K37+K41+K45+K49+K53+K57+K61</f>
        <v/>
      </c>
      <c r="L69" s="487">
        <f>L37+L41+L45+L49+L53+L57+L61</f>
        <v/>
      </c>
      <c r="M69" s="485">
        <f>M37+M41+M45+M49+M53+M57+M61</f>
        <v/>
      </c>
      <c r="N69" s="486">
        <f>N37+N41+N45+N49+N53+N57+N61</f>
        <v/>
      </c>
      <c r="O69" s="489">
        <f>O37+O41+O45+O49+O53+O57+O61</f>
        <v/>
      </c>
      <c r="P69" s="487">
        <f>P37+P41+P45+P49+P53+P57+P61</f>
        <v/>
      </c>
      <c r="Q69" s="451">
        <f>Q37+Q41+Q45+Q49+Q53+Q57+Q61</f>
        <v/>
      </c>
      <c r="R69" s="490" t="n"/>
      <c r="S69" s="451">
        <f>SUM(D69:Q69)</f>
        <v/>
      </c>
    </row>
    <row r="70" ht="13.8" customHeight="1" s="296" thickBot="1">
      <c r="A70" s="501" t="n"/>
      <c r="B70" s="491" t="n"/>
      <c r="C70" s="225" t="inlineStr">
        <is>
          <t>всего</t>
        </is>
      </c>
      <c r="D70" s="471">
        <f>D38+D42+D46+D50+D54+D58+D62</f>
        <v/>
      </c>
      <c r="E70" s="472">
        <f>E38+E42+E46+E50+E54+E58+E62</f>
        <v/>
      </c>
      <c r="F70" s="473">
        <f>F38+F42+F46+F50+F54+F58+F62</f>
        <v/>
      </c>
      <c r="G70" s="474">
        <f>G38+G42+G46+G50+G54+G58+G62</f>
        <v/>
      </c>
      <c r="H70" s="472">
        <f>H38+H42+H46+H50+H54+H58+H62</f>
        <v/>
      </c>
      <c r="I70" s="475">
        <f>I38+I42+I46+I50+I54+I58+I62</f>
        <v/>
      </c>
      <c r="J70" s="471">
        <f>J38+J42+J46+J50+J54+J58+J62</f>
        <v/>
      </c>
      <c r="K70" s="472">
        <f>K38+K42+K46+K50+K54+K58+K62</f>
        <v/>
      </c>
      <c r="L70" s="473">
        <f>L38+L42+L46+L50+L54+L58+L62</f>
        <v/>
      </c>
      <c r="M70" s="471">
        <f>M38+M42+M46+M50+M54+M58+M62</f>
        <v/>
      </c>
      <c r="N70" s="472">
        <f>N38+N42+N46+N50+N54+N58+N62</f>
        <v/>
      </c>
      <c r="O70" s="475">
        <f>O38+O42+O46+O50+O54+O58+O62</f>
        <v/>
      </c>
      <c r="P70" s="473">
        <f>P38+P42+P46+P50+P54+P58+P62</f>
        <v/>
      </c>
      <c r="Q70" s="476">
        <f>Q38+Q42+Q46+Q50+Q54+Q58+Q62</f>
        <v/>
      </c>
      <c r="R70" s="499" t="n"/>
      <c r="S70" s="476">
        <f>SUM(D70:Q70)</f>
        <v/>
      </c>
    </row>
    <row r="71" ht="13.5" customHeight="1" s="296" thickTop="1">
      <c r="A71" s="500" t="inlineStr">
        <is>
          <t>Итого за год</t>
        </is>
      </c>
      <c r="B71" s="328" t="inlineStr">
        <is>
          <t>план</t>
        </is>
      </c>
      <c r="C71" s="10" t="inlineStr">
        <is>
          <t>осн.</t>
        </is>
      </c>
      <c r="D71" s="478">
        <f>D27+D63</f>
        <v/>
      </c>
      <c r="E71" s="479">
        <f>E27+E63</f>
        <v/>
      </c>
      <c r="F71" s="480">
        <f>F27+F63</f>
        <v/>
      </c>
      <c r="G71" s="481">
        <f>G27+G63</f>
        <v/>
      </c>
      <c r="H71" s="479">
        <f>H27+H63</f>
        <v/>
      </c>
      <c r="I71" s="482">
        <f>I27+I63</f>
        <v/>
      </c>
      <c r="J71" s="478">
        <f>J27+J63</f>
        <v/>
      </c>
      <c r="K71" s="479">
        <f>K27+K63</f>
        <v/>
      </c>
      <c r="L71" s="480">
        <f>L27+L63</f>
        <v/>
      </c>
      <c r="M71" s="478">
        <f>M27+M63</f>
        <v/>
      </c>
      <c r="N71" s="479">
        <f>N27+N63</f>
        <v/>
      </c>
      <c r="O71" s="482">
        <f>O27+O63</f>
        <v/>
      </c>
      <c r="P71" s="480">
        <f>P27+P63</f>
        <v/>
      </c>
      <c r="Q71" s="443">
        <f>Q27+Q63</f>
        <v/>
      </c>
      <c r="R71" s="502" t="n"/>
      <c r="S71" s="443">
        <f>SUM(D71:Q71)</f>
        <v/>
      </c>
    </row>
    <row r="72">
      <c r="A72" s="484" t="n"/>
      <c r="B72" s="484" t="n"/>
      <c r="C72" s="11" t="inlineStr">
        <is>
          <t>совм.</t>
        </is>
      </c>
      <c r="D72" s="485">
        <f>D28+D64</f>
        <v/>
      </c>
      <c r="E72" s="486">
        <f>E28+E64</f>
        <v/>
      </c>
      <c r="F72" s="487">
        <f>F28+F64</f>
        <v/>
      </c>
      <c r="G72" s="488">
        <f>G28+G64</f>
        <v/>
      </c>
      <c r="H72" s="486">
        <f>H28+H64</f>
        <v/>
      </c>
      <c r="I72" s="489">
        <f>I28+I64</f>
        <v/>
      </c>
      <c r="J72" s="485">
        <f>J28+J64</f>
        <v/>
      </c>
      <c r="K72" s="486">
        <f>K28+K64</f>
        <v/>
      </c>
      <c r="L72" s="487">
        <f>L28+L64</f>
        <v/>
      </c>
      <c r="M72" s="485">
        <f>M28+M64</f>
        <v/>
      </c>
      <c r="N72" s="486">
        <f>N28+N64</f>
        <v/>
      </c>
      <c r="O72" s="489">
        <f>O28+O64</f>
        <v/>
      </c>
      <c r="P72" s="487">
        <f>P28+P64</f>
        <v/>
      </c>
      <c r="Q72" s="451">
        <f>Q28+Q64</f>
        <v/>
      </c>
      <c r="R72" s="503" t="n"/>
      <c r="S72" s="451">
        <f>SUM(D72:Q72)</f>
        <v/>
      </c>
    </row>
    <row r="73" ht="13.8" customHeight="1" s="296" thickBot="1">
      <c r="A73" s="484" t="n"/>
      <c r="B73" s="484" t="n"/>
      <c r="C73" s="11" t="inlineStr">
        <is>
          <t>почас.</t>
        </is>
      </c>
      <c r="D73" s="485">
        <f>D29+D65</f>
        <v/>
      </c>
      <c r="E73" s="486">
        <f>E29+E65</f>
        <v/>
      </c>
      <c r="F73" s="487">
        <f>F29+F65</f>
        <v/>
      </c>
      <c r="G73" s="488">
        <f>G29+G65</f>
        <v/>
      </c>
      <c r="H73" s="486">
        <f>H29+H65</f>
        <v/>
      </c>
      <c r="I73" s="489">
        <f>I29+I65</f>
        <v/>
      </c>
      <c r="J73" s="485">
        <f>J29+J65</f>
        <v/>
      </c>
      <c r="K73" s="486">
        <f>K29+K65</f>
        <v/>
      </c>
      <c r="L73" s="487">
        <f>L29+L65</f>
        <v/>
      </c>
      <c r="M73" s="485">
        <f>M29+M65</f>
        <v/>
      </c>
      <c r="N73" s="486">
        <f>N29+N65</f>
        <v/>
      </c>
      <c r="O73" s="489">
        <f>O29+O65</f>
        <v/>
      </c>
      <c r="P73" s="487">
        <f>P29+P65</f>
        <v/>
      </c>
      <c r="Q73" s="451">
        <f>Q29+Q65</f>
        <v/>
      </c>
      <c r="R73" s="503" t="n"/>
      <c r="S73" s="504">
        <f>SUM(D73:Q73)</f>
        <v/>
      </c>
    </row>
    <row r="74" ht="13.8" customHeight="1" s="296" thickBot="1">
      <c r="A74" s="484" t="n"/>
      <c r="B74" s="491" t="n"/>
      <c r="C74" s="218" t="inlineStr">
        <is>
          <t>всего</t>
        </is>
      </c>
      <c r="D74" s="453">
        <f>D30+D66</f>
        <v/>
      </c>
      <c r="E74" s="454">
        <f>E30+E66</f>
        <v/>
      </c>
      <c r="F74" s="455">
        <f>F30+F66</f>
        <v/>
      </c>
      <c r="G74" s="456">
        <f>G30+G66</f>
        <v/>
      </c>
      <c r="H74" s="454">
        <f>H30+H66</f>
        <v/>
      </c>
      <c r="I74" s="457">
        <f>I30+I66</f>
        <v/>
      </c>
      <c r="J74" s="453">
        <f>J30+J66</f>
        <v/>
      </c>
      <c r="K74" s="454">
        <f>K30+K66</f>
        <v/>
      </c>
      <c r="L74" s="455">
        <f>L30+L66</f>
        <v/>
      </c>
      <c r="M74" s="453">
        <f>M30+M66</f>
        <v/>
      </c>
      <c r="N74" s="454">
        <f>N30+N66</f>
        <v/>
      </c>
      <c r="O74" s="457">
        <f>O30+O66</f>
        <v/>
      </c>
      <c r="P74" s="455">
        <f>P30+P66</f>
        <v/>
      </c>
      <c r="Q74" s="458">
        <f>Q30+Q66</f>
        <v/>
      </c>
      <c r="R74" s="505" t="n"/>
      <c r="S74" s="506">
        <f>SUM(D74:Q74)</f>
        <v/>
      </c>
    </row>
    <row r="75" ht="12.75" customHeight="1" s="296">
      <c r="A75" s="484" t="n"/>
      <c r="B75" s="329" t="inlineStr">
        <is>
          <t>факт</t>
        </is>
      </c>
      <c r="C75" s="13" t="inlineStr">
        <is>
          <t>осн.</t>
        </is>
      </c>
      <c r="D75" s="492">
        <f>D31+D67</f>
        <v/>
      </c>
      <c r="E75" s="493">
        <f>E31+E67</f>
        <v/>
      </c>
      <c r="F75" s="494">
        <f>F31+F67</f>
        <v/>
      </c>
      <c r="G75" s="495">
        <f>G31+G67</f>
        <v/>
      </c>
      <c r="H75" s="493">
        <f>H31+H67</f>
        <v/>
      </c>
      <c r="I75" s="496">
        <f>I31+I67</f>
        <v/>
      </c>
      <c r="J75" s="492">
        <f>J31+J67</f>
        <v/>
      </c>
      <c r="K75" s="493">
        <f>K31+K67</f>
        <v/>
      </c>
      <c r="L75" s="494">
        <f>L31+L67</f>
        <v/>
      </c>
      <c r="M75" s="492">
        <f>M31+M67</f>
        <v/>
      </c>
      <c r="N75" s="493">
        <f>N31+N67</f>
        <v/>
      </c>
      <c r="O75" s="496">
        <f>O31+O67</f>
        <v/>
      </c>
      <c r="P75" s="494">
        <f>P31+P67</f>
        <v/>
      </c>
      <c r="Q75" s="497">
        <f>Q31+Q67</f>
        <v/>
      </c>
      <c r="R75" s="507" t="n"/>
      <c r="S75" s="497">
        <f>SUM(D75:Q75)</f>
        <v/>
      </c>
    </row>
    <row r="76">
      <c r="A76" s="484" t="n"/>
      <c r="B76" s="484" t="n"/>
      <c r="C76" s="11" t="inlineStr">
        <is>
          <t>совм.</t>
        </is>
      </c>
      <c r="D76" s="485">
        <f>D32+D68</f>
        <v/>
      </c>
      <c r="E76" s="486">
        <f>E32+E68</f>
        <v/>
      </c>
      <c r="F76" s="487">
        <f>F32+F68</f>
        <v/>
      </c>
      <c r="G76" s="488">
        <f>G32+G68</f>
        <v/>
      </c>
      <c r="H76" s="486">
        <f>H32+H68</f>
        <v/>
      </c>
      <c r="I76" s="489">
        <f>I32+I68</f>
        <v/>
      </c>
      <c r="J76" s="485">
        <f>J32+J68</f>
        <v/>
      </c>
      <c r="K76" s="486">
        <f>K32+K68</f>
        <v/>
      </c>
      <c r="L76" s="487">
        <f>L32+L68</f>
        <v/>
      </c>
      <c r="M76" s="485">
        <f>M32+M68</f>
        <v/>
      </c>
      <c r="N76" s="486">
        <f>N32+N68</f>
        <v/>
      </c>
      <c r="O76" s="489">
        <f>O32+O68</f>
        <v/>
      </c>
      <c r="P76" s="487">
        <f>P32+P68</f>
        <v/>
      </c>
      <c r="Q76" s="451">
        <f>Q32+Q68</f>
        <v/>
      </c>
      <c r="R76" s="503" t="n"/>
      <c r="S76" s="451">
        <f>SUM(D76:Q76)</f>
        <v/>
      </c>
    </row>
    <row r="77" ht="13.8" customHeight="1" s="296" thickBot="1">
      <c r="A77" s="484" t="n"/>
      <c r="B77" s="484" t="n"/>
      <c r="C77" s="11" t="inlineStr">
        <is>
          <t>почас.</t>
        </is>
      </c>
      <c r="D77" s="485">
        <f>D33+D69</f>
        <v/>
      </c>
      <c r="E77" s="486">
        <f>E33+E69</f>
        <v/>
      </c>
      <c r="F77" s="487">
        <f>F33+F69</f>
        <v/>
      </c>
      <c r="G77" s="488">
        <f>G33+G69</f>
        <v/>
      </c>
      <c r="H77" s="486">
        <f>H33+H69</f>
        <v/>
      </c>
      <c r="I77" s="489">
        <f>I33+I69</f>
        <v/>
      </c>
      <c r="J77" s="485">
        <f>J33+J69</f>
        <v/>
      </c>
      <c r="K77" s="486">
        <f>K33+K69</f>
        <v/>
      </c>
      <c r="L77" s="487">
        <f>L33+L69</f>
        <v/>
      </c>
      <c r="M77" s="485">
        <f>M33+M69</f>
        <v/>
      </c>
      <c r="N77" s="486">
        <f>N33+N69</f>
        <v/>
      </c>
      <c r="O77" s="489">
        <f>O33+O69</f>
        <v/>
      </c>
      <c r="P77" s="487">
        <f>P33+P69</f>
        <v/>
      </c>
      <c r="Q77" s="451">
        <f>Q33+Q69</f>
        <v/>
      </c>
      <c r="R77" s="503" t="n"/>
      <c r="S77" s="504">
        <f>SUM(D77:Q77)</f>
        <v/>
      </c>
    </row>
    <row r="78" ht="13.8" customHeight="1" s="296" thickBot="1">
      <c r="A78" s="501" t="n"/>
      <c r="B78" s="491" t="n"/>
      <c r="C78" s="225" t="inlineStr">
        <is>
          <t>всего</t>
        </is>
      </c>
      <c r="D78" s="471">
        <f>D34+D70</f>
        <v/>
      </c>
      <c r="E78" s="472">
        <f>E34+E70</f>
        <v/>
      </c>
      <c r="F78" s="473">
        <f>F34+F70</f>
        <v/>
      </c>
      <c r="G78" s="474">
        <f>G34+G70</f>
        <v/>
      </c>
      <c r="H78" s="472">
        <f>H34+H70</f>
        <v/>
      </c>
      <c r="I78" s="475">
        <f>I34+I70</f>
        <v/>
      </c>
      <c r="J78" s="471">
        <f>J34+J70</f>
        <v/>
      </c>
      <c r="K78" s="472">
        <f>K34+K70</f>
        <v/>
      </c>
      <c r="L78" s="473">
        <f>L34+L70</f>
        <v/>
      </c>
      <c r="M78" s="471">
        <f>M34+M70</f>
        <v/>
      </c>
      <c r="N78" s="472">
        <f>N34+N70</f>
        <v/>
      </c>
      <c r="O78" s="475">
        <f>O34+O70</f>
        <v/>
      </c>
      <c r="P78" s="473">
        <f>P34+P70</f>
        <v/>
      </c>
      <c r="Q78" s="476">
        <f>Q34+Q70</f>
        <v/>
      </c>
      <c r="R78" s="508" t="n"/>
      <c r="S78" s="506">
        <f>SUM(D78:Q78)</f>
        <v/>
      </c>
    </row>
    <row r="79" ht="13.8" customHeight="1" s="296" thickTop="1">
      <c r="K79" s="2" t="n"/>
    </row>
  </sheetData>
  <sheetProtection selectLockedCells="0" selectUnlockedCells="0" algorithmName="SHA-512" sheet="1" objects="1" insertRows="1" insertHyperlinks="1" autoFilter="1" scenarios="1" formatColumns="1" deleteColumns="1" insertColumns="1" pivotTables="1" deleteRows="1" formatCells="1" saltValue="cNQVfx21G+/890HAztVPxA==" formatRows="1" sort="1" spinCount="100000" hashValue="skTGx58gee6g42jXEonpu58jLZDTWrTEBOS5EBFMyt9Ighl28jjagllNZ7nLkBlnQLiI36WKHnRgGHgzQKfaLA=="/>
  <mergeCells count="30">
    <mergeCell ref="A7:B10"/>
    <mergeCell ref="B31:B34"/>
    <mergeCell ref="R63:R66"/>
    <mergeCell ref="A55:B58"/>
    <mergeCell ref="C3:M3"/>
    <mergeCell ref="B75:B78"/>
    <mergeCell ref="R31:R34"/>
    <mergeCell ref="Q4:S4"/>
    <mergeCell ref="A23:B26"/>
    <mergeCell ref="B27:B30"/>
    <mergeCell ref="B71:B74"/>
    <mergeCell ref="A6:B6"/>
    <mergeCell ref="B67:B70"/>
    <mergeCell ref="C4:M4"/>
    <mergeCell ref="R27:R30"/>
    <mergeCell ref="A19:B22"/>
    <mergeCell ref="B63:B66"/>
    <mergeCell ref="A47:B50"/>
    <mergeCell ref="A43:B46"/>
    <mergeCell ref="A39:B42"/>
    <mergeCell ref="A59:B62"/>
    <mergeCell ref="A35:B38"/>
    <mergeCell ref="A15:B18"/>
    <mergeCell ref="A51:B54"/>
    <mergeCell ref="A71:A78"/>
    <mergeCell ref="A27:A34"/>
    <mergeCell ref="Q3:S3"/>
    <mergeCell ref="A11:B14"/>
    <mergeCell ref="A63:A70"/>
    <mergeCell ref="R67:R70"/>
  </mergeCells>
  <printOptions horizontalCentered="1"/>
  <pageMargins left="1.181102362204725" right="0.3937007874015748" top="0.6692913385826772" bottom="0.6692913385826772" header="0.3937007874015748" footer="0.3937007874015748"/>
  <pageSetup orientation="portrait" paperSize="9" scale="59"/>
  <headerFooter>
    <oddHeader>&amp;L&amp;"Arial Cyr,полужирный"Карточка учета учебной работы преподавателя&amp;R&amp;F</oddHeader>
    <oddFooter>&amp;LПреподаватель  ________________&amp;CЗав. кафедрой  ________________&amp;RУчебный отдел  ________________</oddFooter>
    <evenHeader/>
    <evenFooter/>
    <firstHeader/>
    <firstFooter/>
  </headerFooter>
</worksheet>
</file>

<file path=xl/worksheets/sheet8.xml><?xml version="1.0" encoding="utf-8"?>
<worksheet xmlns="http://schemas.openxmlformats.org/spreadsheetml/2006/main">
  <sheetPr codeName="Лист10">
    <tabColor rgb="FFFFFF66"/>
    <outlinePr summaryBelow="0" summaryRight="0"/>
    <pageSetUpPr fitToPage="1"/>
  </sheetPr>
  <dimension ref="A1:Z160"/>
  <sheetViews>
    <sheetView tabSelected="1" zoomScale="115" zoomScaleNormal="115" workbookViewId="0">
      <pane xSplit="8" ySplit="6" topLeftCell="I7" activePane="bottomRight" state="frozen"/>
      <selection activeCell="D5" sqref="D5:D6"/>
      <selection pane="topRight" activeCell="D5" sqref="D5:D6"/>
      <selection pane="bottomLeft" activeCell="D5" sqref="D5:D6"/>
      <selection pane="bottomRight" activeCell="M6" sqref="M6"/>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11"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15"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1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Утв_Осень</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(COUNTIF(КлючОсень,D7)&lt;&gt;1)</f>
        <v/>
      </c>
      <c r="C7" s="196">
        <f>IF(COUNTA(E7:K7,Z7)&gt;0,1,0)+IF(COUNTA(L7:Y7)&gt;0,2,0)</f>
        <v/>
      </c>
      <c r="D7" s="179">
        <f>CONCATENATE("$",TRIM(F7),"$",TRIM(G7),"$",H7,"$")</f>
        <v/>
      </c>
      <c r="E7" s="197" t="n">
        <v>3</v>
      </c>
      <c r="F7" s="198" t="inlineStr">
        <is>
          <t>Математический анализ</t>
        </is>
      </c>
      <c r="G7" s="199" t="inlineStr">
        <is>
          <t>606-41 (АСОИУ-24-1)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(COUNTIF(КлючОсень,D8)&lt;&gt;1)</f>
        <v/>
      </c>
      <c r="C8" s="196">
        <f>IF(COUNTA(E8:K8,Z8)&gt;0,1,0)+IF(COUNTA(L8:Y8)&gt;0,2,0)</f>
        <v/>
      </c>
      <c r="D8" s="179">
        <f>CONCATENATE("$",TRIM(F8),"$",TRIM(G8),"$",H8,"$")</f>
        <v/>
      </c>
      <c r="E8" s="197" t="n">
        <v>3</v>
      </c>
      <c r="F8" s="198" t="inlineStr">
        <is>
          <t>Математический анализ</t>
        </is>
      </c>
      <c r="G8" s="199" t="inlineStr">
        <is>
          <t>606-42 (ИИиЭС-24-1)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(COUNTIF(КлючОсень,D9)&lt;&gt;1)</f>
        <v/>
      </c>
      <c r="C9" s="196">
        <f>IF(COUNTA(E9:K9,Z9)&gt;0,1,0)+IF(COUNTA(L9:Y9)&gt;0,2,0)</f>
        <v/>
      </c>
      <c r="D9" s="179">
        <f>CONCATENATE("$",TRIM(F9),"$",TRIM(G9),"$",H9,"$")</f>
        <v/>
      </c>
      <c r="E9" s="197" t="n">
        <v>5</v>
      </c>
      <c r="F9" s="198" t="inlineStr">
        <is>
          <t>Программирование, п/г 3</t>
        </is>
      </c>
      <c r="G9" s="199" t="inlineStr">
        <is>
          <t>601-41 (ТехнолПрог-24-1)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(COUNTIF(КлючОсень,D10)&lt;&gt;1)</f>
        <v/>
      </c>
      <c r="C10" s="196">
        <f>IF(COUNTA(E10:K10,Z10)&gt;0,1,0)+IF(COUNTA(L10:Y10)&gt;0,2,0)</f>
        <v/>
      </c>
      <c r="D10" s="179">
        <f>CONCATENATE("$",TRIM(F10),"$",TRIM(G10),"$",H10,"$")</f>
        <v/>
      </c>
      <c r="E10" s="197" t="n">
        <v>5</v>
      </c>
      <c r="F10" s="198" t="inlineStr">
        <is>
          <t>Программирование, п/г 3</t>
        </is>
      </c>
      <c r="G10" s="199" t="inlineStr">
        <is>
          <t>601-41 (ТехнолПрог-24-1)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(COUNTIF(КлючОсень,D11)&lt;&gt;1)</f>
        <v/>
      </c>
      <c r="C11" s="196">
        <f>IF(COUNTA(E11:K11,Z11)&gt;0,1,0)+IF(COUNTA(L11:Y11)&gt;0,2,0)</f>
        <v/>
      </c>
      <c r="D11" s="179">
        <f>CONCATENATE("$",TRIM(F11),"$",TRIM(G11),"$",H11,"$")</f>
        <v/>
      </c>
      <c r="E11" s="197" t="n">
        <v>7</v>
      </c>
      <c r="F11" s="198" t="inlineStr">
        <is>
          <t>Математический анализ</t>
        </is>
      </c>
      <c r="G11" s="199" t="inlineStr">
        <is>
          <t>606-42 (ИИиЭС-24-1)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(COUNTIF(КлючОсень,D12)&lt;&gt;1)</f>
        <v/>
      </c>
      <c r="C12" s="196">
        <f>IF(COUNTA(E12:K12,Z12)&gt;0,1,0)+IF(COUNTA(L12:Y12)&gt;0,2,0)</f>
        <v/>
      </c>
      <c r="D12" s="179">
        <f>CONCATENATE("$",TRIM(F12),"$",TRIM(G12),"$",H12,"$")</f>
        <v/>
      </c>
      <c r="E12" s="197" t="n">
        <v>7</v>
      </c>
      <c r="F12" s="198" t="inlineStr">
        <is>
          <t>Математический анализ</t>
        </is>
      </c>
      <c r="G12" s="199" t="inlineStr">
        <is>
          <t>606-41 (АСОИУ-24-1)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(COUNTIF(КлючОсень,D13)&lt;&gt;1)</f>
        <v/>
      </c>
      <c r="C13" s="196">
        <f>IF(COUNTA(E13:K13,Z13)&gt;0,1,0)+IF(COUNTA(L13:Y13)&gt;0,2,0)</f>
        <v/>
      </c>
      <c r="D13" s="179">
        <f>CONCATENATE("$",TRIM(F13),"$",TRIM(G13),"$",H13,"$")</f>
        <v/>
      </c>
      <c r="E13" s="197" t="n">
        <v>7</v>
      </c>
      <c r="F13" s="198" t="inlineStr">
        <is>
          <t>Дискретная математика</t>
        </is>
      </c>
      <c r="G13" s="199" t="inlineStr">
        <is>
          <t>605-31 (УТС-23-1)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(COUNTIF(КлючОсень,D14)&lt;&gt;1)</f>
        <v/>
      </c>
      <c r="C14" s="196">
        <f>IF(COUNTA(E14:K14,Z14)&gt;0,1,0)+IF(COUNTA(L14:Y14)&gt;0,2,0)</f>
        <v/>
      </c>
      <c r="D14" s="179">
        <f>CONCATENATE("$",TRIM(F14),"$",TRIM(G14),"$",H14,"$")</f>
        <v/>
      </c>
      <c r="E14" s="197" t="n">
        <v>10</v>
      </c>
      <c r="F14" s="198" t="inlineStr">
        <is>
          <t>Математический анализ</t>
        </is>
      </c>
      <c r="G14" s="199" t="inlineStr">
        <is>
          <t>606-41 (АСОИУ-24-1)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(COUNTIF(КлючОсень,D15)&lt;&gt;1)</f>
        <v/>
      </c>
      <c r="C15" s="196">
        <f>IF(COUNTA(E15:K15,Z15)&gt;0,1,0)+IF(COUNTA(L15:Y15)&gt;0,2,0)</f>
        <v/>
      </c>
      <c r="D15" s="179">
        <f>CONCATENATE("$",TRIM(F15),"$",TRIM(G15),"$",H15,"$")</f>
        <v/>
      </c>
      <c r="E15" s="197" t="n">
        <v>10</v>
      </c>
      <c r="F15" s="198" t="inlineStr">
        <is>
          <t>Математический анализ</t>
        </is>
      </c>
      <c r="G15" s="199" t="inlineStr">
        <is>
          <t>606-42 (ИИиЭС-24-1)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(COUNTIF(КлючОсень,D16)&lt;&gt;1)</f>
        <v/>
      </c>
      <c r="C16" s="196">
        <f>IF(COUNTA(E16:K16,Z16)&gt;0,1,0)+IF(COUNTA(L16:Y16)&gt;0,2,0)</f>
        <v/>
      </c>
      <c r="D16" s="179">
        <f>CONCATENATE("$",TRIM(F16),"$",TRIM(G16),"$",H16,"$")</f>
        <v/>
      </c>
      <c r="E16" s="197" t="n">
        <v>14</v>
      </c>
      <c r="F16" s="198" t="inlineStr">
        <is>
          <t>Программирование, п/г 3</t>
        </is>
      </c>
      <c r="G16" s="199" t="inlineStr">
        <is>
          <t>601-41 (ТехнолПрог-24-1)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(COUNTIF(КлючОсень,D17)&lt;&gt;1)</f>
        <v/>
      </c>
      <c r="C17" s="196">
        <f>IF(COUNTA(E17:K17,Z17)&gt;0,1,0)+IF(COUNTA(L17:Y17)&gt;0,2,0)</f>
        <v/>
      </c>
      <c r="D17" s="179">
        <f>CONCATENATE("$",TRIM(F17),"$",TRIM(G17),"$",H17,"$")</f>
        <v/>
      </c>
      <c r="E17" s="197" t="n">
        <v>14</v>
      </c>
      <c r="F17" s="198" t="inlineStr">
        <is>
          <t>Программирование, п/г 3</t>
        </is>
      </c>
      <c r="G17" s="199" t="inlineStr">
        <is>
          <t>601-41 (ТехнолПрог-24-1)</t>
        </is>
      </c>
      <c r="H17" s="200" t="inlineStr">
        <is>
          <t>совм.</t>
        </is>
      </c>
      <c r="I17" s="201" t="n"/>
      <c r="J17" s="201" t="n"/>
      <c r="K17" s="202" t="n"/>
      <c r="L17" s="541" t="n"/>
      <c r="M17" s="542" t="n">
        <v>2</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(COUNTIF(КлючОсень,D18)&lt;&gt;1)</f>
        <v/>
      </c>
      <c r="C18" s="196">
        <f>IF(COUNTA(E18:K18,Z18)&gt;0,1,0)+IF(COUNTA(L18:Y18)&gt;0,2,0)</f>
        <v/>
      </c>
      <c r="D18" s="179">
        <f>CONCATENATE("$",TRIM(F18),"$",TRIM(G18),"$",H18,"$")</f>
        <v/>
      </c>
      <c r="E18" s="197" t="n">
        <v>15</v>
      </c>
      <c r="F18" s="198" t="inlineStr">
        <is>
          <t>Математический анализ</t>
        </is>
      </c>
      <c r="G18" s="199" t="inlineStr">
        <is>
          <t>606-42 (ИИиЭС-24-1)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(COUNTIF(КлючОсень,D19)&lt;&gt;1)</f>
        <v/>
      </c>
      <c r="C19" s="196">
        <f>IF(COUNTA(E19:K19,Z19)&gt;0,1,0)+IF(COUNTA(L19:Y19)&gt;0,2,0)</f>
        <v/>
      </c>
      <c r="D19" s="179">
        <f>CONCATENATE("$",TRIM(F19),"$",TRIM(G19),"$",H19,"$")</f>
        <v/>
      </c>
      <c r="E19" s="197" t="n">
        <v>15</v>
      </c>
      <c r="F19" s="198" t="inlineStr">
        <is>
          <t>Математический анализ</t>
        </is>
      </c>
      <c r="G19" s="199" t="inlineStr">
        <is>
          <t>606-41 (АСОИУ-24-1)</t>
        </is>
      </c>
      <c r="H19" s="200" t="inlineStr">
        <is>
          <t>совм.</t>
        </is>
      </c>
      <c r="I19" s="201" t="n"/>
      <c r="J19" s="201" t="n"/>
      <c r="K19" s="202" t="n"/>
      <c r="L19" s="541" t="n"/>
      <c r="M19" s="542" t="n">
        <v>2</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(COUNTIF(КлючОсень,D20)&lt;&gt;1)</f>
        <v/>
      </c>
      <c r="C20" s="196">
        <f>IF(COUNTA(E20:K20,Z20)&gt;0,1,0)+IF(COUNTA(L20:Y20)&gt;0,2,0)</f>
        <v/>
      </c>
      <c r="D20" s="179">
        <f>CONCATENATE("$",TRIM(F20),"$",TRIM(G20),"$",H20,"$")</f>
        <v/>
      </c>
      <c r="E20" s="197" t="n">
        <v>15</v>
      </c>
      <c r="F20" s="198" t="inlineStr">
        <is>
          <t>Дискретная математика</t>
        </is>
      </c>
      <c r="G20" s="199" t="inlineStr">
        <is>
          <t>605-31 (УТС-23-1)</t>
        </is>
      </c>
      <c r="H20" s="200" t="inlineStr">
        <is>
          <t>совм.</t>
        </is>
      </c>
      <c r="I20" s="201" t="n"/>
      <c r="J20" s="201" t="n"/>
      <c r="K20" s="202" t="n"/>
      <c r="L20" s="541" t="n"/>
      <c r="M20" s="542" t="n">
        <v>2</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(COUNTIF(КлючОсень,D21)&lt;&gt;1)</f>
        <v/>
      </c>
      <c r="C21" s="196">
        <f>IF(COUNTA(E21:K21,Z21)&gt;0,1,0)+IF(COUNTA(L21:Y21)&gt;0,2,0)</f>
        <v/>
      </c>
      <c r="D21" s="179">
        <f>CONCATENATE("$",TRIM(F21),"$",TRIM(G21),"$",H21,"$")</f>
        <v/>
      </c>
      <c r="E21" s="197" t="n">
        <v>17</v>
      </c>
      <c r="F21" s="198" t="inlineStr">
        <is>
          <t>Математический анализ</t>
        </is>
      </c>
      <c r="G21" s="199" t="inlineStr">
        <is>
          <t>606-41 (АСОИУ-24-1)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(COUNTIF(КлючОсень,D22)&lt;&gt;1)</f>
        <v/>
      </c>
      <c r="C22" s="196">
        <f>IF(COUNTA(E22:K22,Z22)&gt;0,1,0)+IF(COUNTA(L22:Y22)&gt;0,2,0)</f>
        <v/>
      </c>
      <c r="D22" s="179">
        <f>CONCATENATE("$",TRIM(F22),"$",TRIM(G22),"$",H22,"$")</f>
        <v/>
      </c>
      <c r="E22" s="197" t="n">
        <v>17</v>
      </c>
      <c r="F22" s="198" t="inlineStr">
        <is>
          <t>Математический анализ</t>
        </is>
      </c>
      <c r="G22" s="199" t="inlineStr">
        <is>
          <t>606-42 (ИИиЭС-24-1)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(COUNTIF(КлючОсень,D23)&lt;&gt;1)</f>
        <v/>
      </c>
      <c r="C23" s="196">
        <f>IF(COUNTA(E23:K23,Z23)&gt;0,1,0)+IF(COUNTA(L23:Y23)&gt;0,2,0)</f>
        <v/>
      </c>
      <c r="D23" s="179">
        <f>CONCATENATE("$",TRIM(F23),"$",TRIM(G23),"$",H23,"$")</f>
        <v/>
      </c>
      <c r="E23" s="197" t="n">
        <v>19</v>
      </c>
      <c r="F23" s="198" t="inlineStr">
        <is>
          <t>Программирование, п/г 3</t>
        </is>
      </c>
      <c r="G23" s="199" t="inlineStr">
        <is>
          <t>601-41 (ТехнолПрог-24-1)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(COUNTIF(КлючОсень,D24)&lt;&gt;1)</f>
        <v/>
      </c>
      <c r="C24" s="196">
        <f>IF(COUNTA(E24:K24,Z24)&gt;0,1,0)+IF(COUNTA(L24:Y24)&gt;0,2,0)</f>
        <v/>
      </c>
      <c r="D24" s="179">
        <f>CONCATENATE("$",TRIM(F24),"$",TRIM(G24),"$",H24,"$")</f>
        <v/>
      </c>
      <c r="E24" s="197" t="n">
        <v>19</v>
      </c>
      <c r="F24" s="198" t="inlineStr">
        <is>
          <t>Программирование, п/г 3</t>
        </is>
      </c>
      <c r="G24" s="199" t="inlineStr">
        <is>
          <t>601-41 (ТехнолПрог-24-1)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(COUNTIF(КлючОсень,D25)&lt;&gt;1)</f>
        <v/>
      </c>
      <c r="C25" s="196">
        <f>IF(COUNTA(E25:K25,Z25)&gt;0,1,0)+IF(COUNTA(L25:Y25)&gt;0,2,0)</f>
        <v/>
      </c>
      <c r="D25" s="179">
        <f>CONCATENATE("$",TRIM(F25),"$",TRIM(G25),"$",H25,"$")</f>
        <v/>
      </c>
      <c r="E25" s="197" t="n">
        <v>20</v>
      </c>
      <c r="F25" s="198" t="inlineStr">
        <is>
          <t>Математический анализ</t>
        </is>
      </c>
      <c r="G25" s="199" t="inlineStr">
        <is>
          <t>606-42 (ИИиЭС-24-1)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(COUNTIF(КлючОсень,D26)&lt;&gt;1)</f>
        <v/>
      </c>
      <c r="C26" s="196">
        <f>IF(COUNTA(E26:K26,Z26)&gt;0,1,0)+IF(COUNTA(L26:Y26)&gt;0,2,0)</f>
        <v/>
      </c>
      <c r="D26" s="179">
        <f>CONCATENATE("$",TRIM(F26),"$",TRIM(G26),"$",H26,"$")</f>
        <v/>
      </c>
      <c r="E26" s="197" t="n">
        <v>20</v>
      </c>
      <c r="F26" s="198" t="inlineStr">
        <is>
          <t>Математический анализ</t>
        </is>
      </c>
      <c r="G26" s="199" t="inlineStr">
        <is>
          <t>606-41 (АСОИУ-24-1)</t>
        </is>
      </c>
      <c r="H26" s="200" t="inlineStr">
        <is>
          <t>совм.</t>
        </is>
      </c>
      <c r="I26" s="201" t="n"/>
      <c r="J26" s="201" t="n"/>
      <c r="K26" s="202" t="n"/>
      <c r="L26" s="541" t="n"/>
      <c r="M26" s="542" t="n">
        <v>2</v>
      </c>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(COUNTIF(КлючОсень,D27)&lt;&gt;1)</f>
        <v/>
      </c>
      <c r="C27" s="196">
        <f>IF(COUNTA(E27:K27,Z27)&gt;0,1,0)+IF(COUNTA(L27:Y27)&gt;0,2,0)</f>
        <v/>
      </c>
      <c r="D27" s="179">
        <f>CONCATENATE("$",TRIM(F27),"$",TRIM(G27),"$",H27,"$")</f>
        <v/>
      </c>
      <c r="E27" s="197" t="n">
        <v>20</v>
      </c>
      <c r="F27" s="198" t="inlineStr">
        <is>
          <t>Дискретная математика</t>
        </is>
      </c>
      <c r="G27" s="199" t="inlineStr">
        <is>
          <t>605-31 (УТС-23-1)</t>
        </is>
      </c>
      <c r="H27" s="200" t="inlineStr">
        <is>
          <t>совм.</t>
        </is>
      </c>
      <c r="I27" s="201" t="n"/>
      <c r="J27" s="201" t="n"/>
      <c r="K27" s="202" t="n"/>
      <c r="L27" s="541" t="n"/>
      <c r="M27" s="542" t="n">
        <v>2</v>
      </c>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(COUNTIF(КлючОсень,D28)&lt;&gt;1)</f>
        <v/>
      </c>
      <c r="C28" s="196">
        <f>IF(COUNTA(E28:K28,Z28)&gt;0,1,0)+IF(COUNTA(L28:Y28)&gt;0,2,0)</f>
        <v/>
      </c>
      <c r="D28" s="179">
        <f>CONCATENATE("$",TRIM(F28),"$",TRIM(G28),"$",H28,"$")</f>
        <v/>
      </c>
      <c r="E28" s="197" t="n">
        <v>24</v>
      </c>
      <c r="F28" s="198" t="inlineStr">
        <is>
          <t>Математический анализ</t>
        </is>
      </c>
      <c r="G28" s="199" t="inlineStr">
        <is>
          <t>606-41 (АСОИУ-24-1)</t>
        </is>
      </c>
      <c r="H28" s="200" t="inlineStr">
        <is>
          <t>совм.</t>
        </is>
      </c>
      <c r="I28" s="201" t="n"/>
      <c r="J28" s="201" t="n"/>
      <c r="K28" s="202" t="n"/>
      <c r="L28" s="541" t="n"/>
      <c r="M28" s="542" t="n">
        <v>2</v>
      </c>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(COUNTIF(КлючОсень,D29)&lt;&gt;1)</f>
        <v/>
      </c>
      <c r="C29" s="196">
        <f>IF(COUNTA(E29:K29,Z29)&gt;0,1,0)+IF(COUNTA(L29:Y29)&gt;0,2,0)</f>
        <v/>
      </c>
      <c r="D29" s="179">
        <f>CONCATENATE("$",TRIM(F29),"$",TRIM(G29),"$",H29,"$")</f>
        <v/>
      </c>
      <c r="E29" s="197" t="n">
        <v>24</v>
      </c>
      <c r="F29" s="198" t="inlineStr">
        <is>
          <t>Математический анализ</t>
        </is>
      </c>
      <c r="G29" s="199" t="inlineStr">
        <is>
          <t>606-42 (ИИиЭС-24-1)</t>
        </is>
      </c>
      <c r="H29" s="200" t="inlineStr">
        <is>
          <t>совм.</t>
        </is>
      </c>
      <c r="I29" s="201" t="n"/>
      <c r="J29" s="201" t="n"/>
      <c r="K29" s="202" t="n"/>
      <c r="L29" s="541" t="n"/>
      <c r="M29" s="542" t="n">
        <v>2</v>
      </c>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(COUNTIF(КлючОсень,D30)&lt;&gt;1)</f>
        <v/>
      </c>
      <c r="C30" s="196">
        <f>IF(COUNTA(E30:K30,Z30)&gt;0,1,0)+IF(COUNTA(L30:Y30)&gt;0,2,0)</f>
        <v/>
      </c>
      <c r="D30" s="179">
        <f>CONCATENATE("$",TRIM(F30),"$",TRIM(G30),"$",H30,"$")</f>
        <v/>
      </c>
      <c r="E30" s="197" t="n">
        <v>26</v>
      </c>
      <c r="F30" s="198" t="inlineStr">
        <is>
          <t>Программирование, п/г 3</t>
        </is>
      </c>
      <c r="G30" s="199" t="inlineStr">
        <is>
          <t>601-41 (ТехнолПрог-24-1)</t>
        </is>
      </c>
      <c r="H30" s="200" t="inlineStr">
        <is>
          <t>совм.</t>
        </is>
      </c>
      <c r="I30" s="201" t="n"/>
      <c r="J30" s="201" t="n"/>
      <c r="K30" s="202" t="n"/>
      <c r="L30" s="541" t="n"/>
      <c r="M30" s="542" t="n">
        <v>2</v>
      </c>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(COUNTIF(КлючОсень,D31)&lt;&gt;1)</f>
        <v/>
      </c>
      <c r="C31" s="196">
        <f>IF(COUNTA(E31:K31,Z31)&gt;0,1,0)+IF(COUNTA(L31:Y31)&gt;0,2,0)</f>
        <v/>
      </c>
      <c r="D31" s="179">
        <f>CONCATENATE("$",TRIM(F31),"$",TRIM(G31),"$",H31,"$")</f>
        <v/>
      </c>
      <c r="E31" s="197" t="n">
        <v>26</v>
      </c>
      <c r="F31" s="198" t="inlineStr">
        <is>
          <t>Программирование, п/г 3</t>
        </is>
      </c>
      <c r="G31" s="199" t="inlineStr">
        <is>
          <t>601-41 (ТехнолПрог-24-1)</t>
        </is>
      </c>
      <c r="H31" s="200" t="inlineStr">
        <is>
          <t>совм.</t>
        </is>
      </c>
      <c r="I31" s="201" t="n"/>
      <c r="J31" s="201" t="n"/>
      <c r="K31" s="202" t="n"/>
      <c r="L31" s="541" t="n"/>
      <c r="M31" s="542" t="n">
        <v>2</v>
      </c>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(COUNTIF(КлючОсень,D32)&lt;&gt;1)</f>
        <v/>
      </c>
      <c r="C32" s="196">
        <f>IF(COUNTA(E32:K32,Z32)&gt;0,1,0)+IF(COUNTA(L32:Y32)&gt;0,2,0)</f>
        <v/>
      </c>
      <c r="D32" s="179">
        <f>CONCATENATE("$",TRIM(F32),"$",TRIM(G32),"$",H32,"$")</f>
        <v/>
      </c>
      <c r="E32" s="197" t="n">
        <v>27</v>
      </c>
      <c r="F32" s="198" t="inlineStr">
        <is>
          <t>Математический анализ</t>
        </is>
      </c>
      <c r="G32" s="199" t="inlineStr">
        <is>
          <t>606-42 (ИИиЭС-24-1)</t>
        </is>
      </c>
      <c r="H32" s="200" t="inlineStr">
        <is>
          <t>совм.</t>
        </is>
      </c>
      <c r="I32" s="201" t="n"/>
      <c r="J32" s="201" t="n"/>
      <c r="K32" s="202" t="n"/>
      <c r="L32" s="541" t="n"/>
      <c r="M32" s="542" t="n">
        <v>2</v>
      </c>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(COUNTIF(КлючОсень,D33)&lt;&gt;1)</f>
        <v/>
      </c>
      <c r="C33" s="196">
        <f>IF(COUNTA(E33:K33,Z33)&gt;0,1,0)+IF(COUNTA(L33:Y33)&gt;0,2,0)</f>
        <v/>
      </c>
      <c r="D33" s="179">
        <f>CONCATENATE("$",TRIM(F33),"$",TRIM(G33),"$",H33,"$")</f>
        <v/>
      </c>
      <c r="E33" s="197" t="n">
        <v>27</v>
      </c>
      <c r="F33" s="198" t="inlineStr">
        <is>
          <t>Математический анализ</t>
        </is>
      </c>
      <c r="G33" s="199" t="inlineStr">
        <is>
          <t>606-41 (АСОИУ-24-1)</t>
        </is>
      </c>
      <c r="H33" s="200" t="inlineStr">
        <is>
          <t>совм.</t>
        </is>
      </c>
      <c r="I33" s="201" t="n"/>
      <c r="J33" s="201" t="n"/>
      <c r="K33" s="202" t="n"/>
      <c r="L33" s="541" t="n"/>
      <c r="M33" s="542" t="n">
        <v>2</v>
      </c>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(COUNTIF(КлючОсень,D34)&lt;&gt;1)</f>
        <v/>
      </c>
      <c r="C34" s="196">
        <f>IF(COUNTA(E34:K34,Z34)&gt;0,1,0)+IF(COUNTA(L34:Y34)&gt;0,2,0)</f>
        <v/>
      </c>
      <c r="D34" s="179">
        <f>CONCATENATE("$",TRIM(F34),"$",TRIM(G34),"$",H34,"$")</f>
        <v/>
      </c>
      <c r="E34" s="197" t="n">
        <v>27</v>
      </c>
      <c r="F34" s="198" t="inlineStr">
        <is>
          <t>Дискретная математика</t>
        </is>
      </c>
      <c r="G34" s="199" t="inlineStr">
        <is>
          <t>605-31 (УТС-23-1)</t>
        </is>
      </c>
      <c r="H34" s="200" t="inlineStr">
        <is>
          <t>совм.</t>
        </is>
      </c>
      <c r="I34" s="201" t="n"/>
      <c r="J34" s="201" t="n"/>
      <c r="K34" s="202" t="n"/>
      <c r="L34" s="541" t="n"/>
      <c r="M34" s="542" t="n">
        <v>2</v>
      </c>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(COUNTIF(КлючОсень,D35)&lt;&gt;1)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(COUNTIF(КлючОсень,D36)&lt;&gt;1)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(COUNTIF(КлючОсень,D37)&lt;&gt;1)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(COUNTIF(КлючОсень,D38)&lt;&gt;1)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(COUNTIF(КлючОсень,D39)&lt;&gt;1)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(COUNTIF(КлючОсень,D40)&lt;&gt;1)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(COUNTIF(КлючОсень,D41)&lt;&gt;1)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(COUNTIF(КлючОсень,D42)&lt;&gt;1)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(COUNTIF(КлючОсень,D43)&lt;&gt;1)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(COUNTIF(КлючОсень,D44)&lt;&gt;1)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(COUNTIF(КлючОсень,D45)&lt;&gt;1)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(COUNTIF(КлючОсень,D46)&lt;&gt;1)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(COUNTIF(КлючОсень,D47)&lt;&gt;1)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(COUNTIF(КлючОсень,D48)&lt;&gt;1)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(COUNTIF(КлючОсень,D49)&lt;&gt;1)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(COUNTIF(КлючОсень,D50)&lt;&gt;1)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(COUNTIF(КлючОсень,D51)&lt;&gt;1)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(COUNTIF(КлючОсень,D52)&lt;&gt;1)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(COUNTIF(КлючОсень,D53)&lt;&gt;1)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(COUNTIF(КлючОсень,D54)&lt;&gt;1)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(COUNTIF(КлючОсень,D55)&lt;&gt;1)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(COUNTIF(КлючОсень,D56)&lt;&gt;1)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(COUNTIF(КлючОсень,D57)&lt;&gt;1)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(COUNTIF(КлючОсень,D58)&lt;&gt;1)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(COUNTIF(КлючОсень,D59)&lt;&gt;1)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(COUNTIF(КлючОсень,D60)&lt;&gt;1)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(COUNTIF(КлючОсень,D61)&lt;&gt;1)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(COUNTIF(КлючОсень,D62)&lt;&gt;1)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(COUNTIF(КлючОсень,D63)&lt;&gt;1)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(COUNTIF(КлючОсень,D64)&lt;&gt;1)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(COUNTIF(КлючОсень,D65)&lt;&gt;1)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(COUNTIF(КлючОсень,D66)&lt;&gt;1)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(COUNTIF(КлючОсень,D67)&lt;&gt;1)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(COUNTIF(КлючОсень,D68)&lt;&gt;1)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(COUNTIF(КлючОсень,D69)&lt;&gt;1)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(COUNTIF(КлючОсень,D70)&lt;&gt;1)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(COUNTIF(КлючОсень,D71)&lt;&gt;1)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(COUNTIF(КлючОсень,D72)&lt;&gt;1)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(COUNTIF(КлючОсень,D73)&lt;&gt;1)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(COUNTIF(КлючОсень,D74)&lt;&gt;1)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(COUNTIF(КлючОсень,D75)&lt;&gt;1)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(COUNTIF(КлючОсень,D76)&lt;&gt;1)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(COUNTIF(КлючОсень,D77)&lt;&gt;1)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(COUNTIF(КлючОсень,D78)&lt;&gt;1)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(COUNTIF(КлючОсень,D79)&lt;&gt;1)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(COUNTIF(КлючОсень,D80)&lt;&gt;1)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(COUNTIF(КлючОсень,D81)&lt;&gt;1)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(COUNTIF(КлючОсень,D82)&lt;&gt;1)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(COUNTIF(КлючОсень,D83)&lt;&gt;1)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(COUNTIF(КлючОсень,D84)&lt;&gt;1)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(COUNTIF(КлючОсень,D85)&lt;&gt;1)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(COUNTIF(КлючОсень,D86)&lt;&gt;1)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(COUNTIF(КлючОсень,D87)&lt;&gt;1)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(COUNTIF(КлючОсень,D88)&lt;&gt;1)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(COUNTIF(КлючОсень,D89)&lt;&gt;1)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(COUNTIF(КлючОсень,D90)&lt;&gt;1)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(COUNTIF(КлючОсень,D91)&lt;&gt;1)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(COUNTIF(КлючОсень,D92)&lt;&gt;1)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(COUNTIF(КлючОсень,D93)&lt;&gt;1)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(COUNTIF(КлючОсень,D94)&lt;&gt;1)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(COUNTIF(КлючОсень,D95)&lt;&gt;1)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(COUNTIF(КлючОсень,D96)&lt;&gt;1)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(COUNTIF(КлючОсень,D97)&lt;&gt;1)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(COUNTIF(КлючОсень,D98)&lt;&gt;1)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(COUNTIF(КлючОсень,D99)&lt;&gt;1)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(COUNTIF(КлючОсень,D100)&lt;&gt;1)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(COUNTIF(КлючОсень,D101)&lt;&gt;1)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(COUNTIF(КлючОсень,D102)&lt;&gt;1)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(COUNTIF(КлючОсень,D103)&lt;&gt;1)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(COUNTIF(КлючОсень,D104)&lt;&gt;1)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(COUNTIF(КлючОсень,D105)&lt;&gt;1)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(COUNTIF(КлючОсень,D106)&lt;&gt;1)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(COUNTIF(КлючОсень,D107)&lt;&gt;1)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(COUNTIF(КлючОсень,D108)&lt;&gt;1)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(COUNTIF(КлючОсень,D109)&lt;&gt;1)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(COUNTIF(КлючОсень,D110)&lt;&gt;1)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(COUNTIF(КлючОсень,D111)&lt;&gt;1)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(COUNTIF(КлючОсень,D112)&lt;&gt;1)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(COUNTIF(КлючОсень,D113)&lt;&gt;1)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(COUNTIF(КлючОсень,D114)&lt;&gt;1)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(COUNTIF(КлючОсень,D115)&lt;&gt;1)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(COUNTIF(КлючОсень,D116)&lt;&gt;1)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(COUNTIF(КлючОсень,D117)&lt;&gt;1)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(COUNTIF(КлючОсень,D118)&lt;&gt;1)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(COUNTIF(КлючОсень,D119)&lt;&gt;1)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(COUNTIF(КлючОсень,D120)&lt;&gt;1)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(COUNTIF(КлючОсень,D121)&lt;&gt;1)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(COUNTIF(КлючОсень,D122)&lt;&gt;1)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(COUNTIF(КлючОсень,D123)&lt;&gt;1)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(COUNTIF(КлючОсень,D124)&lt;&gt;1)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(COUNTIF(КлючОсень,D125)&lt;&gt;1)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(COUNTIF(КлючОсень,D126)&lt;&gt;1)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(COUNTIF(КлючОсень,D127)&lt;&gt;1)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(COUNTIF(КлючОсень,D128)&lt;&gt;1)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(COUNTIF(КлючОсень,D129)&lt;&gt;1)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(COUNTIF(КлючОсень,D130)&lt;&gt;1)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(COUNTIF(КлючОсень,D131)&lt;&gt;1)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(COUNTIF(КлючОсень,D132)&lt;&gt;1)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(COUNTIF(КлючОсень,D133)&lt;&gt;1)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(COUNTIF(КлючОсень,D134)&lt;&gt;1)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(COUNTIF(КлючОсень,D135)&lt;&gt;1)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(COUNTIF(КлючОсень,D136)&lt;&gt;1)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(COUNTIF(КлючОсень,D137)&lt;&gt;1)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(COUNTIF(КлючОсень,D138)&lt;&gt;1)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(COUNTIF(КлючОсень,D139)&lt;&gt;1)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(COUNTIF(КлючОсень,D140)&lt;&gt;1)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(COUNTIF(КлючОсень,D141)&lt;&gt;1)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(COUNTIF(КлючОсень,D142)&lt;&gt;1)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(COUNTIF(КлючОсень,D143)&lt;&gt;1)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(COUNTIF(КлючОсень,D144)&lt;&gt;1)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(COUNTIF(КлючОсень,D145)&lt;&gt;1)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(COUNTIF(КлючОсень,D146)&lt;&gt;1)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(COUNTIF(КлючОсень,D147)&lt;&gt;1)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(COUNTIF(КлючОсень,D148)&lt;&gt;1)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(COUNTIF(КлючОсень,D149)&lt;&gt;1)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(COUNTIF(КлючОсень,D150)&lt;&gt;1)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(COUNTIF(КлючОсень,D151)&lt;&gt;1)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(COUNTIF(КлючОсень,D152)&lt;&gt;1)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(COUNTIF(КлючОсень,D153)&lt;&gt;1)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(COUNTIF(КлючОсень,D154)&lt;&gt;1)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(COUNTIF(КлючОсень,D155)&lt;&gt;1)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(COUNTIF(КлючОсень,D156)&lt;&gt;1)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(COUNTIF(КлючОсень,D157)&lt;&gt;1)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(COUNTIF(КлючОсень,D158)&lt;&gt;1)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(COUNTIF(КлючОсень,D159)&lt;&gt;1)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YFWqjYBnZXFBWjkGCo0VXw==" formatRows="1" sort="1" spinCount="100000" hashValue="d71KOhbFom41nVp89lcs+HR5DsrjsCwlFEEI+wKj+t5b2ZBOjmguMH1HsbZMX3YU7aM8S1E+rQlXNYz9ko0mRA=="/>
  <mergeCells count="5">
    <mergeCell ref="I4:J4"/>
    <mergeCell ref="I2:J2"/>
    <mergeCell ref="F2:F5"/>
    <mergeCell ref="G2:G5"/>
    <mergeCell ref="I3:J3"/>
  </mergeCells>
  <conditionalFormatting sqref="E7:Z159">
    <cfRule type="expression" priority="19" dxfId="5" stopIfTrue="1">
      <formula>($C7=0)</formula>
    </cfRule>
  </conditionalFormatting>
  <conditionalFormatting sqref="F6:H6">
    <cfRule type="expression" priority="18" dxfId="0" stopIfTrue="1">
      <formula>$G$6&lt;&gt;0</formula>
    </cfRule>
  </conditionalFormatting>
  <conditionalFormatting sqref="F7:H159">
    <cfRule type="expression" priority="21" dxfId="1" stopIfTrue="1">
      <formula>$B7</formula>
    </cfRule>
  </conditionalFormatting>
  <conditionalFormatting sqref="L6:Y6">
    <cfRule type="cellIs" priority="17" operator="notEqual" dxfId="0" stopIfTrue="1">
      <formula>0</formula>
    </cfRule>
  </conditionalFormatting>
  <conditionalFormatting sqref="L7:Y159">
    <cfRule type="expression" priority="25" dxfId="1" stopIfTrue="1">
      <formula>AND(NOT($B7),$C7&lt;2)</formula>
    </cfRule>
    <cfRule type="expression" priority="26" dxfId="0" stopIfTrue="1">
      <formula>AND($B7,L7&lt;&gt;0)</formula>
    </cfRule>
  </conditionalFormatting>
  <dataValidations count="4">
    <dataValidation sqref="E7:E159" showDropDown="0" showInputMessage="1" showErrorMessage="1" allowBlank="1" type="whole">
      <formula1>1</formula1>
      <formula2>30</formula2>
    </dataValidation>
    <dataValidation sqref="F7:F159" showDropDown="0" showInputMessage="1" showErrorMessage="0" allowBlank="1" type="list">
      <formula1>OFFSET(ДисциплиныОсень,0,0,ДисциплиныОсеньКол,1)</formula1>
    </dataValidation>
    <dataValidation sqref="G7:G159" showDropDown="0" showInputMessage="1" showErrorMessage="0" allowBlank="1" type="list">
      <formula1>OFFSET(ГруппыОсень,0,0,ГруппыОсеньКол,1)</formula1>
    </dataValidation>
    <dataValidation sqref="H7:H159" showDropDown="0" showInputMessage="1" showErrorMessage="0" allowBlank="1" type="list">
      <formula1>ВидыНагр</formula1>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9.xml><?xml version="1.0" encoding="utf-8"?>
<worksheet xmlns="http://schemas.openxmlformats.org/spreadsheetml/2006/main">
  <sheetPr codeName="Лист11">
    <tabColor rgb="FFFFFF66"/>
    <outlinePr summaryBelow="0" summaryRight="0"/>
    <pageSetUpPr fitToPage="1"/>
  </sheetPr>
  <dimension ref="A1:Z160"/>
  <sheetViews>
    <sheetView zoomScale="85" zoomScaleNormal="100" workbookViewId="0">
      <pane xSplit="8" ySplit="6" topLeftCell="I32" activePane="bottomRight" state="frozen"/>
      <selection activeCell="E7" sqref="E7"/>
      <selection pane="topRight" activeCell="E7" sqref="E7"/>
      <selection pane="bottomLeft" activeCell="E7" sqref="E7"/>
      <selection pane="bottomRight" activeCell="S36" sqref="S36"/>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11"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15"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1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Утв_Осень</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(COUNTIF(КлючОсень,D7)&lt;&gt;1)</f>
        <v/>
      </c>
      <c r="C7" s="196">
        <f>IF(COUNTA(E7:K7,Z7)&gt;0,1,0)+IF(COUNTA(L7:Y7)&gt;0,2,0)</f>
        <v/>
      </c>
      <c r="D7" s="179">
        <f>CONCATENATE("$",TRIM(F7),"$",TRIM(G7),"$",H7,"$")</f>
        <v/>
      </c>
      <c r="E7" s="197" t="n">
        <v>1</v>
      </c>
      <c r="F7" s="198" t="inlineStr">
        <is>
          <t>Математический анализ</t>
        </is>
      </c>
      <c r="G7" s="199" t="inlineStr">
        <is>
          <t>606-41 (АСОИУ-24-1)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(COUNTIF(КлючОсень,D8)&lt;&gt;1)</f>
        <v/>
      </c>
      <c r="C8" s="196">
        <f>IF(COUNTA(E8:K8,Z8)&gt;0,1,0)+IF(COUNTA(L8:Y8)&gt;0,2,0)</f>
        <v/>
      </c>
      <c r="D8" s="179">
        <f>CONCATENATE("$",TRIM(F8),"$",TRIM(G8),"$",H8,"$")</f>
        <v/>
      </c>
      <c r="E8" s="197" t="n">
        <v>1</v>
      </c>
      <c r="F8" s="198" t="inlineStr">
        <is>
          <t>Математический анализ</t>
        </is>
      </c>
      <c r="G8" s="199" t="inlineStr">
        <is>
          <t>606-42 (ИИиЭС-24-1)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(COUNTIF(КлючОсень,D9)&lt;&gt;1)</f>
        <v/>
      </c>
      <c r="C9" s="196">
        <f>IF(COUNTA(E9:K9,Z9)&gt;0,1,0)+IF(COUNTA(L9:Y9)&gt;0,2,0)</f>
        <v/>
      </c>
      <c r="D9" s="179">
        <f>CONCATENATE("$",TRIM(F9),"$",TRIM(G9),"$",H9,"$")</f>
        <v/>
      </c>
      <c r="E9" s="197" t="n">
        <v>3</v>
      </c>
      <c r="F9" s="198" t="inlineStr">
        <is>
          <t>Программирование, п/г 3</t>
        </is>
      </c>
      <c r="G9" s="199" t="inlineStr">
        <is>
          <t>601-41 (ТехнолПрог-24-1)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(COUNTIF(КлючОсень,D10)&lt;&gt;1)</f>
        <v/>
      </c>
      <c r="C10" s="196">
        <f>IF(COUNTA(E10:K10,Z10)&gt;0,1,0)+IF(COUNTA(L10:Y10)&gt;0,2,0)</f>
        <v/>
      </c>
      <c r="D10" s="179">
        <f>CONCATENATE("$",TRIM(F10),"$",TRIM(G10),"$",H10,"$")</f>
        <v/>
      </c>
      <c r="E10" s="197" t="n">
        <v>3</v>
      </c>
      <c r="F10" s="198" t="inlineStr">
        <is>
          <t>Программирование, п/г 3</t>
        </is>
      </c>
      <c r="G10" s="199" t="inlineStr">
        <is>
          <t>601-41 (ТехнолПрог-24-1)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(COUNTIF(КлючОсень,D11)&lt;&gt;1)</f>
        <v/>
      </c>
      <c r="C11" s="196">
        <f>IF(COUNTA(E11:K11,Z11)&gt;0,1,0)+IF(COUNTA(L11:Y11)&gt;0,2,0)</f>
        <v/>
      </c>
      <c r="D11" s="179">
        <f>CONCATENATE("$",TRIM(F11),"$",TRIM(G11),"$",H11,"$")</f>
        <v/>
      </c>
      <c r="E11" s="197" t="n">
        <v>4</v>
      </c>
      <c r="F11" s="198" t="inlineStr">
        <is>
          <t>Математический анализ</t>
        </is>
      </c>
      <c r="G11" s="199" t="inlineStr">
        <is>
          <t>606-42 (ИИиЭС-24-1)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(COUNTIF(КлючОсень,D12)&lt;&gt;1)</f>
        <v/>
      </c>
      <c r="C12" s="196">
        <f>IF(COUNTA(E12:K12,Z12)&gt;0,1,0)+IF(COUNTA(L12:Y12)&gt;0,2,0)</f>
        <v/>
      </c>
      <c r="D12" s="179">
        <f>CONCATENATE("$",TRIM(F12),"$",TRIM(G12),"$",H12,"$")</f>
        <v/>
      </c>
      <c r="E12" s="197" t="n">
        <v>4</v>
      </c>
      <c r="F12" s="198" t="inlineStr">
        <is>
          <t>Математический анализ</t>
        </is>
      </c>
      <c r="G12" s="199" t="inlineStr">
        <is>
          <t>606-41 (АСОИУ-24-1)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(COUNTIF(КлючОсень,D13)&lt;&gt;1)</f>
        <v/>
      </c>
      <c r="C13" s="196">
        <f>IF(COUNTA(E13:K13,Z13)&gt;0,1,0)+IF(COUNTA(L13:Y13)&gt;0,2,0)</f>
        <v/>
      </c>
      <c r="D13" s="179">
        <f>CONCATENATE("$",TRIM(F13),"$",TRIM(G13),"$",H13,"$")</f>
        <v/>
      </c>
      <c r="E13" s="197" t="n">
        <v>4</v>
      </c>
      <c r="F13" s="198" t="inlineStr">
        <is>
          <t>Дискретная математика</t>
        </is>
      </c>
      <c r="G13" s="199" t="inlineStr">
        <is>
          <t>605-31 (УТС-23-1)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(COUNTIF(КлючОсень,D14)&lt;&gt;1)</f>
        <v/>
      </c>
      <c r="C14" s="196">
        <f>IF(COUNTA(E14:K14,Z14)&gt;0,1,0)+IF(COUNTA(L14:Y14)&gt;0,2,0)</f>
        <v/>
      </c>
      <c r="D14" s="179">
        <f>CONCATENATE("$",TRIM(F14),"$",TRIM(G14),"$",H14,"$")</f>
        <v/>
      </c>
      <c r="E14" s="197" t="n">
        <v>8</v>
      </c>
      <c r="F14" s="198" t="inlineStr">
        <is>
          <t>Математический анализ</t>
        </is>
      </c>
      <c r="G14" s="199" t="inlineStr">
        <is>
          <t>606-41 (АСОИУ-24-1)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(COUNTIF(КлючОсень,D15)&lt;&gt;1)</f>
        <v/>
      </c>
      <c r="C15" s="196">
        <f>IF(COUNTA(E15:K15,Z15)&gt;0,1,0)+IF(COUNTA(L15:Y15)&gt;0,2,0)</f>
        <v/>
      </c>
      <c r="D15" s="179">
        <f>CONCATENATE("$",TRIM(F15),"$",TRIM(G15),"$",H15,"$")</f>
        <v/>
      </c>
      <c r="E15" s="197" t="n">
        <v>8</v>
      </c>
      <c r="F15" s="198" t="inlineStr">
        <is>
          <t>Математический анализ</t>
        </is>
      </c>
      <c r="G15" s="199" t="inlineStr">
        <is>
          <t>606-42 (ИИиЭС-24-1)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(COUNTIF(КлючОсень,D16)&lt;&gt;1)</f>
        <v/>
      </c>
      <c r="C16" s="196">
        <f>IF(COUNTA(E16:K16,Z16)&gt;0,1,0)+IF(COUNTA(L16:Y16)&gt;0,2,0)</f>
        <v/>
      </c>
      <c r="D16" s="179">
        <f>CONCATENATE("$",TRIM(F16),"$",TRIM(G16),"$",H16,"$")</f>
        <v/>
      </c>
      <c r="E16" s="197" t="n">
        <v>10</v>
      </c>
      <c r="F16" s="198" t="inlineStr">
        <is>
          <t>Программирование, п/г 3</t>
        </is>
      </c>
      <c r="G16" s="199" t="inlineStr">
        <is>
          <t>601-41 (ТехнолПрог-24-1)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(COUNTIF(КлючОсень,D17)&lt;&gt;1)</f>
        <v/>
      </c>
      <c r="C17" s="196">
        <f>IF(COUNTA(E17:K17,Z17)&gt;0,1,0)+IF(COUNTA(L17:Y17)&gt;0,2,0)</f>
        <v/>
      </c>
      <c r="D17" s="179">
        <f>CONCATENATE("$",TRIM(F17),"$",TRIM(G17),"$",H17,"$")</f>
        <v/>
      </c>
      <c r="E17" s="197" t="n">
        <v>10</v>
      </c>
      <c r="F17" s="198" t="inlineStr">
        <is>
          <t>Программирование, п/г 3</t>
        </is>
      </c>
      <c r="G17" s="199" t="inlineStr">
        <is>
          <t>601-41 (ТехнолПрог-24-1)</t>
        </is>
      </c>
      <c r="H17" s="200" t="inlineStr">
        <is>
          <t>совм.</t>
        </is>
      </c>
      <c r="I17" s="201" t="n"/>
      <c r="J17" s="201" t="n"/>
      <c r="K17" s="202" t="n"/>
      <c r="L17" s="541" t="n"/>
      <c r="M17" s="542" t="n">
        <v>2</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(COUNTIF(КлючОсень,D18)&lt;&gt;1)</f>
        <v/>
      </c>
      <c r="C18" s="196">
        <f>IF(COUNTA(E18:K18,Z18)&gt;0,1,0)+IF(COUNTA(L18:Y18)&gt;0,2,0)</f>
        <v/>
      </c>
      <c r="D18" s="179">
        <f>CONCATENATE("$",TRIM(F18),"$",TRIM(G18),"$",H18,"$")</f>
        <v/>
      </c>
      <c r="E18" s="197" t="n">
        <v>11</v>
      </c>
      <c r="F18" s="198" t="inlineStr">
        <is>
          <t>Математический анализ</t>
        </is>
      </c>
      <c r="G18" s="199" t="inlineStr">
        <is>
          <t>606-42 (ИИиЭС-24-1)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(COUNTIF(КлючОсень,D19)&lt;&gt;1)</f>
        <v/>
      </c>
      <c r="C19" s="196">
        <f>IF(COUNTA(E19:K19,Z19)&gt;0,1,0)+IF(COUNTA(L19:Y19)&gt;0,2,0)</f>
        <v/>
      </c>
      <c r="D19" s="179">
        <f>CONCATENATE("$",TRIM(F19),"$",TRIM(G19),"$",H19,"$")</f>
        <v/>
      </c>
      <c r="E19" s="197" t="n">
        <v>11</v>
      </c>
      <c r="F19" s="198" t="inlineStr">
        <is>
          <t>Математический анализ</t>
        </is>
      </c>
      <c r="G19" s="199" t="inlineStr">
        <is>
          <t>606-41 (АСОИУ-24-1)</t>
        </is>
      </c>
      <c r="H19" s="200" t="inlineStr">
        <is>
          <t>совм.</t>
        </is>
      </c>
      <c r="I19" s="201" t="n"/>
      <c r="J19" s="201" t="n"/>
      <c r="K19" s="202" t="n"/>
      <c r="L19" s="541" t="n"/>
      <c r="M19" s="542" t="n">
        <v>2</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(COUNTIF(КлючОсень,D20)&lt;&gt;1)</f>
        <v/>
      </c>
      <c r="C20" s="196">
        <f>IF(COUNTA(E20:K20,Z20)&gt;0,1,0)+IF(COUNTA(L20:Y20)&gt;0,2,0)</f>
        <v/>
      </c>
      <c r="D20" s="179">
        <f>CONCATENATE("$",TRIM(F20),"$",TRIM(G20),"$",H20,"$")</f>
        <v/>
      </c>
      <c r="E20" s="197" t="n">
        <v>11</v>
      </c>
      <c r="F20" s="198" t="inlineStr">
        <is>
          <t>Дискретная математика</t>
        </is>
      </c>
      <c r="G20" s="199" t="inlineStr">
        <is>
          <t>605-31 (УТС-23-1)</t>
        </is>
      </c>
      <c r="H20" s="200" t="inlineStr">
        <is>
          <t>совм.</t>
        </is>
      </c>
      <c r="I20" s="201" t="n"/>
      <c r="J20" s="201" t="n"/>
      <c r="K20" s="202" t="n"/>
      <c r="L20" s="541" t="n"/>
      <c r="M20" s="542" t="n">
        <v>2</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(COUNTIF(КлючОсень,D21)&lt;&gt;1)</f>
        <v/>
      </c>
      <c r="C21" s="196">
        <f>IF(COUNTA(E21:K21,Z21)&gt;0,1,0)+IF(COUNTA(L21:Y21)&gt;0,2,0)</f>
        <v/>
      </c>
      <c r="D21" s="179">
        <f>CONCATENATE("$",TRIM(F21),"$",TRIM(G21),"$",H21,"$")</f>
        <v/>
      </c>
      <c r="E21" s="197" t="n">
        <v>15</v>
      </c>
      <c r="F21" s="198" t="inlineStr">
        <is>
          <t>Математический анализ</t>
        </is>
      </c>
      <c r="G21" s="199" t="inlineStr">
        <is>
          <t>606-41 (АСОИУ-24-1)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(COUNTIF(КлючОсень,D22)&lt;&gt;1)</f>
        <v/>
      </c>
      <c r="C22" s="196">
        <f>IF(COUNTA(E22:K22,Z22)&gt;0,1,0)+IF(COUNTA(L22:Y22)&gt;0,2,0)</f>
        <v/>
      </c>
      <c r="D22" s="179">
        <f>CONCATENATE("$",TRIM(F22),"$",TRIM(G22),"$",H22,"$")</f>
        <v/>
      </c>
      <c r="E22" s="197" t="n">
        <v>15</v>
      </c>
      <c r="F22" s="198" t="inlineStr">
        <is>
          <t>Математический анализ</t>
        </is>
      </c>
      <c r="G22" s="199" t="inlineStr">
        <is>
          <t>606-42 (ИИиЭС-24-1)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(COUNTIF(КлючОсень,D23)&lt;&gt;1)</f>
        <v/>
      </c>
      <c r="C23" s="196">
        <f>IF(COUNTA(E23:K23,Z23)&gt;0,1,0)+IF(COUNTA(L23:Y23)&gt;0,2,0)</f>
        <v/>
      </c>
      <c r="D23" s="179">
        <f>CONCATENATE("$",TRIM(F23),"$",TRIM(G23),"$",H23,"$")</f>
        <v/>
      </c>
      <c r="E23" s="197" t="n">
        <v>17</v>
      </c>
      <c r="F23" s="198" t="inlineStr">
        <is>
          <t>Программирование, п/г 3</t>
        </is>
      </c>
      <c r="G23" s="199" t="inlineStr">
        <is>
          <t>601-41 (ТехнолПрог-24-1)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(COUNTIF(КлючОсень,D24)&lt;&gt;1)</f>
        <v/>
      </c>
      <c r="C24" s="196">
        <f>IF(COUNTA(E24:K24,Z24)&gt;0,1,0)+IF(COUNTA(L24:Y24)&gt;0,2,0)</f>
        <v/>
      </c>
      <c r="D24" s="179">
        <f>CONCATENATE("$",TRIM(F24),"$",TRIM(G24),"$",H24,"$")</f>
        <v/>
      </c>
      <c r="E24" s="197" t="n">
        <v>17</v>
      </c>
      <c r="F24" s="198" t="inlineStr">
        <is>
          <t>Программирование, п/г 3</t>
        </is>
      </c>
      <c r="G24" s="199" t="inlineStr">
        <is>
          <t>601-41 (ТехнолПрог-24-1)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(COUNTIF(КлючОсень,D25)&lt;&gt;1)</f>
        <v/>
      </c>
      <c r="C25" s="196">
        <f>IF(COUNTA(E25:K25,Z25)&gt;0,1,0)+IF(COUNTA(L25:Y25)&gt;0,2,0)</f>
        <v/>
      </c>
      <c r="D25" s="179">
        <f>CONCATENATE("$",TRIM(F25),"$",TRIM(G25),"$",H25,"$")</f>
        <v/>
      </c>
      <c r="E25" s="197" t="n">
        <v>18</v>
      </c>
      <c r="F25" s="198" t="inlineStr">
        <is>
          <t>Математический анализ</t>
        </is>
      </c>
      <c r="G25" s="199" t="inlineStr">
        <is>
          <t>606-42 (ИИиЭС-24-1)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(COUNTIF(КлючОсень,D26)&lt;&gt;1)</f>
        <v/>
      </c>
      <c r="C26" s="196">
        <f>IF(COUNTA(E26:K26,Z26)&gt;0,1,0)+IF(COUNTA(L26:Y26)&gt;0,2,0)</f>
        <v/>
      </c>
      <c r="D26" s="179">
        <f>CONCATENATE("$",TRIM(F26),"$",TRIM(G26),"$",H26,"$")</f>
        <v/>
      </c>
      <c r="E26" s="197" t="n">
        <v>18</v>
      </c>
      <c r="F26" s="198" t="inlineStr">
        <is>
          <t>Математический анализ</t>
        </is>
      </c>
      <c r="G26" s="199" t="inlineStr">
        <is>
          <t>606-41 (АСОИУ-24-1)</t>
        </is>
      </c>
      <c r="H26" s="200" t="inlineStr">
        <is>
          <t>совм.</t>
        </is>
      </c>
      <c r="I26" s="201" t="n"/>
      <c r="J26" s="201" t="n"/>
      <c r="K26" s="202" t="n"/>
      <c r="L26" s="541" t="n"/>
      <c r="M26" s="542" t="n">
        <v>2</v>
      </c>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(COUNTIF(КлючОсень,D27)&lt;&gt;1)</f>
        <v/>
      </c>
      <c r="C27" s="196">
        <f>IF(COUNTA(E27:K27,Z27)&gt;0,1,0)+IF(COUNTA(L27:Y27)&gt;0,2,0)</f>
        <v/>
      </c>
      <c r="D27" s="179">
        <f>CONCATENATE("$",TRIM(F27),"$",TRIM(G27),"$",H27,"$")</f>
        <v/>
      </c>
      <c r="E27" s="197" t="n">
        <v>18</v>
      </c>
      <c r="F27" s="198" t="inlineStr">
        <is>
          <t>Дискретная математика</t>
        </is>
      </c>
      <c r="G27" s="199" t="inlineStr">
        <is>
          <t>605-31 (УТС-23-1)</t>
        </is>
      </c>
      <c r="H27" s="200" t="inlineStr">
        <is>
          <t>совм.</t>
        </is>
      </c>
      <c r="I27" s="201" t="n"/>
      <c r="J27" s="201" t="n"/>
      <c r="K27" s="202" t="n"/>
      <c r="L27" s="541" t="n"/>
      <c r="M27" s="542" t="n">
        <v>2</v>
      </c>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(COUNTIF(КлючОсень,D28)&lt;&gt;1)</f>
        <v/>
      </c>
      <c r="C28" s="196">
        <f>IF(COUNTA(E28:K28,Z28)&gt;0,1,0)+IF(COUNTA(L28:Y28)&gt;0,2,0)</f>
        <v/>
      </c>
      <c r="D28" s="179">
        <f>CONCATENATE("$",TRIM(F28),"$",TRIM(G28),"$",H28,"$")</f>
        <v/>
      </c>
      <c r="E28" s="197" t="n">
        <v>18</v>
      </c>
      <c r="F28" s="198" t="inlineStr">
        <is>
          <t>Дискретная математика</t>
        </is>
      </c>
      <c r="G28" s="199" t="inlineStr">
        <is>
          <t>605-31 (УТС-23-1)</t>
        </is>
      </c>
      <c r="H28" s="200" t="inlineStr">
        <is>
          <t>почас.</t>
        </is>
      </c>
      <c r="I28" s="201" t="n"/>
      <c r="J28" s="201" t="n"/>
      <c r="K28" s="202" t="n"/>
      <c r="L28" s="541" t="n"/>
      <c r="M28" s="542" t="n"/>
      <c r="N28" s="543" t="n"/>
      <c r="O28" s="541" t="n">
        <v>2</v>
      </c>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(COUNTIF(КлючОсень,D29)&lt;&gt;1)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(COUNTIF(КлючОсень,D30)&lt;&gt;1)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(COUNTIF(КлючОсень,D31)&lt;&gt;1)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(COUNTIF(КлючОсень,D32)&lt;&gt;1)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(COUNTIF(КлючОсень,D33)&lt;&gt;1)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(COUNTIF(КлючОсень,D34)&lt;&gt;1)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(COUNTIF(КлючОсень,D35)&lt;&gt;1)</f>
        <v/>
      </c>
      <c r="C35" s="196">
        <f>IF(COUNTA(E35:K35,Z35)&gt;0,1,0)+IF(COUNTA(L35:Y35)&gt;0,2,0)</f>
        <v/>
      </c>
      <c r="D35" s="179">
        <f>CONCATENATE("$",TRIM(F35),"$",TRIM(G35),"$",H35,"$")</f>
        <v/>
      </c>
      <c r="E35" s="197" t="n">
        <v>29</v>
      </c>
      <c r="F35" s="198" t="inlineStr">
        <is>
          <t>Математический анализ</t>
        </is>
      </c>
      <c r="G35" s="199" t="inlineStr">
        <is>
          <t>606-41 (АСОИУ-24-1)</t>
        </is>
      </c>
      <c r="H35" s="200" t="inlineStr">
        <is>
          <t>совм.</t>
        </is>
      </c>
      <c r="I35" s="201" t="n"/>
      <c r="J35" s="201" t="n"/>
      <c r="K35" s="202" t="n"/>
      <c r="L35" s="541" t="n"/>
      <c r="M35" s="542" t="n">
        <v>2</v>
      </c>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(COUNTIF(КлючОсень,D36)&lt;&gt;1)</f>
        <v/>
      </c>
      <c r="C36" s="196">
        <f>IF(COUNTA(E36:K36,Z36)&gt;0,1,0)+IF(COUNTA(L36:Y36)&gt;0,2,0)</f>
        <v/>
      </c>
      <c r="D36" s="179">
        <f>CONCATENATE("$",TRIM(F36),"$",TRIM(G36),"$",H36,"$")</f>
        <v/>
      </c>
      <c r="E36" s="197" t="n">
        <v>29</v>
      </c>
      <c r="F36" s="198" t="inlineStr">
        <is>
          <t>Математический анализ</t>
        </is>
      </c>
      <c r="G36" s="199" t="inlineStr">
        <is>
          <t>606-42 (ИИиЭС-24-1)</t>
        </is>
      </c>
      <c r="H36" s="200" t="inlineStr">
        <is>
          <t>совм.</t>
        </is>
      </c>
      <c r="I36" s="201" t="n"/>
      <c r="J36" s="201" t="n"/>
      <c r="K36" s="202" t="n"/>
      <c r="L36" s="541" t="n"/>
      <c r="M36" s="542" t="n">
        <v>2</v>
      </c>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(COUNTIF(КлючОсень,D37)&lt;&gt;1)</f>
        <v/>
      </c>
      <c r="C37" s="196">
        <f>IF(COUNTA(E37:K37,Z37)&gt;0,1,0)+IF(COUNTA(L37:Y37)&gt;0,2,0)</f>
        <v/>
      </c>
      <c r="D37" s="179">
        <f>CONCATENATE("$",TRIM(F37),"$",TRIM(G37),"$",H37,"$")</f>
        <v/>
      </c>
      <c r="E37" s="197" t="n">
        <v>31</v>
      </c>
      <c r="F37" s="198" t="inlineStr">
        <is>
          <t>Программирование, п/г 3</t>
        </is>
      </c>
      <c r="G37" s="199" t="inlineStr">
        <is>
          <t>601-41 (ТехнолПрог-24-1)</t>
        </is>
      </c>
      <c r="H37" s="200" t="inlineStr">
        <is>
          <t>совм.</t>
        </is>
      </c>
      <c r="I37" s="201" t="n"/>
      <c r="J37" s="201" t="n"/>
      <c r="K37" s="202" t="n"/>
      <c r="L37" s="541" t="n"/>
      <c r="M37" s="542" t="n">
        <v>2</v>
      </c>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(COUNTIF(КлючОсень,D38)&lt;&gt;1)</f>
        <v/>
      </c>
      <c r="C38" s="196">
        <f>IF(COUNTA(E38:K38,Z38)&gt;0,1,0)+IF(COUNTA(L38:Y38)&gt;0,2,0)</f>
        <v/>
      </c>
      <c r="D38" s="179">
        <f>CONCATENATE("$",TRIM(F38),"$",TRIM(G38),"$",H38,"$")</f>
        <v/>
      </c>
      <c r="E38" s="197" t="n">
        <v>31</v>
      </c>
      <c r="F38" s="198" t="inlineStr">
        <is>
          <t>Программирование, п/г 3</t>
        </is>
      </c>
      <c r="G38" s="199" t="inlineStr">
        <is>
          <t>601-41 (ТехнолПрог-24-1)</t>
        </is>
      </c>
      <c r="H38" s="200" t="inlineStr">
        <is>
          <t>совм.</t>
        </is>
      </c>
      <c r="I38" s="201" t="n"/>
      <c r="J38" s="201" t="n"/>
      <c r="K38" s="202" t="n"/>
      <c r="L38" s="541" t="n"/>
      <c r="M38" s="542" t="n">
        <v>2</v>
      </c>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(COUNTIF(КлючОсень,D39)&lt;&gt;1)</f>
        <v/>
      </c>
      <c r="C39" s="196">
        <f>IF(COUNTA(E39:K39,Z39)&gt;0,1,0)+IF(COUNTA(L39:Y39)&gt;0,2,0)</f>
        <v/>
      </c>
      <c r="D39" s="179">
        <f>CONCATENATE("$",TRIM(F39),"$",TRIM(G39),"$",H39,"$")</f>
        <v/>
      </c>
      <c r="E39" s="197" t="n">
        <v>31</v>
      </c>
      <c r="F39" s="198" t="inlineStr">
        <is>
          <t>Дискретная математика</t>
        </is>
      </c>
      <c r="G39" s="199" t="inlineStr">
        <is>
          <t>605-31 (УТС-23-1)</t>
        </is>
      </c>
      <c r="H39" s="200" t="inlineStr">
        <is>
          <t>почас.</t>
        </is>
      </c>
      <c r="I39" s="201" t="n"/>
      <c r="J39" s="201" t="n"/>
      <c r="K39" s="202" t="n"/>
      <c r="L39" s="541" t="n"/>
      <c r="M39" s="542" t="n"/>
      <c r="N39" s="543" t="n"/>
      <c r="O39" s="541" t="n">
        <v>2</v>
      </c>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(COUNTIF(КлючОсень,D40)&lt;&gt;1)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(COUNTIF(КлючОсень,D41)&lt;&gt;1)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(COUNTIF(КлючОсень,D42)&lt;&gt;1)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(COUNTIF(КлючОсень,D43)&lt;&gt;1)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(COUNTIF(КлючОсень,D44)&lt;&gt;1)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(COUNTIF(КлючОсень,D45)&lt;&gt;1)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(COUNTIF(КлючОсень,D46)&lt;&gt;1)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(COUNTIF(КлючОсень,D47)&lt;&gt;1)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(COUNTIF(КлючОсень,D48)&lt;&gt;1)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(COUNTIF(КлючОсень,D49)&lt;&gt;1)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(COUNTIF(КлючОсень,D50)&lt;&gt;1)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(COUNTIF(КлючОсень,D51)&lt;&gt;1)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(COUNTIF(КлючОсень,D52)&lt;&gt;1)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(COUNTIF(КлючОсень,D53)&lt;&gt;1)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(COUNTIF(КлючОсень,D54)&lt;&gt;1)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(COUNTIF(КлючОсень,D55)&lt;&gt;1)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(COUNTIF(КлючОсень,D56)&lt;&gt;1)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(COUNTIF(КлючОсень,D57)&lt;&gt;1)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(COUNTIF(КлючОсень,D58)&lt;&gt;1)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(COUNTIF(КлючОсень,D59)&lt;&gt;1)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(COUNTIF(КлючОсень,D60)&lt;&gt;1)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(COUNTIF(КлючОсень,D61)&lt;&gt;1)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(COUNTIF(КлючОсень,D62)&lt;&gt;1)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(COUNTIF(КлючОсень,D63)&lt;&gt;1)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(COUNTIF(КлючОсень,D64)&lt;&gt;1)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(COUNTIF(КлючОсень,D65)&lt;&gt;1)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(COUNTIF(КлючОсень,D66)&lt;&gt;1)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(COUNTIF(КлючОсень,D67)&lt;&gt;1)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(COUNTIF(КлючОсень,D68)&lt;&gt;1)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(COUNTIF(КлючОсень,D69)&lt;&gt;1)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(COUNTIF(КлючОсень,D70)&lt;&gt;1)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(COUNTIF(КлючОсень,D71)&lt;&gt;1)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(COUNTIF(КлючОсень,D72)&lt;&gt;1)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(COUNTIF(КлючОсень,D73)&lt;&gt;1)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(COUNTIF(КлючОсень,D74)&lt;&gt;1)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(COUNTIF(КлючОсень,D75)&lt;&gt;1)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(COUNTIF(КлючОсень,D76)&lt;&gt;1)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(COUNTIF(КлючОсень,D77)&lt;&gt;1)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(COUNTIF(КлючОсень,D78)&lt;&gt;1)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(COUNTIF(КлючОсень,D79)&lt;&gt;1)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(COUNTIF(КлючОсень,D80)&lt;&gt;1)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(COUNTIF(КлючОсень,D81)&lt;&gt;1)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(COUNTIF(КлючОсень,D82)&lt;&gt;1)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(COUNTIF(КлючОсень,D83)&lt;&gt;1)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(COUNTIF(КлючОсень,D84)&lt;&gt;1)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(COUNTIF(КлючОсень,D85)&lt;&gt;1)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(COUNTIF(КлючОсень,D86)&lt;&gt;1)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(COUNTIF(КлючОсень,D87)&lt;&gt;1)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(COUNTIF(КлючОсень,D88)&lt;&gt;1)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(COUNTIF(КлючОсень,D89)&lt;&gt;1)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(COUNTIF(КлючОсень,D90)&lt;&gt;1)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(COUNTIF(КлючОсень,D91)&lt;&gt;1)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(COUNTIF(КлючОсень,D92)&lt;&gt;1)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(COUNTIF(КлючОсень,D93)&lt;&gt;1)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(COUNTIF(КлючОсень,D94)&lt;&gt;1)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(COUNTIF(КлючОсень,D95)&lt;&gt;1)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(COUNTIF(КлючОсень,D96)&lt;&gt;1)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(COUNTIF(КлючОсень,D97)&lt;&gt;1)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(COUNTIF(КлючОсень,D98)&lt;&gt;1)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(COUNTIF(КлючОсень,D99)&lt;&gt;1)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(COUNTIF(КлючОсень,D100)&lt;&gt;1)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(COUNTIF(КлючОсень,D101)&lt;&gt;1)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(COUNTIF(КлючОсень,D102)&lt;&gt;1)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(COUNTIF(КлючОсень,D103)&lt;&gt;1)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(COUNTIF(КлючОсень,D104)&lt;&gt;1)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(COUNTIF(КлючОсень,D105)&lt;&gt;1)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(COUNTIF(КлючОсень,D106)&lt;&gt;1)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(COUNTIF(КлючОсень,D107)&lt;&gt;1)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(COUNTIF(КлючОсень,D108)&lt;&gt;1)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(COUNTIF(КлючОсень,D109)&lt;&gt;1)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(COUNTIF(КлючОсень,D110)&lt;&gt;1)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(COUNTIF(КлючОсень,D111)&lt;&gt;1)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(COUNTIF(КлючОсень,D112)&lt;&gt;1)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(COUNTIF(КлючОсень,D113)&lt;&gt;1)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(COUNTIF(КлючОсень,D114)&lt;&gt;1)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(COUNTIF(КлючОсень,D115)&lt;&gt;1)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(COUNTIF(КлючОсень,D116)&lt;&gt;1)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(COUNTIF(КлючОсень,D117)&lt;&gt;1)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(COUNTIF(КлючОсень,D118)&lt;&gt;1)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(COUNTIF(КлючОсень,D119)&lt;&gt;1)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(COUNTIF(КлючОсень,D120)&lt;&gt;1)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(COUNTIF(КлючОсень,D121)&lt;&gt;1)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(COUNTIF(КлючОсень,D122)&lt;&gt;1)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(COUNTIF(КлючОсень,D123)&lt;&gt;1)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(COUNTIF(КлючОсень,D124)&lt;&gt;1)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(COUNTIF(КлючОсень,D125)&lt;&gt;1)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(COUNTIF(КлючОсень,D126)&lt;&gt;1)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(COUNTIF(КлючОсень,D127)&lt;&gt;1)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(COUNTIF(КлючОсень,D128)&lt;&gt;1)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(COUNTIF(КлючОсень,D129)&lt;&gt;1)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(COUNTIF(КлючОсень,D130)&lt;&gt;1)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(COUNTIF(КлючОсень,D131)&lt;&gt;1)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(COUNTIF(КлючОсень,D132)&lt;&gt;1)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(COUNTIF(КлючОсень,D133)&lt;&gt;1)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(COUNTIF(КлючОсень,D134)&lt;&gt;1)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(COUNTIF(КлючОсень,D135)&lt;&gt;1)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(COUNTIF(КлючОсень,D136)&lt;&gt;1)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(COUNTIF(КлючОсень,D137)&lt;&gt;1)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(COUNTIF(КлючОсень,D138)&lt;&gt;1)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(COUNTIF(КлючОсень,D139)&lt;&gt;1)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(COUNTIF(КлючОсень,D140)&lt;&gt;1)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(COUNTIF(КлючОсень,D141)&lt;&gt;1)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(COUNTIF(КлючОсень,D142)&lt;&gt;1)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(COUNTIF(КлючОсень,D143)&lt;&gt;1)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(COUNTIF(КлючОсень,D144)&lt;&gt;1)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(COUNTIF(КлючОсень,D145)&lt;&gt;1)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(COUNTIF(КлючОсень,D146)&lt;&gt;1)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(COUNTIF(КлючОсень,D147)&lt;&gt;1)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(COUNTIF(КлючОсень,D148)&lt;&gt;1)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(COUNTIF(КлючОсень,D149)&lt;&gt;1)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(COUNTIF(КлючОсень,D150)&lt;&gt;1)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(COUNTIF(КлючОсень,D151)&lt;&gt;1)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(COUNTIF(КлючОсень,D152)&lt;&gt;1)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(COUNTIF(КлючОсень,D153)&lt;&gt;1)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(COUNTIF(КлючОсень,D154)&lt;&gt;1)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(COUNTIF(КлючОсень,D155)&lt;&gt;1)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(COUNTIF(КлючОсень,D156)&lt;&gt;1)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(COUNTIF(КлючОсень,D157)&lt;&gt;1)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(COUNTIF(КлючОсень,D158)&lt;&gt;1)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(COUNTIF(КлючОсень,D159)&lt;&gt;1)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nMlNO8oP+TXBKbCtHlBhEQ==" formatRows="1" sort="1" spinCount="100000" hashValue="min7QjNs2W0d/vOifCyXWSG+sqHTo/tyk10IRxmN5DH1vudK4N1pSuJw6Bn1DgipJ0f+JNN0GoduFNxmdE4W+g=="/>
  <mergeCells count="5">
    <mergeCell ref="I4:J4"/>
    <mergeCell ref="I2:J2"/>
    <mergeCell ref="F2:F5"/>
    <mergeCell ref="G2:G5"/>
    <mergeCell ref="I3:J3"/>
  </mergeCells>
  <conditionalFormatting sqref="E28:E39">
    <cfRule type="expression" priority="3" dxfId="5" stopIfTrue="1">
      <formula>($C28=0)</formula>
    </cfRule>
  </conditionalFormatting>
  <conditionalFormatting sqref="E7:M27">
    <cfRule type="expression" priority="11" dxfId="5" stopIfTrue="1">
      <formula>($C7=0)</formula>
    </cfRule>
  </conditionalFormatting>
  <conditionalFormatting sqref="F6:H6">
    <cfRule type="expression" priority="16" dxfId="0" stopIfTrue="1">
      <formula>$G$6&lt;&gt;0</formula>
    </cfRule>
  </conditionalFormatting>
  <conditionalFormatting sqref="F7:H27">
    <cfRule type="expression" priority="12" dxfId="1" stopIfTrue="1">
      <formula>$B7</formula>
    </cfRule>
  </conditionalFormatting>
  <conditionalFormatting sqref="F28:H38">
    <cfRule type="expression" priority="5" dxfId="1" stopIfTrue="1">
      <formula>$B28</formula>
    </cfRule>
  </conditionalFormatting>
  <conditionalFormatting sqref="F39:H39">
    <cfRule type="expression" priority="2" dxfId="1" stopIfTrue="1">
      <formula>$B39</formula>
    </cfRule>
  </conditionalFormatting>
  <conditionalFormatting sqref="F40:H159">
    <cfRule type="expression" priority="18" dxfId="1" stopIfTrue="1">
      <formula>$B40</formula>
    </cfRule>
  </conditionalFormatting>
  <conditionalFormatting sqref="F28:M38">
    <cfRule type="expression" priority="4" dxfId="5" stopIfTrue="1">
      <formula>($C28=0)</formula>
    </cfRule>
  </conditionalFormatting>
  <conditionalFormatting sqref="F39:Z39">
    <cfRule type="expression" priority="1" dxfId="5" stopIfTrue="1">
      <formula>($C39=0)</formula>
    </cfRule>
  </conditionalFormatting>
  <conditionalFormatting sqref="L7:M34">
    <cfRule type="expression" priority="13" dxfId="1" stopIfTrue="1">
      <formula>AND(NOT($B7),$C7&lt;2)</formula>
    </cfRule>
    <cfRule type="expression" priority="14" dxfId="0" stopIfTrue="1">
      <formula>AND($B7,L7&lt;&gt;0)</formula>
    </cfRule>
  </conditionalFormatting>
  <conditionalFormatting sqref="L35:M38">
    <cfRule type="expression" priority="9" dxfId="1" stopIfTrue="1">
      <formula>AND(NOT($B35),$C35&lt;2)</formula>
    </cfRule>
    <cfRule type="expression" priority="10" dxfId="0" stopIfTrue="1">
      <formula>AND($B35,L35&lt;&gt;0)</formula>
    </cfRule>
  </conditionalFormatting>
  <conditionalFormatting sqref="L6:Y6">
    <cfRule type="cellIs" priority="15" operator="notEqual" dxfId="0" stopIfTrue="1">
      <formula>0</formula>
    </cfRule>
  </conditionalFormatting>
  <conditionalFormatting sqref="L39:Y159 N7:Y38">
    <cfRule type="expression" priority="19" dxfId="1" stopIfTrue="1">
      <formula>AND(NOT($B7),$C7&lt;2)</formula>
    </cfRule>
    <cfRule type="expression" priority="20" dxfId="0" stopIfTrue="1">
      <formula>AND($B7,L7&lt;&gt;0)</formula>
    </cfRule>
  </conditionalFormatting>
  <conditionalFormatting sqref="E40:Z159 N7:Z38">
    <cfRule type="expression" priority="17" dxfId="5" stopIfTrue="1">
      <formula>($C7=0)</formula>
    </cfRule>
  </conditionalFormatting>
  <dataValidations count="4">
    <dataValidation sqref="F7:F159" showDropDown="0" showInputMessage="1" showErrorMessage="0" allowBlank="1" type="list">
      <formula1>OFFSET(ДисциплиныОсень,0,0,ДисциплиныОсеньКол,1)</formula1>
    </dataValidation>
    <dataValidation sqref="G7:G159" showDropDown="0" showInputMessage="1" showErrorMessage="0" allowBlank="1" type="list">
      <formula1>OFFSET(ГруппыОсень,0,0,ГруппыОсеньКол,1)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0.xml><?xml version="1.0" encoding="utf-8"?>
<worksheet xmlns="http://schemas.openxmlformats.org/spreadsheetml/2006/main">
  <sheetPr codeName="Лист12">
    <tabColor rgb="FFFFFF66"/>
    <outlinePr summaryBelow="0" summaryRight="0"/>
    <pageSetUpPr fitToPage="1"/>
  </sheetPr>
  <dimension ref="A1:Z160"/>
  <sheetViews>
    <sheetView zoomScale="85" zoomScaleNormal="100" workbookViewId="0">
      <pane xSplit="8" ySplit="6" topLeftCell="I20" activePane="bottomRight" state="frozen"/>
      <selection activeCell="E7" sqref="E7"/>
      <selection pane="topRight" activeCell="E7" sqref="E7"/>
      <selection pane="bottomLeft" activeCell="E7" sqref="E7"/>
      <selection pane="bottomRight" activeCell="O26" sqref="O26"/>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11"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15"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1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Утв_Осень</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(COUNTIF(КлючОсень,D7)&lt;&gt;1)</f>
        <v/>
      </c>
      <c r="C7" s="196">
        <f>IF(COUNTA(E7:K7,Z7)&gt;0,1,0)+IF(COUNTA(L7:Y7)&gt;0,2,0)</f>
        <v/>
      </c>
      <c r="D7" s="179">
        <f>CONCATENATE("$",TRIM(F7),"$",TRIM(G7),"$",H7,"$")</f>
        <v/>
      </c>
      <c r="E7" s="197" t="n">
        <v>1</v>
      </c>
      <c r="F7" s="198" t="inlineStr">
        <is>
          <t>Математический анализ</t>
        </is>
      </c>
      <c r="G7" s="199" t="inlineStr">
        <is>
          <t>606-42 (ИИиЭС-24-1)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(COUNTIF(КлючОсень,D8)&lt;&gt;1)</f>
        <v/>
      </c>
      <c r="C8" s="196">
        <f>IF(COUNTA(E8:K8,Z8)&gt;0,1,0)+IF(COUNTA(L8:Y8)&gt;0,2,0)</f>
        <v/>
      </c>
      <c r="D8" s="179">
        <f>CONCATENATE("$",TRIM(F8),"$",TRIM(G8),"$",H8,"$")</f>
        <v/>
      </c>
      <c r="E8" s="197" t="n">
        <v>1</v>
      </c>
      <c r="F8" s="198" t="inlineStr">
        <is>
          <t>Математический анализ</t>
        </is>
      </c>
      <c r="G8" s="199" t="inlineStr">
        <is>
          <t>606-41 (АСОИУ-24-1)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(COUNTIF(КлючОсень,D9)&lt;&gt;1)</f>
        <v/>
      </c>
      <c r="C9" s="196">
        <f>IF(COUNTA(E9:K9,Z9)&gt;0,1,0)+IF(COUNTA(L9:Y9)&gt;0,2,0)</f>
        <v/>
      </c>
      <c r="D9" s="179">
        <f>CONCATENATE("$",TRIM(F9),"$",TRIM(G9),"$",H9,"$")</f>
        <v/>
      </c>
      <c r="E9" s="197" t="n">
        <v>1</v>
      </c>
      <c r="F9" s="198" t="inlineStr">
        <is>
          <t>Дискретная математика</t>
        </is>
      </c>
      <c r="G9" s="199" t="inlineStr">
        <is>
          <t>605-31 (УТС-23-1)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(COUNTIF(КлючОсень,D10)&lt;&gt;1)</f>
        <v/>
      </c>
      <c r="C10" s="196">
        <f>IF(COUNTA(E10:K10,Z10)&gt;0,1,0)+IF(COUNTA(L10:Y10)&gt;0,2,0)</f>
        <v/>
      </c>
      <c r="D10" s="179">
        <f>CONCATENATE("$",TRIM(F10),"$",TRIM(G10),"$",H10,"$")</f>
        <v/>
      </c>
      <c r="E10" s="197" t="n">
        <v>5</v>
      </c>
      <c r="F10" s="198" t="inlineStr">
        <is>
          <t>Математический анализ</t>
        </is>
      </c>
      <c r="G10" s="199" t="inlineStr">
        <is>
          <t>606-41 (АСОИУ-24-1)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(COUNTIF(КлючОсень,D11)&lt;&gt;1)</f>
        <v/>
      </c>
      <c r="C11" s="196">
        <f>IF(COUNTA(E11:K11,Z11)&gt;0,1,0)+IF(COUNTA(L11:Y11)&gt;0,2,0)</f>
        <v/>
      </c>
      <c r="D11" s="179">
        <f>CONCATENATE("$",TRIM(F11),"$",TRIM(G11),"$",H11,"$")</f>
        <v/>
      </c>
      <c r="E11" s="197" t="n">
        <v>5</v>
      </c>
      <c r="F11" s="198" t="inlineStr">
        <is>
          <t>Математический анализ</t>
        </is>
      </c>
      <c r="G11" s="199" t="inlineStr">
        <is>
          <t>606-42 (ИИиЭС-24-1)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(COUNTIF(КлючОсень,D12)&lt;&gt;1)</f>
        <v/>
      </c>
      <c r="C12" s="196">
        <f>IF(COUNTA(E12:K12,Z12)&gt;0,1,0)+IF(COUNTA(L12:Y12)&gt;0,2,0)</f>
        <v/>
      </c>
      <c r="D12" s="179">
        <f>CONCATENATE("$",TRIM(F12),"$",TRIM(G12),"$",H12,"$")</f>
        <v/>
      </c>
      <c r="E12" s="197" t="n">
        <v>7</v>
      </c>
      <c r="F12" s="198" t="inlineStr">
        <is>
          <t>Программирование, п/г 3</t>
        </is>
      </c>
      <c r="G12" s="199" t="inlineStr">
        <is>
          <t>601-41 (ТехнолПрог-24-1)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(COUNTIF(КлючОсень,D13)&lt;&gt;1)</f>
        <v/>
      </c>
      <c r="C13" s="196">
        <f>IF(COUNTA(E13:K13,Z13)&gt;0,1,0)+IF(COUNTA(L13:Y13)&gt;0,2,0)</f>
        <v/>
      </c>
      <c r="D13" s="179">
        <f>CONCATENATE("$",TRIM(F13),"$",TRIM(G13),"$",H13,"$")</f>
        <v/>
      </c>
      <c r="E13" s="197" t="n">
        <v>7</v>
      </c>
      <c r="F13" s="198" t="inlineStr">
        <is>
          <t>Программирование, п/г 3</t>
        </is>
      </c>
      <c r="G13" s="199" t="inlineStr">
        <is>
          <t>601-41 (ТехнолПрог-24-1)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(COUNTIF(КлючОсень,D14)&lt;&gt;1)</f>
        <v/>
      </c>
      <c r="C14" s="196">
        <f>IF(COUNTA(E14:K14,Z14)&gt;0,1,0)+IF(COUNTA(L14:Y14)&gt;0,2,0)</f>
        <v/>
      </c>
      <c r="D14" s="179">
        <f>CONCATENATE("$",TRIM(F14),"$",TRIM(G14),"$",H14,"$")</f>
        <v/>
      </c>
      <c r="E14" s="197" t="n">
        <v>8</v>
      </c>
      <c r="F14" s="198" t="inlineStr">
        <is>
          <t>Математический анализ</t>
        </is>
      </c>
      <c r="G14" s="199" t="inlineStr">
        <is>
          <t>606-42 (ИИиЭС-24-1)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(COUNTIF(КлючОсень,D15)&lt;&gt;1)</f>
        <v/>
      </c>
      <c r="C15" s="196">
        <f>IF(COUNTA(E15:K15,Z15)&gt;0,1,0)+IF(COUNTA(L15:Y15)&gt;0,2,0)</f>
        <v/>
      </c>
      <c r="D15" s="179">
        <f>CONCATENATE("$",TRIM(F15),"$",TRIM(G15),"$",H15,"$")</f>
        <v/>
      </c>
      <c r="E15" s="197" t="n">
        <v>8</v>
      </c>
      <c r="F15" s="198" t="inlineStr">
        <is>
          <t>Математический анализ</t>
        </is>
      </c>
      <c r="G15" s="199" t="inlineStr">
        <is>
          <t>606-41 (АСОИУ-24-1)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(COUNTIF(КлючОсень,D16)&lt;&gt;1)</f>
        <v/>
      </c>
      <c r="C16" s="196">
        <f>IF(COUNTA(E16:K16,Z16)&gt;0,1,0)+IF(COUNTA(L16:Y16)&gt;0,2,0)</f>
        <v/>
      </c>
      <c r="D16" s="179">
        <f>CONCATENATE("$",TRIM(F16),"$",TRIM(G16),"$",H16,"$")</f>
        <v/>
      </c>
      <c r="E16" s="197" t="n">
        <v>8</v>
      </c>
      <c r="F16" s="198" t="inlineStr">
        <is>
          <t>Дискретная математика</t>
        </is>
      </c>
      <c r="G16" s="199" t="inlineStr">
        <is>
          <t>605-31 (УТС-23-1)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(COUNTIF(КлючОсень,D17)&lt;&gt;1)</f>
        <v/>
      </c>
      <c r="C17" s="196">
        <f>IF(COUNTA(E17:K17,Z17)&gt;0,1,0)+IF(COUNTA(L17:Y17)&gt;0,2,0)</f>
        <v/>
      </c>
      <c r="D17" s="179">
        <f>CONCATENATE("$",TRIM(F17),"$",TRIM(G17),"$",H17,"$")</f>
        <v/>
      </c>
      <c r="E17" s="197" t="n">
        <v>12</v>
      </c>
      <c r="F17" s="198" t="inlineStr">
        <is>
          <t>Математический анализ</t>
        </is>
      </c>
      <c r="G17" s="199" t="inlineStr">
        <is>
          <t>606-41 (АСОИУ-24-1)</t>
        </is>
      </c>
      <c r="H17" s="200" t="inlineStr">
        <is>
          <t>совм.</t>
        </is>
      </c>
      <c r="I17" s="201" t="n"/>
      <c r="J17" s="201" t="n"/>
      <c r="K17" s="202" t="n"/>
      <c r="L17" s="541" t="n"/>
      <c r="M17" s="542" t="n">
        <v>2</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(COUNTIF(КлючОсень,D18)&lt;&gt;1)</f>
        <v/>
      </c>
      <c r="C18" s="196">
        <f>IF(COUNTA(E18:K18,Z18)&gt;0,1,0)+IF(COUNTA(L18:Y18)&gt;0,2,0)</f>
        <v/>
      </c>
      <c r="D18" s="179">
        <f>CONCATENATE("$",TRIM(F18),"$",TRIM(G18),"$",H18,"$")</f>
        <v/>
      </c>
      <c r="E18" s="197" t="n">
        <v>12</v>
      </c>
      <c r="F18" s="198" t="inlineStr">
        <is>
          <t>Математический анализ</t>
        </is>
      </c>
      <c r="G18" s="199" t="inlineStr">
        <is>
          <t>606-42 (ИИиЭС-24-1)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(COUNTIF(КлючОсень,D19)&lt;&gt;1)</f>
        <v/>
      </c>
      <c r="C19" s="196">
        <f>IF(COUNTA(E19:K19,Z19)&gt;0,1,0)+IF(COUNTA(L19:Y19)&gt;0,2,0)</f>
        <v/>
      </c>
      <c r="D19" s="179">
        <f>CONCATENATE("$",TRIM(F19),"$",TRIM(G19),"$",H19,"$")</f>
        <v/>
      </c>
      <c r="E19" s="197" t="n">
        <v>14</v>
      </c>
      <c r="F19" s="198" t="inlineStr">
        <is>
          <t>Программирование, п/г 3</t>
        </is>
      </c>
      <c r="G19" s="199" t="inlineStr">
        <is>
          <t>601-41 (ТехнолПрог-24-1)</t>
        </is>
      </c>
      <c r="H19" s="200" t="inlineStr">
        <is>
          <t>совм.</t>
        </is>
      </c>
      <c r="I19" s="201" t="n"/>
      <c r="J19" s="201" t="n"/>
      <c r="K19" s="202" t="n"/>
      <c r="L19" s="541" t="n"/>
      <c r="M19" s="542" t="n">
        <v>2</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(COUNTIF(КлючОсень,D20)&lt;&gt;1)</f>
        <v/>
      </c>
      <c r="C20" s="196">
        <f>IF(COUNTA(E20:K20,Z20)&gt;0,1,0)+IF(COUNTA(L20:Y20)&gt;0,2,0)</f>
        <v/>
      </c>
      <c r="D20" s="179">
        <f>CONCATENATE("$",TRIM(F20),"$",TRIM(G20),"$",H20,"$")</f>
        <v/>
      </c>
      <c r="E20" s="197" t="n">
        <v>14</v>
      </c>
      <c r="F20" s="198" t="inlineStr">
        <is>
          <t>Программирование, п/г 3</t>
        </is>
      </c>
      <c r="G20" s="199" t="inlineStr">
        <is>
          <t>601-41 (ТехнолПрог-24-1)</t>
        </is>
      </c>
      <c r="H20" s="200" t="inlineStr">
        <is>
          <t>совм.</t>
        </is>
      </c>
      <c r="I20" s="201" t="n"/>
      <c r="J20" s="201" t="n"/>
      <c r="K20" s="202" t="n"/>
      <c r="L20" s="541" t="n"/>
      <c r="M20" s="542" t="n">
        <v>2</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(COUNTIF(КлючОсень,D21)&lt;&gt;1)</f>
        <v/>
      </c>
      <c r="C21" s="196">
        <f>IF(COUNTA(E21:K21,Z21)&gt;0,1,0)+IF(COUNTA(L21:Y21)&gt;0,2,0)</f>
        <v/>
      </c>
      <c r="D21" s="179">
        <f>CONCATENATE("$",TRIM(F21),"$",TRIM(G21),"$",H21,"$")</f>
        <v/>
      </c>
      <c r="E21" s="197" t="n">
        <v>15</v>
      </c>
      <c r="F21" s="198" t="inlineStr">
        <is>
          <t>Математический анализ</t>
        </is>
      </c>
      <c r="G21" s="199" t="inlineStr">
        <is>
          <t>606-42 (ИИиЭС-24-1)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(COUNTIF(КлючОсень,D22)&lt;&gt;1)</f>
        <v/>
      </c>
      <c r="C22" s="196">
        <f>IF(COUNTA(E22:K22,Z22)&gt;0,1,0)+IF(COUNTA(L22:Y22)&gt;0,2,0)</f>
        <v/>
      </c>
      <c r="D22" s="179">
        <f>CONCATENATE("$",TRIM(F22),"$",TRIM(G22),"$",H22,"$")</f>
        <v/>
      </c>
      <c r="E22" s="197" t="n">
        <v>15</v>
      </c>
      <c r="F22" s="198" t="inlineStr">
        <is>
          <t>Математический анализ</t>
        </is>
      </c>
      <c r="G22" s="199" t="inlineStr">
        <is>
          <t>606-41 (АСОИУ-24-1)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(COUNTIF(КлючОсень,D23)&lt;&gt;1)</f>
        <v/>
      </c>
      <c r="C23" s="196">
        <f>IF(COUNTA(E23:K23,Z23)&gt;0,1,0)+IF(COUNTA(L23:Y23)&gt;0,2,0)</f>
        <v/>
      </c>
      <c r="D23" s="179">
        <f>CONCATENATE("$",TRIM(F23),"$",TRIM(G23),"$",H23,"$")</f>
        <v/>
      </c>
      <c r="E23" s="197" t="n">
        <v>15</v>
      </c>
      <c r="F23" s="198" t="inlineStr">
        <is>
          <t>Дискретная математика</t>
        </is>
      </c>
      <c r="G23" s="199" t="inlineStr">
        <is>
          <t>605-31 (УТС-23-1)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(COUNTIF(КлючОсень,D24)&lt;&gt;1)</f>
        <v/>
      </c>
      <c r="C24" s="196">
        <f>IF(COUNTA(E24:K24,Z24)&gt;0,1,0)+IF(COUNTA(L24:Y24)&gt;0,2,0)</f>
        <v/>
      </c>
      <c r="D24" s="179">
        <f>CONCATENATE("$",TRIM(F24),"$",TRIM(G24),"$",H24,"$")</f>
        <v/>
      </c>
      <c r="E24" s="197" t="n">
        <v>19</v>
      </c>
      <c r="F24" s="198" t="inlineStr">
        <is>
          <t>Математический анализ</t>
        </is>
      </c>
      <c r="G24" s="199" t="inlineStr">
        <is>
          <t>606-41 (АСОИУ-24-1)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(COUNTIF(КлючОсень,D25)&lt;&gt;1)</f>
        <v/>
      </c>
      <c r="C25" s="196">
        <f>IF(COUNTA(E25:K25,Z25)&gt;0,1,0)+IF(COUNTA(L25:Y25)&gt;0,2,0)</f>
        <v/>
      </c>
      <c r="D25" s="179">
        <f>CONCATENATE("$",TRIM(F25),"$",TRIM(G25),"$",H25,"$")</f>
        <v/>
      </c>
      <c r="E25" s="197" t="n">
        <v>19</v>
      </c>
      <c r="F25" s="198" t="inlineStr">
        <is>
          <t>Математический анализ</t>
        </is>
      </c>
      <c r="G25" s="199" t="inlineStr">
        <is>
          <t>606-42 (ИИиЭС-24-1)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(COUNTIF(КлючОсень,D26)&lt;&gt;1)</f>
        <v/>
      </c>
      <c r="C26" s="196">
        <f>IF(COUNTA(E26:K26,Z26)&gt;0,1,0)+IF(COUNTA(L26:Y26)&gt;0,2,0)</f>
        <v/>
      </c>
      <c r="D26" s="179">
        <f>CONCATENATE("$",TRIM(F26),"$",TRIM(G26),"$",H26,"$")</f>
        <v/>
      </c>
      <c r="E26" s="197" t="n">
        <v>19</v>
      </c>
      <c r="F26" s="198" t="inlineStr">
        <is>
          <t>Дискретная математика</t>
        </is>
      </c>
      <c r="G26" s="199" t="inlineStr">
        <is>
          <t>605-31 (УТС-23-1)</t>
        </is>
      </c>
      <c r="H26" s="200" t="inlineStr">
        <is>
          <t>почас.</t>
        </is>
      </c>
      <c r="I26" s="201" t="n"/>
      <c r="J26" s="201" t="n"/>
      <c r="K26" s="202" t="n"/>
      <c r="L26" s="541" t="n"/>
      <c r="M26" s="542" t="n"/>
      <c r="N26" s="543" t="n"/>
      <c r="O26" s="541" t="n">
        <v>2</v>
      </c>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(COUNTIF(КлючОсень,D27)&lt;&gt;1)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(COUNTIF(КлючОсень,D28)&lt;&gt;1)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(COUNTIF(КлючОсень,D29)&lt;&gt;1)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(COUNTIF(КлючОсень,D30)&lt;&gt;1)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(COUNTIF(КлючОсень,D31)&lt;&gt;1)</f>
        <v/>
      </c>
      <c r="C31" s="196">
        <f>IF(COUNTA(E31:K31,Z31)&gt;0,1,0)+IF(COUNTA(L31:Y31)&gt;0,2,0)</f>
        <v/>
      </c>
      <c r="D31" s="179">
        <f>CONCATENATE("$",TRIM(F31),"$",TRIM(G31),"$",H31,"$")</f>
        <v/>
      </c>
      <c r="E31" s="197" t="n">
        <v>26</v>
      </c>
      <c r="F31" s="198" t="inlineStr">
        <is>
          <t>Математический анализ</t>
        </is>
      </c>
      <c r="G31" s="199" t="inlineStr">
        <is>
          <t>606-41 (АСОИУ-24-1)</t>
        </is>
      </c>
      <c r="H31" s="200" t="inlineStr">
        <is>
          <t>совм.</t>
        </is>
      </c>
      <c r="I31" s="201" t="n"/>
      <c r="J31" s="201" t="n"/>
      <c r="K31" s="202" t="n"/>
      <c r="L31" s="541" t="n"/>
      <c r="M31" s="542" t="n">
        <v>2</v>
      </c>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(COUNTIF(КлючОсень,D32)&lt;&gt;1)</f>
        <v/>
      </c>
      <c r="C32" s="196">
        <f>IF(COUNTA(E32:K32,Z32)&gt;0,1,0)+IF(COUNTA(L32:Y32)&gt;0,2,0)</f>
        <v/>
      </c>
      <c r="D32" s="179">
        <f>CONCATENATE("$",TRIM(F32),"$",TRIM(G32),"$",H32,"$")</f>
        <v/>
      </c>
      <c r="E32" s="197" t="n">
        <v>26</v>
      </c>
      <c r="F32" s="198" t="inlineStr">
        <is>
          <t>Математический анализ</t>
        </is>
      </c>
      <c r="G32" s="199" t="inlineStr">
        <is>
          <t>606-42 (ИИиЭС-24-1)</t>
        </is>
      </c>
      <c r="H32" s="200" t="inlineStr">
        <is>
          <t>совм.</t>
        </is>
      </c>
      <c r="I32" s="201" t="n"/>
      <c r="J32" s="201" t="n"/>
      <c r="K32" s="202" t="n"/>
      <c r="L32" s="541" t="n"/>
      <c r="M32" s="542" t="n">
        <v>2</v>
      </c>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(COUNTIF(КлючОсень,D33)&lt;&gt;1)</f>
        <v/>
      </c>
      <c r="C33" s="196">
        <f>IF(COUNTA(E33:K33,Z33)&gt;0,1,0)+IF(COUNTA(L33:Y33)&gt;0,2,0)</f>
        <v/>
      </c>
      <c r="D33" s="179">
        <f>CONCATENATE("$",TRIM(F33),"$",TRIM(G33),"$",H33,"$")</f>
        <v/>
      </c>
      <c r="E33" s="197" t="n">
        <v>28</v>
      </c>
      <c r="F33" s="198" t="inlineStr">
        <is>
          <t>Программирование, п/г 3</t>
        </is>
      </c>
      <c r="G33" s="199" t="inlineStr">
        <is>
          <t>601-41 (ТехнолПрог-24-1)</t>
        </is>
      </c>
      <c r="H33" s="200" t="inlineStr">
        <is>
          <t>совм.</t>
        </is>
      </c>
      <c r="I33" s="201" t="n"/>
      <c r="J33" s="201" t="n"/>
      <c r="K33" s="202" t="n"/>
      <c r="L33" s="541" t="n"/>
      <c r="M33" s="542" t="n">
        <v>2</v>
      </c>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(COUNTIF(КлючОсень,D34)&lt;&gt;1)</f>
        <v/>
      </c>
      <c r="C34" s="196">
        <f>IF(COUNTA(E34:K34,Z34)&gt;0,1,0)+IF(COUNTA(L34:Y34)&gt;0,2,0)</f>
        <v/>
      </c>
      <c r="D34" s="179">
        <f>CONCATENATE("$",TRIM(F34),"$",TRIM(G34),"$",H34,"$")</f>
        <v/>
      </c>
      <c r="E34" s="197" t="n">
        <v>28</v>
      </c>
      <c r="F34" s="198" t="inlineStr">
        <is>
          <t>Программирование, п/г 3</t>
        </is>
      </c>
      <c r="G34" s="199" t="inlineStr">
        <is>
          <t>601-41 (ТехнолПрог-24-1)</t>
        </is>
      </c>
      <c r="H34" s="200" t="inlineStr">
        <is>
          <t>совм.</t>
        </is>
      </c>
      <c r="I34" s="201" t="n"/>
      <c r="J34" s="201" t="n"/>
      <c r="K34" s="202" t="n"/>
      <c r="L34" s="541" t="n"/>
      <c r="M34" s="542" t="n">
        <v>2</v>
      </c>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(COUNTIF(КлючОсень,D35)&lt;&gt;1)</f>
        <v/>
      </c>
      <c r="C35" s="196">
        <f>IF(COUNTA(E35:K35,Z35)&gt;0,1,0)+IF(COUNTA(L35:Y35)&gt;0,2,0)</f>
        <v/>
      </c>
      <c r="D35" s="179">
        <f>CONCATENATE("$",TRIM(F35),"$",TRIM(G35),"$",H35,"$")</f>
        <v/>
      </c>
      <c r="E35" s="197" t="n">
        <v>29</v>
      </c>
      <c r="F35" s="198" t="inlineStr">
        <is>
          <t>Математический анализ</t>
        </is>
      </c>
      <c r="G35" s="199" t="inlineStr">
        <is>
          <t>606-42 (ИИиЭС-24-1)</t>
        </is>
      </c>
      <c r="H35" s="200" t="inlineStr">
        <is>
          <t>совм.</t>
        </is>
      </c>
      <c r="I35" s="201" t="n"/>
      <c r="J35" s="201" t="n"/>
      <c r="K35" s="202" t="n"/>
      <c r="L35" s="541" t="n"/>
      <c r="M35" s="542" t="n">
        <v>2</v>
      </c>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(COUNTIF(КлючОсень,D36)&lt;&gt;1)</f>
        <v/>
      </c>
      <c r="C36" s="196">
        <f>IF(COUNTA(E36:K36,Z36)&gt;0,1,0)+IF(COUNTA(L36:Y36)&gt;0,2,0)</f>
        <v/>
      </c>
      <c r="D36" s="179">
        <f>CONCATENATE("$",TRIM(F36),"$",TRIM(G36),"$",H36,"$")</f>
        <v/>
      </c>
      <c r="E36" s="197" t="n">
        <v>29</v>
      </c>
      <c r="F36" s="198" t="inlineStr">
        <is>
          <t>Математический анализ</t>
        </is>
      </c>
      <c r="G36" s="199" t="inlineStr">
        <is>
          <t>606-41 (АСОИУ-24-1)</t>
        </is>
      </c>
      <c r="H36" s="200" t="inlineStr">
        <is>
          <t>совм.</t>
        </is>
      </c>
      <c r="I36" s="201" t="n"/>
      <c r="J36" s="201" t="n"/>
      <c r="K36" s="202" t="n"/>
      <c r="L36" s="541" t="n"/>
      <c r="M36" s="542" t="n">
        <v>2</v>
      </c>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(COUNTIF(КлючОсень,D37)&lt;&gt;1)</f>
        <v/>
      </c>
      <c r="C37" s="196">
        <f>IF(COUNTA(E37:K37,Z37)&gt;0,1,0)+IF(COUNTA(L37:Y37)&gt;0,2,0)</f>
        <v/>
      </c>
      <c r="D37" s="179">
        <f>CONCATENATE("$",TRIM(F37),"$",TRIM(G37),"$",H37,"$")</f>
        <v/>
      </c>
      <c r="E37" s="197" t="n">
        <v>29</v>
      </c>
      <c r="F37" s="198" t="inlineStr">
        <is>
          <t>Дискретная математика</t>
        </is>
      </c>
      <c r="G37" s="199" t="inlineStr">
        <is>
          <t>605-31 (УТС-23-1)</t>
        </is>
      </c>
      <c r="H37" s="200" t="inlineStr">
        <is>
          <t>совм.</t>
        </is>
      </c>
      <c r="I37" s="201" t="n"/>
      <c r="J37" s="201" t="n"/>
      <c r="K37" s="202" t="n"/>
      <c r="L37" s="541" t="n"/>
      <c r="M37" s="542" t="n">
        <v>2</v>
      </c>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(COUNTIF(КлючОсень,D38)&lt;&gt;1)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(COUNTIF(КлючОсень,D39)&lt;&gt;1)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(COUNTIF(КлючОсень,D40)&lt;&gt;1)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(COUNTIF(КлючОсень,D41)&lt;&gt;1)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(COUNTIF(КлючОсень,D42)&lt;&gt;1)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(COUNTIF(КлючОсень,D43)&lt;&gt;1)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(COUNTIF(КлючОсень,D44)&lt;&gt;1)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(COUNTIF(КлючОсень,D45)&lt;&gt;1)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(COUNTIF(КлючОсень,D46)&lt;&gt;1)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(COUNTIF(КлючОсень,D47)&lt;&gt;1)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(COUNTIF(КлючОсень,D48)&lt;&gt;1)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(COUNTIF(КлючОсень,D49)&lt;&gt;1)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(COUNTIF(КлючОсень,D50)&lt;&gt;1)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(COUNTIF(КлючОсень,D51)&lt;&gt;1)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(COUNTIF(КлючОсень,D52)&lt;&gt;1)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(COUNTIF(КлючОсень,D53)&lt;&gt;1)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(COUNTIF(КлючОсень,D54)&lt;&gt;1)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(COUNTIF(КлючОсень,D55)&lt;&gt;1)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(COUNTIF(КлючОсень,D56)&lt;&gt;1)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(COUNTIF(КлючОсень,D57)&lt;&gt;1)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(COUNTIF(КлючОсень,D58)&lt;&gt;1)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(COUNTIF(КлючОсень,D59)&lt;&gt;1)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(COUNTIF(КлючОсень,D60)&lt;&gt;1)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(COUNTIF(КлючОсень,D61)&lt;&gt;1)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(COUNTIF(КлючОсень,D62)&lt;&gt;1)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(COUNTIF(КлючОсень,D63)&lt;&gt;1)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(COUNTIF(КлючОсень,D64)&lt;&gt;1)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(COUNTIF(КлючОсень,D65)&lt;&gt;1)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(COUNTIF(КлючОсень,D66)&lt;&gt;1)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(COUNTIF(КлючОсень,D67)&lt;&gt;1)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(COUNTIF(КлючОсень,D68)&lt;&gt;1)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(COUNTIF(КлючОсень,D69)&lt;&gt;1)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(COUNTIF(КлючОсень,D70)&lt;&gt;1)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(COUNTIF(КлючОсень,D71)&lt;&gt;1)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(COUNTIF(КлючОсень,D72)&lt;&gt;1)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(COUNTIF(КлючОсень,D73)&lt;&gt;1)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(COUNTIF(КлючОсень,D74)&lt;&gt;1)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(COUNTIF(КлючОсень,D75)&lt;&gt;1)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(COUNTIF(КлючОсень,D76)&lt;&gt;1)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(COUNTIF(КлючОсень,D77)&lt;&gt;1)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(COUNTIF(КлючОсень,D78)&lt;&gt;1)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(COUNTIF(КлючОсень,D79)&lt;&gt;1)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(COUNTIF(КлючОсень,D80)&lt;&gt;1)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(COUNTIF(КлючОсень,D81)&lt;&gt;1)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(COUNTIF(КлючОсень,D82)&lt;&gt;1)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(COUNTIF(КлючОсень,D83)&lt;&gt;1)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(COUNTIF(КлючОсень,D84)&lt;&gt;1)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(COUNTIF(КлючОсень,D85)&lt;&gt;1)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(COUNTIF(КлючОсень,D86)&lt;&gt;1)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(COUNTIF(КлючОсень,D87)&lt;&gt;1)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(COUNTIF(КлючОсень,D88)&lt;&gt;1)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(COUNTIF(КлючОсень,D89)&lt;&gt;1)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(COUNTIF(КлючОсень,D90)&lt;&gt;1)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(COUNTIF(КлючОсень,D91)&lt;&gt;1)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(COUNTIF(КлючОсень,D92)&lt;&gt;1)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(COUNTIF(КлючОсень,D93)&lt;&gt;1)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(COUNTIF(КлючОсень,D94)&lt;&gt;1)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(COUNTIF(КлючОсень,D95)&lt;&gt;1)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(COUNTIF(КлючОсень,D96)&lt;&gt;1)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(COUNTIF(КлючОсень,D97)&lt;&gt;1)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(COUNTIF(КлючОсень,D98)&lt;&gt;1)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(COUNTIF(КлючОсень,D99)&lt;&gt;1)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(COUNTIF(КлючОсень,D100)&lt;&gt;1)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(COUNTIF(КлючОсень,D101)&lt;&gt;1)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(COUNTIF(КлючОсень,D102)&lt;&gt;1)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(COUNTIF(КлючОсень,D103)&lt;&gt;1)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(COUNTIF(КлючОсень,D104)&lt;&gt;1)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(COUNTIF(КлючОсень,D105)&lt;&gt;1)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(COUNTIF(КлючОсень,D106)&lt;&gt;1)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(COUNTIF(КлючОсень,D107)&lt;&gt;1)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(COUNTIF(КлючОсень,D108)&lt;&gt;1)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(COUNTIF(КлючОсень,D109)&lt;&gt;1)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(COUNTIF(КлючОсень,D110)&lt;&gt;1)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(COUNTIF(КлючОсень,D111)&lt;&gt;1)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(COUNTIF(КлючОсень,D112)&lt;&gt;1)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(COUNTIF(КлючОсень,D113)&lt;&gt;1)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(COUNTIF(КлючОсень,D114)&lt;&gt;1)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(COUNTIF(КлючОсень,D115)&lt;&gt;1)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(COUNTIF(КлючОсень,D116)&lt;&gt;1)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(COUNTIF(КлючОсень,D117)&lt;&gt;1)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(COUNTIF(КлючОсень,D118)&lt;&gt;1)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(COUNTIF(КлючОсень,D119)&lt;&gt;1)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(COUNTIF(КлючОсень,D120)&lt;&gt;1)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(COUNTIF(КлючОсень,D121)&lt;&gt;1)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(COUNTIF(КлючОсень,D122)&lt;&gt;1)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(COUNTIF(КлючОсень,D123)&lt;&gt;1)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(COUNTIF(КлючОсень,D124)&lt;&gt;1)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(COUNTIF(КлючОсень,D125)&lt;&gt;1)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(COUNTIF(КлючОсень,D126)&lt;&gt;1)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(COUNTIF(КлючОсень,D127)&lt;&gt;1)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(COUNTIF(КлючОсень,D128)&lt;&gt;1)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(COUNTIF(КлючОсень,D129)&lt;&gt;1)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(COUNTIF(КлючОсень,D130)&lt;&gt;1)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(COUNTIF(КлючОсень,D131)&lt;&gt;1)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(COUNTIF(КлючОсень,D132)&lt;&gt;1)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(COUNTIF(КлючОсень,D133)&lt;&gt;1)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(COUNTIF(КлючОсень,D134)&lt;&gt;1)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(COUNTIF(КлючОсень,D135)&lt;&gt;1)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(COUNTIF(КлючОсень,D136)&lt;&gt;1)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(COUNTIF(КлючОсень,D137)&lt;&gt;1)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(COUNTIF(КлючОсень,D138)&lt;&gt;1)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(COUNTIF(КлючОсень,D139)&lt;&gt;1)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(COUNTIF(КлючОсень,D140)&lt;&gt;1)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(COUNTIF(КлючОсень,D141)&lt;&gt;1)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(COUNTIF(КлючОсень,D142)&lt;&gt;1)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(COUNTIF(КлючОсень,D143)&lt;&gt;1)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(COUNTIF(КлючОсень,D144)&lt;&gt;1)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(COUNTIF(КлючОсень,D145)&lt;&gt;1)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(COUNTIF(КлючОсень,D146)&lt;&gt;1)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(COUNTIF(КлючОсень,D147)&lt;&gt;1)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(COUNTIF(КлючОсень,D148)&lt;&gt;1)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(COUNTIF(КлючОсень,D149)&lt;&gt;1)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(COUNTIF(КлючОсень,D150)&lt;&gt;1)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(COUNTIF(КлючОсень,D151)&lt;&gt;1)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(COUNTIF(КлючОсень,D152)&lt;&gt;1)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(COUNTIF(КлючОсень,D153)&lt;&gt;1)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(COUNTIF(КлючОсень,D154)&lt;&gt;1)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(COUNTIF(КлючОсень,D155)&lt;&gt;1)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(COUNTIF(КлючОсень,D156)&lt;&gt;1)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(COUNTIF(КлючОсень,D157)&lt;&gt;1)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(COUNTIF(КлючОсень,D158)&lt;&gt;1)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(COUNTIF(КлючОсень,D159)&lt;&gt;1)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tIf18VN/zC5u0zuZw0UW8Q==" formatRows="1" sort="1" spinCount="100000" hashValue="TZLUT7NpBopfx+trbPn4XduWsdSo92zsVMjokx879kOUids7Sovxq/CueIC6x5x9ItjgM8qOa/J+ON3we4U+PA=="/>
  <mergeCells count="5">
    <mergeCell ref="I4:J4"/>
    <mergeCell ref="I2:J2"/>
    <mergeCell ref="F2:F5"/>
    <mergeCell ref="G2:G5"/>
    <mergeCell ref="I3:J3"/>
  </mergeCells>
  <conditionalFormatting sqref="E7:Z159">
    <cfRule type="expression" priority="1" dxfId="5" stopIfTrue="1">
      <formula>($C7=0)</formula>
    </cfRule>
  </conditionalFormatting>
  <conditionalFormatting sqref="F6:H6">
    <cfRule type="expression" priority="10" dxfId="0" stopIfTrue="1">
      <formula>$G$6&lt;&gt;0</formula>
    </cfRule>
  </conditionalFormatting>
  <conditionalFormatting sqref="F7:H159">
    <cfRule type="expression" priority="2" dxfId="1" stopIfTrue="1">
      <formula>$B7</formula>
    </cfRule>
  </conditionalFormatting>
  <conditionalFormatting sqref="L6:Y6">
    <cfRule type="cellIs" priority="9" operator="notEqual" dxfId="0" stopIfTrue="1">
      <formula>0</formula>
    </cfRule>
  </conditionalFormatting>
  <conditionalFormatting sqref="L7:Y159">
    <cfRule type="expression" priority="3" dxfId="1" stopIfTrue="1">
      <formula>AND(NOT($B7),$C7&lt;2)</formula>
    </cfRule>
    <cfRule type="expression" priority="4" dxfId="0" stopIfTrue="1">
      <formula>AND($B7,L7&lt;&gt;0)</formula>
    </cfRule>
  </conditionalFormatting>
  <dataValidations count="4">
    <dataValidation sqref="E7:E159" showDropDown="0" showInputMessage="1" showErrorMessage="1" allowBlank="1" type="whole">
      <formula1>1</formula1>
      <formula2>30</formula2>
    </dataValidation>
    <dataValidation sqref="F7:F159" showDropDown="0" showInputMessage="1" showErrorMessage="0" allowBlank="1" type="list">
      <formula1>OFFSET(ДисциплиныОсень,0,0,ДисциплиныОсеньКол,1)</formula1>
    </dataValidation>
    <dataValidation sqref="G7:G159" showDropDown="0" showInputMessage="1" showErrorMessage="0" allowBlank="1" type="list">
      <formula1>OFFSET(ГруппыОсень,0,0,ГруппыОсеньКол,1)</formula1>
    </dataValidation>
    <dataValidation sqref="H7:H159" showDropDown="0" showInputMessage="1" showErrorMessage="0" allowBlank="1" type="list">
      <formula1>ВидыНагр</formula1>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1.xml><?xml version="1.0" encoding="utf-8"?>
<worksheet xmlns="http://schemas.openxmlformats.org/spreadsheetml/2006/main">
  <sheetPr codeName="Лист13">
    <tabColor rgb="FFFFFF66"/>
    <outlinePr summaryBelow="0" summaryRight="0"/>
    <pageSetUpPr fitToPage="1"/>
  </sheetPr>
  <dimension ref="A1:Z160"/>
  <sheetViews>
    <sheetView zoomScale="85" zoomScaleNormal="100" workbookViewId="0">
      <pane xSplit="8" ySplit="6" topLeftCell="I30" activePane="bottomRight" state="frozen"/>
      <selection activeCell="E7" sqref="E7"/>
      <selection pane="topRight" activeCell="E7" sqref="E7"/>
      <selection pane="bottomLeft" activeCell="E7" sqref="E7"/>
      <selection pane="bottomRight" activeCell="O38" sqref="O38"/>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11"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15"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1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Утв_Осень</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(COUNTIF(КлючОсень,D7)&lt;&gt;1)</f>
        <v/>
      </c>
      <c r="C7" s="196">
        <f>IF(COUNTA(E7:K7,Z7)&gt;0,1,0)+IF(COUNTA(L7:Y7)&gt;0,2,0)</f>
        <v/>
      </c>
      <c r="D7" s="179">
        <f>CONCATENATE("$",TRIM(F7),"$",TRIM(G7),"$",H7,"$")</f>
        <v/>
      </c>
      <c r="E7" s="197" t="n">
        <v>3</v>
      </c>
      <c r="F7" s="198" t="inlineStr">
        <is>
          <t>Математический анализ</t>
        </is>
      </c>
      <c r="G7" s="199" t="inlineStr">
        <is>
          <t>606-41 (АСОИУ-24-1)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(COUNTIF(КлючОсень,D8)&lt;&gt;1)</f>
        <v/>
      </c>
      <c r="C8" s="196">
        <f>IF(COUNTA(E8:K8,Z8)&gt;0,1,0)+IF(COUNTA(L8:Y8)&gt;0,2,0)</f>
        <v/>
      </c>
      <c r="D8" s="179">
        <f>CONCATENATE("$",TRIM(F8),"$",TRIM(G8),"$",H8,"$")</f>
        <v/>
      </c>
      <c r="E8" s="197" t="n">
        <v>3</v>
      </c>
      <c r="F8" s="198" t="inlineStr">
        <is>
          <t>Математический анализ</t>
        </is>
      </c>
      <c r="G8" s="199" t="inlineStr">
        <is>
          <t>606-42 (ИИиЭС-24-1)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(COUNTIF(КлючОсень,D9)&lt;&gt;1)</f>
        <v/>
      </c>
      <c r="C9" s="196">
        <f>IF(COUNTA(E9:K9,Z9)&gt;0,1,0)+IF(COUNTA(L9:Y9)&gt;0,2,0)</f>
        <v/>
      </c>
      <c r="D9" s="179">
        <f>CONCATENATE("$",TRIM(F9),"$",TRIM(G9),"$",H9,"$")</f>
        <v/>
      </c>
      <c r="E9" s="197" t="n">
        <v>5</v>
      </c>
      <c r="F9" s="198" t="inlineStr">
        <is>
          <t>Программирование, п/г 3</t>
        </is>
      </c>
      <c r="G9" s="199" t="inlineStr">
        <is>
          <t>601-41 (ТехнолПрог-24-1)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(COUNTIF(КлючОсень,D10)&lt;&gt;1)</f>
        <v/>
      </c>
      <c r="C10" s="196">
        <f>IF(COUNTA(E10:K10,Z10)&gt;0,1,0)+IF(COUNTA(L10:Y10)&gt;0,2,0)</f>
        <v/>
      </c>
      <c r="D10" s="179">
        <f>CONCATENATE("$",TRIM(F10),"$",TRIM(G10),"$",H10,"$")</f>
        <v/>
      </c>
      <c r="E10" s="197" t="n">
        <v>5</v>
      </c>
      <c r="F10" s="198" t="inlineStr">
        <is>
          <t>Программирование, п/г 3</t>
        </is>
      </c>
      <c r="G10" s="199" t="inlineStr">
        <is>
          <t>601-41 (ТехнолПрог-24-1)</t>
        </is>
      </c>
      <c r="H10" s="200" t="inlineStr">
        <is>
          <t>совм.</t>
        </is>
      </c>
      <c r="I10" s="201" t="n"/>
      <c r="J10" s="201" t="n"/>
      <c r="K10" s="202" t="n"/>
      <c r="L10" s="541" t="n"/>
      <c r="M10" s="542" t="n">
        <v>4</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(COUNTIF(КлючОсень,D11)&lt;&gt;1)</f>
        <v/>
      </c>
      <c r="C11" s="196">
        <f>IF(COUNTA(E11:K11,Z11)&gt;0,1,0)+IF(COUNTA(L11:Y11)&gt;0,2,0)</f>
        <v/>
      </c>
      <c r="D11" s="179">
        <f>CONCATENATE("$",TRIM(F11),"$",TRIM(G11),"$",H11,"$")</f>
        <v/>
      </c>
      <c r="E11" s="197" t="n">
        <v>6</v>
      </c>
      <c r="F11" s="198" t="inlineStr">
        <is>
          <t>Математический анализ</t>
        </is>
      </c>
      <c r="G11" s="199" t="inlineStr">
        <is>
          <t>606-42 (ИИиЭС-24-1)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(COUNTIF(КлючОсень,D12)&lt;&gt;1)</f>
        <v/>
      </c>
      <c r="C12" s="196">
        <f>IF(COUNTA(E12:K12,Z12)&gt;0,1,0)+IF(COUNTA(L12:Y12)&gt;0,2,0)</f>
        <v/>
      </c>
      <c r="D12" s="179">
        <f>CONCATENATE("$",TRIM(F12),"$",TRIM(G12),"$",H12,"$")</f>
        <v/>
      </c>
      <c r="E12" s="197" t="n">
        <v>6</v>
      </c>
      <c r="F12" s="198" t="inlineStr">
        <is>
          <t>Математический анализ</t>
        </is>
      </c>
      <c r="G12" s="199" t="inlineStr">
        <is>
          <t>606-41 (АСОИУ-24-1)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(COUNTIF(КлючОсень,D13)&lt;&gt;1)</f>
        <v/>
      </c>
      <c r="C13" s="196">
        <f>IF(COUNTA(E13:K13,Z13)&gt;0,1,0)+IF(COUNTA(L13:Y13)&gt;0,2,0)</f>
        <v/>
      </c>
      <c r="D13" s="179">
        <f>CONCATENATE("$",TRIM(F13),"$",TRIM(G13),"$",H13,"$")</f>
        <v/>
      </c>
      <c r="E13" s="197" t="n">
        <v>6</v>
      </c>
      <c r="F13" s="198" t="inlineStr">
        <is>
          <t>Дискретная математика</t>
        </is>
      </c>
      <c r="G13" s="199" t="inlineStr">
        <is>
          <t>605-31 (УТС-23-1)</t>
        </is>
      </c>
      <c r="H13" s="200" t="inlineStr">
        <is>
          <t>совм.</t>
        </is>
      </c>
      <c r="I13" s="201" t="n"/>
      <c r="J13" s="201" t="n"/>
      <c r="K13" s="202" t="n"/>
      <c r="L13" s="541" t="n"/>
      <c r="M13" s="542" t="n">
        <v>4</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(COUNTIF(КлючОсень,D14)&lt;&gt;1)</f>
        <v/>
      </c>
      <c r="C14" s="196">
        <f>IF(COUNTA(E14:K14,Z14)&gt;0,1,0)+IF(COUNTA(L14:Y14)&gt;0,2,0)</f>
        <v/>
      </c>
      <c r="D14" s="179">
        <f>CONCATENATE("$",TRIM(F14),"$",TRIM(G14),"$",H14,"$")</f>
        <v/>
      </c>
      <c r="E14" s="197" t="n">
        <v>10</v>
      </c>
      <c r="F14" s="198" t="inlineStr">
        <is>
          <t>Математический анализ</t>
        </is>
      </c>
      <c r="G14" s="199" t="inlineStr">
        <is>
          <t>606-41 (АСОИУ-24-1)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(COUNTIF(КлючОсень,D15)&lt;&gt;1)</f>
        <v/>
      </c>
      <c r="C15" s="196">
        <f>IF(COUNTA(E15:K15,Z15)&gt;0,1,0)+IF(COUNTA(L15:Y15)&gt;0,2,0)</f>
        <v/>
      </c>
      <c r="D15" s="179">
        <f>CONCATENATE("$",TRIM(F15),"$",TRIM(G15),"$",H15,"$")</f>
        <v/>
      </c>
      <c r="E15" s="197" t="n">
        <v>10</v>
      </c>
      <c r="F15" s="198" t="inlineStr">
        <is>
          <t>Математический анализ</t>
        </is>
      </c>
      <c r="G15" s="199" t="inlineStr">
        <is>
          <t>606-42 (ИИиЭС-24-1)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(COUNTIF(КлючОсень,D16)&lt;&gt;1)</f>
        <v/>
      </c>
      <c r="C16" s="196">
        <f>IF(COUNTA(E16:K16,Z16)&gt;0,1,0)+IF(COUNTA(L16:Y16)&gt;0,2,0)</f>
        <v/>
      </c>
      <c r="D16" s="179">
        <f>CONCATENATE("$",TRIM(F16),"$",TRIM(G16),"$",H16,"$")</f>
        <v/>
      </c>
      <c r="E16" s="197" t="n">
        <v>12</v>
      </c>
      <c r="F16" s="198" t="inlineStr">
        <is>
          <t>Программирование, п/г 3</t>
        </is>
      </c>
      <c r="G16" s="199" t="inlineStr">
        <is>
          <t>601-41 (ТехнолПрог-24-1)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(COUNTIF(КлючОсень,D17)&lt;&gt;1)</f>
        <v/>
      </c>
      <c r="C17" s="196">
        <f>IF(COUNTA(E17:K17,Z17)&gt;0,1,0)+IF(COUNTA(L17:Y17)&gt;0,2,0)</f>
        <v/>
      </c>
      <c r="D17" s="179">
        <f>CONCATENATE("$",TRIM(F17),"$",TRIM(G17),"$",H17,"$")</f>
        <v/>
      </c>
      <c r="E17" s="197" t="n">
        <v>12</v>
      </c>
      <c r="F17" s="198" t="inlineStr">
        <is>
          <t>Программирование, п/г 3</t>
        </is>
      </c>
      <c r="G17" s="199" t="inlineStr">
        <is>
          <t>601-41 (ТехнолПрог-24-1)</t>
        </is>
      </c>
      <c r="H17" s="200" t="inlineStr">
        <is>
          <t>совм.</t>
        </is>
      </c>
      <c r="I17" s="201" t="n"/>
      <c r="J17" s="201" t="n"/>
      <c r="K17" s="202" t="n"/>
      <c r="L17" s="541" t="n"/>
      <c r="M17" s="542" t="n">
        <v>4</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(COUNTIF(КлючОсень,D18)&lt;&gt;1)</f>
        <v/>
      </c>
      <c r="C18" s="196">
        <f>IF(COUNTA(E18:K18,Z18)&gt;0,1,0)+IF(COUNTA(L18:Y18)&gt;0,2,0)</f>
        <v/>
      </c>
      <c r="D18" s="179">
        <f>CONCATENATE("$",TRIM(F18),"$",TRIM(G18),"$",H18,"$")</f>
        <v/>
      </c>
      <c r="E18" s="197" t="n">
        <v>13</v>
      </c>
      <c r="F18" s="198" t="inlineStr">
        <is>
          <t>Математический анализ</t>
        </is>
      </c>
      <c r="G18" s="199" t="inlineStr">
        <is>
          <t>606-42 (ИИиЭС-24-1)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(COUNTIF(КлючОсень,D19)&lt;&gt;1)</f>
        <v/>
      </c>
      <c r="C19" s="196">
        <f>IF(COUNTA(E19:K19,Z19)&gt;0,1,0)+IF(COUNTA(L19:Y19)&gt;0,2,0)</f>
        <v/>
      </c>
      <c r="D19" s="179">
        <f>CONCATENATE("$",TRIM(F19),"$",TRIM(G19),"$",H19,"$")</f>
        <v/>
      </c>
      <c r="E19" s="197" t="n">
        <v>13</v>
      </c>
      <c r="F19" s="198" t="inlineStr">
        <is>
          <t>Математический анализ</t>
        </is>
      </c>
      <c r="G19" s="199" t="inlineStr">
        <is>
          <t>606-41 (АСОИУ-24-1)</t>
        </is>
      </c>
      <c r="H19" s="200" t="inlineStr">
        <is>
          <t>совм.</t>
        </is>
      </c>
      <c r="I19" s="201" t="n"/>
      <c r="J19" s="201" t="n"/>
      <c r="K19" s="202" t="n"/>
      <c r="L19" s="541" t="n"/>
      <c r="M19" s="542" t="n">
        <v>2</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(COUNTIF(КлючОсень,D20)&lt;&gt;1)</f>
        <v/>
      </c>
      <c r="C20" s="196">
        <f>IF(COUNTA(E20:K20,Z20)&gt;0,1,0)+IF(COUNTA(L20:Y20)&gt;0,2,0)</f>
        <v/>
      </c>
      <c r="D20" s="179">
        <f>CONCATENATE("$",TRIM(F20),"$",TRIM(G20),"$",H20,"$")</f>
        <v/>
      </c>
      <c r="E20" s="197" t="n">
        <v>13</v>
      </c>
      <c r="F20" s="198" t="inlineStr">
        <is>
          <t>Дискретная математика</t>
        </is>
      </c>
      <c r="G20" s="199" t="inlineStr">
        <is>
          <t>605-31 (УТС-23-1)</t>
        </is>
      </c>
      <c r="H20" s="200" t="inlineStr">
        <is>
          <t>совм.</t>
        </is>
      </c>
      <c r="I20" s="201" t="n"/>
      <c r="J20" s="201" t="n"/>
      <c r="K20" s="202" t="n"/>
      <c r="L20" s="541" t="n"/>
      <c r="M20" s="542" t="n">
        <v>2</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(COUNTIF(КлючОсень,D21)&lt;&gt;1)</f>
        <v/>
      </c>
      <c r="C21" s="196">
        <f>IF(COUNTA(E21:K21,Z21)&gt;0,1,0)+IF(COUNTA(L21:Y21)&gt;0,2,0)</f>
        <v/>
      </c>
      <c r="D21" s="179">
        <f>CONCATENATE("$",TRIM(F21),"$",TRIM(G21),"$",H21,"$")</f>
        <v/>
      </c>
      <c r="E21" s="197" t="n">
        <v>17</v>
      </c>
      <c r="F21" s="198" t="inlineStr">
        <is>
          <t>Математический анализ</t>
        </is>
      </c>
      <c r="G21" s="199" t="inlineStr">
        <is>
          <t>606-41 (АСОИУ-24-1)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(COUNTIF(КлючОсень,D22)&lt;&gt;1)</f>
        <v/>
      </c>
      <c r="C22" s="196">
        <f>IF(COUNTA(E22:K22,Z22)&gt;0,1,0)+IF(COUNTA(L22:Y22)&gt;0,2,0)</f>
        <v/>
      </c>
      <c r="D22" s="179">
        <f>CONCATENATE("$",TRIM(F22),"$",TRIM(G22),"$",H22,"$")</f>
        <v/>
      </c>
      <c r="E22" s="197" t="n">
        <v>17</v>
      </c>
      <c r="F22" s="198" t="inlineStr">
        <is>
          <t>Математический анализ</t>
        </is>
      </c>
      <c r="G22" s="199" t="inlineStr">
        <is>
          <t>606-42 (ИИиЭС-24-1)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(COUNTIF(КлючОсень,D23)&lt;&gt;1)</f>
        <v/>
      </c>
      <c r="C23" s="196">
        <f>IF(COUNTA(E23:K23,Z23)&gt;0,1,0)+IF(COUNTA(L23:Y23)&gt;0,2,0)</f>
        <v/>
      </c>
      <c r="D23" s="179">
        <f>CONCATENATE("$",TRIM(F23),"$",TRIM(G23),"$",H23,"$")</f>
        <v/>
      </c>
      <c r="E23" s="197" t="n">
        <v>19</v>
      </c>
      <c r="F23" s="198" t="inlineStr">
        <is>
          <t>Программирование, п/г 3</t>
        </is>
      </c>
      <c r="G23" s="199" t="inlineStr">
        <is>
          <t>601-41 (ТехнолПрог-24-1)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(COUNTIF(КлючОсень,D24)&lt;&gt;1)</f>
        <v/>
      </c>
      <c r="C24" s="196">
        <f>IF(COUNTA(E24:K24,Z24)&gt;0,1,0)+IF(COUNTA(L24:Y24)&gt;0,2,0)</f>
        <v/>
      </c>
      <c r="D24" s="179">
        <f>CONCATENATE("$",TRIM(F24),"$",TRIM(G24),"$",H24,"$")</f>
        <v/>
      </c>
      <c r="E24" s="197" t="n">
        <v>19</v>
      </c>
      <c r="F24" s="198" t="inlineStr">
        <is>
          <t>Программирование, п/г 3</t>
        </is>
      </c>
      <c r="G24" s="199" t="inlineStr">
        <is>
          <t>601-41 (ТехнолПрог-24-1)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(COUNTIF(КлючОсень,D25)&lt;&gt;1)</f>
        <v/>
      </c>
      <c r="C25" s="196">
        <f>IF(COUNTA(E25:K25,Z25)&gt;0,1,0)+IF(COUNTA(L25:Y25)&gt;0,2,0)</f>
        <v/>
      </c>
      <c r="D25" s="179">
        <f>CONCATENATE("$",TRIM(F25),"$",TRIM(G25),"$",H25,"$")</f>
        <v/>
      </c>
      <c r="E25" s="197" t="n">
        <v>20</v>
      </c>
      <c r="F25" s="198" t="inlineStr">
        <is>
          <t>Математический анализ</t>
        </is>
      </c>
      <c r="G25" s="199" t="inlineStr">
        <is>
          <t>606-42 (ИИиЭС-24-1)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(COUNTIF(КлючОсень,D26)&lt;&gt;1)</f>
        <v/>
      </c>
      <c r="C26" s="196">
        <f>IF(COUNTA(E26:K26,Z26)&gt;0,1,0)+IF(COUNTA(L26:Y26)&gt;0,2,0)</f>
        <v/>
      </c>
      <c r="D26" s="179">
        <f>CONCATENATE("$",TRIM(F26),"$",TRIM(G26),"$",H26,"$")</f>
        <v/>
      </c>
      <c r="E26" s="197" t="n">
        <v>20</v>
      </c>
      <c r="F26" s="198" t="inlineStr">
        <is>
          <t>Математический анализ</t>
        </is>
      </c>
      <c r="G26" s="199" t="inlineStr">
        <is>
          <t>606-41 (АСОИУ-24-1)</t>
        </is>
      </c>
      <c r="H26" s="200" t="inlineStr">
        <is>
          <t>совм.</t>
        </is>
      </c>
      <c r="I26" s="201" t="n"/>
      <c r="J26" s="201" t="n"/>
      <c r="K26" s="202" t="n"/>
      <c r="L26" s="541" t="n"/>
      <c r="M26" s="542" t="n">
        <v>2</v>
      </c>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(COUNTIF(КлючОсень,D27)&lt;&gt;1)</f>
        <v/>
      </c>
      <c r="C27" s="196">
        <f>IF(COUNTA(E27:K27,Z27)&gt;0,1,0)+IF(COUNTA(L27:Y27)&gt;0,2,0)</f>
        <v/>
      </c>
      <c r="D27" s="179">
        <f>CONCATENATE("$",TRIM(F27),"$",TRIM(G27),"$",H27,"$")</f>
        <v/>
      </c>
      <c r="E27" s="197" t="n">
        <v>20</v>
      </c>
      <c r="F27" s="198" t="inlineStr">
        <is>
          <t>Дискретная математика</t>
        </is>
      </c>
      <c r="G27" s="199" t="inlineStr">
        <is>
          <t>605-31 (УТС-23-1)</t>
        </is>
      </c>
      <c r="H27" s="200" t="inlineStr">
        <is>
          <t>совм.</t>
        </is>
      </c>
      <c r="I27" s="201" t="n"/>
      <c r="J27" s="201" t="n"/>
      <c r="K27" s="202" t="n"/>
      <c r="L27" s="541" t="n"/>
      <c r="M27" s="542" t="n">
        <v>2</v>
      </c>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(COUNTIF(КлючОсень,D28)&lt;&gt;1)</f>
        <v/>
      </c>
      <c r="C28" s="196">
        <f>IF(COUNTA(E28:K28,Z28)&gt;0,1,0)+IF(COUNTA(L28:Y28)&gt;0,2,0)</f>
        <v/>
      </c>
      <c r="D28" s="179">
        <f>CONCATENATE("$",TRIM(F28),"$",TRIM(G28),"$",H28,"$")</f>
        <v/>
      </c>
      <c r="E28" s="197" t="n">
        <v>24</v>
      </c>
      <c r="F28" s="198" t="inlineStr">
        <is>
          <t>Математический анализ</t>
        </is>
      </c>
      <c r="G28" s="199" t="inlineStr">
        <is>
          <t>606-41 (АСОИУ-24-1)</t>
        </is>
      </c>
      <c r="H28" s="200" t="inlineStr">
        <is>
          <t>совм.</t>
        </is>
      </c>
      <c r="I28" s="201" t="n"/>
      <c r="J28" s="201" t="n"/>
      <c r="K28" s="202" t="n"/>
      <c r="L28" s="541" t="n"/>
      <c r="M28" s="542" t="n">
        <v>2</v>
      </c>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(COUNTIF(КлючОсень,D29)&lt;&gt;1)</f>
        <v/>
      </c>
      <c r="C29" s="196">
        <f>IF(COUNTA(E29:K29,Z29)&gt;0,1,0)+IF(COUNTA(L29:Y29)&gt;0,2,0)</f>
        <v/>
      </c>
      <c r="D29" s="179">
        <f>CONCATENATE("$",TRIM(F29),"$",TRIM(G29),"$",H29,"$")</f>
        <v/>
      </c>
      <c r="E29" s="197" t="n">
        <v>24</v>
      </c>
      <c r="F29" s="198" t="inlineStr">
        <is>
          <t>Математический анализ</t>
        </is>
      </c>
      <c r="G29" s="199" t="inlineStr">
        <is>
          <t>606-42 (ИИиЭС-24-1)</t>
        </is>
      </c>
      <c r="H29" s="200" t="inlineStr">
        <is>
          <t>совм.</t>
        </is>
      </c>
      <c r="I29" s="201" t="n"/>
      <c r="J29" s="201" t="n"/>
      <c r="K29" s="202" t="n"/>
      <c r="L29" s="541" t="n"/>
      <c r="M29" s="542" t="n">
        <v>2</v>
      </c>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(COUNTIF(КлючОсень,D30)&lt;&gt;1)</f>
        <v/>
      </c>
      <c r="C30" s="196">
        <f>IF(COUNTA(E30:K30,Z30)&gt;0,1,0)+IF(COUNTA(L30:Y30)&gt;0,2,0)</f>
        <v/>
      </c>
      <c r="D30" s="179">
        <f>CONCATENATE("$",TRIM(F30),"$",TRIM(G30),"$",H30,"$")</f>
        <v/>
      </c>
      <c r="E30" s="197" t="n">
        <v>26</v>
      </c>
      <c r="F30" s="198" t="inlineStr">
        <is>
          <t>Программирование, п/г 3</t>
        </is>
      </c>
      <c r="G30" s="199" t="inlineStr">
        <is>
          <t>601-41 (ТехнолПрог-24-1)</t>
        </is>
      </c>
      <c r="H30" s="200" t="inlineStr">
        <is>
          <t>совм.</t>
        </is>
      </c>
      <c r="I30" s="201" t="n"/>
      <c r="J30" s="201" t="n"/>
      <c r="K30" s="202" t="n"/>
      <c r="L30" s="541" t="n"/>
      <c r="M30" s="542" t="n">
        <v>2</v>
      </c>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(COUNTIF(КлючОсень,D31)&lt;&gt;1)</f>
        <v/>
      </c>
      <c r="C31" s="196">
        <f>IF(COUNTA(E31:K31,Z31)&gt;0,1,0)+IF(COUNTA(L31:Y31)&gt;0,2,0)</f>
        <v/>
      </c>
      <c r="D31" s="179">
        <f>CONCATENATE("$",TRIM(F31),"$",TRIM(G31),"$",H31,"$")</f>
        <v/>
      </c>
      <c r="E31" s="197" t="n">
        <v>26</v>
      </c>
      <c r="F31" s="198" t="inlineStr">
        <is>
          <t>Программирование, п/г 3</t>
        </is>
      </c>
      <c r="G31" s="199" t="inlineStr">
        <is>
          <t>601-41 (ТехнолПрог-24-1)</t>
        </is>
      </c>
      <c r="H31" s="200" t="inlineStr">
        <is>
          <t>совм.</t>
        </is>
      </c>
      <c r="I31" s="201" t="n"/>
      <c r="J31" s="201" t="n"/>
      <c r="K31" s="202" t="n"/>
      <c r="L31" s="541" t="n"/>
      <c r="M31" s="542" t="n">
        <v>2</v>
      </c>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(COUNTIF(КлючОсень,D32)&lt;&gt;1)</f>
        <v/>
      </c>
      <c r="C32" s="196">
        <f>IF(COUNTA(E32:K32,Z32)&gt;0,1,0)+IF(COUNTA(L32:Y32)&gt;0,2,0)</f>
        <v/>
      </c>
      <c r="D32" s="179">
        <f>CONCATENATE("$",TRIM(F32),"$",TRIM(G32),"$",H32,"$")</f>
        <v/>
      </c>
      <c r="E32" s="197" t="n">
        <v>27</v>
      </c>
      <c r="F32" s="198" t="inlineStr">
        <is>
          <t>Математический анализ</t>
        </is>
      </c>
      <c r="G32" s="199" t="inlineStr">
        <is>
          <t>606-42 (ИИиЭС-24-1)</t>
        </is>
      </c>
      <c r="H32" s="200" t="inlineStr">
        <is>
          <t>совм.</t>
        </is>
      </c>
      <c r="I32" s="201" t="n"/>
      <c r="J32" s="201" t="n"/>
      <c r="K32" s="202" t="n"/>
      <c r="L32" s="541" t="n"/>
      <c r="M32" s="542" t="n">
        <v>2</v>
      </c>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(COUNTIF(КлючОсень,D33)&lt;&gt;1)</f>
        <v/>
      </c>
      <c r="C33" s="196">
        <f>IF(COUNTA(E33:K33,Z33)&gt;0,1,0)+IF(COUNTA(L33:Y33)&gt;0,2,0)</f>
        <v/>
      </c>
      <c r="D33" s="179">
        <f>CONCATENATE("$",TRIM(F33),"$",TRIM(G33),"$",H33,"$")</f>
        <v/>
      </c>
      <c r="E33" s="197" t="n">
        <v>27</v>
      </c>
      <c r="F33" s="198" t="inlineStr">
        <is>
          <t>Математический анализ</t>
        </is>
      </c>
      <c r="G33" s="199" t="inlineStr">
        <is>
          <t>606-41 (АСОИУ-24-1)</t>
        </is>
      </c>
      <c r="H33" s="200" t="inlineStr">
        <is>
          <t>совм.</t>
        </is>
      </c>
      <c r="I33" s="201" t="n"/>
      <c r="J33" s="201" t="n"/>
      <c r="K33" s="202" t="n"/>
      <c r="L33" s="541" t="n"/>
      <c r="M33" s="542" t="n">
        <v>2</v>
      </c>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(COUNTIF(КлючОсень,D34)&lt;&gt;1)</f>
        <v/>
      </c>
      <c r="C34" s="196">
        <f>IF(COUNTA(E34:K34,Z34)&gt;0,1,0)+IF(COUNTA(L34:Y34)&gt;0,2,0)</f>
        <v/>
      </c>
      <c r="D34" s="179">
        <f>CONCATENATE("$",TRIM(F34),"$",TRIM(G34),"$",H34,"$")</f>
        <v/>
      </c>
      <c r="E34" s="197" t="n">
        <v>27</v>
      </c>
      <c r="F34" s="198" t="inlineStr">
        <is>
          <t>Дискретная математика</t>
        </is>
      </c>
      <c r="G34" s="199" t="inlineStr">
        <is>
          <t>605-31 (УТС-23-1)</t>
        </is>
      </c>
      <c r="H34" s="200" t="inlineStr">
        <is>
          <t>совм.</t>
        </is>
      </c>
      <c r="I34" s="201" t="n"/>
      <c r="J34" s="201" t="n"/>
      <c r="K34" s="202" t="n"/>
      <c r="L34" s="541" t="n"/>
      <c r="M34" s="542" t="n">
        <v>2</v>
      </c>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(COUNTIF(КлючОсень,D35)&lt;&gt;1)</f>
        <v/>
      </c>
      <c r="C35" s="196">
        <f>IF(COUNTA(E35:K35,Z35)&gt;0,1,0)+IF(COUNTA(L35:Y35)&gt;0,2,0)</f>
        <v/>
      </c>
      <c r="D35" s="179">
        <f>CONCATENATE("$",TRIM(F35),"$",TRIM(G35),"$",H35,"$")</f>
        <v/>
      </c>
      <c r="E35" s="197" t="n">
        <v>4</v>
      </c>
      <c r="F35" s="198" t="inlineStr">
        <is>
          <t>Математический анализ</t>
        </is>
      </c>
      <c r="G35" s="199" t="inlineStr">
        <is>
          <t>606-41 (АСОИУ-24-1)</t>
        </is>
      </c>
      <c r="H35" s="200" t="inlineStr">
        <is>
          <t>совм.</t>
        </is>
      </c>
      <c r="I35" s="201" t="n"/>
      <c r="J35" s="201" t="n"/>
      <c r="K35" s="202" t="n"/>
      <c r="L35" s="541" t="n"/>
      <c r="M35" s="542" t="n">
        <v>2</v>
      </c>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(COUNTIF(КлючОсень,D36)&lt;&gt;1)</f>
        <v/>
      </c>
      <c r="C36" s="196">
        <f>IF(COUNTA(E36:K36,Z36)&gt;0,1,0)+IF(COUNTA(L36:Y36)&gt;0,2,0)</f>
        <v/>
      </c>
      <c r="D36" s="179">
        <f>CONCATENATE("$",TRIM(F36),"$",TRIM(G36),"$",H36,"$")</f>
        <v/>
      </c>
      <c r="E36" s="197" t="n">
        <v>11</v>
      </c>
      <c r="F36" s="198" t="inlineStr">
        <is>
          <t>Математический анализ</t>
        </is>
      </c>
      <c r="G36" s="199" t="inlineStr">
        <is>
          <t>606-42 (ИИиЭС-24-1)</t>
        </is>
      </c>
      <c r="H36" s="200" t="inlineStr">
        <is>
          <t>совм.</t>
        </is>
      </c>
      <c r="I36" s="201" t="n"/>
      <c r="J36" s="201" t="n"/>
      <c r="K36" s="202" t="n"/>
      <c r="L36" s="541" t="n"/>
      <c r="M36" s="542" t="n">
        <v>2</v>
      </c>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(COUNTIF(КлючОсень,D37)&lt;&gt;1)</f>
        <v/>
      </c>
      <c r="C37" s="196">
        <f>IF(COUNTA(E37:K37,Z37)&gt;0,1,0)+IF(COUNTA(L37:Y37)&gt;0,2,0)</f>
        <v/>
      </c>
      <c r="D37" s="179">
        <f>CONCATENATE("$",TRIM(F37),"$",TRIM(G37),"$",H37,"$")</f>
        <v/>
      </c>
      <c r="E37" s="197" t="n">
        <v>27</v>
      </c>
      <c r="F37" s="198" t="inlineStr">
        <is>
          <t>Дискретная математика</t>
        </is>
      </c>
      <c r="G37" s="199" t="inlineStr">
        <is>
          <t>605-31 (УТС-23-1)</t>
        </is>
      </c>
      <c r="H37" s="200" t="inlineStr">
        <is>
          <t>почас.</t>
        </is>
      </c>
      <c r="I37" s="201" t="n"/>
      <c r="J37" s="201" t="n"/>
      <c r="K37" s="202" t="n"/>
      <c r="L37" s="541" t="n"/>
      <c r="M37" s="542" t="n"/>
      <c r="N37" s="543" t="n"/>
      <c r="O37" s="541" t="n">
        <v>2</v>
      </c>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(COUNTIF(КлючОсень,D38)&lt;&gt;1)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(COUNTIF(КлючОсень,D39)&lt;&gt;1)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(COUNTIF(КлючОсень,D40)&lt;&gt;1)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(COUNTIF(КлючОсень,D41)&lt;&gt;1)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(COUNTIF(КлючОсень,D42)&lt;&gt;1)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(COUNTIF(КлючОсень,D43)&lt;&gt;1)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(COUNTIF(КлючОсень,D44)&lt;&gt;1)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(COUNTIF(КлючОсень,D45)&lt;&gt;1)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(COUNTIF(КлючОсень,D46)&lt;&gt;1)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(COUNTIF(КлючОсень,D47)&lt;&gt;1)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(COUNTIF(КлючОсень,D48)&lt;&gt;1)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(COUNTIF(КлючОсень,D49)&lt;&gt;1)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(COUNTIF(КлючОсень,D50)&lt;&gt;1)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(COUNTIF(КлючОсень,D51)&lt;&gt;1)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(COUNTIF(КлючОсень,D52)&lt;&gt;1)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(COUNTIF(КлючОсень,D53)&lt;&gt;1)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(COUNTIF(КлючОсень,D54)&lt;&gt;1)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(COUNTIF(КлючОсень,D55)&lt;&gt;1)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(COUNTIF(КлючОсень,D56)&lt;&gt;1)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(COUNTIF(КлючОсень,D57)&lt;&gt;1)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(COUNTIF(КлючОсень,D58)&lt;&gt;1)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(COUNTIF(КлючОсень,D59)&lt;&gt;1)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(COUNTIF(КлючОсень,D60)&lt;&gt;1)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(COUNTIF(КлючОсень,D61)&lt;&gt;1)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(COUNTIF(КлючОсень,D62)&lt;&gt;1)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(COUNTIF(КлючОсень,D63)&lt;&gt;1)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(COUNTIF(КлючОсень,D64)&lt;&gt;1)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(COUNTIF(КлючОсень,D65)&lt;&gt;1)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(COUNTIF(КлючОсень,D66)&lt;&gt;1)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(COUNTIF(КлючОсень,D67)&lt;&gt;1)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(COUNTIF(КлючОсень,D68)&lt;&gt;1)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(COUNTIF(КлючОсень,D69)&lt;&gt;1)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(COUNTIF(КлючОсень,D70)&lt;&gt;1)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(COUNTIF(КлючОсень,D71)&lt;&gt;1)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(COUNTIF(КлючОсень,D72)&lt;&gt;1)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(COUNTIF(КлючОсень,D73)&lt;&gt;1)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(COUNTIF(КлючОсень,D74)&lt;&gt;1)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(COUNTIF(КлючОсень,D75)&lt;&gt;1)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(COUNTIF(КлючОсень,D76)&lt;&gt;1)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(COUNTIF(КлючОсень,D77)&lt;&gt;1)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(COUNTIF(КлючОсень,D78)&lt;&gt;1)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(COUNTIF(КлючОсень,D79)&lt;&gt;1)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(COUNTIF(КлючОсень,D80)&lt;&gt;1)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(COUNTIF(КлючОсень,D81)&lt;&gt;1)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(COUNTIF(КлючОсень,D82)&lt;&gt;1)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(COUNTIF(КлючОсень,D83)&lt;&gt;1)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(COUNTIF(КлючОсень,D84)&lt;&gt;1)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(COUNTIF(КлючОсень,D85)&lt;&gt;1)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(COUNTIF(КлючОсень,D86)&lt;&gt;1)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(COUNTIF(КлючОсень,D87)&lt;&gt;1)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(COUNTIF(КлючОсень,D88)&lt;&gt;1)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(COUNTIF(КлючОсень,D89)&lt;&gt;1)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(COUNTIF(КлючОсень,D90)&lt;&gt;1)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(COUNTIF(КлючОсень,D91)&lt;&gt;1)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(COUNTIF(КлючОсень,D92)&lt;&gt;1)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(COUNTIF(КлючОсень,D93)&lt;&gt;1)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(COUNTIF(КлючОсень,D94)&lt;&gt;1)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(COUNTIF(КлючОсень,D95)&lt;&gt;1)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(COUNTIF(КлючОсень,D96)&lt;&gt;1)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(COUNTIF(КлючОсень,D97)&lt;&gt;1)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(COUNTIF(КлючОсень,D98)&lt;&gt;1)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(COUNTIF(КлючОсень,D99)&lt;&gt;1)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(COUNTIF(КлючОсень,D100)&lt;&gt;1)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(COUNTIF(КлючОсень,D101)&lt;&gt;1)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(COUNTIF(КлючОсень,D102)&lt;&gt;1)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(COUNTIF(КлючОсень,D103)&lt;&gt;1)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(COUNTIF(КлючОсень,D104)&lt;&gt;1)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(COUNTIF(КлючОсень,D105)&lt;&gt;1)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(COUNTIF(КлючОсень,D106)&lt;&gt;1)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(COUNTIF(КлючОсень,D107)&lt;&gt;1)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(COUNTIF(КлючОсень,D108)&lt;&gt;1)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(COUNTIF(КлючОсень,D109)&lt;&gt;1)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(COUNTIF(КлючОсень,D110)&lt;&gt;1)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(COUNTIF(КлючОсень,D111)&lt;&gt;1)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(COUNTIF(КлючОсень,D112)&lt;&gt;1)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(COUNTIF(КлючОсень,D113)&lt;&gt;1)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(COUNTIF(КлючОсень,D114)&lt;&gt;1)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(COUNTIF(КлючОсень,D115)&lt;&gt;1)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(COUNTIF(КлючОсень,D116)&lt;&gt;1)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(COUNTIF(КлючОсень,D117)&lt;&gt;1)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(COUNTIF(КлючОсень,D118)&lt;&gt;1)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(COUNTIF(КлючОсень,D119)&lt;&gt;1)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(COUNTIF(КлючОсень,D120)&lt;&gt;1)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(COUNTIF(КлючОсень,D121)&lt;&gt;1)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(COUNTIF(КлючОсень,D122)&lt;&gt;1)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(COUNTIF(КлючОсень,D123)&lt;&gt;1)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(COUNTIF(КлючОсень,D124)&lt;&gt;1)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(COUNTIF(КлючОсень,D125)&lt;&gt;1)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(COUNTIF(КлючОсень,D126)&lt;&gt;1)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(COUNTIF(КлючОсень,D127)&lt;&gt;1)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(COUNTIF(КлючОсень,D128)&lt;&gt;1)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(COUNTIF(КлючОсень,D129)&lt;&gt;1)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(COUNTIF(КлючОсень,D130)&lt;&gt;1)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(COUNTIF(КлючОсень,D131)&lt;&gt;1)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(COUNTIF(КлючОсень,D132)&lt;&gt;1)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(COUNTIF(КлючОсень,D133)&lt;&gt;1)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(COUNTIF(КлючОсень,D134)&lt;&gt;1)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(COUNTIF(КлючОсень,D135)&lt;&gt;1)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(COUNTIF(КлючОсень,D136)&lt;&gt;1)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(COUNTIF(КлючОсень,D137)&lt;&gt;1)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(COUNTIF(КлючОсень,D138)&lt;&gt;1)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(COUNTIF(КлючОсень,D139)&lt;&gt;1)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(COUNTIF(КлючОсень,D140)&lt;&gt;1)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(COUNTIF(КлючОсень,D141)&lt;&gt;1)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(COUNTIF(КлючОсень,D142)&lt;&gt;1)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(COUNTIF(КлючОсень,D143)&lt;&gt;1)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(COUNTIF(КлючОсень,D144)&lt;&gt;1)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(COUNTIF(КлючОсень,D145)&lt;&gt;1)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(COUNTIF(КлючОсень,D146)&lt;&gt;1)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(COUNTIF(КлючОсень,D147)&lt;&gt;1)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(COUNTIF(КлючОсень,D148)&lt;&gt;1)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(COUNTIF(КлючОсень,D149)&lt;&gt;1)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(COUNTIF(КлючОсень,D150)&lt;&gt;1)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(COUNTIF(КлючОсень,D151)&lt;&gt;1)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(COUNTIF(КлючОсень,D152)&lt;&gt;1)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(COUNTIF(КлючОсень,D153)&lt;&gt;1)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(COUNTIF(КлючОсень,D154)&lt;&gt;1)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(COUNTIF(КлючОсень,D155)&lt;&gt;1)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(COUNTIF(КлючОсень,D156)&lt;&gt;1)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(COUNTIF(КлючОсень,D157)&lt;&gt;1)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(COUNTIF(КлючОсень,D158)&lt;&gt;1)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(COUNTIF(КлючОсень,D159)&lt;&gt;1)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mhuMmgraPGz3sXpv71+f0Q==" formatRows="1" sort="1" spinCount="100000" hashValue="Elish1jCXUtAUsGIKoLVLHAthL6+stupIYTL6azbok91eizAOGZd2MobYOek3Q5+kehLr268IFCJRHBkgpzJNA=="/>
  <mergeCells count="5">
    <mergeCell ref="I4:J4"/>
    <mergeCell ref="I2:J2"/>
    <mergeCell ref="F2:F5"/>
    <mergeCell ref="G2:G5"/>
    <mergeCell ref="I3:J3"/>
  </mergeCells>
  <conditionalFormatting sqref="E7:Z159">
    <cfRule type="expression" priority="1" dxfId="5" stopIfTrue="1">
      <formula>($C7=0)</formula>
    </cfRule>
  </conditionalFormatting>
  <conditionalFormatting sqref="F6:H6">
    <cfRule type="expression" priority="13" dxfId="0" stopIfTrue="1">
      <formula>$G$6&lt;&gt;0</formula>
    </cfRule>
  </conditionalFormatting>
  <conditionalFormatting sqref="F7:H159">
    <cfRule type="expression" priority="2" dxfId="1" stopIfTrue="1">
      <formula>$B7</formula>
    </cfRule>
  </conditionalFormatting>
  <conditionalFormatting sqref="L6:Y6">
    <cfRule type="cellIs" priority="12" operator="notEqual" dxfId="0" stopIfTrue="1">
      <formula>0</formula>
    </cfRule>
  </conditionalFormatting>
  <conditionalFormatting sqref="L7:Y159">
    <cfRule type="expression" priority="10" dxfId="1" stopIfTrue="1">
      <formula>AND(NOT($B7),$C7&lt;2)</formula>
    </cfRule>
    <cfRule type="expression" priority="11" dxfId="0" stopIfTrue="1">
      <formula>AND($B7,L7&lt;&gt;0)</formula>
    </cfRule>
  </conditionalFormatting>
  <dataValidations count="4">
    <dataValidation sqref="F7:F159" showDropDown="0" showInputMessage="1" showErrorMessage="0" allowBlank="1" type="list">
      <formula1>OFFSET(ДисциплиныОсень,0,0,ДисциплиныОсеньКол,1)</formula1>
    </dataValidation>
    <dataValidation sqref="G7:G159" showDropDown="0" showInputMessage="1" showErrorMessage="0" allowBlank="1" type="list">
      <formula1>OFFSET(ГруппыОсень,0,0,ГруппыОсеньКол,1)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2.xml><?xml version="1.0" encoding="utf-8"?>
<worksheet xmlns="http://schemas.openxmlformats.org/spreadsheetml/2006/main">
  <sheetPr codeName="Лист14">
    <tabColor rgb="FFFFFF66"/>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S8" sqref="S8"/>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11"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15"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1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Утв_Осень</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(COUNTIF(КлючОсень,D7)&lt;&gt;1)</f>
        <v/>
      </c>
      <c r="C7" s="196">
        <f>IF(COUNTA(E7:K7,Z7)&gt;0,1,0)+IF(COUNTA(L7:Y7)&gt;0,2,0)</f>
        <v/>
      </c>
      <c r="D7" s="179">
        <f>CONCATENATE("$",TRIM(F7),"$",TRIM(G7),"$",H7,"$")</f>
        <v/>
      </c>
      <c r="E7" s="197" t="n"/>
      <c r="F7" s="198" t="inlineStr">
        <is>
          <t>Дискретная математика</t>
        </is>
      </c>
      <c r="G7" s="199" t="inlineStr">
        <is>
          <t>605-31 (УТС-23-1)</t>
        </is>
      </c>
      <c r="H7" s="200" t="inlineStr">
        <is>
          <t>почас.</t>
        </is>
      </c>
      <c r="I7" s="201" t="n"/>
      <c r="J7" s="201" t="n"/>
      <c r="K7" s="202" t="n"/>
      <c r="L7" s="541" t="n"/>
      <c r="M7" s="542" t="n"/>
      <c r="N7" s="543" t="n"/>
      <c r="O7" s="541" t="n">
        <v>1</v>
      </c>
      <c r="P7" s="542" t="n"/>
      <c r="Q7" s="543" t="n"/>
      <c r="R7" s="541" t="n"/>
      <c r="S7" s="544" t="n">
        <v>7.2</v>
      </c>
      <c r="T7" s="543" t="n"/>
      <c r="U7" s="541" t="n"/>
      <c r="V7" s="545" t="n"/>
      <c r="W7" s="544" t="n"/>
      <c r="X7" s="543" t="n"/>
      <c r="Y7" s="546" t="n"/>
      <c r="Z7" s="209" t="n"/>
    </row>
    <row r="8" ht="28.5" customFormat="1" customHeight="1" s="210">
      <c r="A8" s="196">
        <f>IF(B8,0,MATCH(H8,ВидыНагр,0))</f>
        <v/>
      </c>
      <c r="B8" s="154">
        <f>(COUNTIF(КлючОсень,D8)&lt;&gt;1)</f>
        <v/>
      </c>
      <c r="C8" s="196">
        <f>IF(COUNTA(E8:K8,Z8)&gt;0,1,0)+IF(COUNTA(L8:Y8)&gt;0,2,0)</f>
        <v/>
      </c>
      <c r="D8" s="179">
        <f>CONCATENATE("$",TRIM(F8),"$",TRIM(G8),"$",H8,"$")</f>
        <v/>
      </c>
      <c r="E8" s="197" t="n"/>
      <c r="F8" s="198" t="n"/>
      <c r="G8" s="199" t="n"/>
      <c r="H8" s="200" t="n"/>
      <c r="I8" s="201" t="n"/>
      <c r="J8" s="201" t="n"/>
      <c r="K8" s="202" t="n"/>
      <c r="L8" s="541" t="n"/>
      <c r="M8" s="542" t="n"/>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(COUNTIF(КлючОсень,D9)&lt;&gt;1)</f>
        <v/>
      </c>
      <c r="C9" s="196">
        <f>IF(COUNTA(E9:K9,Z9)&gt;0,1,0)+IF(COUNTA(L9:Y9)&gt;0,2,0)</f>
        <v/>
      </c>
      <c r="D9" s="179">
        <f>CONCATENATE("$",TRIM(F9),"$",TRIM(G9),"$",H9,"$")</f>
        <v/>
      </c>
      <c r="E9" s="197" t="n"/>
      <c r="F9" s="198" t="n"/>
      <c r="G9" s="199" t="n"/>
      <c r="H9" s="200" t="n"/>
      <c r="I9" s="201" t="n"/>
      <c r="J9" s="201" t="n"/>
      <c r="K9" s="202" t="n"/>
      <c r="L9" s="541" t="n"/>
      <c r="M9" s="542" t="n"/>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(COUNTIF(КлючОсень,D10)&lt;&gt;1)</f>
        <v/>
      </c>
      <c r="C10" s="196">
        <f>IF(COUNTA(E10:K10,Z10)&gt;0,1,0)+IF(COUNTA(L10:Y10)&gt;0,2,0)</f>
        <v/>
      </c>
      <c r="D10" s="179">
        <f>CONCATENATE("$",TRIM(F10),"$",TRIM(G10),"$",H10,"$")</f>
        <v/>
      </c>
      <c r="E10" s="197" t="n"/>
      <c r="F10" s="198" t="n"/>
      <c r="G10" s="199" t="n"/>
      <c r="H10" s="200" t="n"/>
      <c r="I10" s="201" t="n"/>
      <c r="J10" s="201" t="n"/>
      <c r="K10" s="202" t="n"/>
      <c r="L10" s="541" t="n"/>
      <c r="M10" s="542" t="n"/>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(COUNTIF(КлючОсень,D11)&lt;&gt;1)</f>
        <v/>
      </c>
      <c r="C11" s="196">
        <f>IF(COUNTA(E11:K11,Z11)&gt;0,1,0)+IF(COUNTA(L11:Y11)&gt;0,2,0)</f>
        <v/>
      </c>
      <c r="D11" s="179">
        <f>CONCATENATE("$",TRIM(F11),"$",TRIM(G11),"$",H11,"$")</f>
        <v/>
      </c>
      <c r="E11" s="197" t="n"/>
      <c r="F11" s="198" t="n"/>
      <c r="G11" s="199" t="n"/>
      <c r="H11" s="200" t="n"/>
      <c r="I11" s="201" t="n"/>
      <c r="J11" s="201" t="n"/>
      <c r="K11" s="202" t="n"/>
      <c r="L11" s="541" t="n"/>
      <c r="M11" s="542" t="n"/>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(COUNTIF(КлючОсень,D12)&lt;&gt;1)</f>
        <v/>
      </c>
      <c r="C12" s="196">
        <f>IF(COUNTA(E12:K12,Z12)&gt;0,1,0)+IF(COUNTA(L12:Y12)&gt;0,2,0)</f>
        <v/>
      </c>
      <c r="D12" s="179">
        <f>CONCATENATE("$",TRIM(F12),"$",TRIM(G12),"$",H12,"$")</f>
        <v/>
      </c>
      <c r="E12" s="197" t="n"/>
      <c r="F12" s="198" t="n"/>
      <c r="G12" s="199" t="n"/>
      <c r="H12" s="200" t="n"/>
      <c r="I12" s="201" t="n"/>
      <c r="J12" s="201" t="n"/>
      <c r="K12" s="202" t="n"/>
      <c r="L12" s="541" t="n"/>
      <c r="M12" s="542" t="n"/>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(COUNTIF(КлючОсень,D13)&lt;&gt;1)</f>
        <v/>
      </c>
      <c r="C13" s="196">
        <f>IF(COUNTA(E13:K13,Z13)&gt;0,1,0)+IF(COUNTA(L13:Y13)&gt;0,2,0)</f>
        <v/>
      </c>
      <c r="D13" s="179">
        <f>CONCATENATE("$",TRIM(F13),"$",TRIM(G13),"$",H13,"$")</f>
        <v/>
      </c>
      <c r="E13" s="197" t="n"/>
      <c r="F13" s="198" t="n"/>
      <c r="G13" s="199" t="n"/>
      <c r="H13" s="200" t="n"/>
      <c r="I13" s="201" t="n"/>
      <c r="J13" s="201" t="n"/>
      <c r="K13" s="202" t="n"/>
      <c r="L13" s="541" t="n"/>
      <c r="M13" s="542" t="n"/>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(COUNTIF(КлючОсень,D14)&lt;&gt;1)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(COUNTIF(КлючОсень,D15)&lt;&gt;1)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(COUNTIF(КлючОсень,D16)&lt;&gt;1)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(COUNTIF(КлючОсень,D17)&lt;&gt;1)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(COUNTIF(КлючОсень,D18)&lt;&gt;1)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(COUNTIF(КлючОсень,D19)&lt;&gt;1)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(COUNTIF(КлючОсень,D20)&lt;&gt;1)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(COUNTIF(КлючОсень,D21)&lt;&gt;1)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(COUNTIF(КлючОсень,D22)&lt;&gt;1)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(COUNTIF(КлючОсень,D23)&lt;&gt;1)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(COUNTIF(КлючОсень,D24)&lt;&gt;1)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(COUNTIF(КлючОсень,D25)&lt;&gt;1)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(COUNTIF(КлючОсень,D26)&lt;&gt;1)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(COUNTIF(КлючОсень,D27)&lt;&gt;1)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(COUNTIF(КлючОсень,D28)&lt;&gt;1)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(COUNTIF(КлючОсень,D29)&lt;&gt;1)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(COUNTIF(КлючОсень,D30)&lt;&gt;1)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(COUNTIF(КлючОсень,D31)&lt;&gt;1)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(COUNTIF(КлючОсень,D32)&lt;&gt;1)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(COUNTIF(КлючОсень,D33)&lt;&gt;1)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(COUNTIF(КлючОсень,D34)&lt;&gt;1)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(COUNTIF(КлючОсень,D35)&lt;&gt;1)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(COUNTIF(КлючОсень,D36)&lt;&gt;1)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(COUNTIF(КлючОсень,D37)&lt;&gt;1)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(COUNTIF(КлючОсень,D38)&lt;&gt;1)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(COUNTIF(КлючОсень,D39)&lt;&gt;1)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(COUNTIF(КлючОсень,D40)&lt;&gt;1)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(COUNTIF(КлючОсень,D41)&lt;&gt;1)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(COUNTIF(КлючОсень,D42)&lt;&gt;1)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(COUNTIF(КлючОсень,D43)&lt;&gt;1)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(COUNTIF(КлючОсень,D44)&lt;&gt;1)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(COUNTIF(КлючОсень,D45)&lt;&gt;1)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(COUNTIF(КлючОсень,D46)&lt;&gt;1)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(COUNTIF(КлючОсень,D47)&lt;&gt;1)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(COUNTIF(КлючОсень,D48)&lt;&gt;1)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(COUNTIF(КлючОсень,D49)&lt;&gt;1)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(COUNTIF(КлючОсень,D50)&lt;&gt;1)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(COUNTIF(КлючОсень,D51)&lt;&gt;1)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(COUNTIF(КлючОсень,D52)&lt;&gt;1)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(COUNTIF(КлючОсень,D53)&lt;&gt;1)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(COUNTIF(КлючОсень,D54)&lt;&gt;1)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(COUNTIF(КлючОсень,D55)&lt;&gt;1)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(COUNTIF(КлючОсень,D56)&lt;&gt;1)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(COUNTIF(КлючОсень,D57)&lt;&gt;1)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(COUNTIF(КлючОсень,D58)&lt;&gt;1)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(COUNTIF(КлючОсень,D59)&lt;&gt;1)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(COUNTIF(КлючОсень,D60)&lt;&gt;1)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(COUNTIF(КлючОсень,D61)&lt;&gt;1)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(COUNTIF(КлючОсень,D62)&lt;&gt;1)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(COUNTIF(КлючОсень,D63)&lt;&gt;1)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(COUNTIF(КлючОсень,D64)&lt;&gt;1)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(COUNTIF(КлючОсень,D65)&lt;&gt;1)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(COUNTIF(КлючОсень,D66)&lt;&gt;1)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(COUNTIF(КлючОсень,D67)&lt;&gt;1)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(COUNTIF(КлючОсень,D68)&lt;&gt;1)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(COUNTIF(КлючОсень,D69)&lt;&gt;1)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(COUNTIF(КлючОсень,D70)&lt;&gt;1)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(COUNTIF(КлючОсень,D71)&lt;&gt;1)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(COUNTIF(КлючОсень,D72)&lt;&gt;1)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(COUNTIF(КлючОсень,D73)&lt;&gt;1)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(COUNTIF(КлючОсень,D74)&lt;&gt;1)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(COUNTIF(КлючОсень,D75)&lt;&gt;1)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(COUNTIF(КлючОсень,D76)&lt;&gt;1)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(COUNTIF(КлючОсень,D77)&lt;&gt;1)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(COUNTIF(КлючОсень,D78)&lt;&gt;1)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(COUNTIF(КлючОсень,D79)&lt;&gt;1)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(COUNTIF(КлючОсень,D80)&lt;&gt;1)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(COUNTIF(КлючОсень,D81)&lt;&gt;1)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(COUNTIF(КлючОсень,D82)&lt;&gt;1)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(COUNTIF(КлючОсень,D83)&lt;&gt;1)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(COUNTIF(КлючОсень,D84)&lt;&gt;1)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(COUNTIF(КлючОсень,D85)&lt;&gt;1)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(COUNTIF(КлючОсень,D86)&lt;&gt;1)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(COUNTIF(КлючОсень,D87)&lt;&gt;1)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(COUNTIF(КлючОсень,D88)&lt;&gt;1)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(COUNTIF(КлючОсень,D89)&lt;&gt;1)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(COUNTIF(КлючОсень,D90)&lt;&gt;1)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(COUNTIF(КлючОсень,D91)&lt;&gt;1)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(COUNTIF(КлючОсень,D92)&lt;&gt;1)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(COUNTIF(КлючОсень,D93)&lt;&gt;1)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(COUNTIF(КлючОсень,D94)&lt;&gt;1)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(COUNTIF(КлючОсень,D95)&lt;&gt;1)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(COUNTIF(КлючОсень,D96)&lt;&gt;1)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(COUNTIF(КлючОсень,D97)&lt;&gt;1)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(COUNTIF(КлючОсень,D98)&lt;&gt;1)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(COUNTIF(КлючОсень,D99)&lt;&gt;1)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(COUNTIF(КлючОсень,D100)&lt;&gt;1)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(COUNTIF(КлючОсень,D101)&lt;&gt;1)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(COUNTIF(КлючОсень,D102)&lt;&gt;1)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(COUNTIF(КлючОсень,D103)&lt;&gt;1)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(COUNTIF(КлючОсень,D104)&lt;&gt;1)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(COUNTIF(КлючОсень,D105)&lt;&gt;1)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(COUNTIF(КлючОсень,D106)&lt;&gt;1)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(COUNTIF(КлючОсень,D107)&lt;&gt;1)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(COUNTIF(КлючОсень,D108)&lt;&gt;1)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(COUNTIF(КлючОсень,D109)&lt;&gt;1)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(COUNTIF(КлючОсень,D110)&lt;&gt;1)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(COUNTIF(КлючОсень,D111)&lt;&gt;1)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(COUNTIF(КлючОсень,D112)&lt;&gt;1)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(COUNTIF(КлючОсень,D113)&lt;&gt;1)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(COUNTIF(КлючОсень,D114)&lt;&gt;1)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(COUNTIF(КлючОсень,D115)&lt;&gt;1)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(COUNTIF(КлючОсень,D116)&lt;&gt;1)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(COUNTIF(КлючОсень,D117)&lt;&gt;1)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(COUNTIF(КлючОсень,D118)&lt;&gt;1)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(COUNTIF(КлючОсень,D119)&lt;&gt;1)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(COUNTIF(КлючОсень,D120)&lt;&gt;1)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(COUNTIF(КлючОсень,D121)&lt;&gt;1)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(COUNTIF(КлючОсень,D122)&lt;&gt;1)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(COUNTIF(КлючОсень,D123)&lt;&gt;1)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(COUNTIF(КлючОсень,D124)&lt;&gt;1)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(COUNTIF(КлючОсень,D125)&lt;&gt;1)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(COUNTIF(КлючОсень,D126)&lt;&gt;1)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(COUNTIF(КлючОсень,D127)&lt;&gt;1)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(COUNTIF(КлючОсень,D128)&lt;&gt;1)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(COUNTIF(КлючОсень,D129)&lt;&gt;1)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(COUNTIF(КлючОсень,D130)&lt;&gt;1)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(COUNTIF(КлючОсень,D131)&lt;&gt;1)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(COUNTIF(КлючОсень,D132)&lt;&gt;1)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(COUNTIF(КлючОсень,D133)&lt;&gt;1)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(COUNTIF(КлючОсень,D134)&lt;&gt;1)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(COUNTIF(КлючОсень,D135)&lt;&gt;1)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(COUNTIF(КлючОсень,D136)&lt;&gt;1)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(COUNTIF(КлючОсень,D137)&lt;&gt;1)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(COUNTIF(КлючОсень,D138)&lt;&gt;1)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(COUNTIF(КлючОсень,D139)&lt;&gt;1)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(COUNTIF(КлючОсень,D140)&lt;&gt;1)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(COUNTIF(КлючОсень,D141)&lt;&gt;1)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(COUNTIF(КлючОсень,D142)&lt;&gt;1)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(COUNTIF(КлючОсень,D143)&lt;&gt;1)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(COUNTIF(КлючОсень,D144)&lt;&gt;1)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(COUNTIF(КлючОсень,D145)&lt;&gt;1)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(COUNTIF(КлючОсень,D146)&lt;&gt;1)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(COUNTIF(КлючОсень,D147)&lt;&gt;1)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(COUNTIF(КлючОсень,D148)&lt;&gt;1)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(COUNTIF(КлючОсень,D149)&lt;&gt;1)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(COUNTIF(КлючОсень,D150)&lt;&gt;1)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(COUNTIF(КлючОсень,D151)&lt;&gt;1)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(COUNTIF(КлючОсень,D152)&lt;&gt;1)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(COUNTIF(КлючОсень,D153)&lt;&gt;1)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(COUNTIF(КлючОсень,D154)&lt;&gt;1)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(COUNTIF(КлючОсень,D155)&lt;&gt;1)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(COUNTIF(КлючОсень,D156)&lt;&gt;1)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(COUNTIF(КлючОсень,D157)&lt;&gt;1)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(COUNTIF(КлючОсень,D158)&lt;&gt;1)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(COUNTIF(КлючОсень,D159)&lt;&gt;1)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UhqoEgGttYLpvNoVUyrJng==" formatRows="1" sort="1" spinCount="100000" hashValue="ESa0b/o78kbtQ9m2jS1zsQG/iKRz05jJl8cPWqa+2RoMomQyeJjZzcqf1hguXuT4D/rrWYxVn5AcotVjQFKUSw=="/>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OFFSET(ДисциплиныОсень,0,0,ДисциплиныОсеньКол,1)</formula1>
    </dataValidation>
    <dataValidation sqref="G7:G159" showDropDown="0" showInputMessage="1" showErrorMessage="0" allowBlank="1" type="list">
      <formula1>OFFSET(ГруппыОсень,0,0,ГруппыОсеньКол,1)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3.xml><?xml version="1.0" encoding="utf-8"?>
<worksheet xmlns="http://schemas.openxmlformats.org/spreadsheetml/2006/main">
  <sheetPr codeName="Лист15">
    <tabColor indexed="15"/>
    <outlinePr summaryBelow="0" summaryRight="0"/>
    <pageSetUpPr fitToPage="1"/>
  </sheetPr>
  <dimension ref="A1:Z160"/>
  <sheetViews>
    <sheetView zoomScale="85" zoomScaleNormal="85" workbookViewId="0">
      <pane xSplit="8" ySplit="6" topLeftCell="I18" activePane="bottomRight" state="frozen"/>
      <selection activeCell="E7" sqref="E7"/>
      <selection pane="topRight" activeCell="E7" sqref="E7"/>
      <selection pane="bottomLeft" activeCell="E7" sqref="E7"/>
      <selection pane="bottomRight" activeCell="G22" sqref="G22"/>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v>4</v>
      </c>
      <c r="F7" s="198" t="inlineStr">
        <is>
          <t>Математический анализ</t>
        </is>
      </c>
      <c r="G7" s="199" t="inlineStr">
        <is>
          <t>606-42 (ИИиЭС-24-1)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v>5</v>
      </c>
      <c r="F8" s="198" t="inlineStr">
        <is>
          <t>Математический анализ</t>
        </is>
      </c>
      <c r="G8" s="199" t="inlineStr">
        <is>
          <t>606-42 (ИИиЭС-24-1)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v>5</v>
      </c>
      <c r="F9" s="198" t="inlineStr">
        <is>
          <t>Математический анализ</t>
        </is>
      </c>
      <c r="G9" s="199" t="inlineStr">
        <is>
          <t>606-41 (АСОИУ-24-1)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v>5</v>
      </c>
      <c r="F10" s="198" t="inlineStr">
        <is>
          <t>Математический анализ</t>
        </is>
      </c>
      <c r="G10" s="199" t="inlineStr">
        <is>
          <t>607-41 (ИнфСист-24-1)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v>7</v>
      </c>
      <c r="F11" s="198" t="inlineStr">
        <is>
          <t>Математический анализ</t>
        </is>
      </c>
      <c r="G11" s="199" t="inlineStr">
        <is>
          <t>606-41 (АСОИУ-24-1)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v>7</v>
      </c>
      <c r="F12" s="198" t="inlineStr">
        <is>
          <t>Математический анализ</t>
        </is>
      </c>
      <c r="G12" s="199" t="inlineStr">
        <is>
          <t>607-41 (ИнфСист-24-1)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v>7</v>
      </c>
      <c r="F13" s="198" t="inlineStr">
        <is>
          <t>Математический анализ</t>
        </is>
      </c>
      <c r="G13" s="199" t="inlineStr">
        <is>
          <t>607-42 (БезопИнфСист-24-1)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v>14</v>
      </c>
      <c r="F14" s="198" t="inlineStr">
        <is>
          <t>Математический анализ</t>
        </is>
      </c>
      <c r="G14" s="199" t="inlineStr">
        <is>
          <t>607-41 (ИнфСист-24-1)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v>14</v>
      </c>
      <c r="F15" s="198" t="inlineStr">
        <is>
          <t>Математический анализ</t>
        </is>
      </c>
      <c r="G15" s="199" t="inlineStr">
        <is>
          <t>607-42 (БезопИнфСист-24-1)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v>14</v>
      </c>
      <c r="F16" s="198" t="inlineStr">
        <is>
          <t>Математический анализ</t>
        </is>
      </c>
      <c r="G16" s="199" t="inlineStr">
        <is>
          <t>606-41 (АСОИУ-24-1)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v>18</v>
      </c>
      <c r="F17" s="198" t="inlineStr">
        <is>
          <t>Математический анализ</t>
        </is>
      </c>
      <c r="G17" s="199" t="inlineStr">
        <is>
          <t>606-42 (ИИиЭС-24-1)</t>
        </is>
      </c>
      <c r="H17" s="200" t="inlineStr">
        <is>
          <t>совм.</t>
        </is>
      </c>
      <c r="I17" s="201" t="n"/>
      <c r="J17" s="201" t="n"/>
      <c r="K17" s="202" t="n"/>
      <c r="L17" s="541" t="n"/>
      <c r="M17" s="542" t="n">
        <v>2</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v>19</v>
      </c>
      <c r="F18" s="198" t="inlineStr">
        <is>
          <t>Математический анализ</t>
        </is>
      </c>
      <c r="G18" s="199" t="inlineStr">
        <is>
          <t>607-42 (БезопИнфСист-24-1)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v>19</v>
      </c>
      <c r="F19" s="198" t="inlineStr">
        <is>
          <t>Математический анализ</t>
        </is>
      </c>
      <c r="G19" s="199" t="inlineStr">
        <is>
          <t>607-41 (ИнфСист-24-1)</t>
        </is>
      </c>
      <c r="H19" s="200" t="inlineStr">
        <is>
          <t>совм.</t>
        </is>
      </c>
      <c r="I19" s="201" t="n"/>
      <c r="J19" s="201" t="n"/>
      <c r="K19" s="202" t="n"/>
      <c r="L19" s="541" t="n"/>
      <c r="M19" s="542" t="n">
        <v>4</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v>19</v>
      </c>
      <c r="F20" s="198" t="inlineStr">
        <is>
          <t>Математический анализ</t>
        </is>
      </c>
      <c r="G20" s="199" t="inlineStr">
        <is>
          <t>606-42 (ИИиЭС-24-1)</t>
        </is>
      </c>
      <c r="H20" s="200" t="inlineStr">
        <is>
          <t>совм.</t>
        </is>
      </c>
      <c r="I20" s="201" t="n"/>
      <c r="J20" s="201" t="n"/>
      <c r="K20" s="202" t="n"/>
      <c r="L20" s="541" t="n"/>
      <c r="M20" s="542" t="n">
        <v>2</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v>19</v>
      </c>
      <c r="F21" s="198" t="inlineStr">
        <is>
          <t>Математический анализ</t>
        </is>
      </c>
      <c r="G21" s="199" t="inlineStr">
        <is>
          <t>606-41 (АСОИУ-24-1)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v>21</v>
      </c>
      <c r="F22" s="198" t="inlineStr">
        <is>
          <t>Математический анализ</t>
        </is>
      </c>
      <c r="G22" s="199" t="inlineStr">
        <is>
          <t>607-42 (БезопИнфСист-24-1)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v>21</v>
      </c>
      <c r="F23" s="198" t="inlineStr">
        <is>
          <t>Математический анализ</t>
        </is>
      </c>
      <c r="G23" s="199" t="inlineStr">
        <is>
          <t>607-41 (ИнфСист-24-1)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v>21</v>
      </c>
      <c r="F24" s="198" t="inlineStr">
        <is>
          <t>Математический анализ</t>
        </is>
      </c>
      <c r="G24" s="199" t="inlineStr">
        <is>
          <t>606-42 (ИИиЭС-24-1)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v>21</v>
      </c>
      <c r="F25" s="198" t="inlineStr">
        <is>
          <t>Математический анализ</t>
        </is>
      </c>
      <c r="G25" s="199" t="inlineStr">
        <is>
          <t>606-41 (АСОИУ-24-1)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v>25</v>
      </c>
      <c r="F26" s="198" t="inlineStr">
        <is>
          <t>Математический анализ</t>
        </is>
      </c>
      <c r="G26" s="199" t="inlineStr">
        <is>
          <t>606-42 (ИИиЭС-24-1)</t>
        </is>
      </c>
      <c r="H26" s="200" t="inlineStr">
        <is>
          <t>совм.</t>
        </is>
      </c>
      <c r="I26" s="201" t="n"/>
      <c r="J26" s="201" t="n"/>
      <c r="K26" s="202" t="n"/>
      <c r="L26" s="541" t="n"/>
      <c r="M26" s="542" t="n">
        <v>2</v>
      </c>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83"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vAAtwkq5LPA9Sgc991uQkw==" formatRows="1" sort="1" spinCount="100000" hashValue="7c4WaEInBVCiuDk4w3+TpaJX3NCM2alR7BjUY0rTR1gVH0N5MIEeAoCdjqdufBFTm2yjodZja2F41ZYfBC1PeQ=="/>
  <mergeCells count="5">
    <mergeCell ref="I4:J4"/>
    <mergeCell ref="I2:J2"/>
    <mergeCell ref="F2:F5"/>
    <mergeCell ref="G2:G5"/>
    <mergeCell ref="I3:J3"/>
  </mergeCells>
  <conditionalFormatting sqref="E7:Z25 E26:H27 E28:Z159 J26:Z27">
    <cfRule type="expression" priority="11" dxfId="5" stopIfTrue="1">
      <formula>($C7=0)</formula>
    </cfRule>
  </conditionalFormatting>
  <conditionalFormatting sqref="F6:H6">
    <cfRule type="expression" priority="10" dxfId="0" stopIfTrue="1">
      <formula>$G$6&lt;&gt;0</formula>
    </cfRule>
  </conditionalFormatting>
  <conditionalFormatting sqref="F7:H159">
    <cfRule type="expression" priority="13" dxfId="1" stopIfTrue="1">
      <formula>$B7</formula>
    </cfRule>
  </conditionalFormatting>
  <conditionalFormatting sqref="I26">
    <cfRule type="expression" priority="28" dxfId="5" stopIfTrue="1">
      <formula>($C27=0)</formula>
    </cfRule>
  </conditionalFormatting>
  <conditionalFormatting sqref="L6:Y6">
    <cfRule type="cellIs" priority="8" operator="notEqual" dxfId="0" stopIfTrue="1">
      <formula>0</formula>
    </cfRule>
  </conditionalFormatting>
  <conditionalFormatting sqref="L7:Y159">
    <cfRule type="expression" priority="15" dxfId="1" stopIfTrue="1">
      <formula>AND(NOT($B7),$C7&lt;2)</formula>
    </cfRule>
    <cfRule type="expression" priority="16" dxfId="0" stopIfTrue="1">
      <formula>AND($B7,L7&lt;&gt;0)</formula>
    </cfRule>
  </conditionalFormatting>
  <dataValidations count="4">
    <dataValidation sqref="H7:H159" showDropDown="0" showInputMessage="1" showErrorMessage="0" allowBlank="1" type="list">
      <formula1>ВидыНагр</formula1>
    </dataValidation>
    <dataValidation sqref="G7:G159" showDropDown="0" showInputMessage="1" showErrorMessage="0" allowBlank="1" type="list">
      <formula1>OFFSET(ГруппыВесна,0,0,ГруппыВеснаКол,1)</formula1>
    </dataValidation>
    <dataValidation sqref="F7:F159" showDropDown="0" showInputMessage="1" showErrorMessage="0" allowBlank="1" type="list">
      <formula1>OFFSET(ДисциплиныВесна,0,0,ДисциплиныВеснаКол,1)</formula1>
    </dataValidation>
    <dataValidation sqref="E7:E159" showDropDown="0" showInputMessage="1" showErrorMessage="1" allowBlank="1" type="whole">
      <formula1>1</formula1>
      <formula2>29</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4.xml><?xml version="1.0" encoding="utf-8"?>
<worksheet xmlns="http://schemas.openxmlformats.org/spreadsheetml/2006/main">
  <sheetPr codeName="Лист16">
    <tabColor indexed="15"/>
    <outlinePr summaryBelow="0" summaryRight="0"/>
    <pageSetUpPr fitToPage="1"/>
  </sheetPr>
  <dimension ref="A1:Z160"/>
  <sheetViews>
    <sheetView zoomScaleNormal="100" workbookViewId="0">
      <pane xSplit="8" ySplit="6" topLeftCell="I34" activePane="bottomRight" state="frozen"/>
      <selection activeCell="E7" sqref="E7"/>
      <selection pane="topRight" activeCell="E7" sqref="E7"/>
      <selection pane="bottomLeft" activeCell="E7" sqref="E7"/>
      <selection pane="bottomRight" activeCell="Q40" sqref="Q40"/>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v>4</v>
      </c>
      <c r="F7" s="198" t="inlineStr">
        <is>
          <t>Математический анализ</t>
        </is>
      </c>
      <c r="G7" s="199" t="inlineStr">
        <is>
          <t>606-42 (ИИиЭС-24-1)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v>5</v>
      </c>
      <c r="F8" s="198" t="inlineStr">
        <is>
          <t>Математический анализ</t>
        </is>
      </c>
      <c r="G8" s="199" t="inlineStr">
        <is>
          <t>606-41 (АСОИУ-24-1)</t>
        </is>
      </c>
      <c r="H8" s="200" t="inlineStr">
        <is>
          <t>совм.</t>
        </is>
      </c>
      <c r="I8" s="201" t="n"/>
      <c r="J8" s="201" t="n"/>
      <c r="K8" s="202" t="n"/>
      <c r="L8" s="541" t="n"/>
      <c r="M8" s="542" t="n">
        <v>4</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v>5</v>
      </c>
      <c r="F9" s="198" t="inlineStr">
        <is>
          <t>Математический анализ</t>
        </is>
      </c>
      <c r="G9" s="199" t="inlineStr">
        <is>
          <t>606-42 (ИИиЭС-24-1)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v>5</v>
      </c>
      <c r="F10" s="198" t="inlineStr">
        <is>
          <t>Математический анализ</t>
        </is>
      </c>
      <c r="G10" s="199" t="inlineStr">
        <is>
          <t>607-41 (ИнфСист-24-1)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v>6</v>
      </c>
      <c r="F11" s="198" t="inlineStr">
        <is>
          <t>Математический анализ</t>
        </is>
      </c>
      <c r="G11" s="199" t="inlineStr">
        <is>
          <t>606-41 (АСОИУ-24-1)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v>6</v>
      </c>
      <c r="F12" s="198" t="inlineStr">
        <is>
          <t>Математический анализ</t>
        </is>
      </c>
      <c r="G12" s="199" t="inlineStr">
        <is>
          <t>607-41 (ИнфСист-24-1)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v>7</v>
      </c>
      <c r="F13" s="198" t="inlineStr">
        <is>
          <t>Математический анализ</t>
        </is>
      </c>
      <c r="G13" s="199" t="inlineStr">
        <is>
          <t>606-41 (АСОИУ-24-1)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v>7</v>
      </c>
      <c r="F14" s="198" t="inlineStr">
        <is>
          <t>Математический анализ</t>
        </is>
      </c>
      <c r="G14" s="199" t="inlineStr">
        <is>
          <t>606-42 (ИИиЭС-24-1)</t>
        </is>
      </c>
      <c r="H14" s="200" t="inlineStr">
        <is>
          <t>совм.</t>
        </is>
      </c>
      <c r="I14" s="201" t="n"/>
      <c r="J14" s="201" t="n"/>
      <c r="K14" s="202" t="n"/>
      <c r="L14" s="541" t="n"/>
      <c r="M14" s="542" t="n">
        <v>2</v>
      </c>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v>7</v>
      </c>
      <c r="F15" s="198" t="inlineStr">
        <is>
          <t>Математический анализ</t>
        </is>
      </c>
      <c r="G15" s="199" t="inlineStr">
        <is>
          <t>607-41 (ИнфСист-24-1)</t>
        </is>
      </c>
      <c r="H15" s="200" t="inlineStr">
        <is>
          <t>совм.</t>
        </is>
      </c>
      <c r="I15" s="201" t="n"/>
      <c r="J15" s="201" t="n"/>
      <c r="K15" s="202" t="n"/>
      <c r="L15" s="541" t="n"/>
      <c r="M15" s="542" t="n">
        <v>2</v>
      </c>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v>7</v>
      </c>
      <c r="F16" s="198" t="inlineStr">
        <is>
          <t>Математический анализ</t>
        </is>
      </c>
      <c r="G16" s="199" t="inlineStr">
        <is>
          <t>607-42 (БезопИнфСист-24-1)</t>
        </is>
      </c>
      <c r="H16" s="200" t="inlineStr">
        <is>
          <t>совм.</t>
        </is>
      </c>
      <c r="I16" s="201" t="n"/>
      <c r="J16" s="201" t="n"/>
      <c r="K16" s="202" t="n"/>
      <c r="L16" s="541" t="n"/>
      <c r="M16" s="542" t="n">
        <v>2</v>
      </c>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v>11</v>
      </c>
      <c r="F17" s="198" t="inlineStr">
        <is>
          <t>Математический анализ</t>
        </is>
      </c>
      <c r="G17" s="199" t="inlineStr">
        <is>
          <t>606-42 (ИИиЭС-24-1)</t>
        </is>
      </c>
      <c r="H17" s="200" t="inlineStr">
        <is>
          <t>совм.</t>
        </is>
      </c>
      <c r="I17" s="201" t="n"/>
      <c r="J17" s="201" t="n"/>
      <c r="K17" s="202" t="n"/>
      <c r="L17" s="541" t="n"/>
      <c r="M17" s="542" t="n">
        <v>2</v>
      </c>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v>12</v>
      </c>
      <c r="F18" s="198" t="inlineStr">
        <is>
          <t>Математический анализ</t>
        </is>
      </c>
      <c r="G18" s="199" t="inlineStr">
        <is>
          <t>606-41 (АСОИУ-24-1)</t>
        </is>
      </c>
      <c r="H18" s="200" t="inlineStr">
        <is>
          <t>совм.</t>
        </is>
      </c>
      <c r="I18" s="201" t="n"/>
      <c r="J18" s="201" t="n"/>
      <c r="K18" s="202" t="n"/>
      <c r="L18" s="541" t="n"/>
      <c r="M18" s="542" t="n">
        <v>2</v>
      </c>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v>12</v>
      </c>
      <c r="F19" s="198" t="inlineStr">
        <is>
          <t>Математический анализ</t>
        </is>
      </c>
      <c r="G19" s="199" t="inlineStr">
        <is>
          <t>606-42 (ИИиЭС-24-1)</t>
        </is>
      </c>
      <c r="H19" s="200" t="inlineStr">
        <is>
          <t>совм.</t>
        </is>
      </c>
      <c r="I19" s="201" t="n"/>
      <c r="J19" s="201" t="n"/>
      <c r="K19" s="202" t="n"/>
      <c r="L19" s="541" t="n"/>
      <c r="M19" s="542" t="n">
        <v>2</v>
      </c>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v>12</v>
      </c>
      <c r="F20" s="198" t="inlineStr">
        <is>
          <t>Математический анализ</t>
        </is>
      </c>
      <c r="G20" s="199" t="inlineStr">
        <is>
          <t>607-42 (БезопИнфСист-24-1)</t>
        </is>
      </c>
      <c r="H20" s="200" t="inlineStr">
        <is>
          <t>совм.</t>
        </is>
      </c>
      <c r="I20" s="201" t="n"/>
      <c r="J20" s="201" t="n"/>
      <c r="K20" s="202" t="n"/>
      <c r="L20" s="541" t="n"/>
      <c r="M20" s="542" t="n">
        <v>4</v>
      </c>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v>13</v>
      </c>
      <c r="F21" s="198" t="inlineStr">
        <is>
          <t>Математический анализ</t>
        </is>
      </c>
      <c r="G21" s="199" t="inlineStr">
        <is>
          <t>607-42 (БезопИнфСист-24-1)</t>
        </is>
      </c>
      <c r="H21" s="200" t="inlineStr">
        <is>
          <t>совм.</t>
        </is>
      </c>
      <c r="I21" s="201" t="n"/>
      <c r="J21" s="201" t="n"/>
      <c r="K21" s="202" t="n"/>
      <c r="L21" s="541" t="n"/>
      <c r="M21" s="542" t="n">
        <v>2</v>
      </c>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v>13</v>
      </c>
      <c r="F22" s="198" t="inlineStr">
        <is>
          <t>Математический анализ</t>
        </is>
      </c>
      <c r="G22" s="199" t="inlineStr">
        <is>
          <t>606-41 (АСОИУ-24-1)</t>
        </is>
      </c>
      <c r="H22" s="200" t="inlineStr">
        <is>
          <t>совм.</t>
        </is>
      </c>
      <c r="I22" s="201" t="n"/>
      <c r="J22" s="201" t="n"/>
      <c r="K22" s="202" t="n"/>
      <c r="L22" s="541" t="n"/>
      <c r="M22" s="542" t="n">
        <v>2</v>
      </c>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v>14</v>
      </c>
      <c r="F23" s="198" t="inlineStr">
        <is>
          <t>Математический анализ</t>
        </is>
      </c>
      <c r="G23" s="199" t="inlineStr">
        <is>
          <t>606-41 (АСОИУ-24-1)</t>
        </is>
      </c>
      <c r="H23" s="200" t="inlineStr">
        <is>
          <t>совм.</t>
        </is>
      </c>
      <c r="I23" s="201" t="n"/>
      <c r="J23" s="201" t="n"/>
      <c r="K23" s="202" t="n"/>
      <c r="L23" s="541" t="n"/>
      <c r="M23" s="542" t="n">
        <v>2</v>
      </c>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v>14</v>
      </c>
      <c r="F24" s="198" t="inlineStr">
        <is>
          <t>Математический анализ</t>
        </is>
      </c>
      <c r="G24" s="199" t="inlineStr">
        <is>
          <t>607-41 (ИнфСист-24-1)</t>
        </is>
      </c>
      <c r="H24" s="200" t="inlineStr">
        <is>
          <t>совм.</t>
        </is>
      </c>
      <c r="I24" s="201" t="n"/>
      <c r="J24" s="201" t="n"/>
      <c r="K24" s="202" t="n"/>
      <c r="L24" s="541" t="n"/>
      <c r="M24" s="542" t="n">
        <v>2</v>
      </c>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v>14</v>
      </c>
      <c r="F25" s="198" t="inlineStr">
        <is>
          <t>Математический анализ</t>
        </is>
      </c>
      <c r="G25" s="199" t="inlineStr">
        <is>
          <t>607-42 (БезопИнфСист-24-1)</t>
        </is>
      </c>
      <c r="H25" s="200" t="inlineStr">
        <is>
          <t>совм.</t>
        </is>
      </c>
      <c r="I25" s="201" t="n"/>
      <c r="J25" s="201" t="n"/>
      <c r="K25" s="202" t="n"/>
      <c r="L25" s="541" t="n"/>
      <c r="M25" s="542" t="n">
        <v>2</v>
      </c>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v>18</v>
      </c>
      <c r="F26" s="198" t="inlineStr">
        <is>
          <t>Математический анализ</t>
        </is>
      </c>
      <c r="G26" s="199" t="inlineStr">
        <is>
          <t>606-42 (ИИиЭС-24-1)</t>
        </is>
      </c>
      <c r="H26" s="200" t="inlineStr">
        <is>
          <t>совм.</t>
        </is>
      </c>
      <c r="I26" s="201" t="n"/>
      <c r="J26" s="201" t="n"/>
      <c r="K26" s="202" t="n"/>
      <c r="L26" s="541" t="n"/>
      <c r="M26" s="542" t="n">
        <v>2</v>
      </c>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v>19</v>
      </c>
      <c r="F27" s="198" t="inlineStr">
        <is>
          <t>Математический анализ</t>
        </is>
      </c>
      <c r="G27" s="199" t="inlineStr">
        <is>
          <t>606-41 (АСОИУ-24-1)</t>
        </is>
      </c>
      <c r="H27" s="200" t="inlineStr">
        <is>
          <t>совм.</t>
        </is>
      </c>
      <c r="I27" s="201" t="n"/>
      <c r="J27" s="201" t="n"/>
      <c r="K27" s="202" t="n"/>
      <c r="L27" s="541" t="n"/>
      <c r="M27" s="542" t="n">
        <v>2</v>
      </c>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v>19</v>
      </c>
      <c r="F28" s="198" t="inlineStr">
        <is>
          <t>Математический анализ</t>
        </is>
      </c>
      <c r="G28" s="199" t="inlineStr">
        <is>
          <t>606-42 (ИИиЭС-24-1)</t>
        </is>
      </c>
      <c r="H28" s="200" t="inlineStr">
        <is>
          <t>совм.</t>
        </is>
      </c>
      <c r="I28" s="201" t="n"/>
      <c r="J28" s="201" t="n"/>
      <c r="K28" s="202" t="n"/>
      <c r="L28" s="541" t="n"/>
      <c r="M28" s="542" t="n">
        <v>2</v>
      </c>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v>19</v>
      </c>
      <c r="F29" s="198" t="inlineStr">
        <is>
          <t>Математический анализ</t>
        </is>
      </c>
      <c r="G29" s="199" t="inlineStr">
        <is>
          <t>607-41 (ИнфСист-24-1)</t>
        </is>
      </c>
      <c r="H29" s="200" t="inlineStr">
        <is>
          <t>совм.</t>
        </is>
      </c>
      <c r="I29" s="201" t="n"/>
      <c r="J29" s="201" t="n"/>
      <c r="K29" s="202" t="n"/>
      <c r="L29" s="541" t="n"/>
      <c r="M29" s="542" t="n">
        <v>2</v>
      </c>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v>21</v>
      </c>
      <c r="F30" s="198" t="inlineStr">
        <is>
          <t>Математический анализ</t>
        </is>
      </c>
      <c r="G30" s="199" t="inlineStr">
        <is>
          <t>606-41 (АСОИУ-24-1)</t>
        </is>
      </c>
      <c r="H30" s="200" t="inlineStr">
        <is>
          <t>совм.</t>
        </is>
      </c>
      <c r="I30" s="201" t="n"/>
      <c r="J30" s="201" t="n"/>
      <c r="K30" s="202" t="n"/>
      <c r="L30" s="541" t="n"/>
      <c r="M30" s="542" t="n">
        <v>2</v>
      </c>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v>21</v>
      </c>
      <c r="F31" s="198" t="inlineStr">
        <is>
          <t>Математический анализ</t>
        </is>
      </c>
      <c r="G31" s="199" t="inlineStr">
        <is>
          <t>607-41 (ИнфСист-24-1)</t>
        </is>
      </c>
      <c r="H31" s="200" t="inlineStr">
        <is>
          <t>совм.</t>
        </is>
      </c>
      <c r="I31" s="201" t="n"/>
      <c r="J31" s="201" t="n"/>
      <c r="K31" s="202" t="n"/>
      <c r="L31" s="541" t="n"/>
      <c r="M31" s="542" t="n">
        <v>2</v>
      </c>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v>21</v>
      </c>
      <c r="F32" s="198" t="inlineStr">
        <is>
          <t>Математический анализ</t>
        </is>
      </c>
      <c r="G32" s="199" t="inlineStr">
        <is>
          <t>607-42 (БезопИнфСист-24-1)</t>
        </is>
      </c>
      <c r="H32" s="200" t="inlineStr">
        <is>
          <t>совм.</t>
        </is>
      </c>
      <c r="I32" s="201" t="n"/>
      <c r="J32" s="201" t="n"/>
      <c r="K32" s="202" t="n"/>
      <c r="L32" s="541" t="n"/>
      <c r="M32" s="542" t="n">
        <v>2</v>
      </c>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v>25</v>
      </c>
      <c r="F33" s="198" t="inlineStr">
        <is>
          <t>Математический анализ</t>
        </is>
      </c>
      <c r="G33" s="199" t="inlineStr">
        <is>
          <t>606-42 (ИИиЭС-24-1)</t>
        </is>
      </c>
      <c r="H33" s="200" t="inlineStr">
        <is>
          <t>совм.</t>
        </is>
      </c>
      <c r="I33" s="201" t="n"/>
      <c r="J33" s="201" t="n"/>
      <c r="K33" s="202" t="n"/>
      <c r="L33" s="541" t="n"/>
      <c r="M33" s="542" t="n">
        <v>2</v>
      </c>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v>26</v>
      </c>
      <c r="F34" s="198" t="inlineStr">
        <is>
          <t>Математический анализ</t>
        </is>
      </c>
      <c r="G34" s="199" t="inlineStr">
        <is>
          <t>606-41 (АСОИУ-24-1)</t>
        </is>
      </c>
      <c r="H34" s="200" t="inlineStr">
        <is>
          <t>совм.</t>
        </is>
      </c>
      <c r="I34" s="201" t="n"/>
      <c r="J34" s="201" t="n"/>
      <c r="K34" s="202" t="n"/>
      <c r="L34" s="541" t="n"/>
      <c r="M34" s="542" t="n">
        <v>2</v>
      </c>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v>26</v>
      </c>
      <c r="F35" s="198" t="inlineStr">
        <is>
          <t>Математический анализ</t>
        </is>
      </c>
      <c r="G35" s="199" t="inlineStr">
        <is>
          <t>606-42 (ИИиЭС-24-1)</t>
        </is>
      </c>
      <c r="H35" s="200" t="inlineStr">
        <is>
          <t>совм.</t>
        </is>
      </c>
      <c r="I35" s="201" t="n"/>
      <c r="J35" s="201" t="n"/>
      <c r="K35" s="202" t="n"/>
      <c r="L35" s="541" t="n"/>
      <c r="M35" s="542" t="n">
        <v>2</v>
      </c>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v>26</v>
      </c>
      <c r="F36" s="198" t="inlineStr">
        <is>
          <t>Математический анализ</t>
        </is>
      </c>
      <c r="G36" s="199" t="inlineStr">
        <is>
          <t>607-42 (БезопИнфСист-24-1)</t>
        </is>
      </c>
      <c r="H36" s="200" t="inlineStr">
        <is>
          <t>совм.</t>
        </is>
      </c>
      <c r="I36" s="201" t="n"/>
      <c r="J36" s="201" t="n"/>
      <c r="K36" s="202" t="n"/>
      <c r="L36" s="541" t="n"/>
      <c r="M36" s="542" t="n">
        <v>2</v>
      </c>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v>28</v>
      </c>
      <c r="F37" s="198" t="inlineStr">
        <is>
          <t>Математический анализ</t>
        </is>
      </c>
      <c r="G37" s="199" t="inlineStr">
        <is>
          <t>606-42 (ИИиЭС-24-1)</t>
        </is>
      </c>
      <c r="H37" s="200" t="inlineStr">
        <is>
          <t>совм.</t>
        </is>
      </c>
      <c r="I37" s="201" t="n"/>
      <c r="J37" s="201" t="n"/>
      <c r="K37" s="202" t="n"/>
      <c r="L37" s="541" t="n"/>
      <c r="M37" s="542" t="n">
        <v>2</v>
      </c>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v>28</v>
      </c>
      <c r="F38" s="198" t="inlineStr">
        <is>
          <t>Математический анализ</t>
        </is>
      </c>
      <c r="G38" s="199" t="inlineStr">
        <is>
          <t>607-41 (ИнфСист-24-1)</t>
        </is>
      </c>
      <c r="H38" s="200" t="inlineStr">
        <is>
          <t>совм.</t>
        </is>
      </c>
      <c r="I38" s="201" t="n"/>
      <c r="J38" s="201" t="n"/>
      <c r="K38" s="202" t="n"/>
      <c r="L38" s="541" t="n"/>
      <c r="M38" s="542" t="n">
        <v>2</v>
      </c>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v>28</v>
      </c>
      <c r="F39" s="198" t="inlineStr">
        <is>
          <t>Математический анализ</t>
        </is>
      </c>
      <c r="G39" s="199" t="inlineStr">
        <is>
          <t>606-41 (АСОИУ-24-1)</t>
        </is>
      </c>
      <c r="H39" s="200" t="inlineStr">
        <is>
          <t>совм.</t>
        </is>
      </c>
      <c r="I39" s="201" t="n"/>
      <c r="J39" s="201" t="n"/>
      <c r="K39" s="202" t="n"/>
      <c r="L39" s="541" t="n"/>
      <c r="M39" s="542" t="n">
        <v>2</v>
      </c>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v>28</v>
      </c>
      <c r="F40" s="198" t="inlineStr">
        <is>
          <t>Математический анализ</t>
        </is>
      </c>
      <c r="G40" s="199" t="inlineStr">
        <is>
          <t>607-42 (БезопИнфСист-24-1)</t>
        </is>
      </c>
      <c r="H40" s="200" t="inlineStr">
        <is>
          <t>совм.</t>
        </is>
      </c>
      <c r="I40" s="201" t="n"/>
      <c r="J40" s="201" t="n"/>
      <c r="K40" s="202" t="n"/>
      <c r="L40" s="541" t="n"/>
      <c r="M40" s="542" t="n">
        <v>2</v>
      </c>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NWmew0e70IsTDs+DR3iW3g==" formatRows="1" sort="1" spinCount="100000" hashValue="swpR/tetFg28Xd3Yuo3IsUjfU1uYdYhZAmlC63TlIwAN5gPjeYqUG4WNxmpHfvV3Jt2eDKlpUSuxoGRk0Iza1Q=="/>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5.xml><?xml version="1.0" encoding="utf-8"?>
<worksheet xmlns="http://schemas.openxmlformats.org/spreadsheetml/2006/main">
  <sheetPr codeName="Лист17">
    <tabColor indexed="15"/>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G13" sqref="G13"/>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v>1</v>
      </c>
      <c r="F7" s="198" t="inlineStr">
        <is>
          <t>Математический анализ</t>
        </is>
      </c>
      <c r="G7" s="199" t="inlineStr">
        <is>
          <t>606-42 (ИИиЭС-24-1)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v>2</v>
      </c>
      <c r="F8" s="198" t="inlineStr">
        <is>
          <t>Математический анализ</t>
        </is>
      </c>
      <c r="G8" s="199" t="inlineStr">
        <is>
          <t>607-41 (ИнфСист-24-1)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v>2</v>
      </c>
      <c r="F9" s="198" t="inlineStr">
        <is>
          <t>Математический анализ</t>
        </is>
      </c>
      <c r="G9" s="199" t="inlineStr">
        <is>
          <t>606-42 (ИИиЭС-24-1)</t>
        </is>
      </c>
      <c r="H9" s="200" t="inlineStr">
        <is>
          <t>совм.</t>
        </is>
      </c>
      <c r="I9" s="201" t="n"/>
      <c r="J9" s="201" t="n"/>
      <c r="K9" s="202" t="n"/>
      <c r="L9" s="541" t="n"/>
      <c r="M9" s="542" t="n">
        <v>2</v>
      </c>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v>2</v>
      </c>
      <c r="F10" s="198" t="inlineStr">
        <is>
          <t>Математический анализ</t>
        </is>
      </c>
      <c r="G10" s="199" t="inlineStr">
        <is>
          <t>606-41 (АСОИУ-24-1)</t>
        </is>
      </c>
      <c r="H10" s="200" t="inlineStr">
        <is>
          <t>совм.</t>
        </is>
      </c>
      <c r="I10" s="201" t="n"/>
      <c r="J10" s="201" t="n"/>
      <c r="K10" s="202" t="n"/>
      <c r="L10" s="541" t="n"/>
      <c r="M10" s="542" t="n">
        <v>2</v>
      </c>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v>4</v>
      </c>
      <c r="F11" s="198" t="inlineStr">
        <is>
          <t>Математический анализ</t>
        </is>
      </c>
      <c r="G11" s="199" t="inlineStr">
        <is>
          <t>607-41 (ИнфСист-24-1)</t>
        </is>
      </c>
      <c r="H11" s="200" t="inlineStr">
        <is>
          <t>совм.</t>
        </is>
      </c>
      <c r="I11" s="201" t="n"/>
      <c r="J11" s="201" t="n"/>
      <c r="K11" s="202" t="n"/>
      <c r="L11" s="541" t="n"/>
      <c r="M11" s="542" t="n">
        <v>2</v>
      </c>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v>4</v>
      </c>
      <c r="F12" s="198" t="inlineStr">
        <is>
          <t>Математический анализ</t>
        </is>
      </c>
      <c r="G12" s="199" t="inlineStr">
        <is>
          <t>607-42 (БезопИнфСист-24-1)</t>
        </is>
      </c>
      <c r="H12" s="200" t="inlineStr">
        <is>
          <t>совм.</t>
        </is>
      </c>
      <c r="I12" s="201" t="n"/>
      <c r="J12" s="201" t="n"/>
      <c r="K12" s="202" t="n"/>
      <c r="L12" s="541" t="n"/>
      <c r="M12" s="542" t="n">
        <v>2</v>
      </c>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v>4</v>
      </c>
      <c r="F13" s="198" t="inlineStr">
        <is>
          <t>Математический анализ</t>
        </is>
      </c>
      <c r="G13" s="199" t="inlineStr">
        <is>
          <t>606-41 (АСОИУ-24-1)</t>
        </is>
      </c>
      <c r="H13" s="200" t="inlineStr">
        <is>
          <t>совм.</t>
        </is>
      </c>
      <c r="I13" s="201" t="n"/>
      <c r="J13" s="201" t="n"/>
      <c r="K13" s="202" t="n"/>
      <c r="L13" s="541" t="n"/>
      <c r="M13" s="542" t="n">
        <v>2</v>
      </c>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EIGuXtcAycuJCLWy4kmvtg==" formatRows="1" sort="1" spinCount="100000" hashValue="Dub/HqWFmEmcJYvxcj7XFZzVOq6UFmnUStDLlLHmTd33lajvw4SM+3ruW4WaCBkz0Mns1Bi1SqI1kZBdjXWk/w=="/>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30</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6.xml><?xml version="1.0" encoding="utf-8"?>
<worksheet xmlns="http://schemas.openxmlformats.org/spreadsheetml/2006/main">
  <sheetPr codeName="Лист18">
    <tabColor indexed="15"/>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E7" sqref="E7"/>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v>2</v>
      </c>
      <c r="F7" s="198" t="inlineStr">
        <is>
          <t>матан.</t>
        </is>
      </c>
      <c r="G7" s="199" t="inlineStr">
        <is>
          <t>606-41</t>
        </is>
      </c>
      <c r="H7" s="200" t="inlineStr">
        <is>
          <t>совм.</t>
        </is>
      </c>
      <c r="I7" s="201" t="n"/>
      <c r="J7" s="201" t="n"/>
      <c r="K7" s="202" t="n"/>
      <c r="L7" s="541" t="n"/>
      <c r="M7" s="542" t="n">
        <v>2</v>
      </c>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v>5</v>
      </c>
      <c r="F8" s="198" t="inlineStr">
        <is>
          <t>матан.</t>
        </is>
      </c>
      <c r="G8" s="199" t="inlineStr">
        <is>
          <t>606-41</t>
        </is>
      </c>
      <c r="H8" s="200" t="inlineStr">
        <is>
          <t>совм.</t>
        </is>
      </c>
      <c r="I8" s="201" t="n"/>
      <c r="J8" s="201" t="n"/>
      <c r="K8" s="202" t="n"/>
      <c r="L8" s="541" t="n"/>
      <c r="M8" s="542" t="n">
        <v>2</v>
      </c>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c r="F9" s="198" t="n"/>
      <c r="G9" s="199" t="n"/>
      <c r="H9" s="200" t="n"/>
      <c r="I9" s="201" t="n"/>
      <c r="J9" s="201" t="n"/>
      <c r="K9" s="202" t="n"/>
      <c r="L9" s="541" t="n"/>
      <c r="M9" s="542" t="n"/>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c r="F10" s="198" t="n"/>
      <c r="G10" s="199" t="n"/>
      <c r="H10" s="200" t="n"/>
      <c r="I10" s="201" t="n"/>
      <c r="J10" s="201" t="n"/>
      <c r="K10" s="202" t="n"/>
      <c r="L10" s="541" t="n"/>
      <c r="M10" s="542" t="n"/>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c r="F11" s="198" t="n"/>
      <c r="G11" s="199" t="n"/>
      <c r="H11" s="200" t="n"/>
      <c r="I11" s="201" t="n"/>
      <c r="J11" s="201" t="n"/>
      <c r="K11" s="202" t="n"/>
      <c r="L11" s="541" t="n"/>
      <c r="M11" s="542" t="n"/>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c r="F12" s="198" t="n"/>
      <c r="G12" s="199" t="n"/>
      <c r="H12" s="200" t="n"/>
      <c r="I12" s="201" t="n"/>
      <c r="J12" s="201" t="n"/>
      <c r="K12" s="202" t="n"/>
      <c r="L12" s="541" t="n"/>
      <c r="M12" s="542" t="n"/>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c r="F13" s="198" t="n"/>
      <c r="G13" s="199" t="n"/>
      <c r="H13" s="200" t="n"/>
      <c r="I13" s="201" t="n"/>
      <c r="J13" s="201" t="n"/>
      <c r="K13" s="202" t="n"/>
      <c r="L13" s="541" t="n"/>
      <c r="M13" s="542" t="n"/>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mQb3G+iBjAz7Lf9MfRpRKQ==" formatRows="1" sort="1" spinCount="100000" hashValue="CyKXmsvAczgrMsN/nUjJgHxUS83wXSmxYKByOwFyxfp6ii9VDlHu9PqDdt6wrdWYbPvxOvObg7BMZOe2cIiALA=="/>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7.xml><?xml version="1.0" encoding="utf-8"?>
<worksheet xmlns="http://schemas.openxmlformats.org/spreadsheetml/2006/main">
  <sheetPr codeName="Лист19">
    <tabColor indexed="15"/>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E7" sqref="E7"/>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c r="F7" s="198" t="n"/>
      <c r="G7" s="199" t="n"/>
      <c r="H7" s="200" t="n"/>
      <c r="I7" s="201" t="n"/>
      <c r="J7" s="201" t="n"/>
      <c r="K7" s="202" t="n"/>
      <c r="L7" s="541" t="n"/>
      <c r="M7" s="542" t="n"/>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c r="F8" s="198" t="n"/>
      <c r="G8" s="199" t="n"/>
      <c r="H8" s="200" t="n"/>
      <c r="I8" s="201" t="n"/>
      <c r="J8" s="201" t="n"/>
      <c r="K8" s="202" t="n"/>
      <c r="L8" s="541" t="n"/>
      <c r="M8" s="542" t="n"/>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c r="F9" s="198" t="n"/>
      <c r="G9" s="199" t="n"/>
      <c r="H9" s="200" t="n"/>
      <c r="I9" s="201" t="n"/>
      <c r="J9" s="201" t="n"/>
      <c r="K9" s="202" t="n"/>
      <c r="L9" s="541" t="n"/>
      <c r="M9" s="542" t="n"/>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c r="F10" s="198" t="n"/>
      <c r="G10" s="199" t="n"/>
      <c r="H10" s="200" t="n"/>
      <c r="I10" s="201" t="n"/>
      <c r="J10" s="201" t="n"/>
      <c r="K10" s="202" t="n"/>
      <c r="L10" s="541" t="n"/>
      <c r="M10" s="542" t="n"/>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c r="F11" s="198" t="n"/>
      <c r="G11" s="199" t="n"/>
      <c r="H11" s="200" t="n"/>
      <c r="I11" s="201" t="n"/>
      <c r="J11" s="201" t="n"/>
      <c r="K11" s="202" t="n"/>
      <c r="L11" s="541" t="n"/>
      <c r="M11" s="542" t="n"/>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c r="F12" s="198" t="n"/>
      <c r="G12" s="199" t="n"/>
      <c r="H12" s="200" t="n"/>
      <c r="I12" s="201" t="n"/>
      <c r="J12" s="201" t="n"/>
      <c r="K12" s="202" t="n"/>
      <c r="L12" s="541" t="n"/>
      <c r="M12" s="542" t="n"/>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c r="F13" s="198" t="n"/>
      <c r="G13" s="199" t="n"/>
      <c r="H13" s="200" t="n"/>
      <c r="I13" s="201" t="n"/>
      <c r="J13" s="201" t="n"/>
      <c r="K13" s="202" t="n"/>
      <c r="L13" s="541" t="n"/>
      <c r="M13" s="542" t="n"/>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QkW5xkW8fwkCd17itR9mZw==" formatRows="1" sort="1" spinCount="100000" hashValue="w01ZaFmIUORa/3RycBTYs56Sm1/Ic5yOXEt0Bc8N9sRDRx1Z+6TKtdXZ7itV8dGQnTz7WtXZH+F+c7dvKv1rFg=="/>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30</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8.xml><?xml version="1.0" encoding="utf-8"?>
<worksheet xmlns="http://schemas.openxmlformats.org/spreadsheetml/2006/main">
  <sheetPr codeName="Лист20">
    <tabColor rgb="FF00CC99"/>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E7" sqref="E7"/>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c r="F7" s="198" t="n"/>
      <c r="G7" s="199" t="n"/>
      <c r="H7" s="200" t="n"/>
      <c r="I7" s="201" t="n"/>
      <c r="J7" s="201" t="n"/>
      <c r="K7" s="202" t="n"/>
      <c r="L7" s="541" t="n"/>
      <c r="M7" s="542" t="n"/>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c r="F8" s="198" t="n"/>
      <c r="G8" s="199" t="n"/>
      <c r="H8" s="200" t="n"/>
      <c r="I8" s="201" t="n"/>
      <c r="J8" s="201" t="n"/>
      <c r="K8" s="202" t="n"/>
      <c r="L8" s="541" t="n"/>
      <c r="M8" s="542" t="n"/>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c r="F9" s="198" t="n"/>
      <c r="G9" s="199" t="n"/>
      <c r="H9" s="200" t="n"/>
      <c r="I9" s="201" t="n"/>
      <c r="J9" s="201" t="n"/>
      <c r="K9" s="202" t="n"/>
      <c r="L9" s="541" t="n"/>
      <c r="M9" s="542" t="n"/>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c r="F10" s="198" t="n"/>
      <c r="G10" s="199" t="n"/>
      <c r="H10" s="200" t="n"/>
      <c r="I10" s="201" t="n"/>
      <c r="J10" s="201" t="n"/>
      <c r="K10" s="202" t="n"/>
      <c r="L10" s="541" t="n"/>
      <c r="M10" s="542" t="n"/>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c r="F11" s="198" t="n"/>
      <c r="G11" s="199" t="n"/>
      <c r="H11" s="200" t="n"/>
      <c r="I11" s="201" t="n"/>
      <c r="J11" s="201" t="n"/>
      <c r="K11" s="202" t="n"/>
      <c r="L11" s="541" t="n"/>
      <c r="M11" s="542" t="n"/>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c r="F12" s="198" t="n"/>
      <c r="G12" s="199" t="n"/>
      <c r="H12" s="200" t="n"/>
      <c r="I12" s="201" t="n"/>
      <c r="J12" s="201" t="n"/>
      <c r="K12" s="202" t="n"/>
      <c r="L12" s="541" t="n"/>
      <c r="M12" s="542" t="n"/>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c r="F13" s="198" t="n"/>
      <c r="G13" s="199" t="n"/>
      <c r="H13" s="200" t="n"/>
      <c r="I13" s="201" t="n"/>
      <c r="J13" s="201" t="n"/>
      <c r="K13" s="202" t="n"/>
      <c r="L13" s="541" t="n"/>
      <c r="M13" s="542" t="n"/>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iJKzGH6t6JDlnYiWQHSUSg==" formatRows="1" sort="1" spinCount="100000" hashValue="RlP7Tamj8LP+F9UCZw7vLFnN29pDd79t73ob+yHNYant1Qt4GnoRE37s0LMSVdevgIIMclWW73ZRIvtbvrg7XA=="/>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xl/worksheets/sheet19.xml><?xml version="1.0" encoding="utf-8"?>
<worksheet xmlns="http://schemas.openxmlformats.org/spreadsheetml/2006/main">
  <sheetPr codeName="Лист21">
    <tabColor rgb="FF00CC99"/>
    <outlinePr summaryBelow="0" summaryRight="0"/>
    <pageSetUpPr fitToPage="1"/>
  </sheetPr>
  <dimension ref="A1:Z160"/>
  <sheetViews>
    <sheetView zoomScale="85" zoomScaleNormal="100" workbookViewId="0">
      <pane xSplit="8" ySplit="6" topLeftCell="I7" activePane="bottomRight" state="frozen"/>
      <selection activeCell="E7" sqref="E7"/>
      <selection pane="topRight" activeCell="E7" sqref="E7"/>
      <selection pane="bottomLeft" activeCell="E7" sqref="E7"/>
      <selection pane="bottomRight" activeCell="E7" sqref="E7"/>
    </sheetView>
  </sheetViews>
  <sheetFormatPr baseColWidth="8" defaultColWidth="9.109375" defaultRowHeight="13.2"/>
  <cols>
    <col hidden="1" width="4.6640625" customWidth="1" style="3" min="1" max="3"/>
    <col hidden="1" width="30.6640625" customWidth="1" style="211" min="4" max="4"/>
    <col width="4.6640625" customWidth="1" style="146" min="5" max="5"/>
    <col width="32.6640625" customWidth="1" style="212" min="6" max="6"/>
    <col width="18.6640625" customWidth="1" style="212" min="7" max="7"/>
    <col width="6.6640625" customWidth="1" style="212" min="8" max="8"/>
    <col width="4.6640625" customWidth="1" style="212" min="9" max="10"/>
    <col width="40.6640625" customWidth="1" style="212" min="11" max="11"/>
    <col width="6.88671875" customWidth="1" style="146" min="12" max="25"/>
    <col width="30.6640625" customWidth="1" style="2" min="26" max="26"/>
    <col width="2.6640625" customWidth="1" style="2" min="27" max="27"/>
    <col width="9.109375" customWidth="1" style="2" min="28" max="16384"/>
  </cols>
  <sheetData>
    <row r="1" ht="112.5" customHeight="1" s="296">
      <c r="A1" s="147" t="inlineStr">
        <is>
          <t>индикатор</t>
        </is>
      </c>
      <c r="B1" s="147" t="inlineStr">
        <is>
          <t>ошибка</t>
        </is>
      </c>
      <c r="C1" s="147" t="inlineStr">
        <is>
          <t>пусто</t>
        </is>
      </c>
      <c r="D1" s="163" t="inlineStr">
        <is>
          <t>ключ</t>
        </is>
      </c>
      <c r="E1" s="166" t="inlineStr">
        <is>
          <t>Число месяца</t>
        </is>
      </c>
      <c r="F1" s="167" t="inlineStr">
        <is>
          <t xml:space="preserve">Дисциплина, 
вид учебной работы </t>
        </is>
      </c>
      <c r="G1" s="168" t="inlineStr">
        <is>
          <t>Группа (институт, направление, профиль или специальность, уровень, курс)</t>
        </is>
      </c>
      <c r="H1" s="169" t="inlineStr">
        <is>
          <t>Вид нагрузки</t>
        </is>
      </c>
      <c r="I1" s="170" t="inlineStr">
        <is>
          <t>Подгруппа</t>
        </is>
      </c>
      <c r="J1" s="171" t="inlineStr">
        <is>
          <t>Количество студентов</t>
        </is>
      </c>
      <c r="K1" s="172" t="inlineStr">
        <is>
          <t>Количество часов
по видам занятий:
Тема занятия                       .</t>
        </is>
      </c>
      <c r="L1" s="173" t="inlineStr">
        <is>
          <t>лекции</t>
        </is>
      </c>
      <c r="M1" s="174" t="inlineStr">
        <is>
          <t>практические занятия 
и семинары</t>
        </is>
      </c>
      <c r="N1" s="169" t="inlineStr">
        <is>
          <t>лабораторные работы</t>
        </is>
      </c>
      <c r="O1" s="175" t="inlineStr">
        <is>
          <t>консультации</t>
        </is>
      </c>
      <c r="P1" s="174" t="inlineStr">
        <is>
          <t>контрольные работы</t>
        </is>
      </c>
      <c r="Q1" s="169" t="inlineStr">
        <is>
          <t>курсовые проекты и работы</t>
        </is>
      </c>
      <c r="R1" s="173" t="inlineStr">
        <is>
          <t>зачеты, дифферен-цированные зачеты</t>
        </is>
      </c>
      <c r="S1" s="176" t="inlineStr">
        <is>
          <t>семестровые экзамены</t>
        </is>
      </c>
      <c r="T1" s="169" t="inlineStr">
        <is>
          <t>КСР</t>
        </is>
      </c>
      <c r="U1" s="175" t="inlineStr">
        <is>
          <t>руководство 
практиками</t>
        </is>
      </c>
      <c r="V1" s="173" t="inlineStr">
        <is>
          <t>руководство 
научной работой</t>
        </is>
      </c>
      <c r="W1" s="176" t="inlineStr">
        <is>
          <t>руководство ВКР (дипломные проекты)</t>
        </is>
      </c>
      <c r="X1" s="169" t="inlineStr">
        <is>
          <t>ГЭК, ИАК</t>
        </is>
      </c>
      <c r="Y1" s="170" t="inlineStr">
        <is>
          <t>прочие</t>
        </is>
      </c>
      <c r="Z1" s="177" t="inlineStr">
        <is>
          <t>Примечания</t>
        </is>
      </c>
    </row>
    <row r="2" ht="17.1" customHeight="1" s="296">
      <c r="A2" s="178">
        <f>MATCH(H2,ВидыНагр,0)</f>
        <v/>
      </c>
      <c r="B2" s="178" t="n"/>
      <c r="C2" s="178" t="n"/>
      <c r="D2" s="179" t="n"/>
      <c r="E2" s="180" t="n"/>
      <c r="F2" s="509" t="inlineStr">
        <is>
          <t>итого часов за месяц:</t>
        </is>
      </c>
      <c r="G2" s="510">
        <f>SUM(L5:Y5)</f>
        <v/>
      </c>
      <c r="H2" s="547" t="inlineStr">
        <is>
          <t>осн.</t>
        </is>
      </c>
      <c r="I2" s="512">
        <f>SUM(L2:Y2)</f>
        <v/>
      </c>
      <c r="J2" s="513" t="n"/>
      <c r="K2" s="257" t="n"/>
      <c r="L2" s="485">
        <f>SUMIF($A$7:$A$159,$A2,L$7:L$159)</f>
        <v/>
      </c>
      <c r="M2" s="486">
        <f>SUMIF($A$7:$A$159,$A2,M$7:M$159)</f>
        <v/>
      </c>
      <c r="N2" s="487">
        <f>SUMIF($A$7:$A$159,$A2,N$7:N$159)</f>
        <v/>
      </c>
      <c r="O2" s="485">
        <f>SUMIF($A$7:$A$159,$A2,O$7:O$159)</f>
        <v/>
      </c>
      <c r="P2" s="486">
        <f>SUMIF($A$7:$A$159,$A2,P$7:P$159)</f>
        <v/>
      </c>
      <c r="Q2" s="487">
        <f>SUMIF($A$7:$A$159,$A2,Q$7:Q$159)</f>
        <v/>
      </c>
      <c r="R2" s="485">
        <f>SUMIF($A$7:$A$159,$A2,R$7:R$159)</f>
        <v/>
      </c>
      <c r="S2" s="489">
        <f>SUMIF($A$7:$A$159,$A2,S$7:S$159)</f>
        <v/>
      </c>
      <c r="T2" s="487">
        <f>SUMIF($A$7:$A$159,$A2,T$7:T$159)</f>
        <v/>
      </c>
      <c r="U2" s="485">
        <f>SUMIF($A$7:$A$159,$A2,U$7:U$159)</f>
        <v/>
      </c>
      <c r="V2" s="488">
        <f>SUMIF($A$7:$A$159,$A2,V$7:V$159)</f>
        <v/>
      </c>
      <c r="W2" s="489">
        <f>SUMIF($A$7:$A$159,$A2,W$7:W$159)</f>
        <v/>
      </c>
      <c r="X2" s="487">
        <f>SUMIF($A$7:$A$159,$A2,X$7:X$159)</f>
        <v/>
      </c>
      <c r="Y2" s="451">
        <f>SUMIF($A$7:$A$159,$A2,Y$7:Y$159)</f>
        <v/>
      </c>
      <c r="Z2" s="181" t="n"/>
    </row>
    <row r="3" ht="17.1" customHeight="1" s="296">
      <c r="A3" s="178">
        <f>MATCH(H3,ВидыНагр,0)</f>
        <v/>
      </c>
      <c r="B3" s="178" t="n"/>
      <c r="C3" s="178" t="n"/>
      <c r="D3" s="179" t="n"/>
      <c r="E3" s="182" t="n"/>
      <c r="F3" s="59" t="n"/>
      <c r="G3" s="514" t="n"/>
      <c r="H3" s="547" t="inlineStr">
        <is>
          <t>совм.</t>
        </is>
      </c>
      <c r="I3" s="516">
        <f>SUM(L3:Y3)</f>
        <v/>
      </c>
      <c r="J3" s="517" t="n"/>
      <c r="K3" s="259" t="n"/>
      <c r="L3" s="485">
        <f>SUMIF($A$7:$A$159,$A3,L$7:L$159)</f>
        <v/>
      </c>
      <c r="M3" s="486">
        <f>SUMIF($A$7:$A$159,$A3,M$7:M$159)</f>
        <v/>
      </c>
      <c r="N3" s="487">
        <f>SUMIF($A$7:$A$159,$A3,N$7:N$159)</f>
        <v/>
      </c>
      <c r="O3" s="485">
        <f>SUMIF($A$7:$A$159,$A3,O$7:O$159)</f>
        <v/>
      </c>
      <c r="P3" s="486">
        <f>SUMIF($A$7:$A$159,$A3,P$7:P$159)</f>
        <v/>
      </c>
      <c r="Q3" s="487">
        <f>SUMIF($A$7:$A$159,$A3,Q$7:Q$159)</f>
        <v/>
      </c>
      <c r="R3" s="485">
        <f>SUMIF($A$7:$A$159,$A3,R$7:R$159)</f>
        <v/>
      </c>
      <c r="S3" s="489">
        <f>SUMIF($A$7:$A$159,$A3,S$7:S$159)</f>
        <v/>
      </c>
      <c r="T3" s="487">
        <f>SUMIF($A$7:$A$159,$A3,T$7:T$159)</f>
        <v/>
      </c>
      <c r="U3" s="485">
        <f>SUMIF($A$7:$A$159,$A3,U$7:U$159)</f>
        <v/>
      </c>
      <c r="V3" s="488">
        <f>SUMIF($A$7:$A$159,$A3,V$7:V$159)</f>
        <v/>
      </c>
      <c r="W3" s="489">
        <f>SUMIF($A$7:$A$159,$A3,W$7:W$159)</f>
        <v/>
      </c>
      <c r="X3" s="487">
        <f>SUMIF($A$7:$A$159,$A3,X$7:X$159)</f>
        <v/>
      </c>
      <c r="Y3" s="451">
        <f>SUMIF($A$7:$A$159,$A3,Y$7:Y$159)</f>
        <v/>
      </c>
      <c r="Z3" s="181" t="n"/>
    </row>
    <row r="4" ht="17.1" customHeight="1" s="296">
      <c r="A4" s="178">
        <f>MATCH(H4,ВидыНагр,0)</f>
        <v/>
      </c>
      <c r="B4" s="178" t="n"/>
      <c r="C4" s="178" t="n"/>
      <c r="D4" s="179" t="n"/>
      <c r="E4" s="182" t="n"/>
      <c r="F4" s="59" t="n"/>
      <c r="G4" s="514" t="n"/>
      <c r="H4" s="548" t="inlineStr">
        <is>
          <t>почас.</t>
        </is>
      </c>
      <c r="I4" s="519">
        <f>SUM(L4:Y4)</f>
        <v/>
      </c>
      <c r="J4" s="520" t="n"/>
      <c r="K4" s="261" t="n"/>
      <c r="L4" s="521">
        <f>SUMIF($A$7:$A$159,$A4,L$7:L$159)</f>
        <v/>
      </c>
      <c r="M4" s="522">
        <f>SUMIF($A$7:$A$159,$A4,M$7:M$159)</f>
        <v/>
      </c>
      <c r="N4" s="523">
        <f>SUMIF($A$7:$A$159,$A4,N$7:N$159)</f>
        <v/>
      </c>
      <c r="O4" s="521">
        <f>SUMIF($A$7:$A$159,$A4,O$7:O$159)</f>
        <v/>
      </c>
      <c r="P4" s="522">
        <f>SUMIF($A$7:$A$159,$A4,P$7:P$159)</f>
        <v/>
      </c>
      <c r="Q4" s="523">
        <f>SUMIF($A$7:$A$159,$A4,Q$7:Q$159)</f>
        <v/>
      </c>
      <c r="R4" s="521">
        <f>SUMIF($A$7:$A$159,$A4,R$7:R$159)</f>
        <v/>
      </c>
      <c r="S4" s="524">
        <f>SUMIF($A$7:$A$159,$A4,S$7:S$159)</f>
        <v/>
      </c>
      <c r="T4" s="523">
        <f>SUMIF($A$7:$A$159,$A4,T$7:T$159)</f>
        <v/>
      </c>
      <c r="U4" s="521">
        <f>SUMIF($A$7:$A$159,$A4,U$7:U$159)</f>
        <v/>
      </c>
      <c r="V4" s="525">
        <f>SUMIF($A$7:$A$159,$A4,V$7:V$159)</f>
        <v/>
      </c>
      <c r="W4" s="524">
        <f>SUMIF($A$7:$A$159,$A4,W$7:W$159)</f>
        <v/>
      </c>
      <c r="X4" s="523">
        <f>SUMIF($A$7:$A$159,$A4,X$7:X$159)</f>
        <v/>
      </c>
      <c r="Y4" s="504">
        <f>SUMIF($A$7:$A$159,$A4,Y$7:Y$159)</f>
        <v/>
      </c>
      <c r="Z4" s="181" t="n"/>
    </row>
    <row r="5" ht="17.1" customHeight="1" s="296">
      <c r="A5" s="178" t="n"/>
      <c r="B5" s="178" t="n"/>
      <c r="C5" s="178" t="n"/>
      <c r="D5" s="179" t="n"/>
      <c r="E5" s="182" t="n"/>
      <c r="F5" s="405" t="n"/>
      <c r="G5" s="407" t="n"/>
      <c r="H5" s="526" t="inlineStr">
        <is>
          <t>всего</t>
        </is>
      </c>
      <c r="I5" s="263" t="n"/>
      <c r="J5" s="264" t="n"/>
      <c r="K5" s="177" t="n"/>
      <c r="L5" s="527">
        <f>SUM(L2:L4)</f>
        <v/>
      </c>
      <c r="M5" s="528">
        <f>SUM(M2:M4)</f>
        <v/>
      </c>
      <c r="N5" s="529">
        <f>SUM(N2:N4)</f>
        <v/>
      </c>
      <c r="O5" s="527">
        <f>SUM(O2:O4)</f>
        <v/>
      </c>
      <c r="P5" s="528">
        <f>SUM(P2:P4)</f>
        <v/>
      </c>
      <c r="Q5" s="529">
        <f>SUM(Q2:Q4)</f>
        <v/>
      </c>
      <c r="R5" s="527">
        <f>SUM(R2:R4)</f>
        <v/>
      </c>
      <c r="S5" s="530">
        <f>SUM(S2:S4)</f>
        <v/>
      </c>
      <c r="T5" s="529">
        <f>SUM(T2:T4)</f>
        <v/>
      </c>
      <c r="U5" s="527">
        <f>SUM(U2:U4)</f>
        <v/>
      </c>
      <c r="V5" s="531">
        <f>SUM(V2:V4)</f>
        <v/>
      </c>
      <c r="W5" s="530">
        <f>SUM(W2:W4)</f>
        <v/>
      </c>
      <c r="X5" s="529">
        <f>SUM(X2:X4)</f>
        <v/>
      </c>
      <c r="Y5" s="532">
        <f>SUM(Y2:Y4)</f>
        <v/>
      </c>
      <c r="Z5" s="533">
        <f>Утв_Весна</f>
        <v/>
      </c>
    </row>
    <row r="6" ht="17.1" customHeight="1" s="296">
      <c r="A6" s="178" t="n"/>
      <c r="B6" s="178" t="n"/>
      <c r="C6" s="178" t="n"/>
      <c r="D6" s="179" t="n"/>
      <c r="E6" s="189" t="n"/>
      <c r="F6" s="271" t="inlineStr">
        <is>
          <t>всего ошибочных часов:</t>
        </is>
      </c>
      <c r="G6" s="534">
        <f>SUM(L6:Y6)</f>
        <v/>
      </c>
      <c r="H6" s="535" t="n"/>
      <c r="I6" s="274" t="n"/>
      <c r="J6" s="275" t="n"/>
      <c r="K6" s="177" t="n"/>
      <c r="L6" s="536">
        <f>SUM(L7:L159)-L5</f>
        <v/>
      </c>
      <c r="M6" s="537">
        <f>SUM(M7:M159)-M5</f>
        <v/>
      </c>
      <c r="N6" s="538">
        <f>SUM(N7:N159)-N5</f>
        <v/>
      </c>
      <c r="O6" s="536">
        <f>SUM(O7:O159)-O5</f>
        <v/>
      </c>
      <c r="P6" s="537">
        <f>SUM(P7:P159)-P5</f>
        <v/>
      </c>
      <c r="Q6" s="538">
        <f>SUM(Q7:Q159)-Q5</f>
        <v/>
      </c>
      <c r="R6" s="536">
        <f>SUM(R7:R159)-R5</f>
        <v/>
      </c>
      <c r="S6" s="539">
        <f>SUM(S7:S159)-S5</f>
        <v/>
      </c>
      <c r="T6" s="538">
        <f>SUM(T7:T159)-T5</f>
        <v/>
      </c>
      <c r="U6" s="536">
        <f>SUM(U7:U159)-U5</f>
        <v/>
      </c>
      <c r="V6" s="540">
        <f>SUM(V7:V159)-V5</f>
        <v/>
      </c>
      <c r="W6" s="539">
        <f>SUM(W7:W159)-W5</f>
        <v/>
      </c>
      <c r="X6" s="538">
        <f>SUM(X7:X159)-X5</f>
        <v/>
      </c>
      <c r="Y6" s="536">
        <f>SUM(Y7:Y159)-Y5</f>
        <v/>
      </c>
      <c r="Z6" s="195" t="n"/>
    </row>
    <row r="7" ht="28.5" customFormat="1" customHeight="1" s="210">
      <c r="A7" s="196">
        <f>IF(B7,0,MATCH(H7,ВидыНагр,0))</f>
        <v/>
      </c>
      <c r="B7" s="154">
        <f>(COUNTIF(КлючВесна,D7)&lt;&gt;1)</f>
        <v/>
      </c>
      <c r="C7" s="196">
        <f>IF(COUNTA(E7:K7,Z7)&gt;0,1,0)+IF(COUNTA(L7:Y7)&gt;0,2,0)</f>
        <v/>
      </c>
      <c r="D7" s="179">
        <f>CONCATENATE("$",TRIM(F7),"$",TRIM(G7),"$",H7,"$")</f>
        <v/>
      </c>
      <c r="E7" s="197" t="n"/>
      <c r="F7" s="198" t="n"/>
      <c r="G7" s="199" t="n"/>
      <c r="H7" s="200" t="n"/>
      <c r="I7" s="201" t="n"/>
      <c r="J7" s="201" t="n"/>
      <c r="K7" s="202" t="n"/>
      <c r="L7" s="541" t="n"/>
      <c r="M7" s="542" t="n"/>
      <c r="N7" s="543" t="n"/>
      <c r="O7" s="541" t="n"/>
      <c r="P7" s="542" t="n"/>
      <c r="Q7" s="543" t="n"/>
      <c r="R7" s="541" t="n"/>
      <c r="S7" s="544" t="n"/>
      <c r="T7" s="543" t="n"/>
      <c r="U7" s="541" t="n"/>
      <c r="V7" s="545" t="n"/>
      <c r="W7" s="544" t="n"/>
      <c r="X7" s="543" t="n"/>
      <c r="Y7" s="546" t="n"/>
      <c r="Z7" s="209" t="n"/>
    </row>
    <row r="8" ht="28.5" customFormat="1" customHeight="1" s="210">
      <c r="A8" s="196">
        <f>IF(B8,0,MATCH(H8,ВидыНагр,0))</f>
        <v/>
      </c>
      <c r="B8" s="154">
        <f>(COUNTIF(КлючВесна,D8)&lt;&gt;1)</f>
        <v/>
      </c>
      <c r="C8" s="196">
        <f>IF(COUNTA(E8:K8,Z8)&gt;0,1,0)+IF(COUNTA(L8:Y8)&gt;0,2,0)</f>
        <v/>
      </c>
      <c r="D8" s="179">
        <f>CONCATENATE("$",TRIM(F8),"$",TRIM(G8),"$",H8,"$")</f>
        <v/>
      </c>
      <c r="E8" s="197" t="n"/>
      <c r="F8" s="198" t="n"/>
      <c r="G8" s="199" t="n"/>
      <c r="H8" s="200" t="n"/>
      <c r="I8" s="201" t="n"/>
      <c r="J8" s="201" t="n"/>
      <c r="K8" s="202" t="n"/>
      <c r="L8" s="541" t="n"/>
      <c r="M8" s="542" t="n"/>
      <c r="N8" s="543" t="n"/>
      <c r="O8" s="541" t="n"/>
      <c r="P8" s="542" t="n"/>
      <c r="Q8" s="543" t="n"/>
      <c r="R8" s="541" t="n"/>
      <c r="S8" s="544" t="n"/>
      <c r="T8" s="543" t="n"/>
      <c r="U8" s="541" t="n"/>
      <c r="V8" s="545" t="n"/>
      <c r="W8" s="544" t="n"/>
      <c r="X8" s="543" t="n"/>
      <c r="Y8" s="546" t="n"/>
      <c r="Z8" s="209" t="n"/>
    </row>
    <row r="9" ht="28.5" customFormat="1" customHeight="1" s="210">
      <c r="A9" s="196">
        <f>IF(B9,0,MATCH(H9,ВидыНагр,0))</f>
        <v/>
      </c>
      <c r="B9" s="154">
        <f>(COUNTIF(КлючВесна,D9)&lt;&gt;1)</f>
        <v/>
      </c>
      <c r="C9" s="196">
        <f>IF(COUNTA(E9:K9,Z9)&gt;0,1,0)+IF(COUNTA(L9:Y9)&gt;0,2,0)</f>
        <v/>
      </c>
      <c r="D9" s="179">
        <f>CONCATENATE("$",TRIM(F9),"$",TRIM(G9),"$",H9,"$")</f>
        <v/>
      </c>
      <c r="E9" s="197" t="n"/>
      <c r="F9" s="198" t="n"/>
      <c r="G9" s="199" t="n"/>
      <c r="H9" s="200" t="n"/>
      <c r="I9" s="201" t="n"/>
      <c r="J9" s="201" t="n"/>
      <c r="K9" s="202" t="n"/>
      <c r="L9" s="541" t="n"/>
      <c r="M9" s="542" t="n"/>
      <c r="N9" s="543" t="n"/>
      <c r="O9" s="541" t="n"/>
      <c r="P9" s="542" t="n"/>
      <c r="Q9" s="543" t="n"/>
      <c r="R9" s="541" t="n"/>
      <c r="S9" s="544" t="n"/>
      <c r="T9" s="543" t="n"/>
      <c r="U9" s="541" t="n"/>
      <c r="V9" s="545" t="n"/>
      <c r="W9" s="544" t="n"/>
      <c r="X9" s="543" t="n"/>
      <c r="Y9" s="546" t="n"/>
      <c r="Z9" s="209" t="n"/>
    </row>
    <row r="10" ht="28.5" customFormat="1" customHeight="1" s="210">
      <c r="A10" s="196">
        <f>IF(B10,0,MATCH(H10,ВидыНагр,0))</f>
        <v/>
      </c>
      <c r="B10" s="154">
        <f>(COUNTIF(КлючВесна,D10)&lt;&gt;1)</f>
        <v/>
      </c>
      <c r="C10" s="196">
        <f>IF(COUNTA(E10:K10,Z10)&gt;0,1,0)+IF(COUNTA(L10:Y10)&gt;0,2,0)</f>
        <v/>
      </c>
      <c r="D10" s="179">
        <f>CONCATENATE("$",TRIM(F10),"$",TRIM(G10),"$",H10,"$")</f>
        <v/>
      </c>
      <c r="E10" s="197" t="n"/>
      <c r="F10" s="198" t="n"/>
      <c r="G10" s="199" t="n"/>
      <c r="H10" s="200" t="n"/>
      <c r="I10" s="201" t="n"/>
      <c r="J10" s="201" t="n"/>
      <c r="K10" s="202" t="n"/>
      <c r="L10" s="541" t="n"/>
      <c r="M10" s="542" t="n"/>
      <c r="N10" s="543" t="n"/>
      <c r="O10" s="541" t="n"/>
      <c r="P10" s="542" t="n"/>
      <c r="Q10" s="543" t="n"/>
      <c r="R10" s="541" t="n"/>
      <c r="S10" s="544" t="n"/>
      <c r="T10" s="543" t="n"/>
      <c r="U10" s="541" t="n"/>
      <c r="V10" s="545" t="n"/>
      <c r="W10" s="544" t="n"/>
      <c r="X10" s="543" t="n"/>
      <c r="Y10" s="546" t="n"/>
      <c r="Z10" s="209" t="n"/>
    </row>
    <row r="11" ht="28.5" customFormat="1" customHeight="1" s="210">
      <c r="A11" s="196">
        <f>IF(B11,0,MATCH(H11,ВидыНагр,0))</f>
        <v/>
      </c>
      <c r="B11" s="154">
        <f>(COUNTIF(КлючВесна,D11)&lt;&gt;1)</f>
        <v/>
      </c>
      <c r="C11" s="196">
        <f>IF(COUNTA(E11:K11,Z11)&gt;0,1,0)+IF(COUNTA(L11:Y11)&gt;0,2,0)</f>
        <v/>
      </c>
      <c r="D11" s="179">
        <f>CONCATENATE("$",TRIM(F11),"$",TRIM(G11),"$",H11,"$")</f>
        <v/>
      </c>
      <c r="E11" s="197" t="n"/>
      <c r="F11" s="198" t="n"/>
      <c r="G11" s="199" t="n"/>
      <c r="H11" s="200" t="n"/>
      <c r="I11" s="201" t="n"/>
      <c r="J11" s="201" t="n"/>
      <c r="K11" s="202" t="n"/>
      <c r="L11" s="541" t="n"/>
      <c r="M11" s="542" t="n"/>
      <c r="N11" s="543" t="n"/>
      <c r="O11" s="541" t="n"/>
      <c r="P11" s="542" t="n"/>
      <c r="Q11" s="543" t="n"/>
      <c r="R11" s="541" t="n"/>
      <c r="S11" s="544" t="n"/>
      <c r="T11" s="543" t="n"/>
      <c r="U11" s="541" t="n"/>
      <c r="V11" s="545" t="n"/>
      <c r="W11" s="544" t="n"/>
      <c r="X11" s="543" t="n"/>
      <c r="Y11" s="546" t="n"/>
      <c r="Z11" s="209" t="n"/>
    </row>
    <row r="12" ht="28.5" customFormat="1" customHeight="1" s="210">
      <c r="A12" s="196">
        <f>IF(B12,0,MATCH(H12,ВидыНагр,0))</f>
        <v/>
      </c>
      <c r="B12" s="154">
        <f>(COUNTIF(КлючВесна,D12)&lt;&gt;1)</f>
        <v/>
      </c>
      <c r="C12" s="196">
        <f>IF(COUNTA(E12:K12,Z12)&gt;0,1,0)+IF(COUNTA(L12:Y12)&gt;0,2,0)</f>
        <v/>
      </c>
      <c r="D12" s="179">
        <f>CONCATENATE("$",TRIM(F12),"$",TRIM(G12),"$",H12,"$")</f>
        <v/>
      </c>
      <c r="E12" s="197" t="n"/>
      <c r="F12" s="198" t="n"/>
      <c r="G12" s="199" t="n"/>
      <c r="H12" s="200" t="n"/>
      <c r="I12" s="201" t="n"/>
      <c r="J12" s="201" t="n"/>
      <c r="K12" s="202" t="n"/>
      <c r="L12" s="541" t="n"/>
      <c r="M12" s="542" t="n"/>
      <c r="N12" s="543" t="n"/>
      <c r="O12" s="541" t="n"/>
      <c r="P12" s="542" t="n"/>
      <c r="Q12" s="543" t="n"/>
      <c r="R12" s="541" t="n"/>
      <c r="S12" s="544" t="n"/>
      <c r="T12" s="543" t="n"/>
      <c r="U12" s="541" t="n"/>
      <c r="V12" s="545" t="n"/>
      <c r="W12" s="544" t="n"/>
      <c r="X12" s="543" t="n"/>
      <c r="Y12" s="546" t="n"/>
      <c r="Z12" s="209" t="n"/>
    </row>
    <row r="13" ht="28.5" customFormat="1" customHeight="1" s="210">
      <c r="A13" s="196">
        <f>IF(B13,0,MATCH(H13,ВидыНагр,0))</f>
        <v/>
      </c>
      <c r="B13" s="154">
        <f>(COUNTIF(КлючВесна,D13)&lt;&gt;1)</f>
        <v/>
      </c>
      <c r="C13" s="196">
        <f>IF(COUNTA(E13:K13,Z13)&gt;0,1,0)+IF(COUNTA(L13:Y13)&gt;0,2,0)</f>
        <v/>
      </c>
      <c r="D13" s="179">
        <f>CONCATENATE("$",TRIM(F13),"$",TRIM(G13),"$",H13,"$")</f>
        <v/>
      </c>
      <c r="E13" s="197" t="n"/>
      <c r="F13" s="198" t="n"/>
      <c r="G13" s="199" t="n"/>
      <c r="H13" s="200" t="n"/>
      <c r="I13" s="201" t="n"/>
      <c r="J13" s="201" t="n"/>
      <c r="K13" s="202" t="n"/>
      <c r="L13" s="541" t="n"/>
      <c r="M13" s="542" t="n"/>
      <c r="N13" s="543" t="n"/>
      <c r="O13" s="541" t="n"/>
      <c r="P13" s="542" t="n"/>
      <c r="Q13" s="543" t="n"/>
      <c r="R13" s="541" t="n"/>
      <c r="S13" s="544" t="n"/>
      <c r="T13" s="543" t="n"/>
      <c r="U13" s="541" t="n"/>
      <c r="V13" s="545" t="n"/>
      <c r="W13" s="544" t="n"/>
      <c r="X13" s="543" t="n"/>
      <c r="Y13" s="546" t="n"/>
      <c r="Z13" s="209" t="n"/>
    </row>
    <row r="14" ht="28.5" customFormat="1" customHeight="1" s="210">
      <c r="A14" s="196">
        <f>IF(B14,0,MATCH(H14,ВидыНагр,0))</f>
        <v/>
      </c>
      <c r="B14" s="154">
        <f>(COUNTIF(КлючВесна,D14)&lt;&gt;1)</f>
        <v/>
      </c>
      <c r="C14" s="196">
        <f>IF(COUNTA(E14:K14,Z14)&gt;0,1,0)+IF(COUNTA(L14:Y14)&gt;0,2,0)</f>
        <v/>
      </c>
      <c r="D14" s="179">
        <f>CONCATENATE("$",TRIM(F14),"$",TRIM(G14),"$",H14,"$")</f>
        <v/>
      </c>
      <c r="E14" s="197" t="n"/>
      <c r="F14" s="198" t="n"/>
      <c r="G14" s="199" t="n"/>
      <c r="H14" s="200" t="n"/>
      <c r="I14" s="201" t="n"/>
      <c r="J14" s="201" t="n"/>
      <c r="K14" s="202" t="n"/>
      <c r="L14" s="541" t="n"/>
      <c r="M14" s="542" t="n"/>
      <c r="N14" s="543" t="n"/>
      <c r="O14" s="541" t="n"/>
      <c r="P14" s="542" t="n"/>
      <c r="Q14" s="543" t="n"/>
      <c r="R14" s="541" t="n"/>
      <c r="S14" s="544" t="n"/>
      <c r="T14" s="543" t="n"/>
      <c r="U14" s="541" t="n"/>
      <c r="V14" s="545" t="n"/>
      <c r="W14" s="544" t="n"/>
      <c r="X14" s="543" t="n"/>
      <c r="Y14" s="546" t="n"/>
      <c r="Z14" s="209" t="n"/>
    </row>
    <row r="15" ht="28.5" customFormat="1" customHeight="1" s="210">
      <c r="A15" s="196">
        <f>IF(B15,0,MATCH(H15,ВидыНагр,0))</f>
        <v/>
      </c>
      <c r="B15" s="154">
        <f>(COUNTIF(КлючВесна,D15)&lt;&gt;1)</f>
        <v/>
      </c>
      <c r="C15" s="196">
        <f>IF(COUNTA(E15:K15,Z15)&gt;0,1,0)+IF(COUNTA(L15:Y15)&gt;0,2,0)</f>
        <v/>
      </c>
      <c r="D15" s="179">
        <f>CONCATENATE("$",TRIM(F15),"$",TRIM(G15),"$",H15,"$")</f>
        <v/>
      </c>
      <c r="E15" s="197" t="n"/>
      <c r="F15" s="198" t="n"/>
      <c r="G15" s="199" t="n"/>
      <c r="H15" s="200" t="n"/>
      <c r="I15" s="201" t="n"/>
      <c r="J15" s="201" t="n"/>
      <c r="K15" s="202" t="n"/>
      <c r="L15" s="541" t="n"/>
      <c r="M15" s="542" t="n"/>
      <c r="N15" s="543" t="n"/>
      <c r="O15" s="541" t="n"/>
      <c r="P15" s="542" t="n"/>
      <c r="Q15" s="543" t="n"/>
      <c r="R15" s="541" t="n"/>
      <c r="S15" s="544" t="n"/>
      <c r="T15" s="543" t="n"/>
      <c r="U15" s="541" t="n"/>
      <c r="V15" s="545" t="n"/>
      <c r="W15" s="544" t="n"/>
      <c r="X15" s="543" t="n"/>
      <c r="Y15" s="546" t="n"/>
      <c r="Z15" s="209" t="n"/>
    </row>
    <row r="16" ht="28.5" customFormat="1" customHeight="1" s="210">
      <c r="A16" s="196">
        <f>IF(B16,0,MATCH(H16,ВидыНагр,0))</f>
        <v/>
      </c>
      <c r="B16" s="154">
        <f>(COUNTIF(КлючВесна,D16)&lt;&gt;1)</f>
        <v/>
      </c>
      <c r="C16" s="196">
        <f>IF(COUNTA(E16:K16,Z16)&gt;0,1,0)+IF(COUNTA(L16:Y16)&gt;0,2,0)</f>
        <v/>
      </c>
      <c r="D16" s="179">
        <f>CONCATENATE("$",TRIM(F16),"$",TRIM(G16),"$",H16,"$")</f>
        <v/>
      </c>
      <c r="E16" s="197" t="n"/>
      <c r="F16" s="198" t="n"/>
      <c r="G16" s="199" t="n"/>
      <c r="H16" s="200" t="n"/>
      <c r="I16" s="201" t="n"/>
      <c r="J16" s="201" t="n"/>
      <c r="K16" s="202" t="n"/>
      <c r="L16" s="541" t="n"/>
      <c r="M16" s="542" t="n"/>
      <c r="N16" s="543" t="n"/>
      <c r="O16" s="541" t="n"/>
      <c r="P16" s="542" t="n"/>
      <c r="Q16" s="543" t="n"/>
      <c r="R16" s="541" t="n"/>
      <c r="S16" s="544" t="n"/>
      <c r="T16" s="543" t="n"/>
      <c r="U16" s="541" t="n"/>
      <c r="V16" s="545" t="n"/>
      <c r="W16" s="544" t="n"/>
      <c r="X16" s="543" t="n"/>
      <c r="Y16" s="546" t="n"/>
      <c r="Z16" s="209" t="n"/>
    </row>
    <row r="17" ht="28.5" customFormat="1" customHeight="1" s="210">
      <c r="A17" s="196">
        <f>IF(B17,0,MATCH(H17,ВидыНагр,0))</f>
        <v/>
      </c>
      <c r="B17" s="154">
        <f>(COUNTIF(КлючВесна,D17)&lt;&gt;1)</f>
        <v/>
      </c>
      <c r="C17" s="196">
        <f>IF(COUNTA(E17:K17,Z17)&gt;0,1,0)+IF(COUNTA(L17:Y17)&gt;0,2,0)</f>
        <v/>
      </c>
      <c r="D17" s="179">
        <f>CONCATENATE("$",TRIM(F17),"$",TRIM(G17),"$",H17,"$")</f>
        <v/>
      </c>
      <c r="E17" s="197" t="n"/>
      <c r="F17" s="198" t="n"/>
      <c r="G17" s="199" t="n"/>
      <c r="H17" s="200" t="n"/>
      <c r="I17" s="201" t="n"/>
      <c r="J17" s="201" t="n"/>
      <c r="K17" s="202" t="n"/>
      <c r="L17" s="541" t="n"/>
      <c r="M17" s="542" t="n"/>
      <c r="N17" s="543" t="n"/>
      <c r="O17" s="541" t="n"/>
      <c r="P17" s="542" t="n"/>
      <c r="Q17" s="543" t="n"/>
      <c r="R17" s="541" t="n"/>
      <c r="S17" s="544" t="n"/>
      <c r="T17" s="543" t="n"/>
      <c r="U17" s="541" t="n"/>
      <c r="V17" s="545" t="n"/>
      <c r="W17" s="544" t="n"/>
      <c r="X17" s="543" t="n"/>
      <c r="Y17" s="546" t="n"/>
      <c r="Z17" s="209" t="n"/>
    </row>
    <row r="18" ht="28.5" customFormat="1" customHeight="1" s="210">
      <c r="A18" s="196">
        <f>IF(B18,0,MATCH(H18,ВидыНагр,0))</f>
        <v/>
      </c>
      <c r="B18" s="154">
        <f>(COUNTIF(КлючВесна,D18)&lt;&gt;1)</f>
        <v/>
      </c>
      <c r="C18" s="196">
        <f>IF(COUNTA(E18:K18,Z18)&gt;0,1,0)+IF(COUNTA(L18:Y18)&gt;0,2,0)</f>
        <v/>
      </c>
      <c r="D18" s="179">
        <f>CONCATENATE("$",TRIM(F18),"$",TRIM(G18),"$",H18,"$")</f>
        <v/>
      </c>
      <c r="E18" s="197" t="n"/>
      <c r="F18" s="198" t="n"/>
      <c r="G18" s="199" t="n"/>
      <c r="H18" s="200" t="n"/>
      <c r="I18" s="201" t="n"/>
      <c r="J18" s="201" t="n"/>
      <c r="K18" s="202" t="n"/>
      <c r="L18" s="541" t="n"/>
      <c r="M18" s="542" t="n"/>
      <c r="N18" s="543" t="n"/>
      <c r="O18" s="541" t="n"/>
      <c r="P18" s="542" t="n"/>
      <c r="Q18" s="543" t="n"/>
      <c r="R18" s="541" t="n"/>
      <c r="S18" s="544" t="n"/>
      <c r="T18" s="543" t="n"/>
      <c r="U18" s="541" t="n"/>
      <c r="V18" s="545" t="n"/>
      <c r="W18" s="544" t="n"/>
      <c r="X18" s="543" t="n"/>
      <c r="Y18" s="546" t="n"/>
      <c r="Z18" s="209" t="n"/>
    </row>
    <row r="19" ht="28.5" customFormat="1" customHeight="1" s="210">
      <c r="A19" s="196">
        <f>IF(B19,0,MATCH(H19,ВидыНагр,0))</f>
        <v/>
      </c>
      <c r="B19" s="154">
        <f>(COUNTIF(КлючВесна,D19)&lt;&gt;1)</f>
        <v/>
      </c>
      <c r="C19" s="196">
        <f>IF(COUNTA(E19:K19,Z19)&gt;0,1,0)+IF(COUNTA(L19:Y19)&gt;0,2,0)</f>
        <v/>
      </c>
      <c r="D19" s="179">
        <f>CONCATENATE("$",TRIM(F19),"$",TRIM(G19),"$",H19,"$")</f>
        <v/>
      </c>
      <c r="E19" s="197" t="n"/>
      <c r="F19" s="198" t="n"/>
      <c r="G19" s="199" t="n"/>
      <c r="H19" s="200" t="n"/>
      <c r="I19" s="201" t="n"/>
      <c r="J19" s="201" t="n"/>
      <c r="K19" s="202" t="n"/>
      <c r="L19" s="541" t="n"/>
      <c r="M19" s="542" t="n"/>
      <c r="N19" s="543" t="n"/>
      <c r="O19" s="541" t="n"/>
      <c r="P19" s="542" t="n"/>
      <c r="Q19" s="543" t="n"/>
      <c r="R19" s="541" t="n"/>
      <c r="S19" s="544" t="n"/>
      <c r="T19" s="543" t="n"/>
      <c r="U19" s="541" t="n"/>
      <c r="V19" s="545" t="n"/>
      <c r="W19" s="544" t="n"/>
      <c r="X19" s="543" t="n"/>
      <c r="Y19" s="546" t="n"/>
      <c r="Z19" s="209" t="n"/>
    </row>
    <row r="20" ht="28.5" customFormat="1" customHeight="1" s="210">
      <c r="A20" s="196">
        <f>IF(B20,0,MATCH(H20,ВидыНагр,0))</f>
        <v/>
      </c>
      <c r="B20" s="154">
        <f>(COUNTIF(КлючВесна,D20)&lt;&gt;1)</f>
        <v/>
      </c>
      <c r="C20" s="196">
        <f>IF(COUNTA(E20:K20,Z20)&gt;0,1,0)+IF(COUNTA(L20:Y20)&gt;0,2,0)</f>
        <v/>
      </c>
      <c r="D20" s="179">
        <f>CONCATENATE("$",TRIM(F20),"$",TRIM(G20),"$",H20,"$")</f>
        <v/>
      </c>
      <c r="E20" s="197" t="n"/>
      <c r="F20" s="198" t="n"/>
      <c r="G20" s="199" t="n"/>
      <c r="H20" s="200" t="n"/>
      <c r="I20" s="201" t="n"/>
      <c r="J20" s="201" t="n"/>
      <c r="K20" s="202" t="n"/>
      <c r="L20" s="541" t="n"/>
      <c r="M20" s="542" t="n"/>
      <c r="N20" s="543" t="n"/>
      <c r="O20" s="541" t="n"/>
      <c r="P20" s="542" t="n"/>
      <c r="Q20" s="543" t="n"/>
      <c r="R20" s="541" t="n"/>
      <c r="S20" s="544" t="n"/>
      <c r="T20" s="543" t="n"/>
      <c r="U20" s="541" t="n"/>
      <c r="V20" s="545" t="n"/>
      <c r="W20" s="544" t="n"/>
      <c r="X20" s="543" t="n"/>
      <c r="Y20" s="546" t="n"/>
      <c r="Z20" s="209" t="n"/>
    </row>
    <row r="21" ht="28.5" customFormat="1" customHeight="1" s="210">
      <c r="A21" s="196">
        <f>IF(B21,0,MATCH(H21,ВидыНагр,0))</f>
        <v/>
      </c>
      <c r="B21" s="154">
        <f>(COUNTIF(КлючВесна,D21)&lt;&gt;1)</f>
        <v/>
      </c>
      <c r="C21" s="196">
        <f>IF(COUNTA(E21:K21,Z21)&gt;0,1,0)+IF(COUNTA(L21:Y21)&gt;0,2,0)</f>
        <v/>
      </c>
      <c r="D21" s="179">
        <f>CONCATENATE("$",TRIM(F21),"$",TRIM(G21),"$",H21,"$")</f>
        <v/>
      </c>
      <c r="E21" s="197" t="n"/>
      <c r="F21" s="198" t="n"/>
      <c r="G21" s="199" t="n"/>
      <c r="H21" s="200" t="n"/>
      <c r="I21" s="201" t="n"/>
      <c r="J21" s="201" t="n"/>
      <c r="K21" s="202" t="n"/>
      <c r="L21" s="541" t="n"/>
      <c r="M21" s="542" t="n"/>
      <c r="N21" s="543" t="n"/>
      <c r="O21" s="541" t="n"/>
      <c r="P21" s="542" t="n"/>
      <c r="Q21" s="543" t="n"/>
      <c r="R21" s="541" t="n"/>
      <c r="S21" s="544" t="n"/>
      <c r="T21" s="543" t="n"/>
      <c r="U21" s="541" t="n"/>
      <c r="V21" s="545" t="n"/>
      <c r="W21" s="544" t="n"/>
      <c r="X21" s="543" t="n"/>
      <c r="Y21" s="546" t="n"/>
      <c r="Z21" s="209" t="n"/>
    </row>
    <row r="22" ht="28.5" customFormat="1" customHeight="1" s="210">
      <c r="A22" s="196">
        <f>IF(B22,0,MATCH(H22,ВидыНагр,0))</f>
        <v/>
      </c>
      <c r="B22" s="154">
        <f>(COUNTIF(КлючВесна,D22)&lt;&gt;1)</f>
        <v/>
      </c>
      <c r="C22" s="196">
        <f>IF(COUNTA(E22:K22,Z22)&gt;0,1,0)+IF(COUNTA(L22:Y22)&gt;0,2,0)</f>
        <v/>
      </c>
      <c r="D22" s="179">
        <f>CONCATENATE("$",TRIM(F22),"$",TRIM(G22),"$",H22,"$")</f>
        <v/>
      </c>
      <c r="E22" s="197" t="n"/>
      <c r="F22" s="198" t="n"/>
      <c r="G22" s="199" t="n"/>
      <c r="H22" s="200" t="n"/>
      <c r="I22" s="201" t="n"/>
      <c r="J22" s="201" t="n"/>
      <c r="K22" s="202" t="n"/>
      <c r="L22" s="541" t="n"/>
      <c r="M22" s="542" t="n"/>
      <c r="N22" s="543" t="n"/>
      <c r="O22" s="541" t="n"/>
      <c r="P22" s="542" t="n"/>
      <c r="Q22" s="543" t="n"/>
      <c r="R22" s="541" t="n"/>
      <c r="S22" s="544" t="n"/>
      <c r="T22" s="543" t="n"/>
      <c r="U22" s="541" t="n"/>
      <c r="V22" s="545" t="n"/>
      <c r="W22" s="544" t="n"/>
      <c r="X22" s="543" t="n"/>
      <c r="Y22" s="546" t="n"/>
      <c r="Z22" s="209" t="n"/>
    </row>
    <row r="23" ht="28.5" customFormat="1" customHeight="1" s="210">
      <c r="A23" s="196">
        <f>IF(B23,0,MATCH(H23,ВидыНагр,0))</f>
        <v/>
      </c>
      <c r="B23" s="154">
        <f>(COUNTIF(КлючВесна,D23)&lt;&gt;1)</f>
        <v/>
      </c>
      <c r="C23" s="196">
        <f>IF(COUNTA(E23:K23,Z23)&gt;0,1,0)+IF(COUNTA(L23:Y23)&gt;0,2,0)</f>
        <v/>
      </c>
      <c r="D23" s="179">
        <f>CONCATENATE("$",TRIM(F23),"$",TRIM(G23),"$",H23,"$")</f>
        <v/>
      </c>
      <c r="E23" s="197" t="n"/>
      <c r="F23" s="198" t="n"/>
      <c r="G23" s="199" t="n"/>
      <c r="H23" s="200" t="n"/>
      <c r="I23" s="201" t="n"/>
      <c r="J23" s="201" t="n"/>
      <c r="K23" s="202" t="n"/>
      <c r="L23" s="541" t="n"/>
      <c r="M23" s="542" t="n"/>
      <c r="N23" s="543" t="n"/>
      <c r="O23" s="541" t="n"/>
      <c r="P23" s="542" t="n"/>
      <c r="Q23" s="543" t="n"/>
      <c r="R23" s="541" t="n"/>
      <c r="S23" s="544" t="n"/>
      <c r="T23" s="543" t="n"/>
      <c r="U23" s="541" t="n"/>
      <c r="V23" s="545" t="n"/>
      <c r="W23" s="544" t="n"/>
      <c r="X23" s="543" t="n"/>
      <c r="Y23" s="546" t="n"/>
      <c r="Z23" s="209" t="n"/>
    </row>
    <row r="24" ht="28.5" customFormat="1" customHeight="1" s="210">
      <c r="A24" s="196">
        <f>IF(B24,0,MATCH(H24,ВидыНагр,0))</f>
        <v/>
      </c>
      <c r="B24" s="154">
        <f>(COUNTIF(КлючВесна,D24)&lt;&gt;1)</f>
        <v/>
      </c>
      <c r="C24" s="196">
        <f>IF(COUNTA(E24:K24,Z24)&gt;0,1,0)+IF(COUNTA(L24:Y24)&gt;0,2,0)</f>
        <v/>
      </c>
      <c r="D24" s="179">
        <f>CONCATENATE("$",TRIM(F24),"$",TRIM(G24),"$",H24,"$")</f>
        <v/>
      </c>
      <c r="E24" s="197" t="n"/>
      <c r="F24" s="198" t="n"/>
      <c r="G24" s="199" t="n"/>
      <c r="H24" s="200" t="n"/>
      <c r="I24" s="201" t="n"/>
      <c r="J24" s="201" t="n"/>
      <c r="K24" s="202" t="n"/>
      <c r="L24" s="541" t="n"/>
      <c r="M24" s="542" t="n"/>
      <c r="N24" s="543" t="n"/>
      <c r="O24" s="541" t="n"/>
      <c r="P24" s="542" t="n"/>
      <c r="Q24" s="543" t="n"/>
      <c r="R24" s="541" t="n"/>
      <c r="S24" s="544" t="n"/>
      <c r="T24" s="543" t="n"/>
      <c r="U24" s="541" t="n"/>
      <c r="V24" s="545" t="n"/>
      <c r="W24" s="544" t="n"/>
      <c r="X24" s="543" t="n"/>
      <c r="Y24" s="546" t="n"/>
      <c r="Z24" s="209" t="n"/>
    </row>
    <row r="25" ht="28.5" customFormat="1" customHeight="1" s="210">
      <c r="A25" s="196">
        <f>IF(B25,0,MATCH(H25,ВидыНагр,0))</f>
        <v/>
      </c>
      <c r="B25" s="154">
        <f>(COUNTIF(КлючВесна,D25)&lt;&gt;1)</f>
        <v/>
      </c>
      <c r="C25" s="196">
        <f>IF(COUNTA(E25:K25,Z25)&gt;0,1,0)+IF(COUNTA(L25:Y25)&gt;0,2,0)</f>
        <v/>
      </c>
      <c r="D25" s="179">
        <f>CONCATENATE("$",TRIM(F25),"$",TRIM(G25),"$",H25,"$")</f>
        <v/>
      </c>
      <c r="E25" s="197" t="n"/>
      <c r="F25" s="198" t="n"/>
      <c r="G25" s="199" t="n"/>
      <c r="H25" s="200" t="n"/>
      <c r="I25" s="201" t="n"/>
      <c r="J25" s="201" t="n"/>
      <c r="K25" s="202" t="n"/>
      <c r="L25" s="541" t="n"/>
      <c r="M25" s="542" t="n"/>
      <c r="N25" s="543" t="n"/>
      <c r="O25" s="541" t="n"/>
      <c r="P25" s="542" t="n"/>
      <c r="Q25" s="543" t="n"/>
      <c r="R25" s="541" t="n"/>
      <c r="S25" s="544" t="n"/>
      <c r="T25" s="543" t="n"/>
      <c r="U25" s="541" t="n"/>
      <c r="V25" s="545" t="n"/>
      <c r="W25" s="544" t="n"/>
      <c r="X25" s="543" t="n"/>
      <c r="Y25" s="546" t="n"/>
      <c r="Z25" s="209" t="n"/>
    </row>
    <row r="26" ht="28.5" customFormat="1" customHeight="1" s="210">
      <c r="A26" s="196">
        <f>IF(B26,0,MATCH(H26,ВидыНагр,0))</f>
        <v/>
      </c>
      <c r="B26" s="154">
        <f>(COUNTIF(КлючВесна,D26)&lt;&gt;1)</f>
        <v/>
      </c>
      <c r="C26" s="196">
        <f>IF(COUNTA(E26:K26,Z26)&gt;0,1,0)+IF(COUNTA(L26:Y26)&gt;0,2,0)</f>
        <v/>
      </c>
      <c r="D26" s="179">
        <f>CONCATENATE("$",TRIM(F26),"$",TRIM(G26),"$",H26,"$")</f>
        <v/>
      </c>
      <c r="E26" s="197" t="n"/>
      <c r="F26" s="198" t="n"/>
      <c r="G26" s="199" t="n"/>
      <c r="H26" s="200" t="n"/>
      <c r="I26" s="201" t="n"/>
      <c r="J26" s="201" t="n"/>
      <c r="K26" s="202" t="n"/>
      <c r="L26" s="541" t="n"/>
      <c r="M26" s="542" t="n"/>
      <c r="N26" s="543" t="n"/>
      <c r="O26" s="541" t="n"/>
      <c r="P26" s="542" t="n"/>
      <c r="Q26" s="543" t="n"/>
      <c r="R26" s="541" t="n"/>
      <c r="S26" s="544" t="n"/>
      <c r="T26" s="543" t="n"/>
      <c r="U26" s="541" t="n"/>
      <c r="V26" s="545" t="n"/>
      <c r="W26" s="544" t="n"/>
      <c r="X26" s="543" t="n"/>
      <c r="Y26" s="546" t="n"/>
      <c r="Z26" s="209" t="n"/>
    </row>
    <row r="27" ht="28.5" customFormat="1" customHeight="1" s="210">
      <c r="A27" s="196">
        <f>IF(B27,0,MATCH(H27,ВидыНагр,0))</f>
        <v/>
      </c>
      <c r="B27" s="154">
        <f>(COUNTIF(КлючВесна,D27)&lt;&gt;1)</f>
        <v/>
      </c>
      <c r="C27" s="196">
        <f>IF(COUNTA(E27:K27,Z27)&gt;0,1,0)+IF(COUNTA(L27:Y27)&gt;0,2,0)</f>
        <v/>
      </c>
      <c r="D27" s="179">
        <f>CONCATENATE("$",TRIM(F27),"$",TRIM(G27),"$",H27,"$")</f>
        <v/>
      </c>
      <c r="E27" s="197" t="n"/>
      <c r="F27" s="198" t="n"/>
      <c r="G27" s="199" t="n"/>
      <c r="H27" s="200" t="n"/>
      <c r="I27" s="201" t="n"/>
      <c r="J27" s="201" t="n"/>
      <c r="K27" s="202" t="n"/>
      <c r="L27" s="541" t="n"/>
      <c r="M27" s="542" t="n"/>
      <c r="N27" s="543" t="n"/>
      <c r="O27" s="541" t="n"/>
      <c r="P27" s="542" t="n"/>
      <c r="Q27" s="543" t="n"/>
      <c r="R27" s="541" t="n"/>
      <c r="S27" s="544" t="n"/>
      <c r="T27" s="543" t="n"/>
      <c r="U27" s="541" t="n"/>
      <c r="V27" s="545" t="n"/>
      <c r="W27" s="544" t="n"/>
      <c r="X27" s="543" t="n"/>
      <c r="Y27" s="546" t="n"/>
      <c r="Z27" s="209" t="n"/>
    </row>
    <row r="28" ht="28.5" customFormat="1" customHeight="1" s="210">
      <c r="A28" s="196">
        <f>IF(B28,0,MATCH(H28,ВидыНагр,0))</f>
        <v/>
      </c>
      <c r="B28" s="154">
        <f>(COUNTIF(КлючВесна,D28)&lt;&gt;1)</f>
        <v/>
      </c>
      <c r="C28" s="196">
        <f>IF(COUNTA(E28:K28,Z28)&gt;0,1,0)+IF(COUNTA(L28:Y28)&gt;0,2,0)</f>
        <v/>
      </c>
      <c r="D28" s="179">
        <f>CONCATENATE("$",TRIM(F28),"$",TRIM(G28),"$",H28,"$")</f>
        <v/>
      </c>
      <c r="E28" s="197" t="n"/>
      <c r="F28" s="198" t="n"/>
      <c r="G28" s="199" t="n"/>
      <c r="H28" s="200" t="n"/>
      <c r="I28" s="201" t="n"/>
      <c r="J28" s="201" t="n"/>
      <c r="K28" s="202" t="n"/>
      <c r="L28" s="541" t="n"/>
      <c r="M28" s="542" t="n"/>
      <c r="N28" s="543" t="n"/>
      <c r="O28" s="541" t="n"/>
      <c r="P28" s="542" t="n"/>
      <c r="Q28" s="543" t="n"/>
      <c r="R28" s="541" t="n"/>
      <c r="S28" s="544" t="n"/>
      <c r="T28" s="543" t="n"/>
      <c r="U28" s="541" t="n"/>
      <c r="V28" s="545" t="n"/>
      <c r="W28" s="544" t="n"/>
      <c r="X28" s="543" t="n"/>
      <c r="Y28" s="546" t="n"/>
      <c r="Z28" s="209" t="n"/>
    </row>
    <row r="29" ht="28.5" customFormat="1" customHeight="1" s="210">
      <c r="A29" s="196">
        <f>IF(B29,0,MATCH(H29,ВидыНагр,0))</f>
        <v/>
      </c>
      <c r="B29" s="154">
        <f>(COUNTIF(КлючВесна,D29)&lt;&gt;1)</f>
        <v/>
      </c>
      <c r="C29" s="196">
        <f>IF(COUNTA(E29:K29,Z29)&gt;0,1,0)+IF(COUNTA(L29:Y29)&gt;0,2,0)</f>
        <v/>
      </c>
      <c r="D29" s="179">
        <f>CONCATENATE("$",TRIM(F29),"$",TRIM(G29),"$",H29,"$")</f>
        <v/>
      </c>
      <c r="E29" s="197" t="n"/>
      <c r="F29" s="198" t="n"/>
      <c r="G29" s="199" t="n"/>
      <c r="H29" s="200" t="n"/>
      <c r="I29" s="201" t="n"/>
      <c r="J29" s="201" t="n"/>
      <c r="K29" s="202" t="n"/>
      <c r="L29" s="541" t="n"/>
      <c r="M29" s="542" t="n"/>
      <c r="N29" s="543" t="n"/>
      <c r="O29" s="541" t="n"/>
      <c r="P29" s="542" t="n"/>
      <c r="Q29" s="543" t="n"/>
      <c r="R29" s="541" t="n"/>
      <c r="S29" s="544" t="n"/>
      <c r="T29" s="543" t="n"/>
      <c r="U29" s="541" t="n"/>
      <c r="V29" s="545" t="n"/>
      <c r="W29" s="544" t="n"/>
      <c r="X29" s="543" t="n"/>
      <c r="Y29" s="546" t="n"/>
      <c r="Z29" s="209" t="n"/>
    </row>
    <row r="30" ht="28.5" customFormat="1" customHeight="1" s="210">
      <c r="A30" s="196">
        <f>IF(B30,0,MATCH(H30,ВидыНагр,0))</f>
        <v/>
      </c>
      <c r="B30" s="154">
        <f>(COUNTIF(КлючВесна,D30)&lt;&gt;1)</f>
        <v/>
      </c>
      <c r="C30" s="196">
        <f>IF(COUNTA(E30:K30,Z30)&gt;0,1,0)+IF(COUNTA(L30:Y30)&gt;0,2,0)</f>
        <v/>
      </c>
      <c r="D30" s="179">
        <f>CONCATENATE("$",TRIM(F30),"$",TRIM(G30),"$",H30,"$")</f>
        <v/>
      </c>
      <c r="E30" s="197" t="n"/>
      <c r="F30" s="198" t="n"/>
      <c r="G30" s="199" t="n"/>
      <c r="H30" s="200" t="n"/>
      <c r="I30" s="201" t="n"/>
      <c r="J30" s="201" t="n"/>
      <c r="K30" s="202" t="n"/>
      <c r="L30" s="541" t="n"/>
      <c r="M30" s="542" t="n"/>
      <c r="N30" s="543" t="n"/>
      <c r="O30" s="541" t="n"/>
      <c r="P30" s="542" t="n"/>
      <c r="Q30" s="543" t="n"/>
      <c r="R30" s="541" t="n"/>
      <c r="S30" s="544" t="n"/>
      <c r="T30" s="543" t="n"/>
      <c r="U30" s="541" t="n"/>
      <c r="V30" s="545" t="n"/>
      <c r="W30" s="544" t="n"/>
      <c r="X30" s="543" t="n"/>
      <c r="Y30" s="546" t="n"/>
      <c r="Z30" s="209" t="n"/>
    </row>
    <row r="31" ht="28.5" customFormat="1" customHeight="1" s="210">
      <c r="A31" s="196">
        <f>IF(B31,0,MATCH(H31,ВидыНагр,0))</f>
        <v/>
      </c>
      <c r="B31" s="154">
        <f>(COUNTIF(КлючВесна,D31)&lt;&gt;1)</f>
        <v/>
      </c>
      <c r="C31" s="196">
        <f>IF(COUNTA(E31:K31,Z31)&gt;0,1,0)+IF(COUNTA(L31:Y31)&gt;0,2,0)</f>
        <v/>
      </c>
      <c r="D31" s="179">
        <f>CONCATENATE("$",TRIM(F31),"$",TRIM(G31),"$",H31,"$")</f>
        <v/>
      </c>
      <c r="E31" s="197" t="n"/>
      <c r="F31" s="198" t="n"/>
      <c r="G31" s="199" t="n"/>
      <c r="H31" s="200" t="n"/>
      <c r="I31" s="201" t="n"/>
      <c r="J31" s="201" t="n"/>
      <c r="K31" s="202" t="n"/>
      <c r="L31" s="541" t="n"/>
      <c r="M31" s="542" t="n"/>
      <c r="N31" s="543" t="n"/>
      <c r="O31" s="541" t="n"/>
      <c r="P31" s="542" t="n"/>
      <c r="Q31" s="543" t="n"/>
      <c r="R31" s="541" t="n"/>
      <c r="S31" s="544" t="n"/>
      <c r="T31" s="543" t="n"/>
      <c r="U31" s="541" t="n"/>
      <c r="V31" s="545" t="n"/>
      <c r="W31" s="544" t="n"/>
      <c r="X31" s="543" t="n"/>
      <c r="Y31" s="546" t="n"/>
      <c r="Z31" s="209" t="n"/>
    </row>
    <row r="32" ht="28.5" customFormat="1" customHeight="1" s="210">
      <c r="A32" s="196">
        <f>IF(B32,0,MATCH(H32,ВидыНагр,0))</f>
        <v/>
      </c>
      <c r="B32" s="154">
        <f>(COUNTIF(КлючВесна,D32)&lt;&gt;1)</f>
        <v/>
      </c>
      <c r="C32" s="196">
        <f>IF(COUNTA(E32:K32,Z32)&gt;0,1,0)+IF(COUNTA(L32:Y32)&gt;0,2,0)</f>
        <v/>
      </c>
      <c r="D32" s="179">
        <f>CONCATENATE("$",TRIM(F32),"$",TRIM(G32),"$",H32,"$")</f>
        <v/>
      </c>
      <c r="E32" s="197" t="n"/>
      <c r="F32" s="198" t="n"/>
      <c r="G32" s="199" t="n"/>
      <c r="H32" s="200" t="n"/>
      <c r="I32" s="201" t="n"/>
      <c r="J32" s="201" t="n"/>
      <c r="K32" s="202" t="n"/>
      <c r="L32" s="541" t="n"/>
      <c r="M32" s="542" t="n"/>
      <c r="N32" s="543" t="n"/>
      <c r="O32" s="541" t="n"/>
      <c r="P32" s="542" t="n"/>
      <c r="Q32" s="543" t="n"/>
      <c r="R32" s="541" t="n"/>
      <c r="S32" s="544" t="n"/>
      <c r="T32" s="543" t="n"/>
      <c r="U32" s="541" t="n"/>
      <c r="V32" s="545" t="n"/>
      <c r="W32" s="544" t="n"/>
      <c r="X32" s="543" t="n"/>
      <c r="Y32" s="546" t="n"/>
      <c r="Z32" s="209" t="n"/>
    </row>
    <row r="33" ht="28.5" customFormat="1" customHeight="1" s="210">
      <c r="A33" s="196">
        <f>IF(B33,0,MATCH(H33,ВидыНагр,0))</f>
        <v/>
      </c>
      <c r="B33" s="154">
        <f>(COUNTIF(КлючВесна,D33)&lt;&gt;1)</f>
        <v/>
      </c>
      <c r="C33" s="196">
        <f>IF(COUNTA(E33:K33,Z33)&gt;0,1,0)+IF(COUNTA(L33:Y33)&gt;0,2,0)</f>
        <v/>
      </c>
      <c r="D33" s="179">
        <f>CONCATENATE("$",TRIM(F33),"$",TRIM(G33),"$",H33,"$")</f>
        <v/>
      </c>
      <c r="E33" s="197" t="n"/>
      <c r="F33" s="198" t="n"/>
      <c r="G33" s="199" t="n"/>
      <c r="H33" s="200" t="n"/>
      <c r="I33" s="201" t="n"/>
      <c r="J33" s="201" t="n"/>
      <c r="K33" s="202" t="n"/>
      <c r="L33" s="541" t="n"/>
      <c r="M33" s="542" t="n"/>
      <c r="N33" s="543" t="n"/>
      <c r="O33" s="541" t="n"/>
      <c r="P33" s="542" t="n"/>
      <c r="Q33" s="543" t="n"/>
      <c r="R33" s="541" t="n"/>
      <c r="S33" s="544" t="n"/>
      <c r="T33" s="543" t="n"/>
      <c r="U33" s="541" t="n"/>
      <c r="V33" s="545" t="n"/>
      <c r="W33" s="544" t="n"/>
      <c r="X33" s="543" t="n"/>
      <c r="Y33" s="546" t="n"/>
      <c r="Z33" s="209" t="n"/>
    </row>
    <row r="34" ht="28.5" customFormat="1" customHeight="1" s="210">
      <c r="A34" s="196">
        <f>IF(B34,0,MATCH(H34,ВидыНагр,0))</f>
        <v/>
      </c>
      <c r="B34" s="154">
        <f>(COUNTIF(КлючВесна,D34)&lt;&gt;1)</f>
        <v/>
      </c>
      <c r="C34" s="196">
        <f>IF(COUNTA(E34:K34,Z34)&gt;0,1,0)+IF(COUNTA(L34:Y34)&gt;0,2,0)</f>
        <v/>
      </c>
      <c r="D34" s="179">
        <f>CONCATENATE("$",TRIM(F34),"$",TRIM(G34),"$",H34,"$")</f>
        <v/>
      </c>
      <c r="E34" s="197" t="n"/>
      <c r="F34" s="198" t="n"/>
      <c r="G34" s="199" t="n"/>
      <c r="H34" s="200" t="n"/>
      <c r="I34" s="201" t="n"/>
      <c r="J34" s="201" t="n"/>
      <c r="K34" s="202" t="n"/>
      <c r="L34" s="541" t="n"/>
      <c r="M34" s="542" t="n"/>
      <c r="N34" s="543" t="n"/>
      <c r="O34" s="541" t="n"/>
      <c r="P34" s="542" t="n"/>
      <c r="Q34" s="543" t="n"/>
      <c r="R34" s="541" t="n"/>
      <c r="S34" s="544" t="n"/>
      <c r="T34" s="543" t="n"/>
      <c r="U34" s="541" t="n"/>
      <c r="V34" s="545" t="n"/>
      <c r="W34" s="544" t="n"/>
      <c r="X34" s="543" t="n"/>
      <c r="Y34" s="546" t="n"/>
      <c r="Z34" s="209" t="n"/>
    </row>
    <row r="35" ht="28.5" customFormat="1" customHeight="1" s="210">
      <c r="A35" s="196">
        <f>IF(B35,0,MATCH(H35,ВидыНагр,0))</f>
        <v/>
      </c>
      <c r="B35" s="154">
        <f>(COUNTIF(КлючВесна,D35)&lt;&gt;1)</f>
        <v/>
      </c>
      <c r="C35" s="196">
        <f>IF(COUNTA(E35:K35,Z35)&gt;0,1,0)+IF(COUNTA(L35:Y35)&gt;0,2,0)</f>
        <v/>
      </c>
      <c r="D35" s="179">
        <f>CONCATENATE("$",TRIM(F35),"$",TRIM(G35),"$",H35,"$")</f>
        <v/>
      </c>
      <c r="E35" s="197" t="n"/>
      <c r="F35" s="198" t="n"/>
      <c r="G35" s="199" t="n"/>
      <c r="H35" s="200" t="n"/>
      <c r="I35" s="201" t="n"/>
      <c r="J35" s="201" t="n"/>
      <c r="K35" s="202" t="n"/>
      <c r="L35" s="541" t="n"/>
      <c r="M35" s="542" t="n"/>
      <c r="N35" s="543" t="n"/>
      <c r="O35" s="541" t="n"/>
      <c r="P35" s="542" t="n"/>
      <c r="Q35" s="543" t="n"/>
      <c r="R35" s="541" t="n"/>
      <c r="S35" s="544" t="n"/>
      <c r="T35" s="543" t="n"/>
      <c r="U35" s="541" t="n"/>
      <c r="V35" s="545" t="n"/>
      <c r="W35" s="544" t="n"/>
      <c r="X35" s="543" t="n"/>
      <c r="Y35" s="546" t="n"/>
      <c r="Z35" s="209" t="n"/>
    </row>
    <row r="36" ht="28.5" customFormat="1" customHeight="1" s="210">
      <c r="A36" s="196">
        <f>IF(B36,0,MATCH(H36,ВидыНагр,0))</f>
        <v/>
      </c>
      <c r="B36" s="154">
        <f>(COUNTIF(КлючВесна,D36)&lt;&gt;1)</f>
        <v/>
      </c>
      <c r="C36" s="196">
        <f>IF(COUNTA(E36:K36,Z36)&gt;0,1,0)+IF(COUNTA(L36:Y36)&gt;0,2,0)</f>
        <v/>
      </c>
      <c r="D36" s="179">
        <f>CONCATENATE("$",TRIM(F36),"$",TRIM(G36),"$",H36,"$")</f>
        <v/>
      </c>
      <c r="E36" s="197" t="n"/>
      <c r="F36" s="198" t="n"/>
      <c r="G36" s="199" t="n"/>
      <c r="H36" s="200" t="n"/>
      <c r="I36" s="201" t="n"/>
      <c r="J36" s="201" t="n"/>
      <c r="K36" s="202" t="n"/>
      <c r="L36" s="541" t="n"/>
      <c r="M36" s="542" t="n"/>
      <c r="N36" s="543" t="n"/>
      <c r="O36" s="541" t="n"/>
      <c r="P36" s="542" t="n"/>
      <c r="Q36" s="543" t="n"/>
      <c r="R36" s="541" t="n"/>
      <c r="S36" s="544" t="n"/>
      <c r="T36" s="543" t="n"/>
      <c r="U36" s="541" t="n"/>
      <c r="V36" s="545" t="n"/>
      <c r="W36" s="544" t="n"/>
      <c r="X36" s="543" t="n"/>
      <c r="Y36" s="546" t="n"/>
      <c r="Z36" s="209" t="n"/>
    </row>
    <row r="37" ht="28.5" customFormat="1" customHeight="1" s="210">
      <c r="A37" s="196">
        <f>IF(B37,0,MATCH(H37,ВидыНагр,0))</f>
        <v/>
      </c>
      <c r="B37" s="154">
        <f>(COUNTIF(КлючВесна,D37)&lt;&gt;1)</f>
        <v/>
      </c>
      <c r="C37" s="196">
        <f>IF(COUNTA(E37:K37,Z37)&gt;0,1,0)+IF(COUNTA(L37:Y37)&gt;0,2,0)</f>
        <v/>
      </c>
      <c r="D37" s="179">
        <f>CONCATENATE("$",TRIM(F37),"$",TRIM(G37),"$",H37,"$")</f>
        <v/>
      </c>
      <c r="E37" s="197" t="n"/>
      <c r="F37" s="198" t="n"/>
      <c r="G37" s="199" t="n"/>
      <c r="H37" s="200" t="n"/>
      <c r="I37" s="201" t="n"/>
      <c r="J37" s="201" t="n"/>
      <c r="K37" s="202" t="n"/>
      <c r="L37" s="541" t="n"/>
      <c r="M37" s="542" t="n"/>
      <c r="N37" s="543" t="n"/>
      <c r="O37" s="541" t="n"/>
      <c r="P37" s="542" t="n"/>
      <c r="Q37" s="543" t="n"/>
      <c r="R37" s="541" t="n"/>
      <c r="S37" s="544" t="n"/>
      <c r="T37" s="543" t="n"/>
      <c r="U37" s="541" t="n"/>
      <c r="V37" s="545" t="n"/>
      <c r="W37" s="544" t="n"/>
      <c r="X37" s="543" t="n"/>
      <c r="Y37" s="546" t="n"/>
      <c r="Z37" s="209" t="n"/>
    </row>
    <row r="38" ht="28.5" customFormat="1" customHeight="1" s="210">
      <c r="A38" s="196">
        <f>IF(B38,0,MATCH(H38,ВидыНагр,0))</f>
        <v/>
      </c>
      <c r="B38" s="154">
        <f>(COUNTIF(КлючВесна,D38)&lt;&gt;1)</f>
        <v/>
      </c>
      <c r="C38" s="196">
        <f>IF(COUNTA(E38:K38,Z38)&gt;0,1,0)+IF(COUNTA(L38:Y38)&gt;0,2,0)</f>
        <v/>
      </c>
      <c r="D38" s="179">
        <f>CONCATENATE("$",TRIM(F38),"$",TRIM(G38),"$",H38,"$")</f>
        <v/>
      </c>
      <c r="E38" s="197" t="n"/>
      <c r="F38" s="198" t="n"/>
      <c r="G38" s="199" t="n"/>
      <c r="H38" s="200" t="n"/>
      <c r="I38" s="201" t="n"/>
      <c r="J38" s="201" t="n"/>
      <c r="K38" s="202" t="n"/>
      <c r="L38" s="541" t="n"/>
      <c r="M38" s="542" t="n"/>
      <c r="N38" s="543" t="n"/>
      <c r="O38" s="541" t="n"/>
      <c r="P38" s="542" t="n"/>
      <c r="Q38" s="543" t="n"/>
      <c r="R38" s="541" t="n"/>
      <c r="S38" s="544" t="n"/>
      <c r="T38" s="543" t="n"/>
      <c r="U38" s="541" t="n"/>
      <c r="V38" s="545" t="n"/>
      <c r="W38" s="544" t="n"/>
      <c r="X38" s="543" t="n"/>
      <c r="Y38" s="546" t="n"/>
      <c r="Z38" s="209" t="n"/>
    </row>
    <row r="39" ht="28.5" customFormat="1" customHeight="1" s="210">
      <c r="A39" s="196">
        <f>IF(B39,0,MATCH(H39,ВидыНагр,0))</f>
        <v/>
      </c>
      <c r="B39" s="154">
        <f>(COUNTIF(КлючВесна,D39)&lt;&gt;1)</f>
        <v/>
      </c>
      <c r="C39" s="196">
        <f>IF(COUNTA(E39:K39,Z39)&gt;0,1,0)+IF(COUNTA(L39:Y39)&gt;0,2,0)</f>
        <v/>
      </c>
      <c r="D39" s="179">
        <f>CONCATENATE("$",TRIM(F39),"$",TRIM(G39),"$",H39,"$")</f>
        <v/>
      </c>
      <c r="E39" s="197" t="n"/>
      <c r="F39" s="198" t="n"/>
      <c r="G39" s="199" t="n"/>
      <c r="H39" s="200" t="n"/>
      <c r="I39" s="201" t="n"/>
      <c r="J39" s="201" t="n"/>
      <c r="K39" s="202" t="n"/>
      <c r="L39" s="541" t="n"/>
      <c r="M39" s="542" t="n"/>
      <c r="N39" s="543" t="n"/>
      <c r="O39" s="541" t="n"/>
      <c r="P39" s="542" t="n"/>
      <c r="Q39" s="543" t="n"/>
      <c r="R39" s="541" t="n"/>
      <c r="S39" s="544" t="n"/>
      <c r="T39" s="543" t="n"/>
      <c r="U39" s="541" t="n"/>
      <c r="V39" s="545" t="n"/>
      <c r="W39" s="544" t="n"/>
      <c r="X39" s="543" t="n"/>
      <c r="Y39" s="546" t="n"/>
      <c r="Z39" s="209" t="n"/>
    </row>
    <row r="40" ht="28.5" customFormat="1" customHeight="1" s="210">
      <c r="A40" s="196">
        <f>IF(B40,0,MATCH(H40,ВидыНагр,0))</f>
        <v/>
      </c>
      <c r="B40" s="154">
        <f>(COUNTIF(КлючВесна,D40)&lt;&gt;1)</f>
        <v/>
      </c>
      <c r="C40" s="196">
        <f>IF(COUNTA(E40:K40,Z40)&gt;0,1,0)+IF(COUNTA(L40:Y40)&gt;0,2,0)</f>
        <v/>
      </c>
      <c r="D40" s="179">
        <f>CONCATENATE("$",TRIM(F40),"$",TRIM(G40),"$",H40,"$")</f>
        <v/>
      </c>
      <c r="E40" s="197" t="n"/>
      <c r="F40" s="198" t="n"/>
      <c r="G40" s="199" t="n"/>
      <c r="H40" s="200" t="n"/>
      <c r="I40" s="201" t="n"/>
      <c r="J40" s="201" t="n"/>
      <c r="K40" s="202" t="n"/>
      <c r="L40" s="541" t="n"/>
      <c r="M40" s="542" t="n"/>
      <c r="N40" s="543" t="n"/>
      <c r="O40" s="541" t="n"/>
      <c r="P40" s="542" t="n"/>
      <c r="Q40" s="543" t="n"/>
      <c r="R40" s="541" t="n"/>
      <c r="S40" s="544" t="n"/>
      <c r="T40" s="543" t="n"/>
      <c r="U40" s="541" t="n"/>
      <c r="V40" s="545" t="n"/>
      <c r="W40" s="544" t="n"/>
      <c r="X40" s="543" t="n"/>
      <c r="Y40" s="546" t="n"/>
      <c r="Z40" s="209" t="n"/>
    </row>
    <row r="41" ht="28.5" customFormat="1" customHeight="1" s="210">
      <c r="A41" s="196">
        <f>IF(B41,0,MATCH(H41,ВидыНагр,0))</f>
        <v/>
      </c>
      <c r="B41" s="154">
        <f>(COUNTIF(КлючВесна,D41)&lt;&gt;1)</f>
        <v/>
      </c>
      <c r="C41" s="196">
        <f>IF(COUNTA(E41:K41,Z41)&gt;0,1,0)+IF(COUNTA(L41:Y41)&gt;0,2,0)</f>
        <v/>
      </c>
      <c r="D41" s="179">
        <f>CONCATENATE("$",TRIM(F41),"$",TRIM(G41),"$",H41,"$")</f>
        <v/>
      </c>
      <c r="E41" s="197" t="n"/>
      <c r="F41" s="198" t="n"/>
      <c r="G41" s="199" t="n"/>
      <c r="H41" s="200" t="n"/>
      <c r="I41" s="201" t="n"/>
      <c r="J41" s="201" t="n"/>
      <c r="K41" s="202" t="n"/>
      <c r="L41" s="541" t="n"/>
      <c r="M41" s="542" t="n"/>
      <c r="N41" s="543" t="n"/>
      <c r="O41" s="541" t="n"/>
      <c r="P41" s="542" t="n"/>
      <c r="Q41" s="543" t="n"/>
      <c r="R41" s="541" t="n"/>
      <c r="S41" s="544" t="n"/>
      <c r="T41" s="543" t="n"/>
      <c r="U41" s="541" t="n"/>
      <c r="V41" s="545" t="n"/>
      <c r="W41" s="544" t="n"/>
      <c r="X41" s="543" t="n"/>
      <c r="Y41" s="546" t="n"/>
      <c r="Z41" s="209" t="n"/>
    </row>
    <row r="42" ht="28.5" customFormat="1" customHeight="1" s="210">
      <c r="A42" s="196">
        <f>IF(B42,0,MATCH(H42,ВидыНагр,0))</f>
        <v/>
      </c>
      <c r="B42" s="154">
        <f>(COUNTIF(КлючВесна,D42)&lt;&gt;1)</f>
        <v/>
      </c>
      <c r="C42" s="196">
        <f>IF(COUNTA(E42:K42,Z42)&gt;0,1,0)+IF(COUNTA(L42:Y42)&gt;0,2,0)</f>
        <v/>
      </c>
      <c r="D42" s="179">
        <f>CONCATENATE("$",TRIM(F42),"$",TRIM(G42),"$",H42,"$")</f>
        <v/>
      </c>
      <c r="E42" s="197" t="n"/>
      <c r="F42" s="198" t="n"/>
      <c r="G42" s="199" t="n"/>
      <c r="H42" s="200" t="n"/>
      <c r="I42" s="201" t="n"/>
      <c r="J42" s="201" t="n"/>
      <c r="K42" s="202" t="n"/>
      <c r="L42" s="541" t="n"/>
      <c r="M42" s="542" t="n"/>
      <c r="N42" s="543" t="n"/>
      <c r="O42" s="541" t="n"/>
      <c r="P42" s="542" t="n"/>
      <c r="Q42" s="543" t="n"/>
      <c r="R42" s="541" t="n"/>
      <c r="S42" s="544" t="n"/>
      <c r="T42" s="543" t="n"/>
      <c r="U42" s="541" t="n"/>
      <c r="V42" s="545" t="n"/>
      <c r="W42" s="544" t="n"/>
      <c r="X42" s="543" t="n"/>
      <c r="Y42" s="546" t="n"/>
      <c r="Z42" s="209" t="n"/>
    </row>
    <row r="43" ht="28.5" customFormat="1" customHeight="1" s="210">
      <c r="A43" s="196">
        <f>IF(B43,0,MATCH(H43,ВидыНагр,0))</f>
        <v/>
      </c>
      <c r="B43" s="154">
        <f>(COUNTIF(КлючВесна,D43)&lt;&gt;1)</f>
        <v/>
      </c>
      <c r="C43" s="196">
        <f>IF(COUNTA(E43:K43,Z43)&gt;0,1,0)+IF(COUNTA(L43:Y43)&gt;0,2,0)</f>
        <v/>
      </c>
      <c r="D43" s="179">
        <f>CONCATENATE("$",TRIM(F43),"$",TRIM(G43),"$",H43,"$")</f>
        <v/>
      </c>
      <c r="E43" s="197" t="n"/>
      <c r="F43" s="198" t="n"/>
      <c r="G43" s="199" t="n"/>
      <c r="H43" s="200" t="n"/>
      <c r="I43" s="201" t="n"/>
      <c r="J43" s="201" t="n"/>
      <c r="K43" s="202" t="n"/>
      <c r="L43" s="541" t="n"/>
      <c r="M43" s="542" t="n"/>
      <c r="N43" s="543" t="n"/>
      <c r="O43" s="541" t="n"/>
      <c r="P43" s="542" t="n"/>
      <c r="Q43" s="543" t="n"/>
      <c r="R43" s="541" t="n"/>
      <c r="S43" s="544" t="n"/>
      <c r="T43" s="543" t="n"/>
      <c r="U43" s="541" t="n"/>
      <c r="V43" s="545" t="n"/>
      <c r="W43" s="544" t="n"/>
      <c r="X43" s="543" t="n"/>
      <c r="Y43" s="546" t="n"/>
      <c r="Z43" s="209" t="n"/>
    </row>
    <row r="44" ht="28.5" customFormat="1" customHeight="1" s="210">
      <c r="A44" s="196">
        <f>IF(B44,0,MATCH(H44,ВидыНагр,0))</f>
        <v/>
      </c>
      <c r="B44" s="154">
        <f>(COUNTIF(КлючВесна,D44)&lt;&gt;1)</f>
        <v/>
      </c>
      <c r="C44" s="196">
        <f>IF(COUNTA(E44:K44,Z44)&gt;0,1,0)+IF(COUNTA(L44:Y44)&gt;0,2,0)</f>
        <v/>
      </c>
      <c r="D44" s="179">
        <f>CONCATENATE("$",TRIM(F44),"$",TRIM(G44),"$",H44,"$")</f>
        <v/>
      </c>
      <c r="E44" s="197" t="n"/>
      <c r="F44" s="198" t="n"/>
      <c r="G44" s="199" t="n"/>
      <c r="H44" s="200" t="n"/>
      <c r="I44" s="201" t="n"/>
      <c r="J44" s="201" t="n"/>
      <c r="K44" s="202" t="n"/>
      <c r="L44" s="541" t="n"/>
      <c r="M44" s="542" t="n"/>
      <c r="N44" s="543" t="n"/>
      <c r="O44" s="541" t="n"/>
      <c r="P44" s="542" t="n"/>
      <c r="Q44" s="543" t="n"/>
      <c r="R44" s="541" t="n"/>
      <c r="S44" s="544" t="n"/>
      <c r="T44" s="543" t="n"/>
      <c r="U44" s="541" t="n"/>
      <c r="V44" s="545" t="n"/>
      <c r="W44" s="544" t="n"/>
      <c r="X44" s="543" t="n"/>
      <c r="Y44" s="546" t="n"/>
      <c r="Z44" s="209" t="n"/>
    </row>
    <row r="45" ht="28.5" customFormat="1" customHeight="1" s="210">
      <c r="A45" s="196">
        <f>IF(B45,0,MATCH(H45,ВидыНагр,0))</f>
        <v/>
      </c>
      <c r="B45" s="154">
        <f>(COUNTIF(КлючВесна,D45)&lt;&gt;1)</f>
        <v/>
      </c>
      <c r="C45" s="196">
        <f>IF(COUNTA(E45:K45,Z45)&gt;0,1,0)+IF(COUNTA(L45:Y45)&gt;0,2,0)</f>
        <v/>
      </c>
      <c r="D45" s="179">
        <f>CONCATENATE("$",TRIM(F45),"$",TRIM(G45),"$",H45,"$")</f>
        <v/>
      </c>
      <c r="E45" s="197" t="n"/>
      <c r="F45" s="198" t="n"/>
      <c r="G45" s="199" t="n"/>
      <c r="H45" s="200" t="n"/>
      <c r="I45" s="201" t="n"/>
      <c r="J45" s="201" t="n"/>
      <c r="K45" s="202" t="n"/>
      <c r="L45" s="541" t="n"/>
      <c r="M45" s="542" t="n"/>
      <c r="N45" s="543" t="n"/>
      <c r="O45" s="541" t="n"/>
      <c r="P45" s="542" t="n"/>
      <c r="Q45" s="543" t="n"/>
      <c r="R45" s="541" t="n"/>
      <c r="S45" s="544" t="n"/>
      <c r="T45" s="543" t="n"/>
      <c r="U45" s="541" t="n"/>
      <c r="V45" s="545" t="n"/>
      <c r="W45" s="544" t="n"/>
      <c r="X45" s="543" t="n"/>
      <c r="Y45" s="546" t="n"/>
      <c r="Z45" s="209" t="n"/>
    </row>
    <row r="46" ht="28.5" customFormat="1" customHeight="1" s="210">
      <c r="A46" s="196">
        <f>IF(B46,0,MATCH(H46,ВидыНагр,0))</f>
        <v/>
      </c>
      <c r="B46" s="154">
        <f>(COUNTIF(КлючВесна,D46)&lt;&gt;1)</f>
        <v/>
      </c>
      <c r="C46" s="196">
        <f>IF(COUNTA(E46:K46,Z46)&gt;0,1,0)+IF(COUNTA(L46:Y46)&gt;0,2,0)</f>
        <v/>
      </c>
      <c r="D46" s="179">
        <f>CONCATENATE("$",TRIM(F46),"$",TRIM(G46),"$",H46,"$")</f>
        <v/>
      </c>
      <c r="E46" s="197" t="n"/>
      <c r="F46" s="198" t="n"/>
      <c r="G46" s="199" t="n"/>
      <c r="H46" s="200" t="n"/>
      <c r="I46" s="201" t="n"/>
      <c r="J46" s="201" t="n"/>
      <c r="K46" s="202" t="n"/>
      <c r="L46" s="541" t="n"/>
      <c r="M46" s="542" t="n"/>
      <c r="N46" s="543" t="n"/>
      <c r="O46" s="541" t="n"/>
      <c r="P46" s="542" t="n"/>
      <c r="Q46" s="543" t="n"/>
      <c r="R46" s="541" t="n"/>
      <c r="S46" s="544" t="n"/>
      <c r="T46" s="543" t="n"/>
      <c r="U46" s="541" t="n"/>
      <c r="V46" s="545" t="n"/>
      <c r="W46" s="544" t="n"/>
      <c r="X46" s="543" t="n"/>
      <c r="Y46" s="546" t="n"/>
      <c r="Z46" s="209" t="n"/>
    </row>
    <row r="47" ht="28.5" customFormat="1" customHeight="1" s="210">
      <c r="A47" s="196">
        <f>IF(B47,0,MATCH(H47,ВидыНагр,0))</f>
        <v/>
      </c>
      <c r="B47" s="154">
        <f>(COUNTIF(КлючВесна,D47)&lt;&gt;1)</f>
        <v/>
      </c>
      <c r="C47" s="196">
        <f>IF(COUNTA(E47:K47,Z47)&gt;0,1,0)+IF(COUNTA(L47:Y47)&gt;0,2,0)</f>
        <v/>
      </c>
      <c r="D47" s="179">
        <f>CONCATENATE("$",TRIM(F47),"$",TRIM(G47),"$",H47,"$")</f>
        <v/>
      </c>
      <c r="E47" s="197" t="n"/>
      <c r="F47" s="198" t="n"/>
      <c r="G47" s="199" t="n"/>
      <c r="H47" s="200" t="n"/>
      <c r="I47" s="201" t="n"/>
      <c r="J47" s="201" t="n"/>
      <c r="K47" s="202" t="n"/>
      <c r="L47" s="541" t="n"/>
      <c r="M47" s="542" t="n"/>
      <c r="N47" s="543" t="n"/>
      <c r="O47" s="541" t="n"/>
      <c r="P47" s="542" t="n"/>
      <c r="Q47" s="543" t="n"/>
      <c r="R47" s="541" t="n"/>
      <c r="S47" s="544" t="n"/>
      <c r="T47" s="543" t="n"/>
      <c r="U47" s="541" t="n"/>
      <c r="V47" s="545" t="n"/>
      <c r="W47" s="544" t="n"/>
      <c r="X47" s="543" t="n"/>
      <c r="Y47" s="546" t="n"/>
      <c r="Z47" s="209" t="n"/>
    </row>
    <row r="48" ht="28.5" customFormat="1" customHeight="1" s="210">
      <c r="A48" s="196">
        <f>IF(B48,0,MATCH(H48,ВидыНагр,0))</f>
        <v/>
      </c>
      <c r="B48" s="154">
        <f>(COUNTIF(КлючВесна,D48)&lt;&gt;1)</f>
        <v/>
      </c>
      <c r="C48" s="196">
        <f>IF(COUNTA(E48:K48,Z48)&gt;0,1,0)+IF(COUNTA(L48:Y48)&gt;0,2,0)</f>
        <v/>
      </c>
      <c r="D48" s="179">
        <f>CONCATENATE("$",TRIM(F48),"$",TRIM(G48),"$",H48,"$")</f>
        <v/>
      </c>
      <c r="E48" s="197" t="n"/>
      <c r="F48" s="198" t="n"/>
      <c r="G48" s="199" t="n"/>
      <c r="H48" s="200" t="n"/>
      <c r="I48" s="201" t="n"/>
      <c r="J48" s="201" t="n"/>
      <c r="K48" s="202" t="n"/>
      <c r="L48" s="541" t="n"/>
      <c r="M48" s="542" t="n"/>
      <c r="N48" s="543" t="n"/>
      <c r="O48" s="541" t="n"/>
      <c r="P48" s="542" t="n"/>
      <c r="Q48" s="543" t="n"/>
      <c r="R48" s="541" t="n"/>
      <c r="S48" s="544" t="n"/>
      <c r="T48" s="543" t="n"/>
      <c r="U48" s="541" t="n"/>
      <c r="V48" s="545" t="n"/>
      <c r="W48" s="544" t="n"/>
      <c r="X48" s="543" t="n"/>
      <c r="Y48" s="546" t="n"/>
      <c r="Z48" s="209" t="n"/>
    </row>
    <row r="49" ht="28.5" customFormat="1" customHeight="1" s="210">
      <c r="A49" s="196">
        <f>IF(B49,0,MATCH(H49,ВидыНагр,0))</f>
        <v/>
      </c>
      <c r="B49" s="154">
        <f>(COUNTIF(КлючВесна,D49)&lt;&gt;1)</f>
        <v/>
      </c>
      <c r="C49" s="196">
        <f>IF(COUNTA(E49:K49,Z49)&gt;0,1,0)+IF(COUNTA(L49:Y49)&gt;0,2,0)</f>
        <v/>
      </c>
      <c r="D49" s="179">
        <f>CONCATENATE("$",TRIM(F49),"$",TRIM(G49),"$",H49,"$")</f>
        <v/>
      </c>
      <c r="E49" s="197" t="n"/>
      <c r="F49" s="198" t="n"/>
      <c r="G49" s="199" t="n"/>
      <c r="H49" s="200" t="n"/>
      <c r="I49" s="201" t="n"/>
      <c r="J49" s="201" t="n"/>
      <c r="K49" s="202" t="n"/>
      <c r="L49" s="541" t="n"/>
      <c r="M49" s="542" t="n"/>
      <c r="N49" s="543" t="n"/>
      <c r="O49" s="541" t="n"/>
      <c r="P49" s="542" t="n"/>
      <c r="Q49" s="543" t="n"/>
      <c r="R49" s="541" t="n"/>
      <c r="S49" s="544" t="n"/>
      <c r="T49" s="543" t="n"/>
      <c r="U49" s="541" t="n"/>
      <c r="V49" s="545" t="n"/>
      <c r="W49" s="544" t="n"/>
      <c r="X49" s="543" t="n"/>
      <c r="Y49" s="546" t="n"/>
      <c r="Z49" s="209" t="n"/>
    </row>
    <row r="50" ht="28.5" customFormat="1" customHeight="1" s="210">
      <c r="A50" s="196">
        <f>IF(B50,0,MATCH(H50,ВидыНагр,0))</f>
        <v/>
      </c>
      <c r="B50" s="154">
        <f>(COUNTIF(КлючВесна,D50)&lt;&gt;1)</f>
        <v/>
      </c>
      <c r="C50" s="196">
        <f>IF(COUNTA(E50:K50,Z50)&gt;0,1,0)+IF(COUNTA(L50:Y50)&gt;0,2,0)</f>
        <v/>
      </c>
      <c r="D50" s="179">
        <f>CONCATENATE("$",TRIM(F50),"$",TRIM(G50),"$",H50,"$")</f>
        <v/>
      </c>
      <c r="E50" s="197" t="n"/>
      <c r="F50" s="198" t="n"/>
      <c r="G50" s="199" t="n"/>
      <c r="H50" s="200" t="n"/>
      <c r="I50" s="201" t="n"/>
      <c r="J50" s="201" t="n"/>
      <c r="K50" s="202" t="n"/>
      <c r="L50" s="541" t="n"/>
      <c r="M50" s="542" t="n"/>
      <c r="N50" s="543" t="n"/>
      <c r="O50" s="541" t="n"/>
      <c r="P50" s="542" t="n"/>
      <c r="Q50" s="543" t="n"/>
      <c r="R50" s="541" t="n"/>
      <c r="S50" s="544" t="n"/>
      <c r="T50" s="543" t="n"/>
      <c r="U50" s="541" t="n"/>
      <c r="V50" s="545" t="n"/>
      <c r="W50" s="544" t="n"/>
      <c r="X50" s="543" t="n"/>
      <c r="Y50" s="546" t="n"/>
      <c r="Z50" s="209" t="n"/>
    </row>
    <row r="51" ht="28.5" customFormat="1" customHeight="1" s="210">
      <c r="A51" s="196">
        <f>IF(B51,0,MATCH(H51,ВидыНагр,0))</f>
        <v/>
      </c>
      <c r="B51" s="154">
        <f>(COUNTIF(КлючВесна,D51)&lt;&gt;1)</f>
        <v/>
      </c>
      <c r="C51" s="196">
        <f>IF(COUNTA(E51:K51,Z51)&gt;0,1,0)+IF(COUNTA(L51:Y51)&gt;0,2,0)</f>
        <v/>
      </c>
      <c r="D51" s="179">
        <f>CONCATENATE("$",TRIM(F51),"$",TRIM(G51),"$",H51,"$")</f>
        <v/>
      </c>
      <c r="E51" s="197" t="n"/>
      <c r="F51" s="198" t="n"/>
      <c r="G51" s="199" t="n"/>
      <c r="H51" s="200" t="n"/>
      <c r="I51" s="201" t="n"/>
      <c r="J51" s="201" t="n"/>
      <c r="K51" s="202" t="n"/>
      <c r="L51" s="541" t="n"/>
      <c r="M51" s="542" t="n"/>
      <c r="N51" s="543" t="n"/>
      <c r="O51" s="541" t="n"/>
      <c r="P51" s="542" t="n"/>
      <c r="Q51" s="543" t="n"/>
      <c r="R51" s="541" t="n"/>
      <c r="S51" s="544" t="n"/>
      <c r="T51" s="543" t="n"/>
      <c r="U51" s="541" t="n"/>
      <c r="V51" s="545" t="n"/>
      <c r="W51" s="544" t="n"/>
      <c r="X51" s="543" t="n"/>
      <c r="Y51" s="546" t="n"/>
      <c r="Z51" s="209" t="n"/>
    </row>
    <row r="52" ht="28.5" customFormat="1" customHeight="1" s="210">
      <c r="A52" s="196">
        <f>IF(B52,0,MATCH(H52,ВидыНагр,0))</f>
        <v/>
      </c>
      <c r="B52" s="154">
        <f>(COUNTIF(КлючВесна,D52)&lt;&gt;1)</f>
        <v/>
      </c>
      <c r="C52" s="196">
        <f>IF(COUNTA(E52:K52,Z52)&gt;0,1,0)+IF(COUNTA(L52:Y52)&gt;0,2,0)</f>
        <v/>
      </c>
      <c r="D52" s="179">
        <f>CONCATENATE("$",TRIM(F52),"$",TRIM(G52),"$",H52,"$")</f>
        <v/>
      </c>
      <c r="E52" s="197" t="n"/>
      <c r="F52" s="198" t="n"/>
      <c r="G52" s="199" t="n"/>
      <c r="H52" s="200" t="n"/>
      <c r="I52" s="201" t="n"/>
      <c r="J52" s="201" t="n"/>
      <c r="K52" s="202" t="n"/>
      <c r="L52" s="541" t="n"/>
      <c r="M52" s="542" t="n"/>
      <c r="N52" s="543" t="n"/>
      <c r="O52" s="541" t="n"/>
      <c r="P52" s="542" t="n"/>
      <c r="Q52" s="543" t="n"/>
      <c r="R52" s="541" t="n"/>
      <c r="S52" s="544" t="n"/>
      <c r="T52" s="543" t="n"/>
      <c r="U52" s="541" t="n"/>
      <c r="V52" s="545" t="n"/>
      <c r="W52" s="544" t="n"/>
      <c r="X52" s="543" t="n"/>
      <c r="Y52" s="546" t="n"/>
      <c r="Z52" s="209" t="n"/>
    </row>
    <row r="53" ht="28.5" customFormat="1" customHeight="1" s="210">
      <c r="A53" s="196">
        <f>IF(B53,0,MATCH(H53,ВидыНагр,0))</f>
        <v/>
      </c>
      <c r="B53" s="154">
        <f>(COUNTIF(КлючВесна,D53)&lt;&gt;1)</f>
        <v/>
      </c>
      <c r="C53" s="196">
        <f>IF(COUNTA(E53:K53,Z53)&gt;0,1,0)+IF(COUNTA(L53:Y53)&gt;0,2,0)</f>
        <v/>
      </c>
      <c r="D53" s="179">
        <f>CONCATENATE("$",TRIM(F53),"$",TRIM(G53),"$",H53,"$")</f>
        <v/>
      </c>
      <c r="E53" s="197" t="n"/>
      <c r="F53" s="198" t="n"/>
      <c r="G53" s="199" t="n"/>
      <c r="H53" s="200" t="n"/>
      <c r="I53" s="201" t="n"/>
      <c r="J53" s="201" t="n"/>
      <c r="K53" s="202" t="n"/>
      <c r="L53" s="541" t="n"/>
      <c r="M53" s="542" t="n"/>
      <c r="N53" s="543" t="n"/>
      <c r="O53" s="541" t="n"/>
      <c r="P53" s="542" t="n"/>
      <c r="Q53" s="543" t="n"/>
      <c r="R53" s="541" t="n"/>
      <c r="S53" s="544" t="n"/>
      <c r="T53" s="543" t="n"/>
      <c r="U53" s="541" t="n"/>
      <c r="V53" s="545" t="n"/>
      <c r="W53" s="544" t="n"/>
      <c r="X53" s="543" t="n"/>
      <c r="Y53" s="546" t="n"/>
      <c r="Z53" s="209" t="n"/>
    </row>
    <row r="54" ht="28.5" customFormat="1" customHeight="1" s="210">
      <c r="A54" s="196">
        <f>IF(B54,0,MATCH(H54,ВидыНагр,0))</f>
        <v/>
      </c>
      <c r="B54" s="154">
        <f>(COUNTIF(КлючВесна,D54)&lt;&gt;1)</f>
        <v/>
      </c>
      <c r="C54" s="196">
        <f>IF(COUNTA(E54:K54,Z54)&gt;0,1,0)+IF(COUNTA(L54:Y54)&gt;0,2,0)</f>
        <v/>
      </c>
      <c r="D54" s="179">
        <f>CONCATENATE("$",TRIM(F54),"$",TRIM(G54),"$",H54,"$")</f>
        <v/>
      </c>
      <c r="E54" s="197" t="n"/>
      <c r="F54" s="198" t="n"/>
      <c r="G54" s="199" t="n"/>
      <c r="H54" s="200" t="n"/>
      <c r="I54" s="201" t="n"/>
      <c r="J54" s="201" t="n"/>
      <c r="K54" s="202" t="n"/>
      <c r="L54" s="541" t="n"/>
      <c r="M54" s="542" t="n"/>
      <c r="N54" s="543" t="n"/>
      <c r="O54" s="541" t="n"/>
      <c r="P54" s="542" t="n"/>
      <c r="Q54" s="543" t="n"/>
      <c r="R54" s="541" t="n"/>
      <c r="S54" s="544" t="n"/>
      <c r="T54" s="543" t="n"/>
      <c r="U54" s="541" t="n"/>
      <c r="V54" s="545" t="n"/>
      <c r="W54" s="544" t="n"/>
      <c r="X54" s="543" t="n"/>
      <c r="Y54" s="546" t="n"/>
      <c r="Z54" s="209" t="n"/>
    </row>
    <row r="55" ht="28.5" customFormat="1" customHeight="1" s="210">
      <c r="A55" s="196">
        <f>IF(B55,0,MATCH(H55,ВидыНагр,0))</f>
        <v/>
      </c>
      <c r="B55" s="154">
        <f>(COUNTIF(КлючВесна,D55)&lt;&gt;1)</f>
        <v/>
      </c>
      <c r="C55" s="196">
        <f>IF(COUNTA(E55:K55,Z55)&gt;0,1,0)+IF(COUNTA(L55:Y55)&gt;0,2,0)</f>
        <v/>
      </c>
      <c r="D55" s="179">
        <f>CONCATENATE("$",TRIM(F55),"$",TRIM(G55),"$",H55,"$")</f>
        <v/>
      </c>
      <c r="E55" s="197" t="n"/>
      <c r="F55" s="198" t="n"/>
      <c r="G55" s="199" t="n"/>
      <c r="H55" s="200" t="n"/>
      <c r="I55" s="201" t="n"/>
      <c r="J55" s="201" t="n"/>
      <c r="K55" s="202" t="n"/>
      <c r="L55" s="541" t="n"/>
      <c r="M55" s="542" t="n"/>
      <c r="N55" s="543" t="n"/>
      <c r="O55" s="541" t="n"/>
      <c r="P55" s="542" t="n"/>
      <c r="Q55" s="543" t="n"/>
      <c r="R55" s="541" t="n"/>
      <c r="S55" s="544" t="n"/>
      <c r="T55" s="543" t="n"/>
      <c r="U55" s="541" t="n"/>
      <c r="V55" s="545" t="n"/>
      <c r="W55" s="544" t="n"/>
      <c r="X55" s="543" t="n"/>
      <c r="Y55" s="546" t="n"/>
      <c r="Z55" s="209" t="n"/>
    </row>
    <row r="56" ht="28.5" customFormat="1" customHeight="1" s="210">
      <c r="A56" s="196">
        <f>IF(B56,0,MATCH(H56,ВидыНагр,0))</f>
        <v/>
      </c>
      <c r="B56" s="154">
        <f>(COUNTIF(КлючВесна,D56)&lt;&gt;1)</f>
        <v/>
      </c>
      <c r="C56" s="196">
        <f>IF(COUNTA(E56:K56,Z56)&gt;0,1,0)+IF(COUNTA(L56:Y56)&gt;0,2,0)</f>
        <v/>
      </c>
      <c r="D56" s="179">
        <f>CONCATENATE("$",TRIM(F56),"$",TRIM(G56),"$",H56,"$")</f>
        <v/>
      </c>
      <c r="E56" s="197" t="n"/>
      <c r="F56" s="198" t="n"/>
      <c r="G56" s="199" t="n"/>
      <c r="H56" s="200" t="n"/>
      <c r="I56" s="201" t="n"/>
      <c r="J56" s="201" t="n"/>
      <c r="K56" s="202" t="n"/>
      <c r="L56" s="541" t="n"/>
      <c r="M56" s="542" t="n"/>
      <c r="N56" s="543" t="n"/>
      <c r="O56" s="541" t="n"/>
      <c r="P56" s="542" t="n"/>
      <c r="Q56" s="543" t="n"/>
      <c r="R56" s="541" t="n"/>
      <c r="S56" s="544" t="n"/>
      <c r="T56" s="543" t="n"/>
      <c r="U56" s="541" t="n"/>
      <c r="V56" s="545" t="n"/>
      <c r="W56" s="544" t="n"/>
      <c r="X56" s="543" t="n"/>
      <c r="Y56" s="546" t="n"/>
      <c r="Z56" s="209" t="n"/>
    </row>
    <row r="57" ht="28.5" customFormat="1" customHeight="1" s="210">
      <c r="A57" s="196">
        <f>IF(B57,0,MATCH(H57,ВидыНагр,0))</f>
        <v/>
      </c>
      <c r="B57" s="154">
        <f>(COUNTIF(КлючВесна,D57)&lt;&gt;1)</f>
        <v/>
      </c>
      <c r="C57" s="196">
        <f>IF(COUNTA(E57:K57,Z57)&gt;0,1,0)+IF(COUNTA(L57:Y57)&gt;0,2,0)</f>
        <v/>
      </c>
      <c r="D57" s="179">
        <f>CONCATENATE("$",TRIM(F57),"$",TRIM(G57),"$",H57,"$")</f>
        <v/>
      </c>
      <c r="E57" s="197" t="n"/>
      <c r="F57" s="198" t="n"/>
      <c r="G57" s="199" t="n"/>
      <c r="H57" s="200" t="n"/>
      <c r="I57" s="201" t="n"/>
      <c r="J57" s="201" t="n"/>
      <c r="K57" s="202" t="n"/>
      <c r="L57" s="541" t="n"/>
      <c r="M57" s="542" t="n"/>
      <c r="N57" s="543" t="n"/>
      <c r="O57" s="541" t="n"/>
      <c r="P57" s="542" t="n"/>
      <c r="Q57" s="543" t="n"/>
      <c r="R57" s="541" t="n"/>
      <c r="S57" s="544" t="n"/>
      <c r="T57" s="543" t="n"/>
      <c r="U57" s="541" t="n"/>
      <c r="V57" s="545" t="n"/>
      <c r="W57" s="544" t="n"/>
      <c r="X57" s="543" t="n"/>
      <c r="Y57" s="546" t="n"/>
      <c r="Z57" s="209" t="n"/>
    </row>
    <row r="58" ht="28.5" customFormat="1" customHeight="1" s="210">
      <c r="A58" s="196">
        <f>IF(B58,0,MATCH(H58,ВидыНагр,0))</f>
        <v/>
      </c>
      <c r="B58" s="154">
        <f>(COUNTIF(КлючВесна,D58)&lt;&gt;1)</f>
        <v/>
      </c>
      <c r="C58" s="196">
        <f>IF(COUNTA(E58:K58,Z58)&gt;0,1,0)+IF(COUNTA(L58:Y58)&gt;0,2,0)</f>
        <v/>
      </c>
      <c r="D58" s="179">
        <f>CONCATENATE("$",TRIM(F58),"$",TRIM(G58),"$",H58,"$")</f>
        <v/>
      </c>
      <c r="E58" s="197" t="n"/>
      <c r="F58" s="198" t="n"/>
      <c r="G58" s="199" t="n"/>
      <c r="H58" s="200" t="n"/>
      <c r="I58" s="201" t="n"/>
      <c r="J58" s="201" t="n"/>
      <c r="K58" s="202" t="n"/>
      <c r="L58" s="541" t="n"/>
      <c r="M58" s="542" t="n"/>
      <c r="N58" s="543" t="n"/>
      <c r="O58" s="541" t="n"/>
      <c r="P58" s="542" t="n"/>
      <c r="Q58" s="543" t="n"/>
      <c r="R58" s="541" t="n"/>
      <c r="S58" s="544" t="n"/>
      <c r="T58" s="543" t="n"/>
      <c r="U58" s="541" t="n"/>
      <c r="V58" s="545" t="n"/>
      <c r="W58" s="544" t="n"/>
      <c r="X58" s="543" t="n"/>
      <c r="Y58" s="546" t="n"/>
      <c r="Z58" s="209" t="n"/>
    </row>
    <row r="59" ht="28.5" customFormat="1" customHeight="1" s="210">
      <c r="A59" s="196">
        <f>IF(B59,0,MATCH(H59,ВидыНагр,0))</f>
        <v/>
      </c>
      <c r="B59" s="154">
        <f>(COUNTIF(КлючВесна,D59)&lt;&gt;1)</f>
        <v/>
      </c>
      <c r="C59" s="196">
        <f>IF(COUNTA(E59:K59,Z59)&gt;0,1,0)+IF(COUNTA(L59:Y59)&gt;0,2,0)</f>
        <v/>
      </c>
      <c r="D59" s="179">
        <f>CONCATENATE("$",TRIM(F59),"$",TRIM(G59),"$",H59,"$")</f>
        <v/>
      </c>
      <c r="E59" s="197" t="n"/>
      <c r="F59" s="198" t="n"/>
      <c r="G59" s="199" t="n"/>
      <c r="H59" s="200" t="n"/>
      <c r="I59" s="201" t="n"/>
      <c r="J59" s="201" t="n"/>
      <c r="K59" s="202" t="n"/>
      <c r="L59" s="541" t="n"/>
      <c r="M59" s="542" t="n"/>
      <c r="N59" s="543" t="n"/>
      <c r="O59" s="541" t="n"/>
      <c r="P59" s="542" t="n"/>
      <c r="Q59" s="543" t="n"/>
      <c r="R59" s="541" t="n"/>
      <c r="S59" s="544" t="n"/>
      <c r="T59" s="543" t="n"/>
      <c r="U59" s="541" t="n"/>
      <c r="V59" s="545" t="n"/>
      <c r="W59" s="544" t="n"/>
      <c r="X59" s="543" t="n"/>
      <c r="Y59" s="546" t="n"/>
      <c r="Z59" s="209" t="n"/>
    </row>
    <row r="60" ht="28.5" customFormat="1" customHeight="1" s="210">
      <c r="A60" s="196">
        <f>IF(B60,0,MATCH(H60,ВидыНагр,0))</f>
        <v/>
      </c>
      <c r="B60" s="154">
        <f>(COUNTIF(КлючВесна,D60)&lt;&gt;1)</f>
        <v/>
      </c>
      <c r="C60" s="196">
        <f>IF(COUNTA(E60:K60,Z60)&gt;0,1,0)+IF(COUNTA(L60:Y60)&gt;0,2,0)</f>
        <v/>
      </c>
      <c r="D60" s="179">
        <f>CONCATENATE("$",TRIM(F60),"$",TRIM(G60),"$",H60,"$")</f>
        <v/>
      </c>
      <c r="E60" s="197" t="n"/>
      <c r="F60" s="198" t="n"/>
      <c r="G60" s="199" t="n"/>
      <c r="H60" s="200" t="n"/>
      <c r="I60" s="201" t="n"/>
      <c r="J60" s="201" t="n"/>
      <c r="K60" s="202" t="n"/>
      <c r="L60" s="541" t="n"/>
      <c r="M60" s="542" t="n"/>
      <c r="N60" s="543" t="n"/>
      <c r="O60" s="541" t="n"/>
      <c r="P60" s="542" t="n"/>
      <c r="Q60" s="543" t="n"/>
      <c r="R60" s="541" t="n"/>
      <c r="S60" s="544" t="n"/>
      <c r="T60" s="543" t="n"/>
      <c r="U60" s="541" t="n"/>
      <c r="V60" s="545" t="n"/>
      <c r="W60" s="544" t="n"/>
      <c r="X60" s="543" t="n"/>
      <c r="Y60" s="546" t="n"/>
      <c r="Z60" s="209" t="n"/>
    </row>
    <row r="61" ht="28.5" customFormat="1" customHeight="1" s="210">
      <c r="A61" s="196">
        <f>IF(B61,0,MATCH(H61,ВидыНагр,0))</f>
        <v/>
      </c>
      <c r="B61" s="154">
        <f>(COUNTIF(КлючВесна,D61)&lt;&gt;1)</f>
        <v/>
      </c>
      <c r="C61" s="196">
        <f>IF(COUNTA(E61:K61,Z61)&gt;0,1,0)+IF(COUNTA(L61:Y61)&gt;0,2,0)</f>
        <v/>
      </c>
      <c r="D61" s="179">
        <f>CONCATENATE("$",TRIM(F61),"$",TRIM(G61),"$",H61,"$")</f>
        <v/>
      </c>
      <c r="E61" s="197" t="n"/>
      <c r="F61" s="198" t="n"/>
      <c r="G61" s="199" t="n"/>
      <c r="H61" s="200" t="n"/>
      <c r="I61" s="201" t="n"/>
      <c r="J61" s="201" t="n"/>
      <c r="K61" s="202" t="n"/>
      <c r="L61" s="541" t="n"/>
      <c r="M61" s="542" t="n"/>
      <c r="N61" s="543" t="n"/>
      <c r="O61" s="541" t="n"/>
      <c r="P61" s="542" t="n"/>
      <c r="Q61" s="543" t="n"/>
      <c r="R61" s="541" t="n"/>
      <c r="S61" s="544" t="n"/>
      <c r="T61" s="543" t="n"/>
      <c r="U61" s="541" t="n"/>
      <c r="V61" s="545" t="n"/>
      <c r="W61" s="544" t="n"/>
      <c r="X61" s="543" t="n"/>
      <c r="Y61" s="546" t="n"/>
      <c r="Z61" s="209" t="n"/>
    </row>
    <row r="62" ht="28.5" customFormat="1" customHeight="1" s="210">
      <c r="A62" s="196">
        <f>IF(B62,0,MATCH(H62,ВидыНагр,0))</f>
        <v/>
      </c>
      <c r="B62" s="154">
        <f>(COUNTIF(КлючВесна,D62)&lt;&gt;1)</f>
        <v/>
      </c>
      <c r="C62" s="196">
        <f>IF(COUNTA(E62:K62,Z62)&gt;0,1,0)+IF(COUNTA(L62:Y62)&gt;0,2,0)</f>
        <v/>
      </c>
      <c r="D62" s="179">
        <f>CONCATENATE("$",TRIM(F62),"$",TRIM(G62),"$",H62,"$")</f>
        <v/>
      </c>
      <c r="E62" s="197" t="n"/>
      <c r="F62" s="198" t="n"/>
      <c r="G62" s="199" t="n"/>
      <c r="H62" s="200" t="n"/>
      <c r="I62" s="201" t="n"/>
      <c r="J62" s="201" t="n"/>
      <c r="K62" s="202" t="n"/>
      <c r="L62" s="541" t="n"/>
      <c r="M62" s="542" t="n"/>
      <c r="N62" s="543" t="n"/>
      <c r="O62" s="541" t="n"/>
      <c r="P62" s="542" t="n"/>
      <c r="Q62" s="543" t="n"/>
      <c r="R62" s="541" t="n"/>
      <c r="S62" s="544" t="n"/>
      <c r="T62" s="543" t="n"/>
      <c r="U62" s="541" t="n"/>
      <c r="V62" s="545" t="n"/>
      <c r="W62" s="544" t="n"/>
      <c r="X62" s="543" t="n"/>
      <c r="Y62" s="546" t="n"/>
      <c r="Z62" s="209" t="n"/>
    </row>
    <row r="63" ht="28.5" customFormat="1" customHeight="1" s="210">
      <c r="A63" s="196">
        <f>IF(B63,0,MATCH(H63,ВидыНагр,0))</f>
        <v/>
      </c>
      <c r="B63" s="154">
        <f>(COUNTIF(КлючВесна,D63)&lt;&gt;1)</f>
        <v/>
      </c>
      <c r="C63" s="196">
        <f>IF(COUNTA(E63:K63,Z63)&gt;0,1,0)+IF(COUNTA(L63:Y63)&gt;0,2,0)</f>
        <v/>
      </c>
      <c r="D63" s="179">
        <f>CONCATENATE("$",TRIM(F63),"$",TRIM(G63),"$",H63,"$")</f>
        <v/>
      </c>
      <c r="E63" s="197" t="n"/>
      <c r="F63" s="198" t="n"/>
      <c r="G63" s="199" t="n"/>
      <c r="H63" s="200" t="n"/>
      <c r="I63" s="201" t="n"/>
      <c r="J63" s="201" t="n"/>
      <c r="K63" s="202" t="n"/>
      <c r="L63" s="541" t="n"/>
      <c r="M63" s="542" t="n"/>
      <c r="N63" s="543" t="n"/>
      <c r="O63" s="541" t="n"/>
      <c r="P63" s="542" t="n"/>
      <c r="Q63" s="543" t="n"/>
      <c r="R63" s="541" t="n"/>
      <c r="S63" s="544" t="n"/>
      <c r="T63" s="543" t="n"/>
      <c r="U63" s="541" t="n"/>
      <c r="V63" s="545" t="n"/>
      <c r="W63" s="544" t="n"/>
      <c r="X63" s="543" t="n"/>
      <c r="Y63" s="546" t="n"/>
      <c r="Z63" s="209" t="n"/>
    </row>
    <row r="64" ht="28.5" customFormat="1" customHeight="1" s="210">
      <c r="A64" s="196">
        <f>IF(B64,0,MATCH(H64,ВидыНагр,0))</f>
        <v/>
      </c>
      <c r="B64" s="154">
        <f>(COUNTIF(КлючВесна,D64)&lt;&gt;1)</f>
        <v/>
      </c>
      <c r="C64" s="196">
        <f>IF(COUNTA(E64:K64,Z64)&gt;0,1,0)+IF(COUNTA(L64:Y64)&gt;0,2,0)</f>
        <v/>
      </c>
      <c r="D64" s="179">
        <f>CONCATENATE("$",TRIM(F64),"$",TRIM(G64),"$",H64,"$")</f>
        <v/>
      </c>
      <c r="E64" s="197" t="n"/>
      <c r="F64" s="198" t="n"/>
      <c r="G64" s="199" t="n"/>
      <c r="H64" s="200" t="n"/>
      <c r="I64" s="201" t="n"/>
      <c r="J64" s="201" t="n"/>
      <c r="K64" s="202" t="n"/>
      <c r="L64" s="541" t="n"/>
      <c r="M64" s="542" t="n"/>
      <c r="N64" s="543" t="n"/>
      <c r="O64" s="541" t="n"/>
      <c r="P64" s="542" t="n"/>
      <c r="Q64" s="543" t="n"/>
      <c r="R64" s="541" t="n"/>
      <c r="S64" s="544" t="n"/>
      <c r="T64" s="543" t="n"/>
      <c r="U64" s="541" t="n"/>
      <c r="V64" s="545" t="n"/>
      <c r="W64" s="544" t="n"/>
      <c r="X64" s="543" t="n"/>
      <c r="Y64" s="546" t="n"/>
      <c r="Z64" s="209" t="n"/>
    </row>
    <row r="65" ht="28.5" customFormat="1" customHeight="1" s="210">
      <c r="A65" s="196">
        <f>IF(B65,0,MATCH(H65,ВидыНагр,0))</f>
        <v/>
      </c>
      <c r="B65" s="154">
        <f>(COUNTIF(КлючВесна,D65)&lt;&gt;1)</f>
        <v/>
      </c>
      <c r="C65" s="196">
        <f>IF(COUNTA(E65:K65,Z65)&gt;0,1,0)+IF(COUNTA(L65:Y65)&gt;0,2,0)</f>
        <v/>
      </c>
      <c r="D65" s="179">
        <f>CONCATENATE("$",TRIM(F65),"$",TRIM(G65),"$",H65,"$")</f>
        <v/>
      </c>
      <c r="E65" s="197" t="n"/>
      <c r="F65" s="198" t="n"/>
      <c r="G65" s="199" t="n"/>
      <c r="H65" s="200" t="n"/>
      <c r="I65" s="201" t="n"/>
      <c r="J65" s="201" t="n"/>
      <c r="K65" s="202" t="n"/>
      <c r="L65" s="541" t="n"/>
      <c r="M65" s="542" t="n"/>
      <c r="N65" s="543" t="n"/>
      <c r="O65" s="541" t="n"/>
      <c r="P65" s="542" t="n"/>
      <c r="Q65" s="543" t="n"/>
      <c r="R65" s="541" t="n"/>
      <c r="S65" s="544" t="n"/>
      <c r="T65" s="543" t="n"/>
      <c r="U65" s="541" t="n"/>
      <c r="V65" s="545" t="n"/>
      <c r="W65" s="544" t="n"/>
      <c r="X65" s="543" t="n"/>
      <c r="Y65" s="546" t="n"/>
      <c r="Z65" s="209" t="n"/>
    </row>
    <row r="66" ht="28.5" customFormat="1" customHeight="1" s="210">
      <c r="A66" s="196">
        <f>IF(B66,0,MATCH(H66,ВидыНагр,0))</f>
        <v/>
      </c>
      <c r="B66" s="154">
        <f>(COUNTIF(КлючВесна,D66)&lt;&gt;1)</f>
        <v/>
      </c>
      <c r="C66" s="196">
        <f>IF(COUNTA(E66:K66,Z66)&gt;0,1,0)+IF(COUNTA(L66:Y66)&gt;0,2,0)</f>
        <v/>
      </c>
      <c r="D66" s="179">
        <f>CONCATENATE("$",TRIM(F66),"$",TRIM(G66),"$",H66,"$")</f>
        <v/>
      </c>
      <c r="E66" s="197" t="n"/>
      <c r="F66" s="198" t="n"/>
      <c r="G66" s="199" t="n"/>
      <c r="H66" s="200" t="n"/>
      <c r="I66" s="201" t="n"/>
      <c r="J66" s="201" t="n"/>
      <c r="K66" s="202" t="n"/>
      <c r="L66" s="541" t="n"/>
      <c r="M66" s="542" t="n"/>
      <c r="N66" s="543" t="n"/>
      <c r="O66" s="541" t="n"/>
      <c r="P66" s="542" t="n"/>
      <c r="Q66" s="543" t="n"/>
      <c r="R66" s="541" t="n"/>
      <c r="S66" s="544" t="n"/>
      <c r="T66" s="543" t="n"/>
      <c r="U66" s="541" t="n"/>
      <c r="V66" s="545" t="n"/>
      <c r="W66" s="544" t="n"/>
      <c r="X66" s="543" t="n"/>
      <c r="Y66" s="546" t="n"/>
      <c r="Z66" s="209" t="n"/>
    </row>
    <row r="67" ht="28.5" customFormat="1" customHeight="1" s="210">
      <c r="A67" s="196">
        <f>IF(B67,0,MATCH(H67,ВидыНагр,0))</f>
        <v/>
      </c>
      <c r="B67" s="154">
        <f>(COUNTIF(КлючВесна,D67)&lt;&gt;1)</f>
        <v/>
      </c>
      <c r="C67" s="196">
        <f>IF(COUNTA(E67:K67,Z67)&gt;0,1,0)+IF(COUNTA(L67:Y67)&gt;0,2,0)</f>
        <v/>
      </c>
      <c r="D67" s="179">
        <f>CONCATENATE("$",TRIM(F67),"$",TRIM(G67),"$",H67,"$")</f>
        <v/>
      </c>
      <c r="E67" s="197" t="n"/>
      <c r="F67" s="198" t="n"/>
      <c r="G67" s="199" t="n"/>
      <c r="H67" s="200" t="n"/>
      <c r="I67" s="201" t="n"/>
      <c r="J67" s="201" t="n"/>
      <c r="K67" s="202" t="n"/>
      <c r="L67" s="541" t="n"/>
      <c r="M67" s="542" t="n"/>
      <c r="N67" s="543" t="n"/>
      <c r="O67" s="541" t="n"/>
      <c r="P67" s="542" t="n"/>
      <c r="Q67" s="543" t="n"/>
      <c r="R67" s="541" t="n"/>
      <c r="S67" s="544" t="n"/>
      <c r="T67" s="543" t="n"/>
      <c r="U67" s="541" t="n"/>
      <c r="V67" s="545" t="n"/>
      <c r="W67" s="544" t="n"/>
      <c r="X67" s="543" t="n"/>
      <c r="Y67" s="546" t="n"/>
      <c r="Z67" s="209" t="n"/>
    </row>
    <row r="68" ht="28.5" customFormat="1" customHeight="1" s="210">
      <c r="A68" s="196">
        <f>IF(B68,0,MATCH(H68,ВидыНагр,0))</f>
        <v/>
      </c>
      <c r="B68" s="154">
        <f>(COUNTIF(КлючВесна,D68)&lt;&gt;1)</f>
        <v/>
      </c>
      <c r="C68" s="196">
        <f>IF(COUNTA(E68:K68,Z68)&gt;0,1,0)+IF(COUNTA(L68:Y68)&gt;0,2,0)</f>
        <v/>
      </c>
      <c r="D68" s="179">
        <f>CONCATENATE("$",TRIM(F68),"$",TRIM(G68),"$",H68,"$")</f>
        <v/>
      </c>
      <c r="E68" s="197" t="n"/>
      <c r="F68" s="198" t="n"/>
      <c r="G68" s="199" t="n"/>
      <c r="H68" s="200" t="n"/>
      <c r="I68" s="201" t="n"/>
      <c r="J68" s="201" t="n"/>
      <c r="K68" s="202" t="n"/>
      <c r="L68" s="541" t="n"/>
      <c r="M68" s="542" t="n"/>
      <c r="N68" s="543" t="n"/>
      <c r="O68" s="541" t="n"/>
      <c r="P68" s="542" t="n"/>
      <c r="Q68" s="543" t="n"/>
      <c r="R68" s="541" t="n"/>
      <c r="S68" s="544" t="n"/>
      <c r="T68" s="543" t="n"/>
      <c r="U68" s="541" t="n"/>
      <c r="V68" s="545" t="n"/>
      <c r="W68" s="544" t="n"/>
      <c r="X68" s="543" t="n"/>
      <c r="Y68" s="546" t="n"/>
      <c r="Z68" s="209" t="n"/>
    </row>
    <row r="69" ht="28.5" customFormat="1" customHeight="1" s="210">
      <c r="A69" s="196">
        <f>IF(B69,0,MATCH(H69,ВидыНагр,0))</f>
        <v/>
      </c>
      <c r="B69" s="154">
        <f>(COUNTIF(КлючВесна,D69)&lt;&gt;1)</f>
        <v/>
      </c>
      <c r="C69" s="196">
        <f>IF(COUNTA(E69:K69,Z69)&gt;0,1,0)+IF(COUNTA(L69:Y69)&gt;0,2,0)</f>
        <v/>
      </c>
      <c r="D69" s="179">
        <f>CONCATENATE("$",TRIM(F69),"$",TRIM(G69),"$",H69,"$")</f>
        <v/>
      </c>
      <c r="E69" s="197" t="n"/>
      <c r="F69" s="198" t="n"/>
      <c r="G69" s="199" t="n"/>
      <c r="H69" s="200" t="n"/>
      <c r="I69" s="201" t="n"/>
      <c r="J69" s="201" t="n"/>
      <c r="K69" s="202" t="n"/>
      <c r="L69" s="541" t="n"/>
      <c r="M69" s="542" t="n"/>
      <c r="N69" s="543" t="n"/>
      <c r="O69" s="541" t="n"/>
      <c r="P69" s="542" t="n"/>
      <c r="Q69" s="543" t="n"/>
      <c r="R69" s="541" t="n"/>
      <c r="S69" s="544" t="n"/>
      <c r="T69" s="543" t="n"/>
      <c r="U69" s="541" t="n"/>
      <c r="V69" s="545" t="n"/>
      <c r="W69" s="544" t="n"/>
      <c r="X69" s="543" t="n"/>
      <c r="Y69" s="546" t="n"/>
      <c r="Z69" s="209" t="n"/>
    </row>
    <row r="70" ht="28.5" customFormat="1" customHeight="1" s="210">
      <c r="A70" s="196">
        <f>IF(B70,0,MATCH(H70,ВидыНагр,0))</f>
        <v/>
      </c>
      <c r="B70" s="154">
        <f>(COUNTIF(КлючВесна,D70)&lt;&gt;1)</f>
        <v/>
      </c>
      <c r="C70" s="196">
        <f>IF(COUNTA(E70:K70,Z70)&gt;0,1,0)+IF(COUNTA(L70:Y70)&gt;0,2,0)</f>
        <v/>
      </c>
      <c r="D70" s="179">
        <f>CONCATENATE("$",TRIM(F70),"$",TRIM(G70),"$",H70,"$")</f>
        <v/>
      </c>
      <c r="E70" s="197" t="n"/>
      <c r="F70" s="198" t="n"/>
      <c r="G70" s="199" t="n"/>
      <c r="H70" s="200" t="n"/>
      <c r="I70" s="201" t="n"/>
      <c r="J70" s="201" t="n"/>
      <c r="K70" s="202" t="n"/>
      <c r="L70" s="541" t="n"/>
      <c r="M70" s="542" t="n"/>
      <c r="N70" s="543" t="n"/>
      <c r="O70" s="541" t="n"/>
      <c r="P70" s="542" t="n"/>
      <c r="Q70" s="543" t="n"/>
      <c r="R70" s="541" t="n"/>
      <c r="S70" s="544" t="n"/>
      <c r="T70" s="543" t="n"/>
      <c r="U70" s="541" t="n"/>
      <c r="V70" s="545" t="n"/>
      <c r="W70" s="544" t="n"/>
      <c r="X70" s="543" t="n"/>
      <c r="Y70" s="546" t="n"/>
      <c r="Z70" s="209" t="n"/>
    </row>
    <row r="71" ht="28.5" customFormat="1" customHeight="1" s="210">
      <c r="A71" s="196">
        <f>IF(B71,0,MATCH(H71,ВидыНагр,0))</f>
        <v/>
      </c>
      <c r="B71" s="154">
        <f>(COUNTIF(КлючВесна,D71)&lt;&gt;1)</f>
        <v/>
      </c>
      <c r="C71" s="196">
        <f>IF(COUNTA(E71:K71,Z71)&gt;0,1,0)+IF(COUNTA(L71:Y71)&gt;0,2,0)</f>
        <v/>
      </c>
      <c r="D71" s="179">
        <f>CONCATENATE("$",TRIM(F71),"$",TRIM(G71),"$",H71,"$")</f>
        <v/>
      </c>
      <c r="E71" s="197" t="n"/>
      <c r="F71" s="198" t="n"/>
      <c r="G71" s="199" t="n"/>
      <c r="H71" s="200" t="n"/>
      <c r="I71" s="201" t="n"/>
      <c r="J71" s="201" t="n"/>
      <c r="K71" s="202" t="n"/>
      <c r="L71" s="541" t="n"/>
      <c r="M71" s="542" t="n"/>
      <c r="N71" s="543" t="n"/>
      <c r="O71" s="541" t="n"/>
      <c r="P71" s="542" t="n"/>
      <c r="Q71" s="543" t="n"/>
      <c r="R71" s="541" t="n"/>
      <c r="S71" s="544" t="n"/>
      <c r="T71" s="543" t="n"/>
      <c r="U71" s="541" t="n"/>
      <c r="V71" s="545" t="n"/>
      <c r="W71" s="544" t="n"/>
      <c r="X71" s="543" t="n"/>
      <c r="Y71" s="546" t="n"/>
      <c r="Z71" s="209" t="n"/>
    </row>
    <row r="72" ht="28.5" customFormat="1" customHeight="1" s="210">
      <c r="A72" s="196">
        <f>IF(B72,0,MATCH(H72,ВидыНагр,0))</f>
        <v/>
      </c>
      <c r="B72" s="154">
        <f>(COUNTIF(КлючВесна,D72)&lt;&gt;1)</f>
        <v/>
      </c>
      <c r="C72" s="196">
        <f>IF(COUNTA(E72:K72,Z72)&gt;0,1,0)+IF(COUNTA(L72:Y72)&gt;0,2,0)</f>
        <v/>
      </c>
      <c r="D72" s="179">
        <f>CONCATENATE("$",TRIM(F72),"$",TRIM(G72),"$",H72,"$")</f>
        <v/>
      </c>
      <c r="E72" s="197" t="n"/>
      <c r="F72" s="198" t="n"/>
      <c r="G72" s="199" t="n"/>
      <c r="H72" s="200" t="n"/>
      <c r="I72" s="201" t="n"/>
      <c r="J72" s="201" t="n"/>
      <c r="K72" s="202" t="n"/>
      <c r="L72" s="541" t="n"/>
      <c r="M72" s="542" t="n"/>
      <c r="N72" s="543" t="n"/>
      <c r="O72" s="541" t="n"/>
      <c r="P72" s="542" t="n"/>
      <c r="Q72" s="543" t="n"/>
      <c r="R72" s="541" t="n"/>
      <c r="S72" s="544" t="n"/>
      <c r="T72" s="543" t="n"/>
      <c r="U72" s="541" t="n"/>
      <c r="V72" s="545" t="n"/>
      <c r="W72" s="544" t="n"/>
      <c r="X72" s="543" t="n"/>
      <c r="Y72" s="546" t="n"/>
      <c r="Z72" s="209" t="n"/>
    </row>
    <row r="73" ht="28.5" customFormat="1" customHeight="1" s="210">
      <c r="A73" s="196">
        <f>IF(B73,0,MATCH(H73,ВидыНагр,0))</f>
        <v/>
      </c>
      <c r="B73" s="154">
        <f>(COUNTIF(КлючВесна,D73)&lt;&gt;1)</f>
        <v/>
      </c>
      <c r="C73" s="196">
        <f>IF(COUNTA(E73:K73,Z73)&gt;0,1,0)+IF(COUNTA(L73:Y73)&gt;0,2,0)</f>
        <v/>
      </c>
      <c r="D73" s="179">
        <f>CONCATENATE("$",TRIM(F73),"$",TRIM(G73),"$",H73,"$")</f>
        <v/>
      </c>
      <c r="E73" s="197" t="n"/>
      <c r="F73" s="198" t="n"/>
      <c r="G73" s="199" t="n"/>
      <c r="H73" s="200" t="n"/>
      <c r="I73" s="201" t="n"/>
      <c r="J73" s="201" t="n"/>
      <c r="K73" s="202" t="n"/>
      <c r="L73" s="541" t="n"/>
      <c r="M73" s="542" t="n"/>
      <c r="N73" s="543" t="n"/>
      <c r="O73" s="541" t="n"/>
      <c r="P73" s="542" t="n"/>
      <c r="Q73" s="543" t="n"/>
      <c r="R73" s="541" t="n"/>
      <c r="S73" s="544" t="n"/>
      <c r="T73" s="543" t="n"/>
      <c r="U73" s="541" t="n"/>
      <c r="V73" s="545" t="n"/>
      <c r="W73" s="544" t="n"/>
      <c r="X73" s="543" t="n"/>
      <c r="Y73" s="546" t="n"/>
      <c r="Z73" s="209" t="n"/>
    </row>
    <row r="74" ht="28.5" customFormat="1" customHeight="1" s="210">
      <c r="A74" s="196">
        <f>IF(B74,0,MATCH(H74,ВидыНагр,0))</f>
        <v/>
      </c>
      <c r="B74" s="154">
        <f>(COUNTIF(КлючВесна,D74)&lt;&gt;1)</f>
        <v/>
      </c>
      <c r="C74" s="196">
        <f>IF(COUNTA(E74:K74,Z74)&gt;0,1,0)+IF(COUNTA(L74:Y74)&gt;0,2,0)</f>
        <v/>
      </c>
      <c r="D74" s="179">
        <f>CONCATENATE("$",TRIM(F74),"$",TRIM(G74),"$",H74,"$")</f>
        <v/>
      </c>
      <c r="E74" s="197" t="n"/>
      <c r="F74" s="198" t="n"/>
      <c r="G74" s="199" t="n"/>
      <c r="H74" s="200" t="n"/>
      <c r="I74" s="201" t="n"/>
      <c r="J74" s="201" t="n"/>
      <c r="K74" s="202" t="n"/>
      <c r="L74" s="541" t="n"/>
      <c r="M74" s="542" t="n"/>
      <c r="N74" s="543" t="n"/>
      <c r="O74" s="541" t="n"/>
      <c r="P74" s="542" t="n"/>
      <c r="Q74" s="543" t="n"/>
      <c r="R74" s="541" t="n"/>
      <c r="S74" s="544" t="n"/>
      <c r="T74" s="543" t="n"/>
      <c r="U74" s="541" t="n"/>
      <c r="V74" s="545" t="n"/>
      <c r="W74" s="544" t="n"/>
      <c r="X74" s="543" t="n"/>
      <c r="Y74" s="546" t="n"/>
      <c r="Z74" s="209" t="n"/>
    </row>
    <row r="75" ht="28.5" customFormat="1" customHeight="1" s="210">
      <c r="A75" s="196">
        <f>IF(B75,0,MATCH(H75,ВидыНагр,0))</f>
        <v/>
      </c>
      <c r="B75" s="154">
        <f>(COUNTIF(КлючВесна,D75)&lt;&gt;1)</f>
        <v/>
      </c>
      <c r="C75" s="196">
        <f>IF(COUNTA(E75:K75,Z75)&gt;0,1,0)+IF(COUNTA(L75:Y75)&gt;0,2,0)</f>
        <v/>
      </c>
      <c r="D75" s="179">
        <f>CONCATENATE("$",TRIM(F75),"$",TRIM(G75),"$",H75,"$")</f>
        <v/>
      </c>
      <c r="E75" s="197" t="n"/>
      <c r="F75" s="198" t="n"/>
      <c r="G75" s="199" t="n"/>
      <c r="H75" s="200" t="n"/>
      <c r="I75" s="201" t="n"/>
      <c r="J75" s="201" t="n"/>
      <c r="K75" s="202" t="n"/>
      <c r="L75" s="541" t="n"/>
      <c r="M75" s="542" t="n"/>
      <c r="N75" s="543" t="n"/>
      <c r="O75" s="541" t="n"/>
      <c r="P75" s="542" t="n"/>
      <c r="Q75" s="543" t="n"/>
      <c r="R75" s="541" t="n"/>
      <c r="S75" s="544" t="n"/>
      <c r="T75" s="543" t="n"/>
      <c r="U75" s="541" t="n"/>
      <c r="V75" s="545" t="n"/>
      <c r="W75" s="544" t="n"/>
      <c r="X75" s="543" t="n"/>
      <c r="Y75" s="546" t="n"/>
      <c r="Z75" s="209" t="n"/>
    </row>
    <row r="76" ht="28.5" customFormat="1" customHeight="1" s="210">
      <c r="A76" s="196">
        <f>IF(B76,0,MATCH(H76,ВидыНагр,0))</f>
        <v/>
      </c>
      <c r="B76" s="154">
        <f>(COUNTIF(КлючВесна,D76)&lt;&gt;1)</f>
        <v/>
      </c>
      <c r="C76" s="196">
        <f>IF(COUNTA(E76:K76,Z76)&gt;0,1,0)+IF(COUNTA(L76:Y76)&gt;0,2,0)</f>
        <v/>
      </c>
      <c r="D76" s="179">
        <f>CONCATENATE("$",TRIM(F76),"$",TRIM(G76),"$",H76,"$")</f>
        <v/>
      </c>
      <c r="E76" s="197" t="n"/>
      <c r="F76" s="198" t="n"/>
      <c r="G76" s="199" t="n"/>
      <c r="H76" s="200" t="n"/>
      <c r="I76" s="201" t="n"/>
      <c r="J76" s="201" t="n"/>
      <c r="K76" s="202" t="n"/>
      <c r="L76" s="541" t="n"/>
      <c r="M76" s="542" t="n"/>
      <c r="N76" s="543" t="n"/>
      <c r="O76" s="541" t="n"/>
      <c r="P76" s="542" t="n"/>
      <c r="Q76" s="543" t="n"/>
      <c r="R76" s="541" t="n"/>
      <c r="S76" s="544" t="n"/>
      <c r="T76" s="543" t="n"/>
      <c r="U76" s="541" t="n"/>
      <c r="V76" s="545" t="n"/>
      <c r="W76" s="544" t="n"/>
      <c r="X76" s="543" t="n"/>
      <c r="Y76" s="546" t="n"/>
      <c r="Z76" s="209" t="n"/>
    </row>
    <row r="77" ht="28.5" customFormat="1" customHeight="1" s="210">
      <c r="A77" s="196">
        <f>IF(B77,0,MATCH(H77,ВидыНагр,0))</f>
        <v/>
      </c>
      <c r="B77" s="154">
        <f>(COUNTIF(КлючВесна,D77)&lt;&gt;1)</f>
        <v/>
      </c>
      <c r="C77" s="196">
        <f>IF(COUNTA(E77:K77,Z77)&gt;0,1,0)+IF(COUNTA(L77:Y77)&gt;0,2,0)</f>
        <v/>
      </c>
      <c r="D77" s="179">
        <f>CONCATENATE("$",TRIM(F77),"$",TRIM(G77),"$",H77,"$")</f>
        <v/>
      </c>
      <c r="E77" s="197" t="n"/>
      <c r="F77" s="198" t="n"/>
      <c r="G77" s="199" t="n"/>
      <c r="H77" s="200" t="n"/>
      <c r="I77" s="201" t="n"/>
      <c r="J77" s="201" t="n"/>
      <c r="K77" s="202" t="n"/>
      <c r="L77" s="541" t="n"/>
      <c r="M77" s="542" t="n"/>
      <c r="N77" s="543" t="n"/>
      <c r="O77" s="541" t="n"/>
      <c r="P77" s="542" t="n"/>
      <c r="Q77" s="543" t="n"/>
      <c r="R77" s="541" t="n"/>
      <c r="S77" s="544" t="n"/>
      <c r="T77" s="543" t="n"/>
      <c r="U77" s="541" t="n"/>
      <c r="V77" s="545" t="n"/>
      <c r="W77" s="544" t="n"/>
      <c r="X77" s="543" t="n"/>
      <c r="Y77" s="546" t="n"/>
      <c r="Z77" s="209" t="n"/>
    </row>
    <row r="78" ht="28.5" customFormat="1" customHeight="1" s="210">
      <c r="A78" s="196">
        <f>IF(B78,0,MATCH(H78,ВидыНагр,0))</f>
        <v/>
      </c>
      <c r="B78" s="154">
        <f>(COUNTIF(КлючВесна,D78)&lt;&gt;1)</f>
        <v/>
      </c>
      <c r="C78" s="196">
        <f>IF(COUNTA(E78:K78,Z78)&gt;0,1,0)+IF(COUNTA(L78:Y78)&gt;0,2,0)</f>
        <v/>
      </c>
      <c r="D78" s="179">
        <f>CONCATENATE("$",TRIM(F78),"$",TRIM(G78),"$",H78,"$")</f>
        <v/>
      </c>
      <c r="E78" s="197" t="n"/>
      <c r="F78" s="198" t="n"/>
      <c r="G78" s="199" t="n"/>
      <c r="H78" s="200" t="n"/>
      <c r="I78" s="201" t="n"/>
      <c r="J78" s="201" t="n"/>
      <c r="K78" s="202" t="n"/>
      <c r="L78" s="541" t="n"/>
      <c r="M78" s="542" t="n"/>
      <c r="N78" s="543" t="n"/>
      <c r="O78" s="541" t="n"/>
      <c r="P78" s="542" t="n"/>
      <c r="Q78" s="543" t="n"/>
      <c r="R78" s="541" t="n"/>
      <c r="S78" s="544" t="n"/>
      <c r="T78" s="543" t="n"/>
      <c r="U78" s="541" t="n"/>
      <c r="V78" s="545" t="n"/>
      <c r="W78" s="544" t="n"/>
      <c r="X78" s="543" t="n"/>
      <c r="Y78" s="546" t="n"/>
      <c r="Z78" s="209" t="n"/>
    </row>
    <row r="79" ht="28.5" customFormat="1" customHeight="1" s="210">
      <c r="A79" s="196">
        <f>IF(B79,0,MATCH(H79,ВидыНагр,0))</f>
        <v/>
      </c>
      <c r="B79" s="154">
        <f>(COUNTIF(КлючВесна,D79)&lt;&gt;1)</f>
        <v/>
      </c>
      <c r="C79" s="196">
        <f>IF(COUNTA(E79:K79,Z79)&gt;0,1,0)+IF(COUNTA(L79:Y79)&gt;0,2,0)</f>
        <v/>
      </c>
      <c r="D79" s="179">
        <f>CONCATENATE("$",TRIM(F79),"$",TRIM(G79),"$",H79,"$")</f>
        <v/>
      </c>
      <c r="E79" s="197" t="n"/>
      <c r="F79" s="198" t="n"/>
      <c r="G79" s="199" t="n"/>
      <c r="H79" s="200" t="n"/>
      <c r="I79" s="201" t="n"/>
      <c r="J79" s="201" t="n"/>
      <c r="K79" s="202" t="n"/>
      <c r="L79" s="541" t="n"/>
      <c r="M79" s="542" t="n"/>
      <c r="N79" s="543" t="n"/>
      <c r="O79" s="541" t="n"/>
      <c r="P79" s="542" t="n"/>
      <c r="Q79" s="543" t="n"/>
      <c r="R79" s="541" t="n"/>
      <c r="S79" s="544" t="n"/>
      <c r="T79" s="543" t="n"/>
      <c r="U79" s="541" t="n"/>
      <c r="V79" s="545" t="n"/>
      <c r="W79" s="544" t="n"/>
      <c r="X79" s="543" t="n"/>
      <c r="Y79" s="546" t="n"/>
      <c r="Z79" s="209" t="n"/>
    </row>
    <row r="80" ht="28.5" customFormat="1" customHeight="1" s="210">
      <c r="A80" s="196">
        <f>IF(B80,0,MATCH(H80,ВидыНагр,0))</f>
        <v/>
      </c>
      <c r="B80" s="154">
        <f>(COUNTIF(КлючВесна,D80)&lt;&gt;1)</f>
        <v/>
      </c>
      <c r="C80" s="196">
        <f>IF(COUNTA(E80:K80,Z80)&gt;0,1,0)+IF(COUNTA(L80:Y80)&gt;0,2,0)</f>
        <v/>
      </c>
      <c r="D80" s="179">
        <f>CONCATENATE("$",TRIM(F80),"$",TRIM(G80),"$",H80,"$")</f>
        <v/>
      </c>
      <c r="E80" s="197" t="n"/>
      <c r="F80" s="198" t="n"/>
      <c r="G80" s="199" t="n"/>
      <c r="H80" s="200" t="n"/>
      <c r="I80" s="201" t="n"/>
      <c r="J80" s="201" t="n"/>
      <c r="K80" s="202" t="n"/>
      <c r="L80" s="541" t="n"/>
      <c r="M80" s="542" t="n"/>
      <c r="N80" s="543" t="n"/>
      <c r="O80" s="541" t="n"/>
      <c r="P80" s="542" t="n"/>
      <c r="Q80" s="543" t="n"/>
      <c r="R80" s="541" t="n"/>
      <c r="S80" s="544" t="n"/>
      <c r="T80" s="543" t="n"/>
      <c r="U80" s="541" t="n"/>
      <c r="V80" s="545" t="n"/>
      <c r="W80" s="544" t="n"/>
      <c r="X80" s="543" t="n"/>
      <c r="Y80" s="546" t="n"/>
      <c r="Z80" s="209" t="n"/>
    </row>
    <row r="81" ht="28.5" customFormat="1" customHeight="1" s="210">
      <c r="A81" s="196">
        <f>IF(B81,0,MATCH(H81,ВидыНагр,0))</f>
        <v/>
      </c>
      <c r="B81" s="154">
        <f>(COUNTIF(КлючВесна,D81)&lt;&gt;1)</f>
        <v/>
      </c>
      <c r="C81" s="196">
        <f>IF(COUNTA(E81:K81,Z81)&gt;0,1,0)+IF(COUNTA(L81:Y81)&gt;0,2,0)</f>
        <v/>
      </c>
      <c r="D81" s="179">
        <f>CONCATENATE("$",TRIM(F81),"$",TRIM(G81),"$",H81,"$")</f>
        <v/>
      </c>
      <c r="E81" s="197" t="n"/>
      <c r="F81" s="198" t="n"/>
      <c r="G81" s="199" t="n"/>
      <c r="H81" s="200" t="n"/>
      <c r="I81" s="201" t="n"/>
      <c r="J81" s="201" t="n"/>
      <c r="K81" s="202" t="n"/>
      <c r="L81" s="541" t="n"/>
      <c r="M81" s="542" t="n"/>
      <c r="N81" s="543" t="n"/>
      <c r="O81" s="541" t="n"/>
      <c r="P81" s="542" t="n"/>
      <c r="Q81" s="543" t="n"/>
      <c r="R81" s="541" t="n"/>
      <c r="S81" s="544" t="n"/>
      <c r="T81" s="543" t="n"/>
      <c r="U81" s="541" t="n"/>
      <c r="V81" s="545" t="n"/>
      <c r="W81" s="544" t="n"/>
      <c r="X81" s="543" t="n"/>
      <c r="Y81" s="546" t="n"/>
      <c r="Z81" s="209" t="n"/>
    </row>
    <row r="82" ht="28.5" customFormat="1" customHeight="1" s="210">
      <c r="A82" s="196">
        <f>IF(B82,0,MATCH(H82,ВидыНагр,0))</f>
        <v/>
      </c>
      <c r="B82" s="154">
        <f>(COUNTIF(КлючВесна,D82)&lt;&gt;1)</f>
        <v/>
      </c>
      <c r="C82" s="196">
        <f>IF(COUNTA(E82:K82,Z82)&gt;0,1,0)+IF(COUNTA(L82:Y82)&gt;0,2,0)</f>
        <v/>
      </c>
      <c r="D82" s="179">
        <f>CONCATENATE("$",TRIM(F82),"$",TRIM(G82),"$",H82,"$")</f>
        <v/>
      </c>
      <c r="E82" s="197" t="n"/>
      <c r="F82" s="198" t="n"/>
      <c r="G82" s="199" t="n"/>
      <c r="H82" s="200" t="n"/>
      <c r="I82" s="201" t="n"/>
      <c r="J82" s="201" t="n"/>
      <c r="K82" s="202" t="n"/>
      <c r="L82" s="541" t="n"/>
      <c r="M82" s="542" t="n"/>
      <c r="N82" s="543" t="n"/>
      <c r="O82" s="541" t="n"/>
      <c r="P82" s="542" t="n"/>
      <c r="Q82" s="543" t="n"/>
      <c r="R82" s="541" t="n"/>
      <c r="S82" s="544" t="n"/>
      <c r="T82" s="543" t="n"/>
      <c r="U82" s="541" t="n"/>
      <c r="V82" s="545" t="n"/>
      <c r="W82" s="544" t="n"/>
      <c r="X82" s="543" t="n"/>
      <c r="Y82" s="546" t="n"/>
      <c r="Z82" s="209" t="n"/>
    </row>
    <row r="83" ht="28.5" customFormat="1" customHeight="1" s="210">
      <c r="A83" s="196">
        <f>IF(B83,0,MATCH(H83,ВидыНагр,0))</f>
        <v/>
      </c>
      <c r="B83" s="154">
        <f>(COUNTIF(КлючВесна,D83)&lt;&gt;1)</f>
        <v/>
      </c>
      <c r="C83" s="196">
        <f>IF(COUNTA(E83:K83,Z83)&gt;0,1,0)+IF(COUNTA(L83:Y83)&gt;0,2,0)</f>
        <v/>
      </c>
      <c r="D83" s="179">
        <f>CONCATENATE("$",TRIM(F83),"$",TRIM(G83),"$",H83,"$")</f>
        <v/>
      </c>
      <c r="E83" s="197" t="n"/>
      <c r="F83" s="198" t="n"/>
      <c r="G83" s="199" t="n"/>
      <c r="H83" s="200" t="n"/>
      <c r="I83" s="201" t="n"/>
      <c r="J83" s="201" t="n"/>
      <c r="K83" s="202" t="n"/>
      <c r="L83" s="541" t="n"/>
      <c r="M83" s="542" t="n"/>
      <c r="N83" s="543" t="n"/>
      <c r="O83" s="541" t="n"/>
      <c r="P83" s="542" t="n"/>
      <c r="Q83" s="543" t="n"/>
      <c r="R83" s="541" t="n"/>
      <c r="S83" s="544" t="n"/>
      <c r="T83" s="543" t="n"/>
      <c r="U83" s="541" t="n"/>
      <c r="V83" s="545" t="n"/>
      <c r="W83" s="544" t="n"/>
      <c r="X83" s="543" t="n"/>
      <c r="Y83" s="546" t="n"/>
      <c r="Z83" s="209" t="n"/>
    </row>
    <row r="84" ht="28.5" customFormat="1" customHeight="1" s="210">
      <c r="A84" s="196">
        <f>IF(B84,0,MATCH(H84,ВидыНагр,0))</f>
        <v/>
      </c>
      <c r="B84" s="154">
        <f>(COUNTIF(КлючВесна,D84)&lt;&gt;1)</f>
        <v/>
      </c>
      <c r="C84" s="196">
        <f>IF(COUNTA(E84:K84,Z84)&gt;0,1,0)+IF(COUNTA(L84:Y84)&gt;0,2,0)</f>
        <v/>
      </c>
      <c r="D84" s="179">
        <f>CONCATENATE("$",TRIM(F84),"$",TRIM(G84),"$",H84,"$")</f>
        <v/>
      </c>
      <c r="E84" s="197" t="n"/>
      <c r="F84" s="198" t="n"/>
      <c r="G84" s="199" t="n"/>
      <c r="H84" s="200" t="n"/>
      <c r="I84" s="201" t="n"/>
      <c r="J84" s="201" t="n"/>
      <c r="K84" s="202" t="n"/>
      <c r="L84" s="541" t="n"/>
      <c r="M84" s="542" t="n"/>
      <c r="N84" s="543" t="n"/>
      <c r="O84" s="541" t="n"/>
      <c r="P84" s="542" t="n"/>
      <c r="Q84" s="543" t="n"/>
      <c r="R84" s="541" t="n"/>
      <c r="S84" s="544" t="n"/>
      <c r="T84" s="543" t="n"/>
      <c r="U84" s="541" t="n"/>
      <c r="V84" s="545" t="n"/>
      <c r="W84" s="544" t="n"/>
      <c r="X84" s="543" t="n"/>
      <c r="Y84" s="546" t="n"/>
      <c r="Z84" s="209" t="n"/>
    </row>
    <row r="85" ht="28.5" customFormat="1" customHeight="1" s="210">
      <c r="A85" s="196">
        <f>IF(B85,0,MATCH(H85,ВидыНагр,0))</f>
        <v/>
      </c>
      <c r="B85" s="154">
        <f>(COUNTIF(КлючВесна,D85)&lt;&gt;1)</f>
        <v/>
      </c>
      <c r="C85" s="196">
        <f>IF(COUNTA(E85:K85,Z85)&gt;0,1,0)+IF(COUNTA(L85:Y85)&gt;0,2,0)</f>
        <v/>
      </c>
      <c r="D85" s="179">
        <f>CONCATENATE("$",TRIM(F85),"$",TRIM(G85),"$",H85,"$")</f>
        <v/>
      </c>
      <c r="E85" s="197" t="n"/>
      <c r="F85" s="198" t="n"/>
      <c r="G85" s="199" t="n"/>
      <c r="H85" s="200" t="n"/>
      <c r="I85" s="201" t="n"/>
      <c r="J85" s="201" t="n"/>
      <c r="K85" s="202" t="n"/>
      <c r="L85" s="541" t="n"/>
      <c r="M85" s="542" t="n"/>
      <c r="N85" s="543" t="n"/>
      <c r="O85" s="541" t="n"/>
      <c r="P85" s="542" t="n"/>
      <c r="Q85" s="543" t="n"/>
      <c r="R85" s="541" t="n"/>
      <c r="S85" s="544" t="n"/>
      <c r="T85" s="543" t="n"/>
      <c r="U85" s="541" t="n"/>
      <c r="V85" s="545" t="n"/>
      <c r="W85" s="544" t="n"/>
      <c r="X85" s="543" t="n"/>
      <c r="Y85" s="546" t="n"/>
      <c r="Z85" s="209" t="n"/>
    </row>
    <row r="86" ht="28.5" customFormat="1" customHeight="1" s="210">
      <c r="A86" s="196">
        <f>IF(B86,0,MATCH(H86,ВидыНагр,0))</f>
        <v/>
      </c>
      <c r="B86" s="154">
        <f>(COUNTIF(КлючВесна,D86)&lt;&gt;1)</f>
        <v/>
      </c>
      <c r="C86" s="196">
        <f>IF(COUNTA(E86:K86,Z86)&gt;0,1,0)+IF(COUNTA(L86:Y86)&gt;0,2,0)</f>
        <v/>
      </c>
      <c r="D86" s="179">
        <f>CONCATENATE("$",TRIM(F86),"$",TRIM(G86),"$",H86,"$")</f>
        <v/>
      </c>
      <c r="E86" s="197" t="n"/>
      <c r="F86" s="198" t="n"/>
      <c r="G86" s="199" t="n"/>
      <c r="H86" s="200" t="n"/>
      <c r="I86" s="201" t="n"/>
      <c r="J86" s="201" t="n"/>
      <c r="K86" s="202" t="n"/>
      <c r="L86" s="541" t="n"/>
      <c r="M86" s="542" t="n"/>
      <c r="N86" s="543" t="n"/>
      <c r="O86" s="541" t="n"/>
      <c r="P86" s="542" t="n"/>
      <c r="Q86" s="543" t="n"/>
      <c r="R86" s="541" t="n"/>
      <c r="S86" s="544" t="n"/>
      <c r="T86" s="543" t="n"/>
      <c r="U86" s="541" t="n"/>
      <c r="V86" s="545" t="n"/>
      <c r="W86" s="544" t="n"/>
      <c r="X86" s="543" t="n"/>
      <c r="Y86" s="546" t="n"/>
      <c r="Z86" s="209" t="n"/>
    </row>
    <row r="87" ht="28.5" customFormat="1" customHeight="1" s="210">
      <c r="A87" s="196">
        <f>IF(B87,0,MATCH(H87,ВидыНагр,0))</f>
        <v/>
      </c>
      <c r="B87" s="154">
        <f>(COUNTIF(КлючВесна,D87)&lt;&gt;1)</f>
        <v/>
      </c>
      <c r="C87" s="196">
        <f>IF(COUNTA(E87:K87,Z87)&gt;0,1,0)+IF(COUNTA(L87:Y87)&gt;0,2,0)</f>
        <v/>
      </c>
      <c r="D87" s="179">
        <f>CONCATENATE("$",TRIM(F87),"$",TRIM(G87),"$",H87,"$")</f>
        <v/>
      </c>
      <c r="E87" s="197" t="n"/>
      <c r="F87" s="198" t="n"/>
      <c r="G87" s="199" t="n"/>
      <c r="H87" s="200" t="n"/>
      <c r="I87" s="201" t="n"/>
      <c r="J87" s="201" t="n"/>
      <c r="K87" s="202" t="n"/>
      <c r="L87" s="541" t="n"/>
      <c r="M87" s="542" t="n"/>
      <c r="N87" s="543" t="n"/>
      <c r="O87" s="541" t="n"/>
      <c r="P87" s="542" t="n"/>
      <c r="Q87" s="543" t="n"/>
      <c r="R87" s="541" t="n"/>
      <c r="S87" s="544" t="n"/>
      <c r="T87" s="543" t="n"/>
      <c r="U87" s="541" t="n"/>
      <c r="V87" s="545" t="n"/>
      <c r="W87" s="544" t="n"/>
      <c r="X87" s="543" t="n"/>
      <c r="Y87" s="546" t="n"/>
      <c r="Z87" s="209" t="n"/>
    </row>
    <row r="88" ht="28.5" customFormat="1" customHeight="1" s="210">
      <c r="A88" s="196">
        <f>IF(B88,0,MATCH(H88,ВидыНагр,0))</f>
        <v/>
      </c>
      <c r="B88" s="154">
        <f>(COUNTIF(КлючВесна,D88)&lt;&gt;1)</f>
        <v/>
      </c>
      <c r="C88" s="196">
        <f>IF(COUNTA(E88:K88,Z88)&gt;0,1,0)+IF(COUNTA(L88:Y88)&gt;0,2,0)</f>
        <v/>
      </c>
      <c r="D88" s="179">
        <f>CONCATENATE("$",TRIM(F88),"$",TRIM(G88),"$",H88,"$")</f>
        <v/>
      </c>
      <c r="E88" s="197" t="n"/>
      <c r="F88" s="198" t="n"/>
      <c r="G88" s="199" t="n"/>
      <c r="H88" s="200" t="n"/>
      <c r="I88" s="201" t="n"/>
      <c r="J88" s="201" t="n"/>
      <c r="K88" s="202" t="n"/>
      <c r="L88" s="541" t="n"/>
      <c r="M88" s="542" t="n"/>
      <c r="N88" s="543" t="n"/>
      <c r="O88" s="541" t="n"/>
      <c r="P88" s="542" t="n"/>
      <c r="Q88" s="543" t="n"/>
      <c r="R88" s="541" t="n"/>
      <c r="S88" s="544" t="n"/>
      <c r="T88" s="543" t="n"/>
      <c r="U88" s="541" t="n"/>
      <c r="V88" s="545" t="n"/>
      <c r="W88" s="544" t="n"/>
      <c r="X88" s="543" t="n"/>
      <c r="Y88" s="546" t="n"/>
      <c r="Z88" s="209" t="n"/>
    </row>
    <row r="89" ht="28.5" customFormat="1" customHeight="1" s="210">
      <c r="A89" s="196">
        <f>IF(B89,0,MATCH(H89,ВидыНагр,0))</f>
        <v/>
      </c>
      <c r="B89" s="154">
        <f>(COUNTIF(КлючВесна,D89)&lt;&gt;1)</f>
        <v/>
      </c>
      <c r="C89" s="196">
        <f>IF(COUNTA(E89:K89,Z89)&gt;0,1,0)+IF(COUNTA(L89:Y89)&gt;0,2,0)</f>
        <v/>
      </c>
      <c r="D89" s="179">
        <f>CONCATENATE("$",TRIM(F89),"$",TRIM(G89),"$",H89,"$")</f>
        <v/>
      </c>
      <c r="E89" s="197" t="n"/>
      <c r="F89" s="198" t="n"/>
      <c r="G89" s="199" t="n"/>
      <c r="H89" s="200" t="n"/>
      <c r="I89" s="201" t="n"/>
      <c r="J89" s="201" t="n"/>
      <c r="K89" s="202" t="n"/>
      <c r="L89" s="541" t="n"/>
      <c r="M89" s="542" t="n"/>
      <c r="N89" s="543" t="n"/>
      <c r="O89" s="541" t="n"/>
      <c r="P89" s="542" t="n"/>
      <c r="Q89" s="543" t="n"/>
      <c r="R89" s="541" t="n"/>
      <c r="S89" s="544" t="n"/>
      <c r="T89" s="543" t="n"/>
      <c r="U89" s="541" t="n"/>
      <c r="V89" s="545" t="n"/>
      <c r="W89" s="544" t="n"/>
      <c r="X89" s="543" t="n"/>
      <c r="Y89" s="546" t="n"/>
      <c r="Z89" s="209" t="n"/>
    </row>
    <row r="90" ht="28.5" customFormat="1" customHeight="1" s="210">
      <c r="A90" s="196">
        <f>IF(B90,0,MATCH(H90,ВидыНагр,0))</f>
        <v/>
      </c>
      <c r="B90" s="154">
        <f>(COUNTIF(КлючВесна,D90)&lt;&gt;1)</f>
        <v/>
      </c>
      <c r="C90" s="196">
        <f>IF(COUNTA(E90:K90,Z90)&gt;0,1,0)+IF(COUNTA(L90:Y90)&gt;0,2,0)</f>
        <v/>
      </c>
      <c r="D90" s="179">
        <f>CONCATENATE("$",TRIM(F90),"$",TRIM(G90),"$",H90,"$")</f>
        <v/>
      </c>
      <c r="E90" s="197" t="n"/>
      <c r="F90" s="198" t="n"/>
      <c r="G90" s="199" t="n"/>
      <c r="H90" s="200" t="n"/>
      <c r="I90" s="201" t="n"/>
      <c r="J90" s="201" t="n"/>
      <c r="K90" s="202" t="n"/>
      <c r="L90" s="541" t="n"/>
      <c r="M90" s="542" t="n"/>
      <c r="N90" s="543" t="n"/>
      <c r="O90" s="541" t="n"/>
      <c r="P90" s="542" t="n"/>
      <c r="Q90" s="543" t="n"/>
      <c r="R90" s="541" t="n"/>
      <c r="S90" s="544" t="n"/>
      <c r="T90" s="543" t="n"/>
      <c r="U90" s="541" t="n"/>
      <c r="V90" s="545" t="n"/>
      <c r="W90" s="544" t="n"/>
      <c r="X90" s="543" t="n"/>
      <c r="Y90" s="546" t="n"/>
      <c r="Z90" s="209" t="n"/>
    </row>
    <row r="91" ht="28.5" customFormat="1" customHeight="1" s="210">
      <c r="A91" s="196">
        <f>IF(B91,0,MATCH(H91,ВидыНагр,0))</f>
        <v/>
      </c>
      <c r="B91" s="154">
        <f>(COUNTIF(КлючВесна,D91)&lt;&gt;1)</f>
        <v/>
      </c>
      <c r="C91" s="196">
        <f>IF(COUNTA(E91:K91,Z91)&gt;0,1,0)+IF(COUNTA(L91:Y91)&gt;0,2,0)</f>
        <v/>
      </c>
      <c r="D91" s="179">
        <f>CONCATENATE("$",TRIM(F91),"$",TRIM(G91),"$",H91,"$")</f>
        <v/>
      </c>
      <c r="E91" s="197" t="n"/>
      <c r="F91" s="198" t="n"/>
      <c r="G91" s="199" t="n"/>
      <c r="H91" s="200" t="n"/>
      <c r="I91" s="201" t="n"/>
      <c r="J91" s="201" t="n"/>
      <c r="K91" s="202" t="n"/>
      <c r="L91" s="541" t="n"/>
      <c r="M91" s="542" t="n"/>
      <c r="N91" s="543" t="n"/>
      <c r="O91" s="541" t="n"/>
      <c r="P91" s="542" t="n"/>
      <c r="Q91" s="543" t="n"/>
      <c r="R91" s="541" t="n"/>
      <c r="S91" s="544" t="n"/>
      <c r="T91" s="543" t="n"/>
      <c r="U91" s="541" t="n"/>
      <c r="V91" s="545" t="n"/>
      <c r="W91" s="544" t="n"/>
      <c r="X91" s="543" t="n"/>
      <c r="Y91" s="546" t="n"/>
      <c r="Z91" s="209" t="n"/>
    </row>
    <row r="92" ht="28.5" customFormat="1" customHeight="1" s="210">
      <c r="A92" s="196">
        <f>IF(B92,0,MATCH(H92,ВидыНагр,0))</f>
        <v/>
      </c>
      <c r="B92" s="154">
        <f>(COUNTIF(КлючВесна,D92)&lt;&gt;1)</f>
        <v/>
      </c>
      <c r="C92" s="196">
        <f>IF(COUNTA(E92:K92,Z92)&gt;0,1,0)+IF(COUNTA(L92:Y92)&gt;0,2,0)</f>
        <v/>
      </c>
      <c r="D92" s="179">
        <f>CONCATENATE("$",TRIM(F92),"$",TRIM(G92),"$",H92,"$")</f>
        <v/>
      </c>
      <c r="E92" s="197" t="n"/>
      <c r="F92" s="198" t="n"/>
      <c r="G92" s="199" t="n"/>
      <c r="H92" s="200" t="n"/>
      <c r="I92" s="201" t="n"/>
      <c r="J92" s="201" t="n"/>
      <c r="K92" s="202" t="n"/>
      <c r="L92" s="541" t="n"/>
      <c r="M92" s="542" t="n"/>
      <c r="N92" s="543" t="n"/>
      <c r="O92" s="541" t="n"/>
      <c r="P92" s="542" t="n"/>
      <c r="Q92" s="543" t="n"/>
      <c r="R92" s="541" t="n"/>
      <c r="S92" s="544" t="n"/>
      <c r="T92" s="543" t="n"/>
      <c r="U92" s="541" t="n"/>
      <c r="V92" s="545" t="n"/>
      <c r="W92" s="544" t="n"/>
      <c r="X92" s="543" t="n"/>
      <c r="Y92" s="546" t="n"/>
      <c r="Z92" s="209" t="n"/>
    </row>
    <row r="93" ht="28.5" customFormat="1" customHeight="1" s="210">
      <c r="A93" s="196">
        <f>IF(B93,0,MATCH(H93,ВидыНагр,0))</f>
        <v/>
      </c>
      <c r="B93" s="154">
        <f>(COUNTIF(КлючВесна,D93)&lt;&gt;1)</f>
        <v/>
      </c>
      <c r="C93" s="196">
        <f>IF(COUNTA(E93:K93,Z93)&gt;0,1,0)+IF(COUNTA(L93:Y93)&gt;0,2,0)</f>
        <v/>
      </c>
      <c r="D93" s="179">
        <f>CONCATENATE("$",TRIM(F93),"$",TRIM(G93),"$",H93,"$")</f>
        <v/>
      </c>
      <c r="E93" s="197" t="n"/>
      <c r="F93" s="198" t="n"/>
      <c r="G93" s="199" t="n"/>
      <c r="H93" s="200" t="n"/>
      <c r="I93" s="201" t="n"/>
      <c r="J93" s="201" t="n"/>
      <c r="K93" s="202" t="n"/>
      <c r="L93" s="541" t="n"/>
      <c r="M93" s="542" t="n"/>
      <c r="N93" s="543" t="n"/>
      <c r="O93" s="541" t="n"/>
      <c r="P93" s="542" t="n"/>
      <c r="Q93" s="543" t="n"/>
      <c r="R93" s="541" t="n"/>
      <c r="S93" s="544" t="n"/>
      <c r="T93" s="543" t="n"/>
      <c r="U93" s="541" t="n"/>
      <c r="V93" s="545" t="n"/>
      <c r="W93" s="544" t="n"/>
      <c r="X93" s="543" t="n"/>
      <c r="Y93" s="546" t="n"/>
      <c r="Z93" s="209" t="n"/>
    </row>
    <row r="94" ht="28.5" customFormat="1" customHeight="1" s="210">
      <c r="A94" s="196">
        <f>IF(B94,0,MATCH(H94,ВидыНагр,0))</f>
        <v/>
      </c>
      <c r="B94" s="154">
        <f>(COUNTIF(КлючВесна,D94)&lt;&gt;1)</f>
        <v/>
      </c>
      <c r="C94" s="196">
        <f>IF(COUNTA(E94:K94,Z94)&gt;0,1,0)+IF(COUNTA(L94:Y94)&gt;0,2,0)</f>
        <v/>
      </c>
      <c r="D94" s="179">
        <f>CONCATENATE("$",TRIM(F94),"$",TRIM(G94),"$",H94,"$")</f>
        <v/>
      </c>
      <c r="E94" s="197" t="n"/>
      <c r="F94" s="198" t="n"/>
      <c r="G94" s="199" t="n"/>
      <c r="H94" s="200" t="n"/>
      <c r="I94" s="201" t="n"/>
      <c r="J94" s="201" t="n"/>
      <c r="K94" s="202" t="n"/>
      <c r="L94" s="541" t="n"/>
      <c r="M94" s="542" t="n"/>
      <c r="N94" s="543" t="n"/>
      <c r="O94" s="541" t="n"/>
      <c r="P94" s="542" t="n"/>
      <c r="Q94" s="543" t="n"/>
      <c r="R94" s="541" t="n"/>
      <c r="S94" s="544" t="n"/>
      <c r="T94" s="543" t="n"/>
      <c r="U94" s="541" t="n"/>
      <c r="V94" s="545" t="n"/>
      <c r="W94" s="544" t="n"/>
      <c r="X94" s="543" t="n"/>
      <c r="Y94" s="546" t="n"/>
      <c r="Z94" s="209" t="n"/>
    </row>
    <row r="95" ht="28.5" customFormat="1" customHeight="1" s="210">
      <c r="A95" s="196">
        <f>IF(B95,0,MATCH(H95,ВидыНагр,0))</f>
        <v/>
      </c>
      <c r="B95" s="154">
        <f>(COUNTIF(КлючВесна,D95)&lt;&gt;1)</f>
        <v/>
      </c>
      <c r="C95" s="196">
        <f>IF(COUNTA(E95:K95,Z95)&gt;0,1,0)+IF(COUNTA(L95:Y95)&gt;0,2,0)</f>
        <v/>
      </c>
      <c r="D95" s="179">
        <f>CONCATENATE("$",TRIM(F95),"$",TRIM(G95),"$",H95,"$")</f>
        <v/>
      </c>
      <c r="E95" s="197" t="n"/>
      <c r="F95" s="198" t="n"/>
      <c r="G95" s="199" t="n"/>
      <c r="H95" s="200" t="n"/>
      <c r="I95" s="201" t="n"/>
      <c r="J95" s="201" t="n"/>
      <c r="K95" s="202" t="n"/>
      <c r="L95" s="541" t="n"/>
      <c r="M95" s="542" t="n"/>
      <c r="N95" s="543" t="n"/>
      <c r="O95" s="541" t="n"/>
      <c r="P95" s="542" t="n"/>
      <c r="Q95" s="543" t="n"/>
      <c r="R95" s="541" t="n"/>
      <c r="S95" s="544" t="n"/>
      <c r="T95" s="543" t="n"/>
      <c r="U95" s="541" t="n"/>
      <c r="V95" s="545" t="n"/>
      <c r="W95" s="544" t="n"/>
      <c r="X95" s="543" t="n"/>
      <c r="Y95" s="546" t="n"/>
      <c r="Z95" s="209" t="n"/>
    </row>
    <row r="96" ht="28.5" customFormat="1" customHeight="1" s="210">
      <c r="A96" s="196">
        <f>IF(B96,0,MATCH(H96,ВидыНагр,0))</f>
        <v/>
      </c>
      <c r="B96" s="154">
        <f>(COUNTIF(КлючВесна,D96)&lt;&gt;1)</f>
        <v/>
      </c>
      <c r="C96" s="196">
        <f>IF(COUNTA(E96:K96,Z96)&gt;0,1,0)+IF(COUNTA(L96:Y96)&gt;0,2,0)</f>
        <v/>
      </c>
      <c r="D96" s="179">
        <f>CONCATENATE("$",TRIM(F96),"$",TRIM(G96),"$",H96,"$")</f>
        <v/>
      </c>
      <c r="E96" s="197" t="n"/>
      <c r="F96" s="198" t="n"/>
      <c r="G96" s="199" t="n"/>
      <c r="H96" s="200" t="n"/>
      <c r="I96" s="201" t="n"/>
      <c r="J96" s="201" t="n"/>
      <c r="K96" s="202" t="n"/>
      <c r="L96" s="541" t="n"/>
      <c r="M96" s="542" t="n"/>
      <c r="N96" s="543" t="n"/>
      <c r="O96" s="541" t="n"/>
      <c r="P96" s="542" t="n"/>
      <c r="Q96" s="543" t="n"/>
      <c r="R96" s="541" t="n"/>
      <c r="S96" s="544" t="n"/>
      <c r="T96" s="543" t="n"/>
      <c r="U96" s="541" t="n"/>
      <c r="V96" s="545" t="n"/>
      <c r="W96" s="544" t="n"/>
      <c r="X96" s="543" t="n"/>
      <c r="Y96" s="546" t="n"/>
      <c r="Z96" s="209" t="n"/>
    </row>
    <row r="97" ht="28.5" customFormat="1" customHeight="1" s="210">
      <c r="A97" s="196">
        <f>IF(B97,0,MATCH(H97,ВидыНагр,0))</f>
        <v/>
      </c>
      <c r="B97" s="154">
        <f>(COUNTIF(КлючВесна,D97)&lt;&gt;1)</f>
        <v/>
      </c>
      <c r="C97" s="196">
        <f>IF(COUNTA(E97:K97,Z97)&gt;0,1,0)+IF(COUNTA(L97:Y97)&gt;0,2,0)</f>
        <v/>
      </c>
      <c r="D97" s="179">
        <f>CONCATENATE("$",TRIM(F97),"$",TRIM(G97),"$",H97,"$")</f>
        <v/>
      </c>
      <c r="E97" s="197" t="n"/>
      <c r="F97" s="198" t="n"/>
      <c r="G97" s="199" t="n"/>
      <c r="H97" s="200" t="n"/>
      <c r="I97" s="201" t="n"/>
      <c r="J97" s="201" t="n"/>
      <c r="K97" s="202" t="n"/>
      <c r="L97" s="541" t="n"/>
      <c r="M97" s="542" t="n"/>
      <c r="N97" s="543" t="n"/>
      <c r="O97" s="541" t="n"/>
      <c r="P97" s="542" t="n"/>
      <c r="Q97" s="543" t="n"/>
      <c r="R97" s="541" t="n"/>
      <c r="S97" s="544" t="n"/>
      <c r="T97" s="543" t="n"/>
      <c r="U97" s="541" t="n"/>
      <c r="V97" s="545" t="n"/>
      <c r="W97" s="544" t="n"/>
      <c r="X97" s="543" t="n"/>
      <c r="Y97" s="546" t="n"/>
      <c r="Z97" s="209" t="n"/>
    </row>
    <row r="98" ht="28.5" customFormat="1" customHeight="1" s="210">
      <c r="A98" s="196">
        <f>IF(B98,0,MATCH(H98,ВидыНагр,0))</f>
        <v/>
      </c>
      <c r="B98" s="154">
        <f>(COUNTIF(КлючВесна,D98)&lt;&gt;1)</f>
        <v/>
      </c>
      <c r="C98" s="196">
        <f>IF(COUNTA(E98:K98,Z98)&gt;0,1,0)+IF(COUNTA(L98:Y98)&gt;0,2,0)</f>
        <v/>
      </c>
      <c r="D98" s="179">
        <f>CONCATENATE("$",TRIM(F98),"$",TRIM(G98),"$",H98,"$")</f>
        <v/>
      </c>
      <c r="E98" s="197" t="n"/>
      <c r="F98" s="198" t="n"/>
      <c r="G98" s="199" t="n"/>
      <c r="H98" s="200" t="n"/>
      <c r="I98" s="201" t="n"/>
      <c r="J98" s="201" t="n"/>
      <c r="K98" s="202" t="n"/>
      <c r="L98" s="541" t="n"/>
      <c r="M98" s="542" t="n"/>
      <c r="N98" s="543" t="n"/>
      <c r="O98" s="541" t="n"/>
      <c r="P98" s="542" t="n"/>
      <c r="Q98" s="543" t="n"/>
      <c r="R98" s="541" t="n"/>
      <c r="S98" s="544" t="n"/>
      <c r="T98" s="543" t="n"/>
      <c r="U98" s="541" t="n"/>
      <c r="V98" s="545" t="n"/>
      <c r="W98" s="544" t="n"/>
      <c r="X98" s="543" t="n"/>
      <c r="Y98" s="546" t="n"/>
      <c r="Z98" s="209" t="n"/>
    </row>
    <row r="99" ht="28.5" customFormat="1" customHeight="1" s="210">
      <c r="A99" s="196">
        <f>IF(B99,0,MATCH(H99,ВидыНагр,0))</f>
        <v/>
      </c>
      <c r="B99" s="154">
        <f>(COUNTIF(КлючВесна,D99)&lt;&gt;1)</f>
        <v/>
      </c>
      <c r="C99" s="196">
        <f>IF(COUNTA(E99:K99,Z99)&gt;0,1,0)+IF(COUNTA(L99:Y99)&gt;0,2,0)</f>
        <v/>
      </c>
      <c r="D99" s="179">
        <f>CONCATENATE("$",TRIM(F99),"$",TRIM(G99),"$",H99,"$")</f>
        <v/>
      </c>
      <c r="E99" s="197" t="n"/>
      <c r="F99" s="198" t="n"/>
      <c r="G99" s="199" t="n"/>
      <c r="H99" s="200" t="n"/>
      <c r="I99" s="201" t="n"/>
      <c r="J99" s="201" t="n"/>
      <c r="K99" s="202" t="n"/>
      <c r="L99" s="541" t="n"/>
      <c r="M99" s="542" t="n"/>
      <c r="N99" s="543" t="n"/>
      <c r="O99" s="541" t="n"/>
      <c r="P99" s="542" t="n"/>
      <c r="Q99" s="543" t="n"/>
      <c r="R99" s="541" t="n"/>
      <c r="S99" s="544" t="n"/>
      <c r="T99" s="543" t="n"/>
      <c r="U99" s="541" t="n"/>
      <c r="V99" s="545" t="n"/>
      <c r="W99" s="544" t="n"/>
      <c r="X99" s="543" t="n"/>
      <c r="Y99" s="546" t="n"/>
      <c r="Z99" s="209" t="n"/>
    </row>
    <row r="100" ht="28.5" customFormat="1" customHeight="1" s="210">
      <c r="A100" s="196">
        <f>IF(B100,0,MATCH(H100,ВидыНагр,0))</f>
        <v/>
      </c>
      <c r="B100" s="154">
        <f>(COUNTIF(КлючВесна,D100)&lt;&gt;1)</f>
        <v/>
      </c>
      <c r="C100" s="196">
        <f>IF(COUNTA(E100:K100,Z100)&gt;0,1,0)+IF(COUNTA(L100:Y100)&gt;0,2,0)</f>
        <v/>
      </c>
      <c r="D100" s="179">
        <f>CONCATENATE("$",TRIM(F100),"$",TRIM(G100),"$",H100,"$")</f>
        <v/>
      </c>
      <c r="E100" s="197" t="n"/>
      <c r="F100" s="198" t="n"/>
      <c r="G100" s="199" t="n"/>
      <c r="H100" s="200" t="n"/>
      <c r="I100" s="201" t="n"/>
      <c r="J100" s="201" t="n"/>
      <c r="K100" s="202" t="n"/>
      <c r="L100" s="541" t="n"/>
      <c r="M100" s="542" t="n"/>
      <c r="N100" s="543" t="n"/>
      <c r="O100" s="541" t="n"/>
      <c r="P100" s="542" t="n"/>
      <c r="Q100" s="543" t="n"/>
      <c r="R100" s="541" t="n"/>
      <c r="S100" s="544" t="n"/>
      <c r="T100" s="543" t="n"/>
      <c r="U100" s="541" t="n"/>
      <c r="V100" s="545" t="n"/>
      <c r="W100" s="544" t="n"/>
      <c r="X100" s="543" t="n"/>
      <c r="Y100" s="546" t="n"/>
      <c r="Z100" s="209" t="n"/>
    </row>
    <row r="101" ht="28.5" customFormat="1" customHeight="1" s="210">
      <c r="A101" s="196">
        <f>IF(B101,0,MATCH(H101,ВидыНагр,0))</f>
        <v/>
      </c>
      <c r="B101" s="154">
        <f>(COUNTIF(КлючВесна,D101)&lt;&gt;1)</f>
        <v/>
      </c>
      <c r="C101" s="196">
        <f>IF(COUNTA(E101:K101,Z101)&gt;0,1,0)+IF(COUNTA(L101:Y101)&gt;0,2,0)</f>
        <v/>
      </c>
      <c r="D101" s="179">
        <f>CONCATENATE("$",TRIM(F101),"$",TRIM(G101),"$",H101,"$")</f>
        <v/>
      </c>
      <c r="E101" s="197" t="n"/>
      <c r="F101" s="198" t="n"/>
      <c r="G101" s="199" t="n"/>
      <c r="H101" s="200" t="n"/>
      <c r="I101" s="201" t="n"/>
      <c r="J101" s="201" t="n"/>
      <c r="K101" s="202" t="n"/>
      <c r="L101" s="541" t="n"/>
      <c r="M101" s="542" t="n"/>
      <c r="N101" s="543" t="n"/>
      <c r="O101" s="541" t="n"/>
      <c r="P101" s="542" t="n"/>
      <c r="Q101" s="543" t="n"/>
      <c r="R101" s="541" t="n"/>
      <c r="S101" s="544" t="n"/>
      <c r="T101" s="543" t="n"/>
      <c r="U101" s="541" t="n"/>
      <c r="V101" s="545" t="n"/>
      <c r="W101" s="544" t="n"/>
      <c r="X101" s="543" t="n"/>
      <c r="Y101" s="546" t="n"/>
      <c r="Z101" s="209" t="n"/>
    </row>
    <row r="102" ht="28.5" customFormat="1" customHeight="1" s="210">
      <c r="A102" s="196">
        <f>IF(B102,0,MATCH(H102,ВидыНагр,0))</f>
        <v/>
      </c>
      <c r="B102" s="154">
        <f>(COUNTIF(КлючВесна,D102)&lt;&gt;1)</f>
        <v/>
      </c>
      <c r="C102" s="196">
        <f>IF(COUNTA(E102:K102,Z102)&gt;0,1,0)+IF(COUNTA(L102:Y102)&gt;0,2,0)</f>
        <v/>
      </c>
      <c r="D102" s="179">
        <f>CONCATENATE("$",TRIM(F102),"$",TRIM(G102),"$",H102,"$")</f>
        <v/>
      </c>
      <c r="E102" s="197" t="n"/>
      <c r="F102" s="198" t="n"/>
      <c r="G102" s="199" t="n"/>
      <c r="H102" s="200" t="n"/>
      <c r="I102" s="201" t="n"/>
      <c r="J102" s="201" t="n"/>
      <c r="K102" s="202" t="n"/>
      <c r="L102" s="541" t="n"/>
      <c r="M102" s="542" t="n"/>
      <c r="N102" s="543" t="n"/>
      <c r="O102" s="541" t="n"/>
      <c r="P102" s="542" t="n"/>
      <c r="Q102" s="543" t="n"/>
      <c r="R102" s="541" t="n"/>
      <c r="S102" s="544" t="n"/>
      <c r="T102" s="543" t="n"/>
      <c r="U102" s="541" t="n"/>
      <c r="V102" s="545" t="n"/>
      <c r="W102" s="544" t="n"/>
      <c r="X102" s="543" t="n"/>
      <c r="Y102" s="546" t="n"/>
      <c r="Z102" s="209" t="n"/>
    </row>
    <row r="103" ht="28.5" customFormat="1" customHeight="1" s="210">
      <c r="A103" s="196">
        <f>IF(B103,0,MATCH(H103,ВидыНагр,0))</f>
        <v/>
      </c>
      <c r="B103" s="154">
        <f>(COUNTIF(КлючВесна,D103)&lt;&gt;1)</f>
        <v/>
      </c>
      <c r="C103" s="196">
        <f>IF(COUNTA(E103:K103,Z103)&gt;0,1,0)+IF(COUNTA(L103:Y103)&gt;0,2,0)</f>
        <v/>
      </c>
      <c r="D103" s="179">
        <f>CONCATENATE("$",TRIM(F103),"$",TRIM(G103),"$",H103,"$")</f>
        <v/>
      </c>
      <c r="E103" s="197" t="n"/>
      <c r="F103" s="198" t="n"/>
      <c r="G103" s="199" t="n"/>
      <c r="H103" s="200" t="n"/>
      <c r="I103" s="201" t="n"/>
      <c r="J103" s="201" t="n"/>
      <c r="K103" s="202" t="n"/>
      <c r="L103" s="541" t="n"/>
      <c r="M103" s="542" t="n"/>
      <c r="N103" s="543" t="n"/>
      <c r="O103" s="541" t="n"/>
      <c r="P103" s="542" t="n"/>
      <c r="Q103" s="543" t="n"/>
      <c r="R103" s="541" t="n"/>
      <c r="S103" s="544" t="n"/>
      <c r="T103" s="543" t="n"/>
      <c r="U103" s="541" t="n"/>
      <c r="V103" s="545" t="n"/>
      <c r="W103" s="544" t="n"/>
      <c r="X103" s="543" t="n"/>
      <c r="Y103" s="546" t="n"/>
      <c r="Z103" s="209" t="n"/>
    </row>
    <row r="104" ht="28.5" customFormat="1" customHeight="1" s="210">
      <c r="A104" s="196">
        <f>IF(B104,0,MATCH(H104,ВидыНагр,0))</f>
        <v/>
      </c>
      <c r="B104" s="154">
        <f>(COUNTIF(КлючВесна,D104)&lt;&gt;1)</f>
        <v/>
      </c>
      <c r="C104" s="196">
        <f>IF(COUNTA(E104:K104,Z104)&gt;0,1,0)+IF(COUNTA(L104:Y104)&gt;0,2,0)</f>
        <v/>
      </c>
      <c r="D104" s="179">
        <f>CONCATENATE("$",TRIM(F104),"$",TRIM(G104),"$",H104,"$")</f>
        <v/>
      </c>
      <c r="E104" s="197" t="n"/>
      <c r="F104" s="198" t="n"/>
      <c r="G104" s="199" t="n"/>
      <c r="H104" s="200" t="n"/>
      <c r="I104" s="201" t="n"/>
      <c r="J104" s="201" t="n"/>
      <c r="K104" s="202" t="n"/>
      <c r="L104" s="541" t="n"/>
      <c r="M104" s="542" t="n"/>
      <c r="N104" s="543" t="n"/>
      <c r="O104" s="541" t="n"/>
      <c r="P104" s="542" t="n"/>
      <c r="Q104" s="543" t="n"/>
      <c r="R104" s="541" t="n"/>
      <c r="S104" s="544" t="n"/>
      <c r="T104" s="543" t="n"/>
      <c r="U104" s="541" t="n"/>
      <c r="V104" s="545" t="n"/>
      <c r="W104" s="544" t="n"/>
      <c r="X104" s="543" t="n"/>
      <c r="Y104" s="546" t="n"/>
      <c r="Z104" s="209" t="n"/>
    </row>
    <row r="105" ht="28.5" customFormat="1" customHeight="1" s="210">
      <c r="A105" s="196">
        <f>IF(B105,0,MATCH(H105,ВидыНагр,0))</f>
        <v/>
      </c>
      <c r="B105" s="154">
        <f>(COUNTIF(КлючВесна,D105)&lt;&gt;1)</f>
        <v/>
      </c>
      <c r="C105" s="196">
        <f>IF(COUNTA(E105:K105,Z105)&gt;0,1,0)+IF(COUNTA(L105:Y105)&gt;0,2,0)</f>
        <v/>
      </c>
      <c r="D105" s="179">
        <f>CONCATENATE("$",TRIM(F105),"$",TRIM(G105),"$",H105,"$")</f>
        <v/>
      </c>
      <c r="E105" s="197" t="n"/>
      <c r="F105" s="198" t="n"/>
      <c r="G105" s="199" t="n"/>
      <c r="H105" s="200" t="n"/>
      <c r="I105" s="201" t="n"/>
      <c r="J105" s="201" t="n"/>
      <c r="K105" s="202" t="n"/>
      <c r="L105" s="541" t="n"/>
      <c r="M105" s="542" t="n"/>
      <c r="N105" s="543" t="n"/>
      <c r="O105" s="541" t="n"/>
      <c r="P105" s="542" t="n"/>
      <c r="Q105" s="543" t="n"/>
      <c r="R105" s="541" t="n"/>
      <c r="S105" s="544" t="n"/>
      <c r="T105" s="543" t="n"/>
      <c r="U105" s="541" t="n"/>
      <c r="V105" s="545" t="n"/>
      <c r="W105" s="544" t="n"/>
      <c r="X105" s="543" t="n"/>
      <c r="Y105" s="546" t="n"/>
      <c r="Z105" s="209" t="n"/>
    </row>
    <row r="106" ht="28.5" customFormat="1" customHeight="1" s="210">
      <c r="A106" s="196">
        <f>IF(B106,0,MATCH(H106,ВидыНагр,0))</f>
        <v/>
      </c>
      <c r="B106" s="154">
        <f>(COUNTIF(КлючВесна,D106)&lt;&gt;1)</f>
        <v/>
      </c>
      <c r="C106" s="196">
        <f>IF(COUNTA(E106:K106,Z106)&gt;0,1,0)+IF(COUNTA(L106:Y106)&gt;0,2,0)</f>
        <v/>
      </c>
      <c r="D106" s="179">
        <f>CONCATENATE("$",TRIM(F106),"$",TRIM(G106),"$",H106,"$")</f>
        <v/>
      </c>
      <c r="E106" s="197" t="n"/>
      <c r="F106" s="198" t="n"/>
      <c r="G106" s="199" t="n"/>
      <c r="H106" s="200" t="n"/>
      <c r="I106" s="201" t="n"/>
      <c r="J106" s="201" t="n"/>
      <c r="K106" s="202" t="n"/>
      <c r="L106" s="541" t="n"/>
      <c r="M106" s="542" t="n"/>
      <c r="N106" s="543" t="n"/>
      <c r="O106" s="541" t="n"/>
      <c r="P106" s="542" t="n"/>
      <c r="Q106" s="543" t="n"/>
      <c r="R106" s="541" t="n"/>
      <c r="S106" s="544" t="n"/>
      <c r="T106" s="543" t="n"/>
      <c r="U106" s="541" t="n"/>
      <c r="V106" s="545" t="n"/>
      <c r="W106" s="544" t="n"/>
      <c r="X106" s="543" t="n"/>
      <c r="Y106" s="546" t="n"/>
      <c r="Z106" s="209" t="n"/>
    </row>
    <row r="107" ht="28.5" customFormat="1" customHeight="1" s="210">
      <c r="A107" s="196">
        <f>IF(B107,0,MATCH(H107,ВидыНагр,0))</f>
        <v/>
      </c>
      <c r="B107" s="154">
        <f>(COUNTIF(КлючВесна,D107)&lt;&gt;1)</f>
        <v/>
      </c>
      <c r="C107" s="196">
        <f>IF(COUNTA(E107:K107,Z107)&gt;0,1,0)+IF(COUNTA(L107:Y107)&gt;0,2,0)</f>
        <v/>
      </c>
      <c r="D107" s="179">
        <f>CONCATENATE("$",TRIM(F107),"$",TRIM(G107),"$",H107,"$")</f>
        <v/>
      </c>
      <c r="E107" s="197" t="n"/>
      <c r="F107" s="198" t="n"/>
      <c r="G107" s="199" t="n"/>
      <c r="H107" s="200" t="n"/>
      <c r="I107" s="201" t="n"/>
      <c r="J107" s="201" t="n"/>
      <c r="K107" s="202" t="n"/>
      <c r="L107" s="541" t="n"/>
      <c r="M107" s="542" t="n"/>
      <c r="N107" s="543" t="n"/>
      <c r="O107" s="541" t="n"/>
      <c r="P107" s="542" t="n"/>
      <c r="Q107" s="543" t="n"/>
      <c r="R107" s="541" t="n"/>
      <c r="S107" s="544" t="n"/>
      <c r="T107" s="543" t="n"/>
      <c r="U107" s="541" t="n"/>
      <c r="V107" s="545" t="n"/>
      <c r="W107" s="544" t="n"/>
      <c r="X107" s="543" t="n"/>
      <c r="Y107" s="546" t="n"/>
      <c r="Z107" s="209" t="n"/>
    </row>
    <row r="108" ht="28.5" customFormat="1" customHeight="1" s="210">
      <c r="A108" s="196">
        <f>IF(B108,0,MATCH(H108,ВидыНагр,0))</f>
        <v/>
      </c>
      <c r="B108" s="154">
        <f>(COUNTIF(КлючВесна,D108)&lt;&gt;1)</f>
        <v/>
      </c>
      <c r="C108" s="196">
        <f>IF(COUNTA(E108:K108,Z108)&gt;0,1,0)+IF(COUNTA(L108:Y108)&gt;0,2,0)</f>
        <v/>
      </c>
      <c r="D108" s="179">
        <f>CONCATENATE("$",TRIM(F108),"$",TRIM(G108),"$",H108,"$")</f>
        <v/>
      </c>
      <c r="E108" s="197" t="n"/>
      <c r="F108" s="198" t="n"/>
      <c r="G108" s="199" t="n"/>
      <c r="H108" s="200" t="n"/>
      <c r="I108" s="201" t="n"/>
      <c r="J108" s="201" t="n"/>
      <c r="K108" s="202" t="n"/>
      <c r="L108" s="541" t="n"/>
      <c r="M108" s="542" t="n"/>
      <c r="N108" s="543" t="n"/>
      <c r="O108" s="541" t="n"/>
      <c r="P108" s="542" t="n"/>
      <c r="Q108" s="543" t="n"/>
      <c r="R108" s="541" t="n"/>
      <c r="S108" s="544" t="n"/>
      <c r="T108" s="543" t="n"/>
      <c r="U108" s="541" t="n"/>
      <c r="V108" s="545" t="n"/>
      <c r="W108" s="544" t="n"/>
      <c r="X108" s="543" t="n"/>
      <c r="Y108" s="546" t="n"/>
      <c r="Z108" s="209" t="n"/>
    </row>
    <row r="109" ht="28.5" customFormat="1" customHeight="1" s="210">
      <c r="A109" s="196">
        <f>IF(B109,0,MATCH(H109,ВидыНагр,0))</f>
        <v/>
      </c>
      <c r="B109" s="154">
        <f>(COUNTIF(КлючВесна,D109)&lt;&gt;1)</f>
        <v/>
      </c>
      <c r="C109" s="196">
        <f>IF(COUNTA(E109:K109,Z109)&gt;0,1,0)+IF(COUNTA(L109:Y109)&gt;0,2,0)</f>
        <v/>
      </c>
      <c r="D109" s="179">
        <f>CONCATENATE("$",TRIM(F109),"$",TRIM(G109),"$",H109,"$")</f>
        <v/>
      </c>
      <c r="E109" s="197" t="n"/>
      <c r="F109" s="198" t="n"/>
      <c r="G109" s="199" t="n"/>
      <c r="H109" s="200" t="n"/>
      <c r="I109" s="201" t="n"/>
      <c r="J109" s="201" t="n"/>
      <c r="K109" s="202" t="n"/>
      <c r="L109" s="541" t="n"/>
      <c r="M109" s="542" t="n"/>
      <c r="N109" s="543" t="n"/>
      <c r="O109" s="541" t="n"/>
      <c r="P109" s="542" t="n"/>
      <c r="Q109" s="543" t="n"/>
      <c r="R109" s="541" t="n"/>
      <c r="S109" s="544" t="n"/>
      <c r="T109" s="543" t="n"/>
      <c r="U109" s="541" t="n"/>
      <c r="V109" s="545" t="n"/>
      <c r="W109" s="544" t="n"/>
      <c r="X109" s="543" t="n"/>
      <c r="Y109" s="546" t="n"/>
      <c r="Z109" s="209" t="n"/>
    </row>
    <row r="110" ht="28.5" customFormat="1" customHeight="1" s="210">
      <c r="A110" s="196">
        <f>IF(B110,0,MATCH(H110,ВидыНагр,0))</f>
        <v/>
      </c>
      <c r="B110" s="154">
        <f>(COUNTIF(КлючВесна,D110)&lt;&gt;1)</f>
        <v/>
      </c>
      <c r="C110" s="196">
        <f>IF(COUNTA(E110:K110,Z110)&gt;0,1,0)+IF(COUNTA(L110:Y110)&gt;0,2,0)</f>
        <v/>
      </c>
      <c r="D110" s="179">
        <f>CONCATENATE("$",TRIM(F110),"$",TRIM(G110),"$",H110,"$")</f>
        <v/>
      </c>
      <c r="E110" s="197" t="n"/>
      <c r="F110" s="198" t="n"/>
      <c r="G110" s="199" t="n"/>
      <c r="H110" s="200" t="n"/>
      <c r="I110" s="201" t="n"/>
      <c r="J110" s="201" t="n"/>
      <c r="K110" s="202" t="n"/>
      <c r="L110" s="541" t="n"/>
      <c r="M110" s="542" t="n"/>
      <c r="N110" s="543" t="n"/>
      <c r="O110" s="541" t="n"/>
      <c r="P110" s="542" t="n"/>
      <c r="Q110" s="543" t="n"/>
      <c r="R110" s="541" t="n"/>
      <c r="S110" s="544" t="n"/>
      <c r="T110" s="543" t="n"/>
      <c r="U110" s="541" t="n"/>
      <c r="V110" s="545" t="n"/>
      <c r="W110" s="544" t="n"/>
      <c r="X110" s="543" t="n"/>
      <c r="Y110" s="546" t="n"/>
      <c r="Z110" s="209" t="n"/>
    </row>
    <row r="111" ht="28.5" customFormat="1" customHeight="1" s="210">
      <c r="A111" s="196">
        <f>IF(B111,0,MATCH(H111,ВидыНагр,0))</f>
        <v/>
      </c>
      <c r="B111" s="154">
        <f>(COUNTIF(КлючВесна,D111)&lt;&gt;1)</f>
        <v/>
      </c>
      <c r="C111" s="196">
        <f>IF(COUNTA(E111:K111,Z111)&gt;0,1,0)+IF(COUNTA(L111:Y111)&gt;0,2,0)</f>
        <v/>
      </c>
      <c r="D111" s="179">
        <f>CONCATENATE("$",TRIM(F111),"$",TRIM(G111),"$",H111,"$")</f>
        <v/>
      </c>
      <c r="E111" s="197" t="n"/>
      <c r="F111" s="198" t="n"/>
      <c r="G111" s="199" t="n"/>
      <c r="H111" s="200" t="n"/>
      <c r="I111" s="201" t="n"/>
      <c r="J111" s="201" t="n"/>
      <c r="K111" s="202" t="n"/>
      <c r="L111" s="541" t="n"/>
      <c r="M111" s="542" t="n"/>
      <c r="N111" s="543" t="n"/>
      <c r="O111" s="541" t="n"/>
      <c r="P111" s="542" t="n"/>
      <c r="Q111" s="543" t="n"/>
      <c r="R111" s="541" t="n"/>
      <c r="S111" s="544" t="n"/>
      <c r="T111" s="543" t="n"/>
      <c r="U111" s="541" t="n"/>
      <c r="V111" s="545" t="n"/>
      <c r="W111" s="544" t="n"/>
      <c r="X111" s="543" t="n"/>
      <c r="Y111" s="546" t="n"/>
      <c r="Z111" s="209" t="n"/>
    </row>
    <row r="112" ht="28.5" customFormat="1" customHeight="1" s="210">
      <c r="A112" s="196">
        <f>IF(B112,0,MATCH(H112,ВидыНагр,0))</f>
        <v/>
      </c>
      <c r="B112" s="154">
        <f>(COUNTIF(КлючВесна,D112)&lt;&gt;1)</f>
        <v/>
      </c>
      <c r="C112" s="196">
        <f>IF(COUNTA(E112:K112,Z112)&gt;0,1,0)+IF(COUNTA(L112:Y112)&gt;0,2,0)</f>
        <v/>
      </c>
      <c r="D112" s="179">
        <f>CONCATENATE("$",TRIM(F112),"$",TRIM(G112),"$",H112,"$")</f>
        <v/>
      </c>
      <c r="E112" s="197" t="n"/>
      <c r="F112" s="198" t="n"/>
      <c r="G112" s="199" t="n"/>
      <c r="H112" s="200" t="n"/>
      <c r="I112" s="201" t="n"/>
      <c r="J112" s="201" t="n"/>
      <c r="K112" s="202" t="n"/>
      <c r="L112" s="541" t="n"/>
      <c r="M112" s="542" t="n"/>
      <c r="N112" s="543" t="n"/>
      <c r="O112" s="541" t="n"/>
      <c r="P112" s="542" t="n"/>
      <c r="Q112" s="543" t="n"/>
      <c r="R112" s="541" t="n"/>
      <c r="S112" s="544" t="n"/>
      <c r="T112" s="543" t="n"/>
      <c r="U112" s="541" t="n"/>
      <c r="V112" s="545" t="n"/>
      <c r="W112" s="544" t="n"/>
      <c r="X112" s="543" t="n"/>
      <c r="Y112" s="546" t="n"/>
      <c r="Z112" s="209" t="n"/>
    </row>
    <row r="113" ht="28.5" customFormat="1" customHeight="1" s="210">
      <c r="A113" s="196">
        <f>IF(B113,0,MATCH(H113,ВидыНагр,0))</f>
        <v/>
      </c>
      <c r="B113" s="154">
        <f>(COUNTIF(КлючВесна,D113)&lt;&gt;1)</f>
        <v/>
      </c>
      <c r="C113" s="196">
        <f>IF(COUNTA(E113:K113,Z113)&gt;0,1,0)+IF(COUNTA(L113:Y113)&gt;0,2,0)</f>
        <v/>
      </c>
      <c r="D113" s="179">
        <f>CONCATENATE("$",TRIM(F113),"$",TRIM(G113),"$",H113,"$")</f>
        <v/>
      </c>
      <c r="E113" s="197" t="n"/>
      <c r="F113" s="198" t="n"/>
      <c r="G113" s="199" t="n"/>
      <c r="H113" s="200" t="n"/>
      <c r="I113" s="201" t="n"/>
      <c r="J113" s="201" t="n"/>
      <c r="K113" s="202" t="n"/>
      <c r="L113" s="541" t="n"/>
      <c r="M113" s="542" t="n"/>
      <c r="N113" s="543" t="n"/>
      <c r="O113" s="541" t="n"/>
      <c r="P113" s="542" t="n"/>
      <c r="Q113" s="543" t="n"/>
      <c r="R113" s="541" t="n"/>
      <c r="S113" s="544" t="n"/>
      <c r="T113" s="543" t="n"/>
      <c r="U113" s="541" t="n"/>
      <c r="V113" s="545" t="n"/>
      <c r="W113" s="544" t="n"/>
      <c r="X113" s="543" t="n"/>
      <c r="Y113" s="546" t="n"/>
      <c r="Z113" s="209" t="n"/>
    </row>
    <row r="114" ht="28.5" customFormat="1" customHeight="1" s="210">
      <c r="A114" s="196">
        <f>IF(B114,0,MATCH(H114,ВидыНагр,0))</f>
        <v/>
      </c>
      <c r="B114" s="154">
        <f>(COUNTIF(КлючВесна,D114)&lt;&gt;1)</f>
        <v/>
      </c>
      <c r="C114" s="196">
        <f>IF(COUNTA(E114:K114,Z114)&gt;0,1,0)+IF(COUNTA(L114:Y114)&gt;0,2,0)</f>
        <v/>
      </c>
      <c r="D114" s="179">
        <f>CONCATENATE("$",TRIM(F114),"$",TRIM(G114),"$",H114,"$")</f>
        <v/>
      </c>
      <c r="E114" s="197" t="n"/>
      <c r="F114" s="198" t="n"/>
      <c r="G114" s="199" t="n"/>
      <c r="H114" s="200" t="n"/>
      <c r="I114" s="201" t="n"/>
      <c r="J114" s="201" t="n"/>
      <c r="K114" s="202" t="n"/>
      <c r="L114" s="541" t="n"/>
      <c r="M114" s="542" t="n"/>
      <c r="N114" s="543" t="n"/>
      <c r="O114" s="541" t="n"/>
      <c r="P114" s="542" t="n"/>
      <c r="Q114" s="543" t="n"/>
      <c r="R114" s="541" t="n"/>
      <c r="S114" s="544" t="n"/>
      <c r="T114" s="543" t="n"/>
      <c r="U114" s="541" t="n"/>
      <c r="V114" s="545" t="n"/>
      <c r="W114" s="544" t="n"/>
      <c r="X114" s="543" t="n"/>
      <c r="Y114" s="546" t="n"/>
      <c r="Z114" s="209" t="n"/>
    </row>
    <row r="115" ht="28.5" customFormat="1" customHeight="1" s="210">
      <c r="A115" s="196">
        <f>IF(B115,0,MATCH(H115,ВидыНагр,0))</f>
        <v/>
      </c>
      <c r="B115" s="154">
        <f>(COUNTIF(КлючВесна,D115)&lt;&gt;1)</f>
        <v/>
      </c>
      <c r="C115" s="196">
        <f>IF(COUNTA(E115:K115,Z115)&gt;0,1,0)+IF(COUNTA(L115:Y115)&gt;0,2,0)</f>
        <v/>
      </c>
      <c r="D115" s="179">
        <f>CONCATENATE("$",TRIM(F115),"$",TRIM(G115),"$",H115,"$")</f>
        <v/>
      </c>
      <c r="E115" s="197" t="n"/>
      <c r="F115" s="198" t="n"/>
      <c r="G115" s="199" t="n"/>
      <c r="H115" s="200" t="n"/>
      <c r="I115" s="201" t="n"/>
      <c r="J115" s="201" t="n"/>
      <c r="K115" s="202" t="n"/>
      <c r="L115" s="541" t="n"/>
      <c r="M115" s="542" t="n"/>
      <c r="N115" s="543" t="n"/>
      <c r="O115" s="541" t="n"/>
      <c r="P115" s="542" t="n"/>
      <c r="Q115" s="543" t="n"/>
      <c r="R115" s="541" t="n"/>
      <c r="S115" s="544" t="n"/>
      <c r="T115" s="543" t="n"/>
      <c r="U115" s="541" t="n"/>
      <c r="V115" s="545" t="n"/>
      <c r="W115" s="544" t="n"/>
      <c r="X115" s="543" t="n"/>
      <c r="Y115" s="546" t="n"/>
      <c r="Z115" s="209" t="n"/>
    </row>
    <row r="116" ht="28.5" customFormat="1" customHeight="1" s="210">
      <c r="A116" s="196">
        <f>IF(B116,0,MATCH(H116,ВидыНагр,0))</f>
        <v/>
      </c>
      <c r="B116" s="154">
        <f>(COUNTIF(КлючВесна,D116)&lt;&gt;1)</f>
        <v/>
      </c>
      <c r="C116" s="196">
        <f>IF(COUNTA(E116:K116,Z116)&gt;0,1,0)+IF(COUNTA(L116:Y116)&gt;0,2,0)</f>
        <v/>
      </c>
      <c r="D116" s="179">
        <f>CONCATENATE("$",TRIM(F116),"$",TRIM(G116),"$",H116,"$")</f>
        <v/>
      </c>
      <c r="E116" s="197" t="n"/>
      <c r="F116" s="198" t="n"/>
      <c r="G116" s="199" t="n"/>
      <c r="H116" s="200" t="n"/>
      <c r="I116" s="201" t="n"/>
      <c r="J116" s="201" t="n"/>
      <c r="K116" s="202" t="n"/>
      <c r="L116" s="541" t="n"/>
      <c r="M116" s="542" t="n"/>
      <c r="N116" s="543" t="n"/>
      <c r="O116" s="541" t="n"/>
      <c r="P116" s="542" t="n"/>
      <c r="Q116" s="543" t="n"/>
      <c r="R116" s="541" t="n"/>
      <c r="S116" s="544" t="n"/>
      <c r="T116" s="543" t="n"/>
      <c r="U116" s="541" t="n"/>
      <c r="V116" s="545" t="n"/>
      <c r="W116" s="544" t="n"/>
      <c r="X116" s="543" t="n"/>
      <c r="Y116" s="546" t="n"/>
      <c r="Z116" s="209" t="n"/>
    </row>
    <row r="117" ht="28.5" customFormat="1" customHeight="1" s="210">
      <c r="A117" s="196">
        <f>IF(B117,0,MATCH(H117,ВидыНагр,0))</f>
        <v/>
      </c>
      <c r="B117" s="154">
        <f>(COUNTIF(КлючВесна,D117)&lt;&gt;1)</f>
        <v/>
      </c>
      <c r="C117" s="196">
        <f>IF(COUNTA(E117:K117,Z117)&gt;0,1,0)+IF(COUNTA(L117:Y117)&gt;0,2,0)</f>
        <v/>
      </c>
      <c r="D117" s="179">
        <f>CONCATENATE("$",TRIM(F117),"$",TRIM(G117),"$",H117,"$")</f>
        <v/>
      </c>
      <c r="E117" s="197" t="n"/>
      <c r="F117" s="198" t="n"/>
      <c r="G117" s="199" t="n"/>
      <c r="H117" s="200" t="n"/>
      <c r="I117" s="201" t="n"/>
      <c r="J117" s="201" t="n"/>
      <c r="K117" s="202" t="n"/>
      <c r="L117" s="541" t="n"/>
      <c r="M117" s="542" t="n"/>
      <c r="N117" s="543" t="n"/>
      <c r="O117" s="541" t="n"/>
      <c r="P117" s="542" t="n"/>
      <c r="Q117" s="543" t="n"/>
      <c r="R117" s="541" t="n"/>
      <c r="S117" s="544" t="n"/>
      <c r="T117" s="543" t="n"/>
      <c r="U117" s="541" t="n"/>
      <c r="V117" s="545" t="n"/>
      <c r="W117" s="544" t="n"/>
      <c r="X117" s="543" t="n"/>
      <c r="Y117" s="546" t="n"/>
      <c r="Z117" s="209" t="n"/>
    </row>
    <row r="118" ht="28.5" customFormat="1" customHeight="1" s="210">
      <c r="A118" s="196">
        <f>IF(B118,0,MATCH(H118,ВидыНагр,0))</f>
        <v/>
      </c>
      <c r="B118" s="154">
        <f>(COUNTIF(КлючВесна,D118)&lt;&gt;1)</f>
        <v/>
      </c>
      <c r="C118" s="196">
        <f>IF(COUNTA(E118:K118,Z118)&gt;0,1,0)+IF(COUNTA(L118:Y118)&gt;0,2,0)</f>
        <v/>
      </c>
      <c r="D118" s="179">
        <f>CONCATENATE("$",TRIM(F118),"$",TRIM(G118),"$",H118,"$")</f>
        <v/>
      </c>
      <c r="E118" s="197" t="n"/>
      <c r="F118" s="198" t="n"/>
      <c r="G118" s="199" t="n"/>
      <c r="H118" s="200" t="n"/>
      <c r="I118" s="201" t="n"/>
      <c r="J118" s="201" t="n"/>
      <c r="K118" s="202" t="n"/>
      <c r="L118" s="541" t="n"/>
      <c r="M118" s="542" t="n"/>
      <c r="N118" s="543" t="n"/>
      <c r="O118" s="541" t="n"/>
      <c r="P118" s="542" t="n"/>
      <c r="Q118" s="543" t="n"/>
      <c r="R118" s="541" t="n"/>
      <c r="S118" s="544" t="n"/>
      <c r="T118" s="543" t="n"/>
      <c r="U118" s="541" t="n"/>
      <c r="V118" s="545" t="n"/>
      <c r="W118" s="544" t="n"/>
      <c r="X118" s="543" t="n"/>
      <c r="Y118" s="546" t="n"/>
      <c r="Z118" s="209" t="n"/>
    </row>
    <row r="119" ht="28.5" customFormat="1" customHeight="1" s="210">
      <c r="A119" s="196">
        <f>IF(B119,0,MATCH(H119,ВидыНагр,0))</f>
        <v/>
      </c>
      <c r="B119" s="154">
        <f>(COUNTIF(КлючВесна,D119)&lt;&gt;1)</f>
        <v/>
      </c>
      <c r="C119" s="196">
        <f>IF(COUNTA(E119:K119,Z119)&gt;0,1,0)+IF(COUNTA(L119:Y119)&gt;0,2,0)</f>
        <v/>
      </c>
      <c r="D119" s="179">
        <f>CONCATENATE("$",TRIM(F119),"$",TRIM(G119),"$",H119,"$")</f>
        <v/>
      </c>
      <c r="E119" s="197" t="n"/>
      <c r="F119" s="198" t="n"/>
      <c r="G119" s="199" t="n"/>
      <c r="H119" s="200" t="n"/>
      <c r="I119" s="201" t="n"/>
      <c r="J119" s="201" t="n"/>
      <c r="K119" s="202" t="n"/>
      <c r="L119" s="541" t="n"/>
      <c r="M119" s="542" t="n"/>
      <c r="N119" s="543" t="n"/>
      <c r="O119" s="541" t="n"/>
      <c r="P119" s="542" t="n"/>
      <c r="Q119" s="543" t="n"/>
      <c r="R119" s="541" t="n"/>
      <c r="S119" s="544" t="n"/>
      <c r="T119" s="543" t="n"/>
      <c r="U119" s="541" t="n"/>
      <c r="V119" s="545" t="n"/>
      <c r="W119" s="544" t="n"/>
      <c r="X119" s="543" t="n"/>
      <c r="Y119" s="546" t="n"/>
      <c r="Z119" s="209" t="n"/>
    </row>
    <row r="120" ht="28.5" customFormat="1" customHeight="1" s="210">
      <c r="A120" s="196">
        <f>IF(B120,0,MATCH(H120,ВидыНагр,0))</f>
        <v/>
      </c>
      <c r="B120" s="154">
        <f>(COUNTIF(КлючВесна,D120)&lt;&gt;1)</f>
        <v/>
      </c>
      <c r="C120" s="196">
        <f>IF(COUNTA(E120:K120,Z120)&gt;0,1,0)+IF(COUNTA(L120:Y120)&gt;0,2,0)</f>
        <v/>
      </c>
      <c r="D120" s="179">
        <f>CONCATENATE("$",TRIM(F120),"$",TRIM(G120),"$",H120,"$")</f>
        <v/>
      </c>
      <c r="E120" s="197" t="n"/>
      <c r="F120" s="198" t="n"/>
      <c r="G120" s="199" t="n"/>
      <c r="H120" s="200" t="n"/>
      <c r="I120" s="201" t="n"/>
      <c r="J120" s="201" t="n"/>
      <c r="K120" s="202" t="n"/>
      <c r="L120" s="541" t="n"/>
      <c r="M120" s="542" t="n"/>
      <c r="N120" s="543" t="n"/>
      <c r="O120" s="541" t="n"/>
      <c r="P120" s="542" t="n"/>
      <c r="Q120" s="543" t="n"/>
      <c r="R120" s="541" t="n"/>
      <c r="S120" s="544" t="n"/>
      <c r="T120" s="543" t="n"/>
      <c r="U120" s="541" t="n"/>
      <c r="V120" s="545" t="n"/>
      <c r="W120" s="544" t="n"/>
      <c r="X120" s="543" t="n"/>
      <c r="Y120" s="546" t="n"/>
      <c r="Z120" s="209" t="n"/>
    </row>
    <row r="121" ht="28.5" customFormat="1" customHeight="1" s="210">
      <c r="A121" s="196">
        <f>IF(B121,0,MATCH(H121,ВидыНагр,0))</f>
        <v/>
      </c>
      <c r="B121" s="154">
        <f>(COUNTIF(КлючВесна,D121)&lt;&gt;1)</f>
        <v/>
      </c>
      <c r="C121" s="196">
        <f>IF(COUNTA(E121:K121,Z121)&gt;0,1,0)+IF(COUNTA(L121:Y121)&gt;0,2,0)</f>
        <v/>
      </c>
      <c r="D121" s="179">
        <f>CONCATENATE("$",TRIM(F121),"$",TRIM(G121),"$",H121,"$")</f>
        <v/>
      </c>
      <c r="E121" s="197" t="n"/>
      <c r="F121" s="198" t="n"/>
      <c r="G121" s="199" t="n"/>
      <c r="H121" s="200" t="n"/>
      <c r="I121" s="201" t="n"/>
      <c r="J121" s="201" t="n"/>
      <c r="K121" s="202" t="n"/>
      <c r="L121" s="541" t="n"/>
      <c r="M121" s="542" t="n"/>
      <c r="N121" s="543" t="n"/>
      <c r="O121" s="541" t="n"/>
      <c r="P121" s="542" t="n"/>
      <c r="Q121" s="543" t="n"/>
      <c r="R121" s="541" t="n"/>
      <c r="S121" s="544" t="n"/>
      <c r="T121" s="543" t="n"/>
      <c r="U121" s="541" t="n"/>
      <c r="V121" s="545" t="n"/>
      <c r="W121" s="544" t="n"/>
      <c r="X121" s="543" t="n"/>
      <c r="Y121" s="546" t="n"/>
      <c r="Z121" s="209" t="n"/>
    </row>
    <row r="122" ht="28.5" customFormat="1" customHeight="1" s="210">
      <c r="A122" s="196">
        <f>IF(B122,0,MATCH(H122,ВидыНагр,0))</f>
        <v/>
      </c>
      <c r="B122" s="154">
        <f>(COUNTIF(КлючВесна,D122)&lt;&gt;1)</f>
        <v/>
      </c>
      <c r="C122" s="196">
        <f>IF(COUNTA(E122:K122,Z122)&gt;0,1,0)+IF(COUNTA(L122:Y122)&gt;0,2,0)</f>
        <v/>
      </c>
      <c r="D122" s="179">
        <f>CONCATENATE("$",TRIM(F122),"$",TRIM(G122),"$",H122,"$")</f>
        <v/>
      </c>
      <c r="E122" s="197" t="n"/>
      <c r="F122" s="198" t="n"/>
      <c r="G122" s="199" t="n"/>
      <c r="H122" s="200" t="n"/>
      <c r="I122" s="201" t="n"/>
      <c r="J122" s="201" t="n"/>
      <c r="K122" s="202" t="n"/>
      <c r="L122" s="541" t="n"/>
      <c r="M122" s="542" t="n"/>
      <c r="N122" s="543" t="n"/>
      <c r="O122" s="541" t="n"/>
      <c r="P122" s="542" t="n"/>
      <c r="Q122" s="543" t="n"/>
      <c r="R122" s="541" t="n"/>
      <c r="S122" s="544" t="n"/>
      <c r="T122" s="543" t="n"/>
      <c r="U122" s="541" t="n"/>
      <c r="V122" s="545" t="n"/>
      <c r="W122" s="544" t="n"/>
      <c r="X122" s="543" t="n"/>
      <c r="Y122" s="546" t="n"/>
      <c r="Z122" s="209" t="n"/>
    </row>
    <row r="123" ht="28.5" customFormat="1" customHeight="1" s="210">
      <c r="A123" s="196">
        <f>IF(B123,0,MATCH(H123,ВидыНагр,0))</f>
        <v/>
      </c>
      <c r="B123" s="154">
        <f>(COUNTIF(КлючВесна,D123)&lt;&gt;1)</f>
        <v/>
      </c>
      <c r="C123" s="196">
        <f>IF(COUNTA(E123:K123,Z123)&gt;0,1,0)+IF(COUNTA(L123:Y123)&gt;0,2,0)</f>
        <v/>
      </c>
      <c r="D123" s="179">
        <f>CONCATENATE("$",TRIM(F123),"$",TRIM(G123),"$",H123,"$")</f>
        <v/>
      </c>
      <c r="E123" s="197" t="n"/>
      <c r="F123" s="198" t="n"/>
      <c r="G123" s="199" t="n"/>
      <c r="H123" s="200" t="n"/>
      <c r="I123" s="201" t="n"/>
      <c r="J123" s="201" t="n"/>
      <c r="K123" s="202" t="n"/>
      <c r="L123" s="541" t="n"/>
      <c r="M123" s="542" t="n"/>
      <c r="N123" s="543" t="n"/>
      <c r="O123" s="541" t="n"/>
      <c r="P123" s="542" t="n"/>
      <c r="Q123" s="543" t="n"/>
      <c r="R123" s="541" t="n"/>
      <c r="S123" s="544" t="n"/>
      <c r="T123" s="543" t="n"/>
      <c r="U123" s="541" t="n"/>
      <c r="V123" s="545" t="n"/>
      <c r="W123" s="544" t="n"/>
      <c r="X123" s="543" t="n"/>
      <c r="Y123" s="546" t="n"/>
      <c r="Z123" s="209" t="n"/>
    </row>
    <row r="124" ht="28.5" customFormat="1" customHeight="1" s="210">
      <c r="A124" s="196">
        <f>IF(B124,0,MATCH(H124,ВидыНагр,0))</f>
        <v/>
      </c>
      <c r="B124" s="154">
        <f>(COUNTIF(КлючВесна,D124)&lt;&gt;1)</f>
        <v/>
      </c>
      <c r="C124" s="196">
        <f>IF(COUNTA(E124:K124,Z124)&gt;0,1,0)+IF(COUNTA(L124:Y124)&gt;0,2,0)</f>
        <v/>
      </c>
      <c r="D124" s="179">
        <f>CONCATENATE("$",TRIM(F124),"$",TRIM(G124),"$",H124,"$")</f>
        <v/>
      </c>
      <c r="E124" s="197" t="n"/>
      <c r="F124" s="198" t="n"/>
      <c r="G124" s="199" t="n"/>
      <c r="H124" s="200" t="n"/>
      <c r="I124" s="201" t="n"/>
      <c r="J124" s="201" t="n"/>
      <c r="K124" s="202" t="n"/>
      <c r="L124" s="541" t="n"/>
      <c r="M124" s="542" t="n"/>
      <c r="N124" s="543" t="n"/>
      <c r="O124" s="541" t="n"/>
      <c r="P124" s="542" t="n"/>
      <c r="Q124" s="543" t="n"/>
      <c r="R124" s="541" t="n"/>
      <c r="S124" s="544" t="n"/>
      <c r="T124" s="543" t="n"/>
      <c r="U124" s="541" t="n"/>
      <c r="V124" s="545" t="n"/>
      <c r="W124" s="544" t="n"/>
      <c r="X124" s="543" t="n"/>
      <c r="Y124" s="546" t="n"/>
      <c r="Z124" s="209" t="n"/>
    </row>
    <row r="125" ht="28.5" customFormat="1" customHeight="1" s="210">
      <c r="A125" s="196">
        <f>IF(B125,0,MATCH(H125,ВидыНагр,0))</f>
        <v/>
      </c>
      <c r="B125" s="154">
        <f>(COUNTIF(КлючВесна,D125)&lt;&gt;1)</f>
        <v/>
      </c>
      <c r="C125" s="196">
        <f>IF(COUNTA(E125:K125,Z125)&gt;0,1,0)+IF(COUNTA(L125:Y125)&gt;0,2,0)</f>
        <v/>
      </c>
      <c r="D125" s="179">
        <f>CONCATENATE("$",TRIM(F125),"$",TRIM(G125),"$",H125,"$")</f>
        <v/>
      </c>
      <c r="E125" s="197" t="n"/>
      <c r="F125" s="198" t="n"/>
      <c r="G125" s="199" t="n"/>
      <c r="H125" s="200" t="n"/>
      <c r="I125" s="201" t="n"/>
      <c r="J125" s="201" t="n"/>
      <c r="K125" s="202" t="n"/>
      <c r="L125" s="541" t="n"/>
      <c r="M125" s="542" t="n"/>
      <c r="N125" s="543" t="n"/>
      <c r="O125" s="541" t="n"/>
      <c r="P125" s="542" t="n"/>
      <c r="Q125" s="543" t="n"/>
      <c r="R125" s="541" t="n"/>
      <c r="S125" s="544" t="n"/>
      <c r="T125" s="543" t="n"/>
      <c r="U125" s="541" t="n"/>
      <c r="V125" s="545" t="n"/>
      <c r="W125" s="544" t="n"/>
      <c r="X125" s="543" t="n"/>
      <c r="Y125" s="546" t="n"/>
      <c r="Z125" s="209" t="n"/>
    </row>
    <row r="126" ht="28.5" customFormat="1" customHeight="1" s="210">
      <c r="A126" s="196">
        <f>IF(B126,0,MATCH(H126,ВидыНагр,0))</f>
        <v/>
      </c>
      <c r="B126" s="154">
        <f>(COUNTIF(КлючВесна,D126)&lt;&gt;1)</f>
        <v/>
      </c>
      <c r="C126" s="196">
        <f>IF(COUNTA(E126:K126,Z126)&gt;0,1,0)+IF(COUNTA(L126:Y126)&gt;0,2,0)</f>
        <v/>
      </c>
      <c r="D126" s="179">
        <f>CONCATENATE("$",TRIM(F126),"$",TRIM(G126),"$",H126,"$")</f>
        <v/>
      </c>
      <c r="E126" s="197" t="n"/>
      <c r="F126" s="198" t="n"/>
      <c r="G126" s="199" t="n"/>
      <c r="H126" s="200" t="n"/>
      <c r="I126" s="201" t="n"/>
      <c r="J126" s="201" t="n"/>
      <c r="K126" s="202" t="n"/>
      <c r="L126" s="541" t="n"/>
      <c r="M126" s="542" t="n"/>
      <c r="N126" s="543" t="n"/>
      <c r="O126" s="541" t="n"/>
      <c r="P126" s="542" t="n"/>
      <c r="Q126" s="543" t="n"/>
      <c r="R126" s="541" t="n"/>
      <c r="S126" s="544" t="n"/>
      <c r="T126" s="543" t="n"/>
      <c r="U126" s="541" t="n"/>
      <c r="V126" s="545" t="n"/>
      <c r="W126" s="544" t="n"/>
      <c r="X126" s="543" t="n"/>
      <c r="Y126" s="546" t="n"/>
      <c r="Z126" s="209" t="n"/>
    </row>
    <row r="127" ht="28.5" customFormat="1" customHeight="1" s="210">
      <c r="A127" s="196">
        <f>IF(B127,0,MATCH(H127,ВидыНагр,0))</f>
        <v/>
      </c>
      <c r="B127" s="154">
        <f>(COUNTIF(КлючВесна,D127)&lt;&gt;1)</f>
        <v/>
      </c>
      <c r="C127" s="196">
        <f>IF(COUNTA(E127:K127,Z127)&gt;0,1,0)+IF(COUNTA(L127:Y127)&gt;0,2,0)</f>
        <v/>
      </c>
      <c r="D127" s="179">
        <f>CONCATENATE("$",TRIM(F127),"$",TRIM(G127),"$",H127,"$")</f>
        <v/>
      </c>
      <c r="E127" s="197" t="n"/>
      <c r="F127" s="198" t="n"/>
      <c r="G127" s="199" t="n"/>
      <c r="H127" s="200" t="n"/>
      <c r="I127" s="201" t="n"/>
      <c r="J127" s="201" t="n"/>
      <c r="K127" s="202" t="n"/>
      <c r="L127" s="541" t="n"/>
      <c r="M127" s="542" t="n"/>
      <c r="N127" s="543" t="n"/>
      <c r="O127" s="541" t="n"/>
      <c r="P127" s="542" t="n"/>
      <c r="Q127" s="543" t="n"/>
      <c r="R127" s="541" t="n"/>
      <c r="S127" s="544" t="n"/>
      <c r="T127" s="543" t="n"/>
      <c r="U127" s="541" t="n"/>
      <c r="V127" s="545" t="n"/>
      <c r="W127" s="544" t="n"/>
      <c r="X127" s="543" t="n"/>
      <c r="Y127" s="546" t="n"/>
      <c r="Z127" s="209" t="n"/>
    </row>
    <row r="128" ht="28.5" customFormat="1" customHeight="1" s="210">
      <c r="A128" s="196">
        <f>IF(B128,0,MATCH(H128,ВидыНагр,0))</f>
        <v/>
      </c>
      <c r="B128" s="154">
        <f>(COUNTIF(КлючВесна,D128)&lt;&gt;1)</f>
        <v/>
      </c>
      <c r="C128" s="196">
        <f>IF(COUNTA(E128:K128,Z128)&gt;0,1,0)+IF(COUNTA(L128:Y128)&gt;0,2,0)</f>
        <v/>
      </c>
      <c r="D128" s="179">
        <f>CONCATENATE("$",TRIM(F128),"$",TRIM(G128),"$",H128,"$")</f>
        <v/>
      </c>
      <c r="E128" s="197" t="n"/>
      <c r="F128" s="198" t="n"/>
      <c r="G128" s="199" t="n"/>
      <c r="H128" s="200" t="n"/>
      <c r="I128" s="201" t="n"/>
      <c r="J128" s="201" t="n"/>
      <c r="K128" s="202" t="n"/>
      <c r="L128" s="541" t="n"/>
      <c r="M128" s="542" t="n"/>
      <c r="N128" s="543" t="n"/>
      <c r="O128" s="541" t="n"/>
      <c r="P128" s="542" t="n"/>
      <c r="Q128" s="543" t="n"/>
      <c r="R128" s="541" t="n"/>
      <c r="S128" s="544" t="n"/>
      <c r="T128" s="543" t="n"/>
      <c r="U128" s="541" t="n"/>
      <c r="V128" s="545" t="n"/>
      <c r="W128" s="544" t="n"/>
      <c r="X128" s="543" t="n"/>
      <c r="Y128" s="546" t="n"/>
      <c r="Z128" s="209" t="n"/>
    </row>
    <row r="129" ht="28.5" customFormat="1" customHeight="1" s="210">
      <c r="A129" s="196">
        <f>IF(B129,0,MATCH(H129,ВидыНагр,0))</f>
        <v/>
      </c>
      <c r="B129" s="154">
        <f>(COUNTIF(КлючВесна,D129)&lt;&gt;1)</f>
        <v/>
      </c>
      <c r="C129" s="196">
        <f>IF(COUNTA(E129:K129,Z129)&gt;0,1,0)+IF(COUNTA(L129:Y129)&gt;0,2,0)</f>
        <v/>
      </c>
      <c r="D129" s="179">
        <f>CONCATENATE("$",TRIM(F129),"$",TRIM(G129),"$",H129,"$")</f>
        <v/>
      </c>
      <c r="E129" s="197" t="n"/>
      <c r="F129" s="198" t="n"/>
      <c r="G129" s="199" t="n"/>
      <c r="H129" s="200" t="n"/>
      <c r="I129" s="201" t="n"/>
      <c r="J129" s="201" t="n"/>
      <c r="K129" s="202" t="n"/>
      <c r="L129" s="541" t="n"/>
      <c r="M129" s="542" t="n"/>
      <c r="N129" s="543" t="n"/>
      <c r="O129" s="541" t="n"/>
      <c r="P129" s="542" t="n"/>
      <c r="Q129" s="543" t="n"/>
      <c r="R129" s="541" t="n"/>
      <c r="S129" s="544" t="n"/>
      <c r="T129" s="543" t="n"/>
      <c r="U129" s="541" t="n"/>
      <c r="V129" s="545" t="n"/>
      <c r="W129" s="544" t="n"/>
      <c r="X129" s="543" t="n"/>
      <c r="Y129" s="546" t="n"/>
      <c r="Z129" s="209" t="n"/>
    </row>
    <row r="130" ht="28.5" customFormat="1" customHeight="1" s="210">
      <c r="A130" s="196">
        <f>IF(B130,0,MATCH(H130,ВидыНагр,0))</f>
        <v/>
      </c>
      <c r="B130" s="154">
        <f>(COUNTIF(КлючВесна,D130)&lt;&gt;1)</f>
        <v/>
      </c>
      <c r="C130" s="196">
        <f>IF(COUNTA(E130:K130,Z130)&gt;0,1,0)+IF(COUNTA(L130:Y130)&gt;0,2,0)</f>
        <v/>
      </c>
      <c r="D130" s="179">
        <f>CONCATENATE("$",TRIM(F130),"$",TRIM(G130),"$",H130,"$")</f>
        <v/>
      </c>
      <c r="E130" s="197" t="n"/>
      <c r="F130" s="198" t="n"/>
      <c r="G130" s="199" t="n"/>
      <c r="H130" s="200" t="n"/>
      <c r="I130" s="201" t="n"/>
      <c r="J130" s="201" t="n"/>
      <c r="K130" s="202" t="n"/>
      <c r="L130" s="541" t="n"/>
      <c r="M130" s="542" t="n"/>
      <c r="N130" s="543" t="n"/>
      <c r="O130" s="541" t="n"/>
      <c r="P130" s="542" t="n"/>
      <c r="Q130" s="543" t="n"/>
      <c r="R130" s="541" t="n"/>
      <c r="S130" s="544" t="n"/>
      <c r="T130" s="543" t="n"/>
      <c r="U130" s="541" t="n"/>
      <c r="V130" s="545" t="n"/>
      <c r="W130" s="544" t="n"/>
      <c r="X130" s="543" t="n"/>
      <c r="Y130" s="546" t="n"/>
      <c r="Z130" s="209" t="n"/>
    </row>
    <row r="131" ht="28.5" customFormat="1" customHeight="1" s="210">
      <c r="A131" s="196">
        <f>IF(B131,0,MATCH(H131,ВидыНагр,0))</f>
        <v/>
      </c>
      <c r="B131" s="154">
        <f>(COUNTIF(КлючВесна,D131)&lt;&gt;1)</f>
        <v/>
      </c>
      <c r="C131" s="196">
        <f>IF(COUNTA(E131:K131,Z131)&gt;0,1,0)+IF(COUNTA(L131:Y131)&gt;0,2,0)</f>
        <v/>
      </c>
      <c r="D131" s="179">
        <f>CONCATENATE("$",TRIM(F131),"$",TRIM(G131),"$",H131,"$")</f>
        <v/>
      </c>
      <c r="E131" s="197" t="n"/>
      <c r="F131" s="198" t="n"/>
      <c r="G131" s="199" t="n"/>
      <c r="H131" s="200" t="n"/>
      <c r="I131" s="201" t="n"/>
      <c r="J131" s="201" t="n"/>
      <c r="K131" s="202" t="n"/>
      <c r="L131" s="541" t="n"/>
      <c r="M131" s="542" t="n"/>
      <c r="N131" s="543" t="n"/>
      <c r="O131" s="541" t="n"/>
      <c r="P131" s="542" t="n"/>
      <c r="Q131" s="543" t="n"/>
      <c r="R131" s="541" t="n"/>
      <c r="S131" s="544" t="n"/>
      <c r="T131" s="543" t="n"/>
      <c r="U131" s="541" t="n"/>
      <c r="V131" s="545" t="n"/>
      <c r="W131" s="544" t="n"/>
      <c r="X131" s="543" t="n"/>
      <c r="Y131" s="546" t="n"/>
      <c r="Z131" s="209" t="n"/>
    </row>
    <row r="132" ht="28.5" customFormat="1" customHeight="1" s="210">
      <c r="A132" s="196">
        <f>IF(B132,0,MATCH(H132,ВидыНагр,0))</f>
        <v/>
      </c>
      <c r="B132" s="154">
        <f>(COUNTIF(КлючВесна,D132)&lt;&gt;1)</f>
        <v/>
      </c>
      <c r="C132" s="196">
        <f>IF(COUNTA(E132:K132,Z132)&gt;0,1,0)+IF(COUNTA(L132:Y132)&gt;0,2,0)</f>
        <v/>
      </c>
      <c r="D132" s="179">
        <f>CONCATENATE("$",TRIM(F132),"$",TRIM(G132),"$",H132,"$")</f>
        <v/>
      </c>
      <c r="E132" s="197" t="n"/>
      <c r="F132" s="198" t="n"/>
      <c r="G132" s="199" t="n"/>
      <c r="H132" s="200" t="n"/>
      <c r="I132" s="201" t="n"/>
      <c r="J132" s="201" t="n"/>
      <c r="K132" s="202" t="n"/>
      <c r="L132" s="541" t="n"/>
      <c r="M132" s="542" t="n"/>
      <c r="N132" s="543" t="n"/>
      <c r="O132" s="541" t="n"/>
      <c r="P132" s="542" t="n"/>
      <c r="Q132" s="543" t="n"/>
      <c r="R132" s="541" t="n"/>
      <c r="S132" s="544" t="n"/>
      <c r="T132" s="543" t="n"/>
      <c r="U132" s="541" t="n"/>
      <c r="V132" s="545" t="n"/>
      <c r="W132" s="544" t="n"/>
      <c r="X132" s="543" t="n"/>
      <c r="Y132" s="546" t="n"/>
      <c r="Z132" s="209" t="n"/>
    </row>
    <row r="133" ht="28.5" customFormat="1" customHeight="1" s="210">
      <c r="A133" s="196">
        <f>IF(B133,0,MATCH(H133,ВидыНагр,0))</f>
        <v/>
      </c>
      <c r="B133" s="154">
        <f>(COUNTIF(КлючВесна,D133)&lt;&gt;1)</f>
        <v/>
      </c>
      <c r="C133" s="196">
        <f>IF(COUNTA(E133:K133,Z133)&gt;0,1,0)+IF(COUNTA(L133:Y133)&gt;0,2,0)</f>
        <v/>
      </c>
      <c r="D133" s="179">
        <f>CONCATENATE("$",TRIM(F133),"$",TRIM(G133),"$",H133,"$")</f>
        <v/>
      </c>
      <c r="E133" s="197" t="n"/>
      <c r="F133" s="198" t="n"/>
      <c r="G133" s="199" t="n"/>
      <c r="H133" s="200" t="n"/>
      <c r="I133" s="201" t="n"/>
      <c r="J133" s="201" t="n"/>
      <c r="K133" s="202" t="n"/>
      <c r="L133" s="541" t="n"/>
      <c r="M133" s="542" t="n"/>
      <c r="N133" s="543" t="n"/>
      <c r="O133" s="541" t="n"/>
      <c r="P133" s="542" t="n"/>
      <c r="Q133" s="543" t="n"/>
      <c r="R133" s="541" t="n"/>
      <c r="S133" s="544" t="n"/>
      <c r="T133" s="543" t="n"/>
      <c r="U133" s="541" t="n"/>
      <c r="V133" s="545" t="n"/>
      <c r="W133" s="544" t="n"/>
      <c r="X133" s="543" t="n"/>
      <c r="Y133" s="546" t="n"/>
      <c r="Z133" s="209" t="n"/>
    </row>
    <row r="134" ht="28.5" customFormat="1" customHeight="1" s="210">
      <c r="A134" s="196">
        <f>IF(B134,0,MATCH(H134,ВидыНагр,0))</f>
        <v/>
      </c>
      <c r="B134" s="154">
        <f>(COUNTIF(КлючВесна,D134)&lt;&gt;1)</f>
        <v/>
      </c>
      <c r="C134" s="196">
        <f>IF(COUNTA(E134:K134,Z134)&gt;0,1,0)+IF(COUNTA(L134:Y134)&gt;0,2,0)</f>
        <v/>
      </c>
      <c r="D134" s="179">
        <f>CONCATENATE("$",TRIM(F134),"$",TRIM(G134),"$",H134,"$")</f>
        <v/>
      </c>
      <c r="E134" s="197" t="n"/>
      <c r="F134" s="198" t="n"/>
      <c r="G134" s="199" t="n"/>
      <c r="H134" s="200" t="n"/>
      <c r="I134" s="201" t="n"/>
      <c r="J134" s="201" t="n"/>
      <c r="K134" s="202" t="n"/>
      <c r="L134" s="541" t="n"/>
      <c r="M134" s="542" t="n"/>
      <c r="N134" s="543" t="n"/>
      <c r="O134" s="541" t="n"/>
      <c r="P134" s="542" t="n"/>
      <c r="Q134" s="543" t="n"/>
      <c r="R134" s="541" t="n"/>
      <c r="S134" s="544" t="n"/>
      <c r="T134" s="543" t="n"/>
      <c r="U134" s="541" t="n"/>
      <c r="V134" s="545" t="n"/>
      <c r="W134" s="544" t="n"/>
      <c r="X134" s="543" t="n"/>
      <c r="Y134" s="546" t="n"/>
      <c r="Z134" s="209" t="n"/>
    </row>
    <row r="135" ht="28.5" customFormat="1" customHeight="1" s="210">
      <c r="A135" s="196">
        <f>IF(B135,0,MATCH(H135,ВидыНагр,0))</f>
        <v/>
      </c>
      <c r="B135" s="154">
        <f>(COUNTIF(КлючВесна,D135)&lt;&gt;1)</f>
        <v/>
      </c>
      <c r="C135" s="196">
        <f>IF(COUNTA(E135:K135,Z135)&gt;0,1,0)+IF(COUNTA(L135:Y135)&gt;0,2,0)</f>
        <v/>
      </c>
      <c r="D135" s="179">
        <f>CONCATENATE("$",TRIM(F135),"$",TRIM(G135),"$",H135,"$")</f>
        <v/>
      </c>
      <c r="E135" s="197" t="n"/>
      <c r="F135" s="198" t="n"/>
      <c r="G135" s="199" t="n"/>
      <c r="H135" s="200" t="n"/>
      <c r="I135" s="201" t="n"/>
      <c r="J135" s="201" t="n"/>
      <c r="K135" s="202" t="n"/>
      <c r="L135" s="541" t="n"/>
      <c r="M135" s="542" t="n"/>
      <c r="N135" s="543" t="n"/>
      <c r="O135" s="541" t="n"/>
      <c r="P135" s="542" t="n"/>
      <c r="Q135" s="543" t="n"/>
      <c r="R135" s="541" t="n"/>
      <c r="S135" s="544" t="n"/>
      <c r="T135" s="543" t="n"/>
      <c r="U135" s="541" t="n"/>
      <c r="V135" s="545" t="n"/>
      <c r="W135" s="544" t="n"/>
      <c r="X135" s="543" t="n"/>
      <c r="Y135" s="546" t="n"/>
      <c r="Z135" s="209" t="n"/>
    </row>
    <row r="136" ht="28.5" customFormat="1" customHeight="1" s="210">
      <c r="A136" s="196">
        <f>IF(B136,0,MATCH(H136,ВидыНагр,0))</f>
        <v/>
      </c>
      <c r="B136" s="154">
        <f>(COUNTIF(КлючВесна,D136)&lt;&gt;1)</f>
        <v/>
      </c>
      <c r="C136" s="196">
        <f>IF(COUNTA(E136:K136,Z136)&gt;0,1,0)+IF(COUNTA(L136:Y136)&gt;0,2,0)</f>
        <v/>
      </c>
      <c r="D136" s="179">
        <f>CONCATENATE("$",TRIM(F136),"$",TRIM(G136),"$",H136,"$")</f>
        <v/>
      </c>
      <c r="E136" s="197" t="n"/>
      <c r="F136" s="198" t="n"/>
      <c r="G136" s="199" t="n"/>
      <c r="H136" s="200" t="n"/>
      <c r="I136" s="201" t="n"/>
      <c r="J136" s="201" t="n"/>
      <c r="K136" s="202" t="n"/>
      <c r="L136" s="541" t="n"/>
      <c r="M136" s="542" t="n"/>
      <c r="N136" s="543" t="n"/>
      <c r="O136" s="541" t="n"/>
      <c r="P136" s="542" t="n"/>
      <c r="Q136" s="543" t="n"/>
      <c r="R136" s="541" t="n"/>
      <c r="S136" s="544" t="n"/>
      <c r="T136" s="543" t="n"/>
      <c r="U136" s="541" t="n"/>
      <c r="V136" s="545" t="n"/>
      <c r="W136" s="544" t="n"/>
      <c r="X136" s="543" t="n"/>
      <c r="Y136" s="546" t="n"/>
      <c r="Z136" s="209" t="n"/>
    </row>
    <row r="137" ht="28.5" customFormat="1" customHeight="1" s="210">
      <c r="A137" s="196">
        <f>IF(B137,0,MATCH(H137,ВидыНагр,0))</f>
        <v/>
      </c>
      <c r="B137" s="154">
        <f>(COUNTIF(КлючВесна,D137)&lt;&gt;1)</f>
        <v/>
      </c>
      <c r="C137" s="196">
        <f>IF(COUNTA(E137:K137,Z137)&gt;0,1,0)+IF(COUNTA(L137:Y137)&gt;0,2,0)</f>
        <v/>
      </c>
      <c r="D137" s="179">
        <f>CONCATENATE("$",TRIM(F137),"$",TRIM(G137),"$",H137,"$")</f>
        <v/>
      </c>
      <c r="E137" s="197" t="n"/>
      <c r="F137" s="198" t="n"/>
      <c r="G137" s="199" t="n"/>
      <c r="H137" s="200" t="n"/>
      <c r="I137" s="201" t="n"/>
      <c r="J137" s="201" t="n"/>
      <c r="K137" s="202" t="n"/>
      <c r="L137" s="541" t="n"/>
      <c r="M137" s="542" t="n"/>
      <c r="N137" s="543" t="n"/>
      <c r="O137" s="541" t="n"/>
      <c r="P137" s="542" t="n"/>
      <c r="Q137" s="543" t="n"/>
      <c r="R137" s="541" t="n"/>
      <c r="S137" s="544" t="n"/>
      <c r="T137" s="543" t="n"/>
      <c r="U137" s="541" t="n"/>
      <c r="V137" s="545" t="n"/>
      <c r="W137" s="544" t="n"/>
      <c r="X137" s="543" t="n"/>
      <c r="Y137" s="546" t="n"/>
      <c r="Z137" s="209" t="n"/>
    </row>
    <row r="138" ht="28.5" customFormat="1" customHeight="1" s="210">
      <c r="A138" s="196">
        <f>IF(B138,0,MATCH(H138,ВидыНагр,0))</f>
        <v/>
      </c>
      <c r="B138" s="154">
        <f>(COUNTIF(КлючВесна,D138)&lt;&gt;1)</f>
        <v/>
      </c>
      <c r="C138" s="196">
        <f>IF(COUNTA(E138:K138,Z138)&gt;0,1,0)+IF(COUNTA(L138:Y138)&gt;0,2,0)</f>
        <v/>
      </c>
      <c r="D138" s="179">
        <f>CONCATENATE("$",TRIM(F138),"$",TRIM(G138),"$",H138,"$")</f>
        <v/>
      </c>
      <c r="E138" s="197" t="n"/>
      <c r="F138" s="198" t="n"/>
      <c r="G138" s="199" t="n"/>
      <c r="H138" s="200" t="n"/>
      <c r="I138" s="201" t="n"/>
      <c r="J138" s="201" t="n"/>
      <c r="K138" s="202" t="n"/>
      <c r="L138" s="541" t="n"/>
      <c r="M138" s="542" t="n"/>
      <c r="N138" s="543" t="n"/>
      <c r="O138" s="541" t="n"/>
      <c r="P138" s="542" t="n"/>
      <c r="Q138" s="543" t="n"/>
      <c r="R138" s="541" t="n"/>
      <c r="S138" s="544" t="n"/>
      <c r="T138" s="543" t="n"/>
      <c r="U138" s="541" t="n"/>
      <c r="V138" s="545" t="n"/>
      <c r="W138" s="544" t="n"/>
      <c r="X138" s="543" t="n"/>
      <c r="Y138" s="546" t="n"/>
      <c r="Z138" s="209" t="n"/>
    </row>
    <row r="139" ht="28.5" customFormat="1" customHeight="1" s="210">
      <c r="A139" s="196">
        <f>IF(B139,0,MATCH(H139,ВидыНагр,0))</f>
        <v/>
      </c>
      <c r="B139" s="154">
        <f>(COUNTIF(КлючВесна,D139)&lt;&gt;1)</f>
        <v/>
      </c>
      <c r="C139" s="196">
        <f>IF(COUNTA(E139:K139,Z139)&gt;0,1,0)+IF(COUNTA(L139:Y139)&gt;0,2,0)</f>
        <v/>
      </c>
      <c r="D139" s="179">
        <f>CONCATENATE("$",TRIM(F139),"$",TRIM(G139),"$",H139,"$")</f>
        <v/>
      </c>
      <c r="E139" s="197" t="n"/>
      <c r="F139" s="198" t="n"/>
      <c r="G139" s="199" t="n"/>
      <c r="H139" s="200" t="n"/>
      <c r="I139" s="201" t="n"/>
      <c r="J139" s="201" t="n"/>
      <c r="K139" s="202" t="n"/>
      <c r="L139" s="541" t="n"/>
      <c r="M139" s="542" t="n"/>
      <c r="N139" s="543" t="n"/>
      <c r="O139" s="541" t="n"/>
      <c r="P139" s="542" t="n"/>
      <c r="Q139" s="543" t="n"/>
      <c r="R139" s="541" t="n"/>
      <c r="S139" s="544" t="n"/>
      <c r="T139" s="543" t="n"/>
      <c r="U139" s="541" t="n"/>
      <c r="V139" s="545" t="n"/>
      <c r="W139" s="544" t="n"/>
      <c r="X139" s="543" t="n"/>
      <c r="Y139" s="546" t="n"/>
      <c r="Z139" s="209" t="n"/>
    </row>
    <row r="140" ht="28.5" customFormat="1" customHeight="1" s="210">
      <c r="A140" s="196">
        <f>IF(B140,0,MATCH(H140,ВидыНагр,0))</f>
        <v/>
      </c>
      <c r="B140" s="154">
        <f>(COUNTIF(КлючВесна,D140)&lt;&gt;1)</f>
        <v/>
      </c>
      <c r="C140" s="196">
        <f>IF(COUNTA(E140:K140,Z140)&gt;0,1,0)+IF(COUNTA(L140:Y140)&gt;0,2,0)</f>
        <v/>
      </c>
      <c r="D140" s="179">
        <f>CONCATENATE("$",TRIM(F140),"$",TRIM(G140),"$",H140,"$")</f>
        <v/>
      </c>
      <c r="E140" s="197" t="n"/>
      <c r="F140" s="198" t="n"/>
      <c r="G140" s="199" t="n"/>
      <c r="H140" s="200" t="n"/>
      <c r="I140" s="201" t="n"/>
      <c r="J140" s="201" t="n"/>
      <c r="K140" s="202" t="n"/>
      <c r="L140" s="541" t="n"/>
      <c r="M140" s="542" t="n"/>
      <c r="N140" s="543" t="n"/>
      <c r="O140" s="541" t="n"/>
      <c r="P140" s="542" t="n"/>
      <c r="Q140" s="543" t="n"/>
      <c r="R140" s="541" t="n"/>
      <c r="S140" s="544" t="n"/>
      <c r="T140" s="543" t="n"/>
      <c r="U140" s="541" t="n"/>
      <c r="V140" s="545" t="n"/>
      <c r="W140" s="544" t="n"/>
      <c r="X140" s="543" t="n"/>
      <c r="Y140" s="546" t="n"/>
      <c r="Z140" s="209" t="n"/>
    </row>
    <row r="141" ht="28.5" customFormat="1" customHeight="1" s="210">
      <c r="A141" s="196">
        <f>IF(B141,0,MATCH(H141,ВидыНагр,0))</f>
        <v/>
      </c>
      <c r="B141" s="154">
        <f>(COUNTIF(КлючВесна,D141)&lt;&gt;1)</f>
        <v/>
      </c>
      <c r="C141" s="196">
        <f>IF(COUNTA(E141:K141,Z141)&gt;0,1,0)+IF(COUNTA(L141:Y141)&gt;0,2,0)</f>
        <v/>
      </c>
      <c r="D141" s="179">
        <f>CONCATENATE("$",TRIM(F141),"$",TRIM(G141),"$",H141,"$")</f>
        <v/>
      </c>
      <c r="E141" s="197" t="n"/>
      <c r="F141" s="198" t="n"/>
      <c r="G141" s="199" t="n"/>
      <c r="H141" s="200" t="n"/>
      <c r="I141" s="201" t="n"/>
      <c r="J141" s="201" t="n"/>
      <c r="K141" s="202" t="n"/>
      <c r="L141" s="541" t="n"/>
      <c r="M141" s="542" t="n"/>
      <c r="N141" s="543" t="n"/>
      <c r="O141" s="541" t="n"/>
      <c r="P141" s="542" t="n"/>
      <c r="Q141" s="543" t="n"/>
      <c r="R141" s="541" t="n"/>
      <c r="S141" s="544" t="n"/>
      <c r="T141" s="543" t="n"/>
      <c r="U141" s="541" t="n"/>
      <c r="V141" s="545" t="n"/>
      <c r="W141" s="544" t="n"/>
      <c r="X141" s="543" t="n"/>
      <c r="Y141" s="546" t="n"/>
      <c r="Z141" s="209" t="n"/>
    </row>
    <row r="142" ht="28.5" customFormat="1" customHeight="1" s="210">
      <c r="A142" s="196">
        <f>IF(B142,0,MATCH(H142,ВидыНагр,0))</f>
        <v/>
      </c>
      <c r="B142" s="154">
        <f>(COUNTIF(КлючВесна,D142)&lt;&gt;1)</f>
        <v/>
      </c>
      <c r="C142" s="196">
        <f>IF(COUNTA(E142:K142,Z142)&gt;0,1,0)+IF(COUNTA(L142:Y142)&gt;0,2,0)</f>
        <v/>
      </c>
      <c r="D142" s="179">
        <f>CONCATENATE("$",TRIM(F142),"$",TRIM(G142),"$",H142,"$")</f>
        <v/>
      </c>
      <c r="E142" s="197" t="n"/>
      <c r="F142" s="198" t="n"/>
      <c r="G142" s="199" t="n"/>
      <c r="H142" s="200" t="n"/>
      <c r="I142" s="201" t="n"/>
      <c r="J142" s="201" t="n"/>
      <c r="K142" s="202" t="n"/>
      <c r="L142" s="541" t="n"/>
      <c r="M142" s="542" t="n"/>
      <c r="N142" s="543" t="n"/>
      <c r="O142" s="541" t="n"/>
      <c r="P142" s="542" t="n"/>
      <c r="Q142" s="543" t="n"/>
      <c r="R142" s="541" t="n"/>
      <c r="S142" s="544" t="n"/>
      <c r="T142" s="543" t="n"/>
      <c r="U142" s="541" t="n"/>
      <c r="V142" s="545" t="n"/>
      <c r="W142" s="544" t="n"/>
      <c r="X142" s="543" t="n"/>
      <c r="Y142" s="546" t="n"/>
      <c r="Z142" s="209" t="n"/>
    </row>
    <row r="143" ht="28.5" customFormat="1" customHeight="1" s="210">
      <c r="A143" s="196">
        <f>IF(B143,0,MATCH(H143,ВидыНагр,0))</f>
        <v/>
      </c>
      <c r="B143" s="154">
        <f>(COUNTIF(КлючВесна,D143)&lt;&gt;1)</f>
        <v/>
      </c>
      <c r="C143" s="196">
        <f>IF(COUNTA(E143:K143,Z143)&gt;0,1,0)+IF(COUNTA(L143:Y143)&gt;0,2,0)</f>
        <v/>
      </c>
      <c r="D143" s="179">
        <f>CONCATENATE("$",TRIM(F143),"$",TRIM(G143),"$",H143,"$")</f>
        <v/>
      </c>
      <c r="E143" s="197" t="n"/>
      <c r="F143" s="198" t="n"/>
      <c r="G143" s="199" t="n"/>
      <c r="H143" s="200" t="n"/>
      <c r="I143" s="201" t="n"/>
      <c r="J143" s="201" t="n"/>
      <c r="K143" s="202" t="n"/>
      <c r="L143" s="541" t="n"/>
      <c r="M143" s="542" t="n"/>
      <c r="N143" s="543" t="n"/>
      <c r="O143" s="541" t="n"/>
      <c r="P143" s="542" t="n"/>
      <c r="Q143" s="543" t="n"/>
      <c r="R143" s="541" t="n"/>
      <c r="S143" s="544" t="n"/>
      <c r="T143" s="543" t="n"/>
      <c r="U143" s="541" t="n"/>
      <c r="V143" s="545" t="n"/>
      <c r="W143" s="544" t="n"/>
      <c r="X143" s="543" t="n"/>
      <c r="Y143" s="546" t="n"/>
      <c r="Z143" s="209" t="n"/>
    </row>
    <row r="144" ht="28.5" customFormat="1" customHeight="1" s="210">
      <c r="A144" s="196">
        <f>IF(B144,0,MATCH(H144,ВидыНагр,0))</f>
        <v/>
      </c>
      <c r="B144" s="154">
        <f>(COUNTIF(КлючВесна,D144)&lt;&gt;1)</f>
        <v/>
      </c>
      <c r="C144" s="196">
        <f>IF(COUNTA(E144:K144,Z144)&gt;0,1,0)+IF(COUNTA(L144:Y144)&gt;0,2,0)</f>
        <v/>
      </c>
      <c r="D144" s="179">
        <f>CONCATENATE("$",TRIM(F144),"$",TRIM(G144),"$",H144,"$")</f>
        <v/>
      </c>
      <c r="E144" s="197" t="n"/>
      <c r="F144" s="198" t="n"/>
      <c r="G144" s="199" t="n"/>
      <c r="H144" s="200" t="n"/>
      <c r="I144" s="201" t="n"/>
      <c r="J144" s="201" t="n"/>
      <c r="K144" s="202" t="n"/>
      <c r="L144" s="541" t="n"/>
      <c r="M144" s="542" t="n"/>
      <c r="N144" s="543" t="n"/>
      <c r="O144" s="541" t="n"/>
      <c r="P144" s="542" t="n"/>
      <c r="Q144" s="543" t="n"/>
      <c r="R144" s="541" t="n"/>
      <c r="S144" s="544" t="n"/>
      <c r="T144" s="543" t="n"/>
      <c r="U144" s="541" t="n"/>
      <c r="V144" s="545" t="n"/>
      <c r="W144" s="544" t="n"/>
      <c r="X144" s="543" t="n"/>
      <c r="Y144" s="546" t="n"/>
      <c r="Z144" s="209" t="n"/>
    </row>
    <row r="145" ht="28.5" customFormat="1" customHeight="1" s="210">
      <c r="A145" s="196">
        <f>IF(B145,0,MATCH(H145,ВидыНагр,0))</f>
        <v/>
      </c>
      <c r="B145" s="154">
        <f>(COUNTIF(КлючВесна,D145)&lt;&gt;1)</f>
        <v/>
      </c>
      <c r="C145" s="196">
        <f>IF(COUNTA(E145:K145,Z145)&gt;0,1,0)+IF(COUNTA(L145:Y145)&gt;0,2,0)</f>
        <v/>
      </c>
      <c r="D145" s="179">
        <f>CONCATENATE("$",TRIM(F145),"$",TRIM(G145),"$",H145,"$")</f>
        <v/>
      </c>
      <c r="E145" s="197" t="n"/>
      <c r="F145" s="198" t="n"/>
      <c r="G145" s="199" t="n"/>
      <c r="H145" s="200" t="n"/>
      <c r="I145" s="201" t="n"/>
      <c r="J145" s="201" t="n"/>
      <c r="K145" s="202" t="n"/>
      <c r="L145" s="541" t="n"/>
      <c r="M145" s="542" t="n"/>
      <c r="N145" s="543" t="n"/>
      <c r="O145" s="541" t="n"/>
      <c r="P145" s="542" t="n"/>
      <c r="Q145" s="543" t="n"/>
      <c r="R145" s="541" t="n"/>
      <c r="S145" s="544" t="n"/>
      <c r="T145" s="543" t="n"/>
      <c r="U145" s="541" t="n"/>
      <c r="V145" s="545" t="n"/>
      <c r="W145" s="544" t="n"/>
      <c r="X145" s="543" t="n"/>
      <c r="Y145" s="546" t="n"/>
      <c r="Z145" s="209" t="n"/>
    </row>
    <row r="146" ht="28.5" customFormat="1" customHeight="1" s="210">
      <c r="A146" s="196">
        <f>IF(B146,0,MATCH(H146,ВидыНагр,0))</f>
        <v/>
      </c>
      <c r="B146" s="154">
        <f>(COUNTIF(КлючВесна,D146)&lt;&gt;1)</f>
        <v/>
      </c>
      <c r="C146" s="196">
        <f>IF(COUNTA(E146:K146,Z146)&gt;0,1,0)+IF(COUNTA(L146:Y146)&gt;0,2,0)</f>
        <v/>
      </c>
      <c r="D146" s="179">
        <f>CONCATENATE("$",TRIM(F146),"$",TRIM(G146),"$",H146,"$")</f>
        <v/>
      </c>
      <c r="E146" s="197" t="n"/>
      <c r="F146" s="198" t="n"/>
      <c r="G146" s="199" t="n"/>
      <c r="H146" s="200" t="n"/>
      <c r="I146" s="201" t="n"/>
      <c r="J146" s="201" t="n"/>
      <c r="K146" s="202" t="n"/>
      <c r="L146" s="541" t="n"/>
      <c r="M146" s="542" t="n"/>
      <c r="N146" s="543" t="n"/>
      <c r="O146" s="541" t="n"/>
      <c r="P146" s="542" t="n"/>
      <c r="Q146" s="543" t="n"/>
      <c r="R146" s="541" t="n"/>
      <c r="S146" s="544" t="n"/>
      <c r="T146" s="543" t="n"/>
      <c r="U146" s="541" t="n"/>
      <c r="V146" s="545" t="n"/>
      <c r="W146" s="544" t="n"/>
      <c r="X146" s="543" t="n"/>
      <c r="Y146" s="546" t="n"/>
      <c r="Z146" s="209" t="n"/>
    </row>
    <row r="147" ht="28.5" customFormat="1" customHeight="1" s="210">
      <c r="A147" s="196">
        <f>IF(B147,0,MATCH(H147,ВидыНагр,0))</f>
        <v/>
      </c>
      <c r="B147" s="154">
        <f>(COUNTIF(КлючВесна,D147)&lt;&gt;1)</f>
        <v/>
      </c>
      <c r="C147" s="196">
        <f>IF(COUNTA(E147:K147,Z147)&gt;0,1,0)+IF(COUNTA(L147:Y147)&gt;0,2,0)</f>
        <v/>
      </c>
      <c r="D147" s="179">
        <f>CONCATENATE("$",TRIM(F147),"$",TRIM(G147),"$",H147,"$")</f>
        <v/>
      </c>
      <c r="E147" s="197" t="n"/>
      <c r="F147" s="198" t="n"/>
      <c r="G147" s="199" t="n"/>
      <c r="H147" s="200" t="n"/>
      <c r="I147" s="201" t="n"/>
      <c r="J147" s="201" t="n"/>
      <c r="K147" s="202" t="n"/>
      <c r="L147" s="541" t="n"/>
      <c r="M147" s="542" t="n"/>
      <c r="N147" s="543" t="n"/>
      <c r="O147" s="541" t="n"/>
      <c r="P147" s="542" t="n"/>
      <c r="Q147" s="543" t="n"/>
      <c r="R147" s="541" t="n"/>
      <c r="S147" s="544" t="n"/>
      <c r="T147" s="543" t="n"/>
      <c r="U147" s="541" t="n"/>
      <c r="V147" s="545" t="n"/>
      <c r="W147" s="544" t="n"/>
      <c r="X147" s="543" t="n"/>
      <c r="Y147" s="546" t="n"/>
      <c r="Z147" s="209" t="n"/>
    </row>
    <row r="148" ht="28.5" customFormat="1" customHeight="1" s="210">
      <c r="A148" s="196">
        <f>IF(B148,0,MATCH(H148,ВидыНагр,0))</f>
        <v/>
      </c>
      <c r="B148" s="154">
        <f>(COUNTIF(КлючВесна,D148)&lt;&gt;1)</f>
        <v/>
      </c>
      <c r="C148" s="196">
        <f>IF(COUNTA(E148:K148,Z148)&gt;0,1,0)+IF(COUNTA(L148:Y148)&gt;0,2,0)</f>
        <v/>
      </c>
      <c r="D148" s="179">
        <f>CONCATENATE("$",TRIM(F148),"$",TRIM(G148),"$",H148,"$")</f>
        <v/>
      </c>
      <c r="E148" s="197" t="n"/>
      <c r="F148" s="198" t="n"/>
      <c r="G148" s="199" t="n"/>
      <c r="H148" s="200" t="n"/>
      <c r="I148" s="201" t="n"/>
      <c r="J148" s="201" t="n"/>
      <c r="K148" s="202" t="n"/>
      <c r="L148" s="541" t="n"/>
      <c r="M148" s="542" t="n"/>
      <c r="N148" s="543" t="n"/>
      <c r="O148" s="541" t="n"/>
      <c r="P148" s="542" t="n"/>
      <c r="Q148" s="543" t="n"/>
      <c r="R148" s="541" t="n"/>
      <c r="S148" s="544" t="n"/>
      <c r="T148" s="543" t="n"/>
      <c r="U148" s="541" t="n"/>
      <c r="V148" s="545" t="n"/>
      <c r="W148" s="544" t="n"/>
      <c r="X148" s="543" t="n"/>
      <c r="Y148" s="546" t="n"/>
      <c r="Z148" s="209" t="n"/>
    </row>
    <row r="149" ht="28.5" customFormat="1" customHeight="1" s="210">
      <c r="A149" s="196">
        <f>IF(B149,0,MATCH(H149,ВидыНагр,0))</f>
        <v/>
      </c>
      <c r="B149" s="154">
        <f>(COUNTIF(КлючВесна,D149)&lt;&gt;1)</f>
        <v/>
      </c>
      <c r="C149" s="196">
        <f>IF(COUNTA(E149:K149,Z149)&gt;0,1,0)+IF(COUNTA(L149:Y149)&gt;0,2,0)</f>
        <v/>
      </c>
      <c r="D149" s="179">
        <f>CONCATENATE("$",TRIM(F149),"$",TRIM(G149),"$",H149,"$")</f>
        <v/>
      </c>
      <c r="E149" s="197" t="n"/>
      <c r="F149" s="198" t="n"/>
      <c r="G149" s="199" t="n"/>
      <c r="H149" s="200" t="n"/>
      <c r="I149" s="201" t="n"/>
      <c r="J149" s="201" t="n"/>
      <c r="K149" s="202" t="n"/>
      <c r="L149" s="541" t="n"/>
      <c r="M149" s="542" t="n"/>
      <c r="N149" s="543" t="n"/>
      <c r="O149" s="541" t="n"/>
      <c r="P149" s="542" t="n"/>
      <c r="Q149" s="543" t="n"/>
      <c r="R149" s="541" t="n"/>
      <c r="S149" s="544" t="n"/>
      <c r="T149" s="543" t="n"/>
      <c r="U149" s="541" t="n"/>
      <c r="V149" s="545" t="n"/>
      <c r="W149" s="544" t="n"/>
      <c r="X149" s="543" t="n"/>
      <c r="Y149" s="546" t="n"/>
      <c r="Z149" s="209" t="n"/>
    </row>
    <row r="150" ht="28.5" customFormat="1" customHeight="1" s="210">
      <c r="A150" s="196">
        <f>IF(B150,0,MATCH(H150,ВидыНагр,0))</f>
        <v/>
      </c>
      <c r="B150" s="154">
        <f>(COUNTIF(КлючВесна,D150)&lt;&gt;1)</f>
        <v/>
      </c>
      <c r="C150" s="196">
        <f>IF(COUNTA(E150:K150,Z150)&gt;0,1,0)+IF(COUNTA(L150:Y150)&gt;0,2,0)</f>
        <v/>
      </c>
      <c r="D150" s="179">
        <f>CONCATENATE("$",TRIM(F150),"$",TRIM(G150),"$",H150,"$")</f>
        <v/>
      </c>
      <c r="E150" s="197" t="n"/>
      <c r="F150" s="198" t="n"/>
      <c r="G150" s="199" t="n"/>
      <c r="H150" s="200" t="n"/>
      <c r="I150" s="201" t="n"/>
      <c r="J150" s="201" t="n"/>
      <c r="K150" s="202" t="n"/>
      <c r="L150" s="541" t="n"/>
      <c r="M150" s="542" t="n"/>
      <c r="N150" s="543" t="n"/>
      <c r="O150" s="541" t="n"/>
      <c r="P150" s="542" t="n"/>
      <c r="Q150" s="543" t="n"/>
      <c r="R150" s="541" t="n"/>
      <c r="S150" s="544" t="n"/>
      <c r="T150" s="543" t="n"/>
      <c r="U150" s="541" t="n"/>
      <c r="V150" s="545" t="n"/>
      <c r="W150" s="544" t="n"/>
      <c r="X150" s="543" t="n"/>
      <c r="Y150" s="546" t="n"/>
      <c r="Z150" s="209" t="n"/>
    </row>
    <row r="151" ht="28.5" customFormat="1" customHeight="1" s="210">
      <c r="A151" s="196">
        <f>IF(B151,0,MATCH(H151,ВидыНагр,0))</f>
        <v/>
      </c>
      <c r="B151" s="154">
        <f>(COUNTIF(КлючВесна,D151)&lt;&gt;1)</f>
        <v/>
      </c>
      <c r="C151" s="196">
        <f>IF(COUNTA(E151:K151,Z151)&gt;0,1,0)+IF(COUNTA(L151:Y151)&gt;0,2,0)</f>
        <v/>
      </c>
      <c r="D151" s="179">
        <f>CONCATENATE("$",TRIM(F151),"$",TRIM(G151),"$",H151,"$")</f>
        <v/>
      </c>
      <c r="E151" s="197" t="n"/>
      <c r="F151" s="198" t="n"/>
      <c r="G151" s="199" t="n"/>
      <c r="H151" s="200" t="n"/>
      <c r="I151" s="201" t="n"/>
      <c r="J151" s="201" t="n"/>
      <c r="K151" s="202" t="n"/>
      <c r="L151" s="541" t="n"/>
      <c r="M151" s="542" t="n"/>
      <c r="N151" s="543" t="n"/>
      <c r="O151" s="541" t="n"/>
      <c r="P151" s="542" t="n"/>
      <c r="Q151" s="543" t="n"/>
      <c r="R151" s="541" t="n"/>
      <c r="S151" s="544" t="n"/>
      <c r="T151" s="543" t="n"/>
      <c r="U151" s="541" t="n"/>
      <c r="V151" s="545" t="n"/>
      <c r="W151" s="544" t="n"/>
      <c r="X151" s="543" t="n"/>
      <c r="Y151" s="546" t="n"/>
      <c r="Z151" s="209" t="n"/>
    </row>
    <row r="152" ht="28.5" customFormat="1" customHeight="1" s="210">
      <c r="A152" s="196">
        <f>IF(B152,0,MATCH(H152,ВидыНагр,0))</f>
        <v/>
      </c>
      <c r="B152" s="154">
        <f>(COUNTIF(КлючВесна,D152)&lt;&gt;1)</f>
        <v/>
      </c>
      <c r="C152" s="196">
        <f>IF(COUNTA(E152:K152,Z152)&gt;0,1,0)+IF(COUNTA(L152:Y152)&gt;0,2,0)</f>
        <v/>
      </c>
      <c r="D152" s="179">
        <f>CONCATENATE("$",TRIM(F152),"$",TRIM(G152),"$",H152,"$")</f>
        <v/>
      </c>
      <c r="E152" s="197" t="n"/>
      <c r="F152" s="198" t="n"/>
      <c r="G152" s="199" t="n"/>
      <c r="H152" s="200" t="n"/>
      <c r="I152" s="201" t="n"/>
      <c r="J152" s="201" t="n"/>
      <c r="K152" s="202" t="n"/>
      <c r="L152" s="541" t="n"/>
      <c r="M152" s="542" t="n"/>
      <c r="N152" s="543" t="n"/>
      <c r="O152" s="541" t="n"/>
      <c r="P152" s="542" t="n"/>
      <c r="Q152" s="543" t="n"/>
      <c r="R152" s="541" t="n"/>
      <c r="S152" s="544" t="n"/>
      <c r="T152" s="543" t="n"/>
      <c r="U152" s="541" t="n"/>
      <c r="V152" s="545" t="n"/>
      <c r="W152" s="544" t="n"/>
      <c r="X152" s="543" t="n"/>
      <c r="Y152" s="546" t="n"/>
      <c r="Z152" s="209" t="n"/>
    </row>
    <row r="153" ht="28.5" customFormat="1" customHeight="1" s="210">
      <c r="A153" s="196">
        <f>IF(B153,0,MATCH(H153,ВидыНагр,0))</f>
        <v/>
      </c>
      <c r="B153" s="154">
        <f>(COUNTIF(КлючВесна,D153)&lt;&gt;1)</f>
        <v/>
      </c>
      <c r="C153" s="196">
        <f>IF(COUNTA(E153:K153,Z153)&gt;0,1,0)+IF(COUNTA(L153:Y153)&gt;0,2,0)</f>
        <v/>
      </c>
      <c r="D153" s="179">
        <f>CONCATENATE("$",TRIM(F153),"$",TRIM(G153),"$",H153,"$")</f>
        <v/>
      </c>
      <c r="E153" s="197" t="n"/>
      <c r="F153" s="198" t="n"/>
      <c r="G153" s="199" t="n"/>
      <c r="H153" s="200" t="n"/>
      <c r="I153" s="201" t="n"/>
      <c r="J153" s="201" t="n"/>
      <c r="K153" s="202" t="n"/>
      <c r="L153" s="541" t="n"/>
      <c r="M153" s="542" t="n"/>
      <c r="N153" s="543" t="n"/>
      <c r="O153" s="541" t="n"/>
      <c r="P153" s="542" t="n"/>
      <c r="Q153" s="543" t="n"/>
      <c r="R153" s="541" t="n"/>
      <c r="S153" s="544" t="n"/>
      <c r="T153" s="543" t="n"/>
      <c r="U153" s="541" t="n"/>
      <c r="V153" s="545" t="n"/>
      <c r="W153" s="544" t="n"/>
      <c r="X153" s="543" t="n"/>
      <c r="Y153" s="546" t="n"/>
      <c r="Z153" s="209" t="n"/>
    </row>
    <row r="154" ht="28.5" customFormat="1" customHeight="1" s="210">
      <c r="A154" s="196">
        <f>IF(B154,0,MATCH(H154,ВидыНагр,0))</f>
        <v/>
      </c>
      <c r="B154" s="154">
        <f>(COUNTIF(КлючВесна,D154)&lt;&gt;1)</f>
        <v/>
      </c>
      <c r="C154" s="196">
        <f>IF(COUNTA(E154:K154,Z154)&gt;0,1,0)+IF(COUNTA(L154:Y154)&gt;0,2,0)</f>
        <v/>
      </c>
      <c r="D154" s="179">
        <f>CONCATENATE("$",TRIM(F154),"$",TRIM(G154),"$",H154,"$")</f>
        <v/>
      </c>
      <c r="E154" s="197" t="n"/>
      <c r="F154" s="198" t="n"/>
      <c r="G154" s="199" t="n"/>
      <c r="H154" s="200" t="n"/>
      <c r="I154" s="201" t="n"/>
      <c r="J154" s="201" t="n"/>
      <c r="K154" s="202" t="n"/>
      <c r="L154" s="541" t="n"/>
      <c r="M154" s="542" t="n"/>
      <c r="N154" s="543" t="n"/>
      <c r="O154" s="541" t="n"/>
      <c r="P154" s="542" t="n"/>
      <c r="Q154" s="543" t="n"/>
      <c r="R154" s="541" t="n"/>
      <c r="S154" s="544" t="n"/>
      <c r="T154" s="543" t="n"/>
      <c r="U154" s="541" t="n"/>
      <c r="V154" s="545" t="n"/>
      <c r="W154" s="544" t="n"/>
      <c r="X154" s="543" t="n"/>
      <c r="Y154" s="546" t="n"/>
      <c r="Z154" s="209" t="n"/>
    </row>
    <row r="155" ht="28.5" customFormat="1" customHeight="1" s="210">
      <c r="A155" s="196">
        <f>IF(B155,0,MATCH(H155,ВидыНагр,0))</f>
        <v/>
      </c>
      <c r="B155" s="154">
        <f>(COUNTIF(КлючВесна,D155)&lt;&gt;1)</f>
        <v/>
      </c>
      <c r="C155" s="196">
        <f>IF(COUNTA(E155:K155,Z155)&gt;0,1,0)+IF(COUNTA(L155:Y155)&gt;0,2,0)</f>
        <v/>
      </c>
      <c r="D155" s="179">
        <f>CONCATENATE("$",TRIM(F155),"$",TRIM(G155),"$",H155,"$")</f>
        <v/>
      </c>
      <c r="E155" s="197" t="n"/>
      <c r="F155" s="198" t="n"/>
      <c r="G155" s="199" t="n"/>
      <c r="H155" s="200" t="n"/>
      <c r="I155" s="201" t="n"/>
      <c r="J155" s="201" t="n"/>
      <c r="K155" s="202" t="n"/>
      <c r="L155" s="541" t="n"/>
      <c r="M155" s="542" t="n"/>
      <c r="N155" s="543" t="n"/>
      <c r="O155" s="541" t="n"/>
      <c r="P155" s="542" t="n"/>
      <c r="Q155" s="543" t="n"/>
      <c r="R155" s="541" t="n"/>
      <c r="S155" s="544" t="n"/>
      <c r="T155" s="543" t="n"/>
      <c r="U155" s="541" t="n"/>
      <c r="V155" s="545" t="n"/>
      <c r="W155" s="544" t="n"/>
      <c r="X155" s="543" t="n"/>
      <c r="Y155" s="546" t="n"/>
      <c r="Z155" s="209" t="n"/>
    </row>
    <row r="156" ht="28.5" customFormat="1" customHeight="1" s="210">
      <c r="A156" s="196">
        <f>IF(B156,0,MATCH(H156,ВидыНагр,0))</f>
        <v/>
      </c>
      <c r="B156" s="154">
        <f>(COUNTIF(КлючВесна,D156)&lt;&gt;1)</f>
        <v/>
      </c>
      <c r="C156" s="196">
        <f>IF(COUNTA(E156:K156,Z156)&gt;0,1,0)+IF(COUNTA(L156:Y156)&gt;0,2,0)</f>
        <v/>
      </c>
      <c r="D156" s="179">
        <f>CONCATENATE("$",TRIM(F156),"$",TRIM(G156),"$",H156,"$")</f>
        <v/>
      </c>
      <c r="E156" s="197" t="n"/>
      <c r="F156" s="198" t="n"/>
      <c r="G156" s="199" t="n"/>
      <c r="H156" s="200" t="n"/>
      <c r="I156" s="201" t="n"/>
      <c r="J156" s="201" t="n"/>
      <c r="K156" s="202" t="n"/>
      <c r="L156" s="541" t="n"/>
      <c r="M156" s="542" t="n"/>
      <c r="N156" s="543" t="n"/>
      <c r="O156" s="541" t="n"/>
      <c r="P156" s="542" t="n"/>
      <c r="Q156" s="543" t="n"/>
      <c r="R156" s="541" t="n"/>
      <c r="S156" s="544" t="n"/>
      <c r="T156" s="543" t="n"/>
      <c r="U156" s="541" t="n"/>
      <c r="V156" s="545" t="n"/>
      <c r="W156" s="544" t="n"/>
      <c r="X156" s="543" t="n"/>
      <c r="Y156" s="546" t="n"/>
      <c r="Z156" s="209" t="n"/>
    </row>
    <row r="157" ht="28.5" customFormat="1" customHeight="1" s="210">
      <c r="A157" s="196">
        <f>IF(B157,0,MATCH(H157,ВидыНагр,0))</f>
        <v/>
      </c>
      <c r="B157" s="154">
        <f>(COUNTIF(КлючВесна,D157)&lt;&gt;1)</f>
        <v/>
      </c>
      <c r="C157" s="196">
        <f>IF(COUNTA(E157:K157,Z157)&gt;0,1,0)+IF(COUNTA(L157:Y157)&gt;0,2,0)</f>
        <v/>
      </c>
      <c r="D157" s="179">
        <f>CONCATENATE("$",TRIM(F157),"$",TRIM(G157),"$",H157,"$")</f>
        <v/>
      </c>
      <c r="E157" s="197" t="n"/>
      <c r="F157" s="198" t="n"/>
      <c r="G157" s="199" t="n"/>
      <c r="H157" s="200" t="n"/>
      <c r="I157" s="201" t="n"/>
      <c r="J157" s="201" t="n"/>
      <c r="K157" s="202" t="n"/>
      <c r="L157" s="541" t="n"/>
      <c r="M157" s="542" t="n"/>
      <c r="N157" s="543" t="n"/>
      <c r="O157" s="541" t="n"/>
      <c r="P157" s="542" t="n"/>
      <c r="Q157" s="543" t="n"/>
      <c r="R157" s="541" t="n"/>
      <c r="S157" s="544" t="n"/>
      <c r="T157" s="543" t="n"/>
      <c r="U157" s="541" t="n"/>
      <c r="V157" s="545" t="n"/>
      <c r="W157" s="544" t="n"/>
      <c r="X157" s="543" t="n"/>
      <c r="Y157" s="546" t="n"/>
      <c r="Z157" s="209" t="n"/>
    </row>
    <row r="158" ht="28.5" customFormat="1" customHeight="1" s="210">
      <c r="A158" s="196">
        <f>IF(B158,0,MATCH(H158,ВидыНагр,0))</f>
        <v/>
      </c>
      <c r="B158" s="154">
        <f>(COUNTIF(КлючВесна,D158)&lt;&gt;1)</f>
        <v/>
      </c>
      <c r="C158" s="196">
        <f>IF(COUNTA(E158:K158,Z158)&gt;0,1,0)+IF(COUNTA(L158:Y158)&gt;0,2,0)</f>
        <v/>
      </c>
      <c r="D158" s="179">
        <f>CONCATENATE("$",TRIM(F158),"$",TRIM(G158),"$",H158,"$")</f>
        <v/>
      </c>
      <c r="E158" s="197" t="n"/>
      <c r="F158" s="198" t="n"/>
      <c r="G158" s="199" t="n"/>
      <c r="H158" s="200" t="n"/>
      <c r="I158" s="201" t="n"/>
      <c r="J158" s="201" t="n"/>
      <c r="K158" s="202" t="n"/>
      <c r="L158" s="541" t="n"/>
      <c r="M158" s="542" t="n"/>
      <c r="N158" s="543" t="n"/>
      <c r="O158" s="541" t="n"/>
      <c r="P158" s="542" t="n"/>
      <c r="Q158" s="543" t="n"/>
      <c r="R158" s="541" t="n"/>
      <c r="S158" s="544" t="n"/>
      <c r="T158" s="543" t="n"/>
      <c r="U158" s="541" t="n"/>
      <c r="V158" s="545" t="n"/>
      <c r="W158" s="544" t="n"/>
      <c r="X158" s="543" t="n"/>
      <c r="Y158" s="546" t="n"/>
      <c r="Z158" s="209" t="n"/>
    </row>
    <row r="159" ht="28.5" customFormat="1" customHeight="1" s="210">
      <c r="A159" s="196">
        <f>IF(B159,0,MATCH(H159,ВидыНагр,0))</f>
        <v/>
      </c>
      <c r="B159" s="154">
        <f>(COUNTIF(КлючВесна,D159)&lt;&gt;1)</f>
        <v/>
      </c>
      <c r="C159" s="196">
        <f>IF(COUNTA(E159:K159,Z159)&gt;0,1,0)+IF(COUNTA(L159:Y159)&gt;0,2,0)</f>
        <v/>
      </c>
      <c r="D159" s="179">
        <f>CONCATENATE("$",TRIM(F159),"$",TRIM(G159),"$",H159,"$")</f>
        <v/>
      </c>
      <c r="E159" s="197" t="n"/>
      <c r="F159" s="198" t="n"/>
      <c r="G159" s="199" t="n"/>
      <c r="H159" s="200" t="n"/>
      <c r="I159" s="201" t="n"/>
      <c r="J159" s="201" t="n"/>
      <c r="K159" s="202" t="n"/>
      <c r="L159" s="541" t="n"/>
      <c r="M159" s="542" t="n"/>
      <c r="N159" s="543" t="n"/>
      <c r="O159" s="541" t="n"/>
      <c r="P159" s="542" t="n"/>
      <c r="Q159" s="543" t="n"/>
      <c r="R159" s="541" t="n"/>
      <c r="S159" s="544" t="n"/>
      <c r="T159" s="543" t="n"/>
      <c r="U159" s="541" t="n"/>
      <c r="V159" s="545" t="n"/>
      <c r="W159" s="544" t="n"/>
      <c r="X159" s="543" t="n"/>
      <c r="Y159" s="546" t="n"/>
      <c r="Z159" s="209" t="n"/>
    </row>
    <row r="160">
      <c r="D160" s="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sheetData>
  <sheetProtection selectLockedCells="0" selectUnlockedCells="0" algorithmName="SHA-512" sheet="1" objects="1" insertRows="1" insertHyperlinks="1" autoFilter="1" scenarios="1" formatColumns="1" deleteColumns="1" insertColumns="1" pivotTables="1" deleteRows="1" formatCells="1" saltValue="CfK60NNY+ZXTgk35wpdf1w==" formatRows="1" sort="1" spinCount="100000" hashValue="GyciD8F/a2+zpkIKjksdBYClMpPsF5PE3IiVmqHPxOK3D/FQEGfJomwu49kcunweTTBY9RR3dFwxCS1+Pfr4nA=="/>
  <mergeCells count="5">
    <mergeCell ref="I4:J4"/>
    <mergeCell ref="I2:J2"/>
    <mergeCell ref="F2:F5"/>
    <mergeCell ref="G2:G5"/>
    <mergeCell ref="I3:J3"/>
  </mergeCells>
  <conditionalFormatting sqref="E7:Z159">
    <cfRule type="expression" priority="3" dxfId="5" stopIfTrue="1">
      <formula>($C7=0)</formula>
    </cfRule>
  </conditionalFormatting>
  <conditionalFormatting sqref="F6:H6">
    <cfRule type="expression" priority="2" dxfId="0" stopIfTrue="1">
      <formula>$G$6&lt;&gt;0</formula>
    </cfRule>
  </conditionalFormatting>
  <conditionalFormatting sqref="F7:H159">
    <cfRule type="expression" priority="4" dxfId="1" stopIfTrue="1">
      <formula>$B7</formula>
    </cfRule>
  </conditionalFormatting>
  <conditionalFormatting sqref="L6:Y6">
    <cfRule type="cellIs" priority="1" operator="notEqual" dxfId="0" stopIfTrue="1">
      <formula>0</formula>
    </cfRule>
  </conditionalFormatting>
  <conditionalFormatting sqref="L7:Y159">
    <cfRule type="expression" priority="5" dxfId="1" stopIfTrue="1">
      <formula>AND(NOT($B7),$C7&lt;2)</formula>
    </cfRule>
    <cfRule type="expression" priority="6" dxfId="0" stopIfTrue="1">
      <formula>AND($B7,L7&lt;&gt;0)</formula>
    </cfRule>
  </conditionalFormatting>
  <dataValidations count="4">
    <dataValidation sqref="F7:F159" showDropDown="0" showInputMessage="1" showErrorMessage="0" allowBlank="1" type="list">
      <formula1>OFFSET(ДисциплиныВесна,0,0,ДисциплиныВеснаКол,1)</formula1>
    </dataValidation>
    <dataValidation sqref="G7:G159" showDropDown="0" showInputMessage="1" showErrorMessage="0" allowBlank="1" type="list">
      <formula1>OFFSET(ГруппыВесна,0,0,ГруппыВеснаКол,1)</formula1>
    </dataValidation>
    <dataValidation sqref="H7:H159" showDropDown="0" showInputMessage="1" showErrorMessage="0" allowBlank="1" type="list">
      <formula1>ВидыНагр</formula1>
    </dataValidation>
    <dataValidation sqref="E7:E159" showDropDown="0" showInputMessage="1" showErrorMessage="1" allowBlank="1" type="whole">
      <formula1>1</formula1>
      <formula2>31</formula2>
    </dataValidation>
  </dataValidations>
  <printOptions horizontalCentered="1"/>
  <pageMargins left="0.3937007874015748" right="0.3937007874015748" top="1.181102362204725" bottom="0.5905511811023623" header="0.984251968503937" footer="0.3937007874015748"/>
  <pageSetup orientation="landscape" paperSize="9" scale="63" fitToHeight="10"/>
  <headerFooter>
    <oddHeader>&amp;L&amp;F&amp;C&amp;"Open Sans,полужирный"Месяц &amp;A &amp;"Open Sans,обычный"(с. &amp;P из &amp;N)&amp;R&amp;D  &amp;T</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Smorodinov</dc:creator>
  <dcterms:created xmlns:dcterms="http://purl.org/dc/terms/" xmlns:xsi="http://www.w3.org/2001/XMLSchema-instance" xsi:type="dcterms:W3CDTF">2005-09-09T07:58:38Z</dcterms:created>
  <dcterms:modified xmlns:dcterms="http://purl.org/dc/terms/" xmlns:xsi="http://www.w3.org/2001/XMLSchema-instance" xsi:type="dcterms:W3CDTF">2025-10-08T17:33:35Z</dcterms:modified>
  <cp:lastModifiedBy>Александр Смородинов</cp:lastModifiedBy>
  <cp:lastPrinted>2024-10-03T04:55:53Z</cp:lastPrinted>
</cp:coreProperties>
</file>