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jpeg" ContentType="image/jpe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/>
  <workbookPr codeName="ЭтаКнига" defaultThemeVersion="153222"/>
  <mc:AlternateContent xmlns:mc="http://schemas.openxmlformats.org/markup-compatibility/2006">
    <mc:Choice Requires="x15">
      <x15ac:absPath xmlns:x15ac="http://schemas.microsoft.com/office/spreadsheetml/2010/11/ac" url="C:\Users\gpv.iff\Documents\Кафедра\Автоматизация нагрузки\2025-2026\"/>
    </mc:Choice>
  </mc:AlternateContent>
  <workbookProtection workbookAlgorithmName="SHA-512" workbookHashValue="9dIltShycdivQ7YKGL6/sTpkC7GMtODsQpbUjAE1heyL/Gs/e2z5IQimns1FV6LDFWoq6T4KfUh08whk16kBFA==" workbookSaltValue="W06rzn5VlD1pTZnGb3y7IQ==" workbookSpinCount="100000" lockStructure="1"/>
  <bookViews>
    <workbookView xWindow="0" yWindow="0" windowWidth="28800" windowHeight="12030" firstSheet="2" activeTab="2"/>
  </bookViews>
  <sheets>
    <sheet name="Списки" sheetId="42" state="veryHidden" r:id="rId1"/>
    <sheet name="Нормы" sheetId="24" state="veryHidden" r:id="rId2"/>
    <sheet name="Инфо" sheetId="38" r:id="rId3"/>
    <sheet name="титул" sheetId="49" r:id="rId4"/>
    <sheet name="осень" sheetId="1" r:id="rId5"/>
    <sheet name="весна" sheetId="4" r:id="rId6"/>
    <sheet name="карточка" sheetId="47" r:id="rId7"/>
    <sheet name="09" sheetId="26" r:id="rId8"/>
    <sheet name="10" sheetId="27" r:id="rId9"/>
    <sheet name="11" sheetId="28" r:id="rId10"/>
    <sheet name="12" sheetId="29" r:id="rId11"/>
    <sheet name="01" sheetId="30" r:id="rId12"/>
    <sheet name="02" sheetId="31" r:id="rId13"/>
    <sheet name="03" sheetId="32" r:id="rId14"/>
    <sheet name="04" sheetId="33" r:id="rId15"/>
    <sheet name="05" sheetId="34" r:id="rId16"/>
    <sheet name="06" sheetId="35" r:id="rId17"/>
    <sheet name="07" sheetId="36" r:id="rId18"/>
    <sheet name="08" sheetId="37" r:id="rId19"/>
  </sheets>
  <definedNames>
    <definedName name="_xlnm._FilterDatabase" localSheetId="11" hidden="1">'01'!#REF!</definedName>
    <definedName name="_xlnm._FilterDatabase" localSheetId="12" hidden="1">'02'!#REF!</definedName>
    <definedName name="_xlnm._FilterDatabase" localSheetId="13" hidden="1">'03'!#REF!</definedName>
    <definedName name="_xlnm._FilterDatabase" localSheetId="14" hidden="1">'04'!#REF!</definedName>
    <definedName name="_xlnm._FilterDatabase" localSheetId="15" hidden="1">'05'!#REF!</definedName>
    <definedName name="_xlnm._FilterDatabase" localSheetId="16" hidden="1">'06'!#REF!</definedName>
    <definedName name="_xlnm._FilterDatabase" localSheetId="17" hidden="1">'07'!#REF!</definedName>
    <definedName name="_xlnm._FilterDatabase" localSheetId="18" hidden="1">'08'!#REF!</definedName>
    <definedName name="_xlnm._FilterDatabase" localSheetId="7" hidden="1">'09'!#REF!</definedName>
    <definedName name="_xlnm._FilterDatabase" localSheetId="8" hidden="1">'10'!#REF!</definedName>
    <definedName name="_xlnm._FilterDatabase" localSheetId="9" hidden="1">'11'!#REF!</definedName>
    <definedName name="_xlnm._FilterDatabase" localSheetId="10" hidden="1">'12'!#REF!</definedName>
    <definedName name="_xlnm._FilterDatabase" localSheetId="1" hidden="1">Нормы!$A$11:$A$11</definedName>
    <definedName name="Form_PPS_build">Нормы!$F$19</definedName>
    <definedName name="Form_PPS_v_major">Нормы!$F$15</definedName>
    <definedName name="Form_PPS_v_minor">Нормы!$F$16</definedName>
    <definedName name="ВидыНагр">Нормы!$C$72:$C$74</definedName>
    <definedName name="ВидыНагрузки">Нормы!$A$72:$A$74</definedName>
    <definedName name="ГруппыВесна">Списки!$P$2:$P$175</definedName>
    <definedName name="ГруппыВеснаКол">Списки!$O$177</definedName>
    <definedName name="ГруппыОсень">Списки!$H$2:$H$175</definedName>
    <definedName name="ГруппыОсеньКол">Списки!$G$177</definedName>
    <definedName name="ДисциплиныВесна">Списки!$L$2:$L$175</definedName>
    <definedName name="ДисциплиныВеснаКол">Списки!$K$177</definedName>
    <definedName name="ДисциплиныОсень">Списки!$D$2:$D$175</definedName>
    <definedName name="ДисциплиныОсеньКол">Списки!$C$177</definedName>
    <definedName name="ДолжностиППС">Нормы!$A$15:$A$22</definedName>
    <definedName name="ДолжностиППС_С">Нормы!$A$15:$A$22</definedName>
    <definedName name="ДопОбязанности">Нормы!$A$122:$A$124</definedName>
    <definedName name="_xlnm.Print_Titles" localSheetId="11">'01'!$1:$1</definedName>
    <definedName name="_xlnm.Print_Titles" localSheetId="12">'02'!$1:$1</definedName>
    <definedName name="_xlnm.Print_Titles" localSheetId="13">'03'!$1:$1</definedName>
    <definedName name="_xlnm.Print_Titles" localSheetId="14">'04'!$1:$1</definedName>
    <definedName name="_xlnm.Print_Titles" localSheetId="15">'05'!$1:$1</definedName>
    <definedName name="_xlnm.Print_Titles" localSheetId="16">'06'!$1:$1</definedName>
    <definedName name="_xlnm.Print_Titles" localSheetId="17">'07'!$1:$1</definedName>
    <definedName name="_xlnm.Print_Titles" localSheetId="18">'08'!$1:$1</definedName>
    <definedName name="_xlnm.Print_Titles" localSheetId="7">'09'!$1:$1</definedName>
    <definedName name="_xlnm.Print_Titles" localSheetId="8">'10'!$1:$1</definedName>
    <definedName name="_xlnm.Print_Titles" localSheetId="9">'11'!$1:$1</definedName>
    <definedName name="_xlnm.Print_Titles" localSheetId="10">'12'!$1:$1</definedName>
    <definedName name="_xlnm.Print_Titles" localSheetId="5">весна!$2:$2</definedName>
    <definedName name="_xlnm.Print_Titles" localSheetId="4">осень!$2:$2</definedName>
    <definedName name="ЗаданияВесна">весна!$D$5:$F$180</definedName>
    <definedName name="ЗаданияОсень">осень!$D$5:$F$180</definedName>
    <definedName name="ЗванияППС">Нормы!$C$26:$C$28</definedName>
    <definedName name="Институты">Нормы!$A$77:$A$82</definedName>
    <definedName name="Кафедры">Нормы!$A$86:$A$119</definedName>
    <definedName name="КлючВесна">весна!$C$5:$C$178</definedName>
    <definedName name="КлючОсень">осень!$C$5:$C$178</definedName>
    <definedName name="_xlnm.Print_Area" localSheetId="11">'01'!$E$1:$Z$159</definedName>
    <definedName name="_xlnm.Print_Area" localSheetId="12">'02'!$E$1:$Z$159</definedName>
    <definedName name="_xlnm.Print_Area" localSheetId="13">'03'!$E$1:$Z$159</definedName>
    <definedName name="_xlnm.Print_Area" localSheetId="14">'04'!$E$1:$Z$159</definedName>
    <definedName name="_xlnm.Print_Area" localSheetId="15">'05'!$E$1:$Z$159</definedName>
    <definedName name="_xlnm.Print_Area" localSheetId="16">'06'!$E$1:$Z$159</definedName>
    <definedName name="_xlnm.Print_Area" localSheetId="17">'07'!$E$1:$Z$159</definedName>
    <definedName name="_xlnm.Print_Area" localSheetId="18">'08'!$E$1:$Z$159</definedName>
    <definedName name="_xlnm.Print_Area" localSheetId="7">'09'!$E$1:$Z$159</definedName>
    <definedName name="_xlnm.Print_Area" localSheetId="8">'10'!$E$1:$Z$159</definedName>
    <definedName name="_xlnm.Print_Area" localSheetId="9">'11'!$E$1:$Z$159</definedName>
    <definedName name="_xlnm.Print_Area" localSheetId="10">'12'!$E$1:$Z$159</definedName>
    <definedName name="_xlnm.Print_Area" localSheetId="5">весна!$D$2:$Z$178</definedName>
    <definedName name="_xlnm.Print_Area" localSheetId="2">Инфо!$A:$B</definedName>
    <definedName name="_xlnm.Print_Area" localSheetId="6">карточка!$A$3:$S$78</definedName>
    <definedName name="_xlnm.Print_Area" localSheetId="4">осень!$D$2:$Z$178</definedName>
    <definedName name="_xlnm.Print_Area" localSheetId="3">титул!$A$1:$F$44</definedName>
    <definedName name="ОтраслиНаук">Нормы!$A$31:$A$53</definedName>
    <definedName name="Ставка">Нормы!$F$11</definedName>
    <definedName name="Ставка_С">Нормы!$F$12</definedName>
    <definedName name="СтепениППС">Нормы!$B$23:$B$25</definedName>
    <definedName name="Т_Должность">титул!$B$16</definedName>
    <definedName name="Т_Должность_С">титул!$F$16</definedName>
    <definedName name="Т_Звание">титул!$B$19</definedName>
    <definedName name="Т_Институт">титул!$B$8</definedName>
    <definedName name="Т_Кафедра">титул!$B$9</definedName>
    <definedName name="Т_Преподаватель">титул!$B$15</definedName>
    <definedName name="Т_Степень">титул!$B$18</definedName>
    <definedName name="Т_УчГод">титул!$B$11</definedName>
    <definedName name="Т_Форма">титул!$B$12</definedName>
    <definedName name="УровниООП">Нормы!$A$56:$A$62</definedName>
    <definedName name="Утв_Весна">титул!$A$40</definedName>
    <definedName name="Утв_Осень">титул!$A$39</definedName>
    <definedName name="Утв_План">титул!$A$38</definedName>
    <definedName name="ФормыООП">Нормы!$A$65:$A$69</definedName>
  </definedNames>
  <calcPr calcId="162913"/>
</workbook>
</file>

<file path=xl/calcChain.xml><?xml version="1.0" encoding="utf-8"?>
<calcChain xmlns="http://schemas.openxmlformats.org/spreadsheetml/2006/main">
  <c r="F7" i="49" l="1"/>
  <c r="A2" i="42" l="1"/>
  <c r="F29" i="49" l="1"/>
  <c r="A4" i="42"/>
  <c r="E4" i="42"/>
  <c r="I4" i="42"/>
  <c r="M4" i="42"/>
  <c r="A5" i="42"/>
  <c r="E5" i="42"/>
  <c r="I5" i="42"/>
  <c r="M5" i="42"/>
  <c r="A6" i="42"/>
  <c r="E6" i="42"/>
  <c r="I6" i="42"/>
  <c r="M6" i="42"/>
  <c r="A7" i="42"/>
  <c r="E7" i="42"/>
  <c r="I7" i="42"/>
  <c r="M7" i="42"/>
  <c r="A8" i="42"/>
  <c r="E8" i="42"/>
  <c r="I8" i="42"/>
  <c r="M8" i="42"/>
  <c r="A9" i="42"/>
  <c r="E9" i="42"/>
  <c r="I9" i="42"/>
  <c r="M9" i="42"/>
  <c r="A10" i="42"/>
  <c r="E10" i="42"/>
  <c r="I10" i="42"/>
  <c r="M10" i="42"/>
  <c r="A11" i="42"/>
  <c r="E11" i="42"/>
  <c r="I11" i="42"/>
  <c r="M11" i="42"/>
  <c r="A12" i="42"/>
  <c r="E12" i="42"/>
  <c r="I12" i="42"/>
  <c r="M12" i="42"/>
  <c r="A13" i="42"/>
  <c r="E13" i="42"/>
  <c r="I13" i="42"/>
  <c r="M13" i="42"/>
  <c r="A14" i="42"/>
  <c r="E14" i="42"/>
  <c r="I14" i="42"/>
  <c r="M14" i="42"/>
  <c r="A15" i="42"/>
  <c r="E15" i="42"/>
  <c r="I15" i="42"/>
  <c r="M15" i="42"/>
  <c r="A16" i="42"/>
  <c r="E16" i="42"/>
  <c r="I16" i="42"/>
  <c r="M16" i="42"/>
  <c r="A17" i="42"/>
  <c r="E17" i="42"/>
  <c r="I17" i="42"/>
  <c r="M17" i="42"/>
  <c r="A18" i="42"/>
  <c r="E18" i="42"/>
  <c r="I18" i="42"/>
  <c r="M18" i="42"/>
  <c r="A19" i="42"/>
  <c r="E19" i="42"/>
  <c r="I19" i="42"/>
  <c r="M19" i="42"/>
  <c r="A20" i="42"/>
  <c r="E20" i="42"/>
  <c r="I20" i="42"/>
  <c r="M20" i="42"/>
  <c r="A21" i="42"/>
  <c r="E21" i="42"/>
  <c r="I21" i="42"/>
  <c r="M21" i="42"/>
  <c r="A22" i="42"/>
  <c r="E22" i="42"/>
  <c r="I22" i="42"/>
  <c r="M22" i="42"/>
  <c r="A23" i="42"/>
  <c r="E23" i="42"/>
  <c r="I23" i="42"/>
  <c r="M23" i="42"/>
  <c r="A24" i="42"/>
  <c r="E24" i="42"/>
  <c r="I24" i="42"/>
  <c r="M24" i="42"/>
  <c r="A25" i="42"/>
  <c r="E25" i="42"/>
  <c r="I25" i="42"/>
  <c r="M25" i="42"/>
  <c r="A26" i="42"/>
  <c r="E26" i="42"/>
  <c r="I26" i="42"/>
  <c r="M26" i="42"/>
  <c r="A27" i="42"/>
  <c r="E27" i="42"/>
  <c r="I27" i="42"/>
  <c r="M27" i="42"/>
  <c r="A28" i="42"/>
  <c r="E28" i="42"/>
  <c r="I28" i="42"/>
  <c r="M28" i="42"/>
  <c r="A29" i="42"/>
  <c r="E29" i="42"/>
  <c r="I29" i="42"/>
  <c r="M29" i="42"/>
  <c r="A30" i="42"/>
  <c r="E30" i="42"/>
  <c r="I30" i="42"/>
  <c r="M30" i="42"/>
  <c r="A31" i="42"/>
  <c r="E31" i="42"/>
  <c r="I31" i="42"/>
  <c r="M31" i="42"/>
  <c r="A32" i="42"/>
  <c r="E32" i="42"/>
  <c r="I32" i="42"/>
  <c r="M32" i="42"/>
  <c r="A33" i="42"/>
  <c r="E33" i="42"/>
  <c r="I33" i="42"/>
  <c r="M33" i="42"/>
  <c r="A34" i="42"/>
  <c r="E34" i="42"/>
  <c r="I34" i="42"/>
  <c r="M34" i="42"/>
  <c r="A35" i="42"/>
  <c r="E35" i="42"/>
  <c r="I35" i="42"/>
  <c r="M35" i="42"/>
  <c r="A36" i="42"/>
  <c r="E36" i="42"/>
  <c r="I36" i="42"/>
  <c r="M36" i="42"/>
  <c r="A37" i="42"/>
  <c r="E37" i="42"/>
  <c r="I37" i="42"/>
  <c r="M37" i="42"/>
  <c r="A38" i="42"/>
  <c r="E38" i="42"/>
  <c r="I38" i="42"/>
  <c r="M38" i="42"/>
  <c r="A39" i="42"/>
  <c r="E39" i="42"/>
  <c r="I39" i="42"/>
  <c r="M39" i="42"/>
  <c r="A40" i="42"/>
  <c r="E40" i="42"/>
  <c r="I40" i="42"/>
  <c r="M40" i="42"/>
  <c r="A41" i="42"/>
  <c r="E41" i="42"/>
  <c r="I41" i="42"/>
  <c r="M41" i="42"/>
  <c r="A42" i="42"/>
  <c r="E42" i="42"/>
  <c r="I42" i="42"/>
  <c r="M42" i="42"/>
  <c r="A43" i="42"/>
  <c r="E43" i="42"/>
  <c r="I43" i="42"/>
  <c r="M43" i="42"/>
  <c r="A44" i="42"/>
  <c r="E44" i="42"/>
  <c r="I44" i="42"/>
  <c r="M44" i="42"/>
  <c r="A45" i="42"/>
  <c r="E45" i="42"/>
  <c r="I45" i="42"/>
  <c r="M45" i="42"/>
  <c r="A46" i="42"/>
  <c r="E46" i="42"/>
  <c r="I46" i="42"/>
  <c r="M46" i="42"/>
  <c r="A47" i="42"/>
  <c r="E47" i="42"/>
  <c r="I47" i="42"/>
  <c r="M47" i="42"/>
  <c r="A48" i="42"/>
  <c r="E48" i="42"/>
  <c r="I48" i="42"/>
  <c r="M48" i="42"/>
  <c r="A49" i="42"/>
  <c r="E49" i="42"/>
  <c r="I49" i="42"/>
  <c r="M49" i="42"/>
  <c r="A50" i="42"/>
  <c r="E50" i="42"/>
  <c r="I50" i="42"/>
  <c r="M50" i="42"/>
  <c r="A51" i="42"/>
  <c r="E51" i="42"/>
  <c r="I51" i="42"/>
  <c r="M51" i="42"/>
  <c r="A52" i="42"/>
  <c r="E52" i="42"/>
  <c r="I52" i="42"/>
  <c r="M52" i="42"/>
  <c r="A53" i="42"/>
  <c r="E53" i="42"/>
  <c r="I53" i="42"/>
  <c r="M53" i="42"/>
  <c r="A54" i="42"/>
  <c r="E54" i="42"/>
  <c r="I54" i="42"/>
  <c r="M54" i="42"/>
  <c r="A55" i="42"/>
  <c r="E55" i="42"/>
  <c r="I55" i="42"/>
  <c r="M55" i="42"/>
  <c r="A56" i="42"/>
  <c r="E56" i="42"/>
  <c r="I56" i="42"/>
  <c r="M56" i="42"/>
  <c r="A57" i="42"/>
  <c r="E57" i="42"/>
  <c r="I57" i="42"/>
  <c r="M57" i="42"/>
  <c r="A58" i="42"/>
  <c r="E58" i="42"/>
  <c r="I58" i="42"/>
  <c r="M58" i="42"/>
  <c r="A59" i="42"/>
  <c r="E59" i="42"/>
  <c r="I59" i="42"/>
  <c r="M59" i="42"/>
  <c r="A60" i="42"/>
  <c r="E60" i="42"/>
  <c r="I60" i="42"/>
  <c r="M60" i="42"/>
  <c r="A61" i="42"/>
  <c r="E61" i="42"/>
  <c r="I61" i="42"/>
  <c r="M61" i="42"/>
  <c r="A62" i="42"/>
  <c r="E62" i="42"/>
  <c r="I62" i="42"/>
  <c r="M62" i="42"/>
  <c r="A63" i="42"/>
  <c r="E63" i="42"/>
  <c r="I63" i="42"/>
  <c r="M63" i="42"/>
  <c r="A64" i="42"/>
  <c r="E64" i="42"/>
  <c r="I64" i="42"/>
  <c r="M64" i="42"/>
  <c r="A65" i="42"/>
  <c r="E65" i="42"/>
  <c r="I65" i="42"/>
  <c r="M65" i="42"/>
  <c r="A66" i="42"/>
  <c r="E66" i="42"/>
  <c r="I66" i="42"/>
  <c r="M66" i="42"/>
  <c r="A67" i="42"/>
  <c r="E67" i="42"/>
  <c r="I67" i="42"/>
  <c r="M67" i="42"/>
  <c r="A68" i="42"/>
  <c r="E68" i="42"/>
  <c r="I68" i="42"/>
  <c r="M68" i="42"/>
  <c r="A69" i="42"/>
  <c r="E69" i="42"/>
  <c r="I69" i="42"/>
  <c r="M69" i="42"/>
  <c r="A70" i="42"/>
  <c r="E70" i="42"/>
  <c r="I70" i="42"/>
  <c r="M70" i="42"/>
  <c r="A71" i="42"/>
  <c r="E71" i="42"/>
  <c r="I71" i="42"/>
  <c r="M71" i="42"/>
  <c r="A72" i="42"/>
  <c r="E72" i="42"/>
  <c r="I72" i="42"/>
  <c r="M72" i="42"/>
  <c r="A73" i="42"/>
  <c r="E73" i="42"/>
  <c r="I73" i="42"/>
  <c r="M73" i="42"/>
  <c r="A74" i="42"/>
  <c r="E74" i="42"/>
  <c r="I74" i="42"/>
  <c r="M74" i="42"/>
  <c r="A75" i="42"/>
  <c r="E75" i="42"/>
  <c r="I75" i="42"/>
  <c r="M75" i="42"/>
  <c r="A76" i="42"/>
  <c r="E76" i="42"/>
  <c r="I76" i="42"/>
  <c r="M76" i="42"/>
  <c r="A77" i="42"/>
  <c r="E77" i="42"/>
  <c r="I77" i="42"/>
  <c r="M77" i="42"/>
  <c r="A78" i="42"/>
  <c r="E78" i="42"/>
  <c r="I78" i="42"/>
  <c r="M78" i="42"/>
  <c r="A79" i="42"/>
  <c r="E79" i="42"/>
  <c r="I79" i="42"/>
  <c r="M79" i="42"/>
  <c r="A80" i="42"/>
  <c r="E80" i="42"/>
  <c r="I80" i="42"/>
  <c r="M80" i="42"/>
  <c r="A81" i="42"/>
  <c r="E81" i="42"/>
  <c r="I81" i="42"/>
  <c r="M81" i="42"/>
  <c r="A82" i="42"/>
  <c r="E82" i="42"/>
  <c r="I82" i="42"/>
  <c r="M82" i="42"/>
  <c r="A83" i="42"/>
  <c r="E83" i="42"/>
  <c r="I83" i="42"/>
  <c r="M83" i="42"/>
  <c r="A84" i="42"/>
  <c r="E84" i="42"/>
  <c r="I84" i="42"/>
  <c r="M84" i="42"/>
  <c r="A85" i="42"/>
  <c r="E85" i="42"/>
  <c r="I85" i="42"/>
  <c r="M85" i="42"/>
  <c r="A86" i="42"/>
  <c r="E86" i="42"/>
  <c r="I86" i="42"/>
  <c r="M86" i="42"/>
  <c r="A87" i="42"/>
  <c r="E87" i="42"/>
  <c r="I87" i="42"/>
  <c r="M87" i="42"/>
  <c r="A88" i="42"/>
  <c r="E88" i="42"/>
  <c r="I88" i="42"/>
  <c r="M88" i="42"/>
  <c r="A89" i="42"/>
  <c r="E89" i="42"/>
  <c r="I89" i="42"/>
  <c r="M89" i="42"/>
  <c r="A90" i="42"/>
  <c r="E90" i="42"/>
  <c r="I90" i="42"/>
  <c r="M90" i="42"/>
  <c r="A91" i="42"/>
  <c r="E91" i="42"/>
  <c r="I91" i="42"/>
  <c r="M91" i="42"/>
  <c r="A92" i="42"/>
  <c r="E92" i="42"/>
  <c r="I92" i="42"/>
  <c r="M92" i="42"/>
  <c r="A93" i="42"/>
  <c r="E93" i="42"/>
  <c r="I93" i="42"/>
  <c r="M93" i="42"/>
  <c r="A94" i="42"/>
  <c r="E94" i="42"/>
  <c r="I94" i="42"/>
  <c r="M94" i="42"/>
  <c r="A95" i="42"/>
  <c r="E95" i="42"/>
  <c r="I95" i="42"/>
  <c r="M95" i="42"/>
  <c r="A96" i="42"/>
  <c r="E96" i="42"/>
  <c r="I96" i="42"/>
  <c r="M96" i="42"/>
  <c r="A97" i="42"/>
  <c r="E97" i="42"/>
  <c r="I97" i="42"/>
  <c r="M97" i="42"/>
  <c r="A98" i="42"/>
  <c r="E98" i="42"/>
  <c r="I98" i="42"/>
  <c r="M98" i="42"/>
  <c r="A99" i="42"/>
  <c r="E99" i="42"/>
  <c r="I99" i="42"/>
  <c r="M99" i="42"/>
  <c r="A100" i="42"/>
  <c r="E100" i="42"/>
  <c r="I100" i="42"/>
  <c r="M100" i="42"/>
  <c r="A101" i="42"/>
  <c r="E101" i="42"/>
  <c r="I101" i="42"/>
  <c r="M101" i="42"/>
  <c r="A102" i="42"/>
  <c r="E102" i="42"/>
  <c r="I102" i="42"/>
  <c r="M102" i="42"/>
  <c r="A103" i="42"/>
  <c r="E103" i="42"/>
  <c r="I103" i="42"/>
  <c r="M103" i="42"/>
  <c r="A104" i="42"/>
  <c r="E104" i="42"/>
  <c r="I104" i="42"/>
  <c r="M104" i="42"/>
  <c r="A105" i="42"/>
  <c r="E105" i="42"/>
  <c r="I105" i="42"/>
  <c r="M105" i="42"/>
  <c r="A106" i="42"/>
  <c r="E106" i="42"/>
  <c r="I106" i="42"/>
  <c r="M106" i="42"/>
  <c r="A107" i="42"/>
  <c r="E107" i="42"/>
  <c r="I107" i="42"/>
  <c r="M107" i="42"/>
  <c r="A108" i="42"/>
  <c r="E108" i="42"/>
  <c r="I108" i="42"/>
  <c r="M108" i="42"/>
  <c r="A109" i="42"/>
  <c r="E109" i="42"/>
  <c r="I109" i="42"/>
  <c r="M109" i="42"/>
  <c r="A110" i="42"/>
  <c r="E110" i="42"/>
  <c r="I110" i="42"/>
  <c r="M110" i="42"/>
  <c r="A111" i="42"/>
  <c r="E111" i="42"/>
  <c r="I111" i="42"/>
  <c r="M111" i="42"/>
  <c r="A112" i="42"/>
  <c r="E112" i="42"/>
  <c r="I112" i="42"/>
  <c r="M112" i="42"/>
  <c r="A113" i="42"/>
  <c r="E113" i="42"/>
  <c r="I113" i="42"/>
  <c r="M113" i="42"/>
  <c r="A114" i="42"/>
  <c r="E114" i="42"/>
  <c r="I114" i="42"/>
  <c r="M114" i="42"/>
  <c r="A115" i="42"/>
  <c r="E115" i="42"/>
  <c r="I115" i="42"/>
  <c r="M115" i="42"/>
  <c r="A116" i="42"/>
  <c r="E116" i="42"/>
  <c r="I116" i="42"/>
  <c r="M116" i="42"/>
  <c r="A117" i="42"/>
  <c r="E117" i="42"/>
  <c r="I117" i="42"/>
  <c r="M117" i="42"/>
  <c r="A118" i="42"/>
  <c r="E118" i="42"/>
  <c r="I118" i="42"/>
  <c r="M118" i="42"/>
  <c r="A119" i="42"/>
  <c r="E119" i="42"/>
  <c r="I119" i="42"/>
  <c r="M119" i="42"/>
  <c r="A120" i="42"/>
  <c r="E120" i="42"/>
  <c r="I120" i="42"/>
  <c r="M120" i="42"/>
  <c r="A121" i="42"/>
  <c r="E121" i="42"/>
  <c r="I121" i="42"/>
  <c r="M121" i="42"/>
  <c r="A122" i="42"/>
  <c r="E122" i="42"/>
  <c r="I122" i="42"/>
  <c r="M122" i="42"/>
  <c r="A123" i="42"/>
  <c r="E123" i="42"/>
  <c r="I123" i="42"/>
  <c r="M123" i="42"/>
  <c r="A124" i="42"/>
  <c r="E124" i="42"/>
  <c r="I124" i="42"/>
  <c r="M124" i="42"/>
  <c r="A125" i="42"/>
  <c r="E125" i="42"/>
  <c r="I125" i="42"/>
  <c r="M125" i="42"/>
  <c r="A126" i="42"/>
  <c r="E126" i="42"/>
  <c r="I126" i="42"/>
  <c r="M126" i="42"/>
  <c r="A127" i="42"/>
  <c r="E127" i="42"/>
  <c r="I127" i="42"/>
  <c r="M127" i="42"/>
  <c r="A128" i="42"/>
  <c r="E128" i="42"/>
  <c r="I128" i="42"/>
  <c r="M128" i="42"/>
  <c r="A129" i="42"/>
  <c r="E129" i="42"/>
  <c r="I129" i="42"/>
  <c r="M129" i="42"/>
  <c r="A130" i="42"/>
  <c r="E130" i="42"/>
  <c r="I130" i="42"/>
  <c r="M130" i="42"/>
  <c r="A131" i="42"/>
  <c r="E131" i="42"/>
  <c r="I131" i="42"/>
  <c r="M131" i="42"/>
  <c r="A132" i="42"/>
  <c r="E132" i="42"/>
  <c r="I132" i="42"/>
  <c r="M132" i="42"/>
  <c r="A133" i="42"/>
  <c r="E133" i="42"/>
  <c r="I133" i="42"/>
  <c r="M133" i="42"/>
  <c r="A134" i="42"/>
  <c r="E134" i="42"/>
  <c r="I134" i="42"/>
  <c r="M134" i="42"/>
  <c r="A135" i="42"/>
  <c r="E135" i="42"/>
  <c r="I135" i="42"/>
  <c r="M135" i="42"/>
  <c r="A136" i="42"/>
  <c r="E136" i="42"/>
  <c r="I136" i="42"/>
  <c r="M136" i="42"/>
  <c r="A137" i="42"/>
  <c r="E137" i="42"/>
  <c r="I137" i="42"/>
  <c r="M137" i="42"/>
  <c r="A138" i="42"/>
  <c r="E138" i="42"/>
  <c r="I138" i="42"/>
  <c r="M138" i="42"/>
  <c r="A139" i="42"/>
  <c r="E139" i="42"/>
  <c r="I139" i="42"/>
  <c r="M139" i="42"/>
  <c r="A140" i="42"/>
  <c r="E140" i="42"/>
  <c r="I140" i="42"/>
  <c r="M140" i="42"/>
  <c r="A141" i="42"/>
  <c r="E141" i="42"/>
  <c r="I141" i="42"/>
  <c r="M141" i="42"/>
  <c r="A142" i="42"/>
  <c r="E142" i="42"/>
  <c r="I142" i="42"/>
  <c r="M142" i="42"/>
  <c r="A143" i="42"/>
  <c r="E143" i="42"/>
  <c r="I143" i="42"/>
  <c r="M143" i="42"/>
  <c r="A144" i="42"/>
  <c r="E144" i="42"/>
  <c r="I144" i="42"/>
  <c r="M144" i="42"/>
  <c r="A145" i="42"/>
  <c r="E145" i="42"/>
  <c r="I145" i="42"/>
  <c r="M145" i="42"/>
  <c r="A146" i="42"/>
  <c r="E146" i="42"/>
  <c r="I146" i="42"/>
  <c r="M146" i="42"/>
  <c r="A147" i="42"/>
  <c r="E147" i="42"/>
  <c r="I147" i="42"/>
  <c r="M147" i="42"/>
  <c r="A148" i="42"/>
  <c r="E148" i="42"/>
  <c r="I148" i="42"/>
  <c r="M148" i="42"/>
  <c r="A149" i="42"/>
  <c r="E149" i="42"/>
  <c r="I149" i="42"/>
  <c r="M149" i="42"/>
  <c r="A150" i="42"/>
  <c r="E150" i="42"/>
  <c r="I150" i="42"/>
  <c r="M150" i="42"/>
  <c r="A151" i="42"/>
  <c r="E151" i="42"/>
  <c r="I151" i="42"/>
  <c r="M151" i="42"/>
  <c r="A152" i="42"/>
  <c r="E152" i="42"/>
  <c r="I152" i="42"/>
  <c r="M152" i="42"/>
  <c r="A153" i="42"/>
  <c r="E153" i="42"/>
  <c r="I153" i="42"/>
  <c r="M153" i="42"/>
  <c r="A154" i="42"/>
  <c r="E154" i="42"/>
  <c r="I154" i="42"/>
  <c r="M154" i="42"/>
  <c r="A155" i="42"/>
  <c r="E155" i="42"/>
  <c r="I155" i="42"/>
  <c r="M155" i="42"/>
  <c r="A156" i="42"/>
  <c r="E156" i="42"/>
  <c r="I156" i="42"/>
  <c r="M156" i="42"/>
  <c r="A157" i="42"/>
  <c r="E157" i="42"/>
  <c r="I157" i="42"/>
  <c r="M157" i="42"/>
  <c r="A158" i="42"/>
  <c r="E158" i="42"/>
  <c r="I158" i="42"/>
  <c r="M158" i="42"/>
  <c r="A159" i="42"/>
  <c r="E159" i="42"/>
  <c r="I159" i="42"/>
  <c r="M159" i="42"/>
  <c r="A160" i="42"/>
  <c r="E160" i="42"/>
  <c r="I160" i="42"/>
  <c r="M160" i="42"/>
  <c r="A161" i="42"/>
  <c r="E161" i="42"/>
  <c r="I161" i="42"/>
  <c r="M161" i="42"/>
  <c r="A162" i="42"/>
  <c r="E162" i="42"/>
  <c r="I162" i="42"/>
  <c r="M162" i="42"/>
  <c r="A163" i="42"/>
  <c r="E163" i="42"/>
  <c r="I163" i="42"/>
  <c r="M163" i="42"/>
  <c r="A164" i="42"/>
  <c r="E164" i="42"/>
  <c r="I164" i="42"/>
  <c r="M164" i="42"/>
  <c r="A165" i="42"/>
  <c r="E165" i="42"/>
  <c r="I165" i="42"/>
  <c r="M165" i="42"/>
  <c r="A166" i="42"/>
  <c r="E166" i="42"/>
  <c r="I166" i="42"/>
  <c r="M166" i="42"/>
  <c r="A167" i="42"/>
  <c r="E167" i="42"/>
  <c r="I167" i="42"/>
  <c r="M167" i="42"/>
  <c r="A168" i="42"/>
  <c r="E168" i="42"/>
  <c r="I168" i="42"/>
  <c r="M168" i="42"/>
  <c r="A169" i="42"/>
  <c r="E169" i="42"/>
  <c r="I169" i="42"/>
  <c r="M169" i="42"/>
  <c r="A170" i="42"/>
  <c r="E170" i="42"/>
  <c r="I170" i="42"/>
  <c r="M170" i="42"/>
  <c r="A171" i="42"/>
  <c r="E171" i="42"/>
  <c r="I171" i="42"/>
  <c r="M171" i="42"/>
  <c r="A172" i="42"/>
  <c r="E172" i="42"/>
  <c r="I172" i="42"/>
  <c r="M172" i="42"/>
  <c r="A173" i="42"/>
  <c r="E173" i="42"/>
  <c r="I173" i="42"/>
  <c r="M173" i="42"/>
  <c r="A174" i="42"/>
  <c r="E174" i="42"/>
  <c r="I174" i="42"/>
  <c r="M174" i="42"/>
  <c r="A175" i="42"/>
  <c r="E175" i="42"/>
  <c r="I175" i="42"/>
  <c r="M175" i="42"/>
  <c r="M3" i="42"/>
  <c r="I3" i="42"/>
  <c r="E3" i="42"/>
  <c r="A3" i="42"/>
  <c r="M2" i="42"/>
  <c r="I2" i="42"/>
  <c r="E2" i="42"/>
  <c r="J175" i="42" l="1"/>
  <c r="F175" i="42"/>
  <c r="F174" i="42" s="1"/>
  <c r="F173" i="42" s="1"/>
  <c r="F172" i="42" s="1"/>
  <c r="F171" i="42" s="1"/>
  <c r="F170" i="42" s="1"/>
  <c r="F169" i="42" s="1"/>
  <c r="F168" i="42" s="1"/>
  <c r="F167" i="42" s="1"/>
  <c r="F166" i="42" s="1"/>
  <c r="F165" i="42" s="1"/>
  <c r="F164" i="42" s="1"/>
  <c r="F163" i="42" s="1"/>
  <c r="F162" i="42" s="1"/>
  <c r="F161" i="42" s="1"/>
  <c r="F160" i="42" s="1"/>
  <c r="F159" i="42" s="1"/>
  <c r="F158" i="42" s="1"/>
  <c r="F157" i="42" s="1"/>
  <c r="F156" i="42" s="1"/>
  <c r="F155" i="42" s="1"/>
  <c r="F154" i="42" s="1"/>
  <c r="F153" i="42" s="1"/>
  <c r="F152" i="42" s="1"/>
  <c r="F151" i="42" s="1"/>
  <c r="F150" i="42" s="1"/>
  <c r="F149" i="42" s="1"/>
  <c r="F148" i="42" s="1"/>
  <c r="F147" i="42" s="1"/>
  <c r="F146" i="42" s="1"/>
  <c r="F145" i="42" s="1"/>
  <c r="F144" i="42" s="1"/>
  <c r="F143" i="42" s="1"/>
  <c r="F142" i="42" s="1"/>
  <c r="F141" i="42" s="1"/>
  <c r="F140" i="42" s="1"/>
  <c r="F139" i="42" s="1"/>
  <c r="F138" i="42" s="1"/>
  <c r="F137" i="42" s="1"/>
  <c r="F136" i="42" s="1"/>
  <c r="F135" i="42" s="1"/>
  <c r="F134" i="42" s="1"/>
  <c r="F133" i="42" s="1"/>
  <c r="F132" i="42" s="1"/>
  <c r="F131" i="42" s="1"/>
  <c r="F130" i="42" s="1"/>
  <c r="F129" i="42" s="1"/>
  <c r="F128" i="42" s="1"/>
  <c r="F127" i="42" s="1"/>
  <c r="F126" i="42" s="1"/>
  <c r="F125" i="42" s="1"/>
  <c r="F124" i="42" s="1"/>
  <c r="F123" i="42" s="1"/>
  <c r="F122" i="42" s="1"/>
  <c r="F121" i="42" s="1"/>
  <c r="F120" i="42" s="1"/>
  <c r="F119" i="42" s="1"/>
  <c r="F118" i="42" s="1"/>
  <c r="F117" i="42" s="1"/>
  <c r="F116" i="42" s="1"/>
  <c r="F115" i="42" s="1"/>
  <c r="F114" i="42" s="1"/>
  <c r="F113" i="42" s="1"/>
  <c r="F112" i="42" s="1"/>
  <c r="F111" i="42" s="1"/>
  <c r="F110" i="42" s="1"/>
  <c r="F109" i="42" s="1"/>
  <c r="F108" i="42" s="1"/>
  <c r="F107" i="42" s="1"/>
  <c r="F106" i="42" s="1"/>
  <c r="F105" i="42" s="1"/>
  <c r="F104" i="42" s="1"/>
  <c r="F103" i="42" s="1"/>
  <c r="F102" i="42" s="1"/>
  <c r="F101" i="42" s="1"/>
  <c r="F100" i="42" s="1"/>
  <c r="F99" i="42" s="1"/>
  <c r="F98" i="42" s="1"/>
  <c r="F97" i="42" s="1"/>
  <c r="F96" i="42" s="1"/>
  <c r="F95" i="42" s="1"/>
  <c r="F94" i="42" s="1"/>
  <c r="F93" i="42" s="1"/>
  <c r="F92" i="42" s="1"/>
  <c r="F91" i="42" s="1"/>
  <c r="F90" i="42" s="1"/>
  <c r="F89" i="42" s="1"/>
  <c r="F88" i="42" s="1"/>
  <c r="F87" i="42" s="1"/>
  <c r="F86" i="42" s="1"/>
  <c r="F85" i="42" s="1"/>
  <c r="F84" i="42" s="1"/>
  <c r="F83" i="42" s="1"/>
  <c r="F82" i="42" s="1"/>
  <c r="F81" i="42" s="1"/>
  <c r="F80" i="42" s="1"/>
  <c r="F79" i="42" s="1"/>
  <c r="F78" i="42" s="1"/>
  <c r="F77" i="42" s="1"/>
  <c r="F76" i="42" s="1"/>
  <c r="F75" i="42" s="1"/>
  <c r="F74" i="42" s="1"/>
  <c r="F73" i="42" s="1"/>
  <c r="F72" i="42" s="1"/>
  <c r="F71" i="42" s="1"/>
  <c r="F70" i="42" s="1"/>
  <c r="F69" i="42" s="1"/>
  <c r="F68" i="42" s="1"/>
  <c r="F67" i="42" s="1"/>
  <c r="F66" i="42" s="1"/>
  <c r="F65" i="42" s="1"/>
  <c r="F64" i="42" s="1"/>
  <c r="F63" i="42" s="1"/>
  <c r="F62" i="42" s="1"/>
  <c r="F61" i="42" s="1"/>
  <c r="F60" i="42" s="1"/>
  <c r="F59" i="42" s="1"/>
  <c r="F58" i="42" s="1"/>
  <c r="F57" i="42" s="1"/>
  <c r="F56" i="42" s="1"/>
  <c r="F55" i="42" s="1"/>
  <c r="F54" i="42" s="1"/>
  <c r="F53" i="42" s="1"/>
  <c r="F52" i="42" s="1"/>
  <c r="F51" i="42" s="1"/>
  <c r="F50" i="42" s="1"/>
  <c r="F49" i="42" s="1"/>
  <c r="F48" i="42" s="1"/>
  <c r="F47" i="42" s="1"/>
  <c r="F46" i="42" s="1"/>
  <c r="F45" i="42" s="1"/>
  <c r="F44" i="42" s="1"/>
  <c r="F43" i="42" s="1"/>
  <c r="F42" i="42" s="1"/>
  <c r="F41" i="42" s="1"/>
  <c r="F40" i="42" s="1"/>
  <c r="F39" i="42" s="1"/>
  <c r="F38" i="42" s="1"/>
  <c r="F37" i="42" s="1"/>
  <c r="F36" i="42" s="1"/>
  <c r="F35" i="42" s="1"/>
  <c r="F34" i="42" s="1"/>
  <c r="F33" i="42" s="1"/>
  <c r="F32" i="42" s="1"/>
  <c r="F31" i="42" s="1"/>
  <c r="F30" i="42" s="1"/>
  <c r="F29" i="42" s="1"/>
  <c r="F28" i="42" s="1"/>
  <c r="F27" i="42" s="1"/>
  <c r="F26" i="42" s="1"/>
  <c r="F25" i="42" s="1"/>
  <c r="F24" i="42" s="1"/>
  <c r="F23" i="42" s="1"/>
  <c r="F22" i="42" s="1"/>
  <c r="F21" i="42" s="1"/>
  <c r="F20" i="42" s="1"/>
  <c r="F19" i="42" s="1"/>
  <c r="F18" i="42" s="1"/>
  <c r="F17" i="42" s="1"/>
  <c r="F16" i="42" s="1"/>
  <c r="F15" i="42" s="1"/>
  <c r="F14" i="42" s="1"/>
  <c r="F13" i="42" s="1"/>
  <c r="F12" i="42" s="1"/>
  <c r="F11" i="42" s="1"/>
  <c r="F10" i="42" s="1"/>
  <c r="F9" i="42" s="1"/>
  <c r="F8" i="42" s="1"/>
  <c r="F7" i="42" s="1"/>
  <c r="F6" i="42" s="1"/>
  <c r="F5" i="42" s="1"/>
  <c r="F4" i="42" s="1"/>
  <c r="F3" i="42" s="1"/>
  <c r="F2" i="42" s="1"/>
  <c r="B175" i="42"/>
  <c r="B174" i="42" s="1"/>
  <c r="B173" i="42" s="1"/>
  <c r="B172" i="42" s="1"/>
  <c r="B171" i="42" s="1"/>
  <c r="B170" i="42" s="1"/>
  <c r="B169" i="42" s="1"/>
  <c r="B168" i="42" s="1"/>
  <c r="B167" i="42" s="1"/>
  <c r="B166" i="42" s="1"/>
  <c r="B165" i="42" s="1"/>
  <c r="B164" i="42" s="1"/>
  <c r="B163" i="42" s="1"/>
  <c r="B162" i="42" s="1"/>
  <c r="B161" i="42" s="1"/>
  <c r="B160" i="42" s="1"/>
  <c r="B159" i="42" s="1"/>
  <c r="B158" i="42" s="1"/>
  <c r="B157" i="42" s="1"/>
  <c r="B156" i="42" s="1"/>
  <c r="B155" i="42" s="1"/>
  <c r="B154" i="42" s="1"/>
  <c r="B153" i="42" s="1"/>
  <c r="B152" i="42" s="1"/>
  <c r="B151" i="42" s="1"/>
  <c r="B150" i="42" s="1"/>
  <c r="B149" i="42" s="1"/>
  <c r="B148" i="42" s="1"/>
  <c r="B147" i="42" s="1"/>
  <c r="B146" i="42" s="1"/>
  <c r="B145" i="42" s="1"/>
  <c r="B144" i="42" s="1"/>
  <c r="B143" i="42" s="1"/>
  <c r="B142" i="42" s="1"/>
  <c r="B141" i="42" s="1"/>
  <c r="B140" i="42" s="1"/>
  <c r="B139" i="42" s="1"/>
  <c r="B138" i="42" s="1"/>
  <c r="B137" i="42" s="1"/>
  <c r="B136" i="42" s="1"/>
  <c r="B135" i="42" s="1"/>
  <c r="B134" i="42" s="1"/>
  <c r="B133" i="42" s="1"/>
  <c r="B132" i="42" s="1"/>
  <c r="B131" i="42" s="1"/>
  <c r="B130" i="42" s="1"/>
  <c r="B129" i="42" s="1"/>
  <c r="B128" i="42" s="1"/>
  <c r="B127" i="42" s="1"/>
  <c r="B126" i="42" s="1"/>
  <c r="B125" i="42" s="1"/>
  <c r="B124" i="42" s="1"/>
  <c r="B123" i="42" s="1"/>
  <c r="B122" i="42" s="1"/>
  <c r="B121" i="42" s="1"/>
  <c r="B120" i="42" s="1"/>
  <c r="B119" i="42" s="1"/>
  <c r="B118" i="42" s="1"/>
  <c r="B117" i="42" s="1"/>
  <c r="B116" i="42" s="1"/>
  <c r="B115" i="42" s="1"/>
  <c r="B114" i="42" s="1"/>
  <c r="B113" i="42" s="1"/>
  <c r="B112" i="42" s="1"/>
  <c r="B111" i="42" s="1"/>
  <c r="B110" i="42" s="1"/>
  <c r="B109" i="42" s="1"/>
  <c r="B108" i="42" s="1"/>
  <c r="B107" i="42" s="1"/>
  <c r="B106" i="42" s="1"/>
  <c r="B105" i="42" s="1"/>
  <c r="B104" i="42" s="1"/>
  <c r="B103" i="42" s="1"/>
  <c r="B102" i="42" s="1"/>
  <c r="B101" i="42" s="1"/>
  <c r="B100" i="42" s="1"/>
  <c r="B99" i="42" s="1"/>
  <c r="B98" i="42" s="1"/>
  <c r="B97" i="42" s="1"/>
  <c r="B96" i="42" s="1"/>
  <c r="B95" i="42" s="1"/>
  <c r="B94" i="42" s="1"/>
  <c r="B93" i="42" s="1"/>
  <c r="B92" i="42" s="1"/>
  <c r="B91" i="42" s="1"/>
  <c r="B90" i="42" s="1"/>
  <c r="B89" i="42" s="1"/>
  <c r="B88" i="42" s="1"/>
  <c r="B87" i="42" s="1"/>
  <c r="B86" i="42" s="1"/>
  <c r="B85" i="42" s="1"/>
  <c r="B84" i="42" s="1"/>
  <c r="B83" i="42" s="1"/>
  <c r="B82" i="42" s="1"/>
  <c r="B81" i="42" s="1"/>
  <c r="B80" i="42" s="1"/>
  <c r="B79" i="42" s="1"/>
  <c r="B78" i="42" s="1"/>
  <c r="B77" i="42" s="1"/>
  <c r="B76" i="42" s="1"/>
  <c r="B75" i="42" s="1"/>
  <c r="B74" i="42" s="1"/>
  <c r="B73" i="42" s="1"/>
  <c r="B72" i="42" s="1"/>
  <c r="B71" i="42" s="1"/>
  <c r="B70" i="42" s="1"/>
  <c r="B69" i="42" s="1"/>
  <c r="B68" i="42" s="1"/>
  <c r="B67" i="42" s="1"/>
  <c r="B66" i="42" s="1"/>
  <c r="B65" i="42" s="1"/>
  <c r="B64" i="42" s="1"/>
  <c r="B63" i="42" s="1"/>
  <c r="B62" i="42" s="1"/>
  <c r="B61" i="42" s="1"/>
  <c r="B60" i="42" s="1"/>
  <c r="B59" i="42" s="1"/>
  <c r="B58" i="42" s="1"/>
  <c r="B57" i="42" s="1"/>
  <c r="B56" i="42" s="1"/>
  <c r="B55" i="42" s="1"/>
  <c r="B54" i="42" s="1"/>
  <c r="B53" i="42" s="1"/>
  <c r="B52" i="42" s="1"/>
  <c r="B51" i="42" s="1"/>
  <c r="B50" i="42" s="1"/>
  <c r="B49" i="42" s="1"/>
  <c r="B48" i="42" s="1"/>
  <c r="B47" i="42" s="1"/>
  <c r="B46" i="42" s="1"/>
  <c r="B45" i="42" s="1"/>
  <c r="B44" i="42" s="1"/>
  <c r="B43" i="42" s="1"/>
  <c r="B42" i="42" s="1"/>
  <c r="B41" i="42" s="1"/>
  <c r="B40" i="42" s="1"/>
  <c r="B39" i="42" s="1"/>
  <c r="B38" i="42" s="1"/>
  <c r="B37" i="42" s="1"/>
  <c r="B36" i="42" s="1"/>
  <c r="B35" i="42" s="1"/>
  <c r="B34" i="42" s="1"/>
  <c r="B33" i="42" s="1"/>
  <c r="B32" i="42" s="1"/>
  <c r="B31" i="42" s="1"/>
  <c r="B30" i="42" s="1"/>
  <c r="B29" i="42" s="1"/>
  <c r="B28" i="42" s="1"/>
  <c r="B27" i="42" s="1"/>
  <c r="B26" i="42" s="1"/>
  <c r="B25" i="42" s="1"/>
  <c r="B24" i="42" s="1"/>
  <c r="B23" i="42" s="1"/>
  <c r="B22" i="42" s="1"/>
  <c r="B21" i="42" s="1"/>
  <c r="B20" i="42" s="1"/>
  <c r="B19" i="42" s="1"/>
  <c r="B18" i="42" s="1"/>
  <c r="B17" i="42" s="1"/>
  <c r="B16" i="42" s="1"/>
  <c r="B15" i="42" s="1"/>
  <c r="B14" i="42" s="1"/>
  <c r="B13" i="42" s="1"/>
  <c r="B12" i="42" s="1"/>
  <c r="B11" i="42" s="1"/>
  <c r="B10" i="42" s="1"/>
  <c r="B9" i="42" s="1"/>
  <c r="B8" i="42" s="1"/>
  <c r="B7" i="42" s="1"/>
  <c r="B6" i="42" s="1"/>
  <c r="B5" i="42" s="1"/>
  <c r="B4" i="42" s="1"/>
  <c r="B3" i="42" s="1"/>
  <c r="B2" i="42" s="1"/>
  <c r="N175" i="42"/>
  <c r="N174" i="42" s="1"/>
  <c r="N173" i="42" s="1"/>
  <c r="N172" i="42" s="1"/>
  <c r="N171" i="42" s="1"/>
  <c r="N170" i="42" s="1"/>
  <c r="N169" i="42" s="1"/>
  <c r="N168" i="42" s="1"/>
  <c r="N167" i="42" s="1"/>
  <c r="N166" i="42" s="1"/>
  <c r="N165" i="42" s="1"/>
  <c r="N164" i="42" s="1"/>
  <c r="N163" i="42" s="1"/>
  <c r="N162" i="42" s="1"/>
  <c r="N161" i="42" s="1"/>
  <c r="N160" i="42" s="1"/>
  <c r="N159" i="42" s="1"/>
  <c r="N158" i="42" s="1"/>
  <c r="N157" i="42" s="1"/>
  <c r="N156" i="42" s="1"/>
  <c r="N155" i="42" s="1"/>
  <c r="N154" i="42" s="1"/>
  <c r="N153" i="42" s="1"/>
  <c r="N152" i="42" s="1"/>
  <c r="N151" i="42" s="1"/>
  <c r="N150" i="42" s="1"/>
  <c r="N149" i="42" s="1"/>
  <c r="N148" i="42" s="1"/>
  <c r="N147" i="42" s="1"/>
  <c r="N146" i="42" s="1"/>
  <c r="N145" i="42" s="1"/>
  <c r="N144" i="42" s="1"/>
  <c r="N143" i="42" s="1"/>
  <c r="N142" i="42" s="1"/>
  <c r="N141" i="42" s="1"/>
  <c r="N140" i="42" s="1"/>
  <c r="N139" i="42" s="1"/>
  <c r="N138" i="42" s="1"/>
  <c r="N137" i="42" s="1"/>
  <c r="N136" i="42" s="1"/>
  <c r="N135" i="42" s="1"/>
  <c r="N134" i="42" s="1"/>
  <c r="N133" i="42" s="1"/>
  <c r="N132" i="42" s="1"/>
  <c r="N131" i="42" s="1"/>
  <c r="N130" i="42" s="1"/>
  <c r="N129" i="42" s="1"/>
  <c r="N128" i="42" s="1"/>
  <c r="N127" i="42" s="1"/>
  <c r="N126" i="42" s="1"/>
  <c r="N125" i="42" s="1"/>
  <c r="N124" i="42" s="1"/>
  <c r="N123" i="42" s="1"/>
  <c r="N122" i="42" s="1"/>
  <c r="N121" i="42" s="1"/>
  <c r="N120" i="42" s="1"/>
  <c r="N119" i="42" s="1"/>
  <c r="N118" i="42" s="1"/>
  <c r="N117" i="42" s="1"/>
  <c r="N116" i="42" s="1"/>
  <c r="N115" i="42" s="1"/>
  <c r="N114" i="42" s="1"/>
  <c r="N113" i="42" s="1"/>
  <c r="N112" i="42" s="1"/>
  <c r="N111" i="42" s="1"/>
  <c r="N110" i="42" s="1"/>
  <c r="N109" i="42" s="1"/>
  <c r="N108" i="42" s="1"/>
  <c r="N107" i="42" s="1"/>
  <c r="N106" i="42" s="1"/>
  <c r="N105" i="42" s="1"/>
  <c r="N104" i="42" s="1"/>
  <c r="N103" i="42" s="1"/>
  <c r="N102" i="42" s="1"/>
  <c r="N101" i="42" s="1"/>
  <c r="N100" i="42" s="1"/>
  <c r="N99" i="42" s="1"/>
  <c r="N98" i="42" s="1"/>
  <c r="N97" i="42" s="1"/>
  <c r="N96" i="42" s="1"/>
  <c r="N95" i="42" s="1"/>
  <c r="N94" i="42" s="1"/>
  <c r="N93" i="42" s="1"/>
  <c r="N92" i="42" s="1"/>
  <c r="N91" i="42" s="1"/>
  <c r="N90" i="42" s="1"/>
  <c r="N89" i="42" s="1"/>
  <c r="N88" i="42" s="1"/>
  <c r="N87" i="42" s="1"/>
  <c r="N86" i="42" s="1"/>
  <c r="N85" i="42" s="1"/>
  <c r="N84" i="42" s="1"/>
  <c r="N83" i="42" s="1"/>
  <c r="N82" i="42" s="1"/>
  <c r="N81" i="42" s="1"/>
  <c r="N80" i="42" s="1"/>
  <c r="N79" i="42" s="1"/>
  <c r="N78" i="42" s="1"/>
  <c r="N77" i="42" s="1"/>
  <c r="N76" i="42" s="1"/>
  <c r="N75" i="42" s="1"/>
  <c r="N74" i="42" s="1"/>
  <c r="N73" i="42" s="1"/>
  <c r="N72" i="42" s="1"/>
  <c r="N71" i="42" s="1"/>
  <c r="N70" i="42" s="1"/>
  <c r="N69" i="42" s="1"/>
  <c r="N68" i="42" s="1"/>
  <c r="N67" i="42" s="1"/>
  <c r="N66" i="42" s="1"/>
  <c r="N65" i="42" s="1"/>
  <c r="N64" i="42" s="1"/>
  <c r="N63" i="42" s="1"/>
  <c r="N62" i="42" s="1"/>
  <c r="N61" i="42" s="1"/>
  <c r="N60" i="42" s="1"/>
  <c r="N59" i="42" s="1"/>
  <c r="N58" i="42" s="1"/>
  <c r="N57" i="42" s="1"/>
  <c r="N56" i="42" s="1"/>
  <c r="N55" i="42" s="1"/>
  <c r="N54" i="42" s="1"/>
  <c r="N53" i="42" s="1"/>
  <c r="N52" i="42" s="1"/>
  <c r="N51" i="42" s="1"/>
  <c r="N50" i="42" s="1"/>
  <c r="N49" i="42" s="1"/>
  <c r="N48" i="42" s="1"/>
  <c r="N47" i="42" s="1"/>
  <c r="N46" i="42" s="1"/>
  <c r="N45" i="42" s="1"/>
  <c r="N44" i="42" s="1"/>
  <c r="N43" i="42" s="1"/>
  <c r="N42" i="42" s="1"/>
  <c r="N41" i="42" s="1"/>
  <c r="N40" i="42" s="1"/>
  <c r="N39" i="42" s="1"/>
  <c r="N38" i="42" s="1"/>
  <c r="N37" i="42" s="1"/>
  <c r="N36" i="42" s="1"/>
  <c r="N35" i="42" s="1"/>
  <c r="N34" i="42" s="1"/>
  <c r="N33" i="42" s="1"/>
  <c r="N32" i="42" s="1"/>
  <c r="N31" i="42" s="1"/>
  <c r="N30" i="42" s="1"/>
  <c r="N29" i="42" s="1"/>
  <c r="N28" i="42" s="1"/>
  <c r="N27" i="42" s="1"/>
  <c r="N26" i="42" s="1"/>
  <c r="N25" i="42" s="1"/>
  <c r="N24" i="42" s="1"/>
  <c r="N23" i="42" s="1"/>
  <c r="N22" i="42" s="1"/>
  <c r="N21" i="42" s="1"/>
  <c r="N20" i="42" s="1"/>
  <c r="N19" i="42" s="1"/>
  <c r="N18" i="42" s="1"/>
  <c r="N17" i="42" s="1"/>
  <c r="N16" i="42" s="1"/>
  <c r="N15" i="42" s="1"/>
  <c r="N14" i="42" s="1"/>
  <c r="N13" i="42" s="1"/>
  <c r="N12" i="42" s="1"/>
  <c r="N11" i="42" s="1"/>
  <c r="N10" i="42" s="1"/>
  <c r="N9" i="42" s="1"/>
  <c r="N8" i="42" s="1"/>
  <c r="N7" i="42" s="1"/>
  <c r="N6" i="42" s="1"/>
  <c r="N5" i="42" s="1"/>
  <c r="N4" i="42" s="1"/>
  <c r="N3" i="42" s="1"/>
  <c r="N2" i="42" s="1"/>
  <c r="J174" i="42"/>
  <c r="J173" i="42" s="1"/>
  <c r="J172" i="42" s="1"/>
  <c r="J171" i="42" s="1"/>
  <c r="J170" i="42" s="1"/>
  <c r="J169" i="42" s="1"/>
  <c r="J168" i="42" s="1"/>
  <c r="J167" i="42" s="1"/>
  <c r="J166" i="42" s="1"/>
  <c r="J165" i="42" s="1"/>
  <c r="J164" i="42" s="1"/>
  <c r="J163" i="42" s="1"/>
  <c r="J162" i="42" s="1"/>
  <c r="J161" i="42" s="1"/>
  <c r="J160" i="42" s="1"/>
  <c r="J159" i="42" s="1"/>
  <c r="J158" i="42" s="1"/>
  <c r="J157" i="42" s="1"/>
  <c r="J156" i="42" s="1"/>
  <c r="J155" i="42" s="1"/>
  <c r="J154" i="42" s="1"/>
  <c r="J153" i="42" s="1"/>
  <c r="J152" i="42" s="1"/>
  <c r="J151" i="42" s="1"/>
  <c r="J150" i="42" s="1"/>
  <c r="J149" i="42" s="1"/>
  <c r="J148" i="42" s="1"/>
  <c r="J147" i="42" s="1"/>
  <c r="J146" i="42" s="1"/>
  <c r="J145" i="42" s="1"/>
  <c r="J144" i="42" s="1"/>
  <c r="J143" i="42" s="1"/>
  <c r="J142" i="42" s="1"/>
  <c r="J141" i="42" s="1"/>
  <c r="J140" i="42" s="1"/>
  <c r="J139" i="42" s="1"/>
  <c r="J138" i="42" s="1"/>
  <c r="J137" i="42" s="1"/>
  <c r="J136" i="42" s="1"/>
  <c r="J135" i="42" s="1"/>
  <c r="J134" i="42" s="1"/>
  <c r="J133" i="42" s="1"/>
  <c r="J132" i="42" s="1"/>
  <c r="J131" i="42" s="1"/>
  <c r="J130" i="42" s="1"/>
  <c r="J129" i="42" s="1"/>
  <c r="J128" i="42" s="1"/>
  <c r="J127" i="42" s="1"/>
  <c r="J126" i="42" s="1"/>
  <c r="J125" i="42" s="1"/>
  <c r="J124" i="42" s="1"/>
  <c r="J123" i="42" s="1"/>
  <c r="J122" i="42" s="1"/>
  <c r="J121" i="42" s="1"/>
  <c r="J120" i="42" s="1"/>
  <c r="J119" i="42" s="1"/>
  <c r="J118" i="42" s="1"/>
  <c r="J117" i="42" s="1"/>
  <c r="J116" i="42" s="1"/>
  <c r="J115" i="42" s="1"/>
  <c r="J114" i="42" s="1"/>
  <c r="J113" i="42" s="1"/>
  <c r="J112" i="42" s="1"/>
  <c r="J111" i="42" s="1"/>
  <c r="J110" i="42" s="1"/>
  <c r="J109" i="42" s="1"/>
  <c r="J108" i="42" s="1"/>
  <c r="J107" i="42" s="1"/>
  <c r="J106" i="42" s="1"/>
  <c r="J105" i="42" s="1"/>
  <c r="J104" i="42" s="1"/>
  <c r="J103" i="42" s="1"/>
  <c r="J102" i="42" s="1"/>
  <c r="J101" i="42" s="1"/>
  <c r="J100" i="42" s="1"/>
  <c r="J99" i="42" s="1"/>
  <c r="J98" i="42" s="1"/>
  <c r="J97" i="42" s="1"/>
  <c r="J96" i="42" s="1"/>
  <c r="J95" i="42" s="1"/>
  <c r="J94" i="42" s="1"/>
  <c r="J93" i="42" s="1"/>
  <c r="J92" i="42" s="1"/>
  <c r="J91" i="42" s="1"/>
  <c r="J90" i="42" s="1"/>
  <c r="J89" i="42" s="1"/>
  <c r="J88" i="42" s="1"/>
  <c r="J87" i="42" s="1"/>
  <c r="J86" i="42" s="1"/>
  <c r="J85" i="42" s="1"/>
  <c r="J84" i="42" s="1"/>
  <c r="J83" i="42" s="1"/>
  <c r="J82" i="42" s="1"/>
  <c r="J81" i="42" s="1"/>
  <c r="J80" i="42" s="1"/>
  <c r="J79" i="42" s="1"/>
  <c r="J78" i="42" s="1"/>
  <c r="J77" i="42" s="1"/>
  <c r="J76" i="42" s="1"/>
  <c r="J75" i="42" s="1"/>
  <c r="J74" i="42" s="1"/>
  <c r="J73" i="42" s="1"/>
  <c r="J72" i="42" s="1"/>
  <c r="J71" i="42" s="1"/>
  <c r="J70" i="42" s="1"/>
  <c r="J69" i="42" s="1"/>
  <c r="J68" i="42" s="1"/>
  <c r="J67" i="42" s="1"/>
  <c r="J66" i="42" s="1"/>
  <c r="J65" i="42" s="1"/>
  <c r="J64" i="42" s="1"/>
  <c r="J63" i="42" s="1"/>
  <c r="J62" i="42" s="1"/>
  <c r="J61" i="42" s="1"/>
  <c r="J60" i="42" s="1"/>
  <c r="J59" i="42" s="1"/>
  <c r="J58" i="42" s="1"/>
  <c r="J57" i="42" s="1"/>
  <c r="J56" i="42" s="1"/>
  <c r="J55" i="42" s="1"/>
  <c r="J54" i="42" s="1"/>
  <c r="J53" i="42" s="1"/>
  <c r="J52" i="42" s="1"/>
  <c r="J51" i="42" s="1"/>
  <c r="J50" i="42" s="1"/>
  <c r="J49" i="42" s="1"/>
  <c r="J48" i="42" s="1"/>
  <c r="J47" i="42" s="1"/>
  <c r="J46" i="42" s="1"/>
  <c r="J45" i="42" s="1"/>
  <c r="J44" i="42" s="1"/>
  <c r="J43" i="42" s="1"/>
  <c r="J42" i="42" s="1"/>
  <c r="J41" i="42" s="1"/>
  <c r="J40" i="42" s="1"/>
  <c r="J39" i="42" s="1"/>
  <c r="J38" i="42" s="1"/>
  <c r="J37" i="42" s="1"/>
  <c r="J36" i="42" s="1"/>
  <c r="J35" i="42" s="1"/>
  <c r="J34" i="42" s="1"/>
  <c r="J33" i="42" s="1"/>
  <c r="J32" i="42" s="1"/>
  <c r="J31" i="42" s="1"/>
  <c r="J30" i="42" s="1"/>
  <c r="J29" i="42" s="1"/>
  <c r="J28" i="42" s="1"/>
  <c r="J27" i="42" s="1"/>
  <c r="J26" i="42" s="1"/>
  <c r="J25" i="42" s="1"/>
  <c r="J24" i="42" s="1"/>
  <c r="J23" i="42" s="1"/>
  <c r="J22" i="42" s="1"/>
  <c r="J21" i="42" s="1"/>
  <c r="J20" i="42" s="1"/>
  <c r="J19" i="42" s="1"/>
  <c r="J18" i="42" s="1"/>
  <c r="J17" i="42" s="1"/>
  <c r="J16" i="42" s="1"/>
  <c r="J15" i="42" s="1"/>
  <c r="J14" i="42" s="1"/>
  <c r="J13" i="42" s="1"/>
  <c r="J12" i="42" s="1"/>
  <c r="J11" i="42" s="1"/>
  <c r="J10" i="42" s="1"/>
  <c r="J9" i="42" s="1"/>
  <c r="J8" i="42" s="1"/>
  <c r="J7" i="42" s="1"/>
  <c r="J6" i="42" s="1"/>
  <c r="J5" i="42" s="1"/>
  <c r="J4" i="42" s="1"/>
  <c r="J3" i="42" s="1"/>
  <c r="J2" i="42" s="1"/>
  <c r="D158" i="27"/>
  <c r="C158" i="27"/>
  <c r="D157" i="27"/>
  <c r="C157" i="27"/>
  <c r="D156" i="27"/>
  <c r="C156" i="27"/>
  <c r="D155" i="27"/>
  <c r="C155" i="27"/>
  <c r="D154" i="27"/>
  <c r="C154" i="27"/>
  <c r="D153" i="27"/>
  <c r="C153" i="27"/>
  <c r="D152" i="27"/>
  <c r="C152" i="27"/>
  <c r="D151" i="27"/>
  <c r="C151" i="27"/>
  <c r="D150" i="27"/>
  <c r="C150" i="27"/>
  <c r="D149" i="27"/>
  <c r="C149" i="27"/>
  <c r="D148" i="27"/>
  <c r="C148" i="27"/>
  <c r="D147" i="27"/>
  <c r="C147" i="27"/>
  <c r="D146" i="27"/>
  <c r="C146" i="27"/>
  <c r="D145" i="27"/>
  <c r="C145" i="27"/>
  <c r="D144" i="27"/>
  <c r="C144" i="27"/>
  <c r="D143" i="27"/>
  <c r="C143" i="27"/>
  <c r="D142" i="27"/>
  <c r="C142" i="27"/>
  <c r="D141" i="27"/>
  <c r="C141" i="27"/>
  <c r="D140" i="27"/>
  <c r="C140" i="27"/>
  <c r="D139" i="27"/>
  <c r="C139" i="27"/>
  <c r="D138" i="27"/>
  <c r="C138" i="27"/>
  <c r="D137" i="27"/>
  <c r="C137" i="27"/>
  <c r="D136" i="27"/>
  <c r="C136" i="27"/>
  <c r="D135" i="27"/>
  <c r="C135" i="27"/>
  <c r="D134" i="27"/>
  <c r="C134" i="27"/>
  <c r="D133" i="27"/>
  <c r="C133" i="27"/>
  <c r="D132" i="27"/>
  <c r="C132" i="27"/>
  <c r="D131" i="27"/>
  <c r="C131" i="27"/>
  <c r="D130" i="27"/>
  <c r="C130" i="27"/>
  <c r="D129" i="27"/>
  <c r="C129" i="27"/>
  <c r="D128" i="27"/>
  <c r="C128" i="27"/>
  <c r="D127" i="27"/>
  <c r="C127" i="27"/>
  <c r="D126" i="27"/>
  <c r="C126" i="27"/>
  <c r="D125" i="27"/>
  <c r="C125" i="27"/>
  <c r="D124" i="27"/>
  <c r="C124" i="27"/>
  <c r="D123" i="27"/>
  <c r="C123" i="27"/>
  <c r="D122" i="27"/>
  <c r="C122" i="27"/>
  <c r="D121" i="27"/>
  <c r="C121" i="27"/>
  <c r="D120" i="27"/>
  <c r="C120" i="27"/>
  <c r="D119" i="27"/>
  <c r="C119" i="27"/>
  <c r="D118" i="27"/>
  <c r="C118" i="27"/>
  <c r="D117" i="27"/>
  <c r="C117" i="27"/>
  <c r="D116" i="27"/>
  <c r="C116" i="27"/>
  <c r="D115" i="27"/>
  <c r="C115" i="27"/>
  <c r="D114" i="27"/>
  <c r="C114" i="27"/>
  <c r="D113" i="27"/>
  <c r="C113" i="27"/>
  <c r="D112" i="27"/>
  <c r="C112" i="27"/>
  <c r="D111" i="27"/>
  <c r="C111" i="27"/>
  <c r="D158" i="28"/>
  <c r="C158" i="28"/>
  <c r="D157" i="28"/>
  <c r="C157" i="28"/>
  <c r="D156" i="28"/>
  <c r="C156" i="28"/>
  <c r="D155" i="28"/>
  <c r="C155" i="28"/>
  <c r="D154" i="28"/>
  <c r="C154" i="28"/>
  <c r="D153" i="28"/>
  <c r="C153" i="28"/>
  <c r="D152" i="28"/>
  <c r="C152" i="28"/>
  <c r="D151" i="28"/>
  <c r="C151" i="28"/>
  <c r="D150" i="28"/>
  <c r="C150" i="28"/>
  <c r="D149" i="28"/>
  <c r="C149" i="28"/>
  <c r="D148" i="28"/>
  <c r="C148" i="28"/>
  <c r="D147" i="28"/>
  <c r="C147" i="28"/>
  <c r="D146" i="28"/>
  <c r="C146" i="28"/>
  <c r="D145" i="28"/>
  <c r="C145" i="28"/>
  <c r="D144" i="28"/>
  <c r="C144" i="28"/>
  <c r="D143" i="28"/>
  <c r="C143" i="28"/>
  <c r="D142" i="28"/>
  <c r="C142" i="28"/>
  <c r="D141" i="28"/>
  <c r="C141" i="28"/>
  <c r="D140" i="28"/>
  <c r="C140" i="28"/>
  <c r="D139" i="28"/>
  <c r="C139" i="28"/>
  <c r="D138" i="28"/>
  <c r="C138" i="28"/>
  <c r="D137" i="28"/>
  <c r="C137" i="28"/>
  <c r="D136" i="28"/>
  <c r="C136" i="28"/>
  <c r="D135" i="28"/>
  <c r="C135" i="28"/>
  <c r="D134" i="28"/>
  <c r="C134" i="28"/>
  <c r="D133" i="28"/>
  <c r="C133" i="28"/>
  <c r="D132" i="28"/>
  <c r="C132" i="28"/>
  <c r="D131" i="28"/>
  <c r="C131" i="28"/>
  <c r="D130" i="28"/>
  <c r="C130" i="28"/>
  <c r="D129" i="28"/>
  <c r="C129" i="28"/>
  <c r="D128" i="28"/>
  <c r="C128" i="28"/>
  <c r="D127" i="28"/>
  <c r="C127" i="28"/>
  <c r="D126" i="28"/>
  <c r="C126" i="28"/>
  <c r="D125" i="28"/>
  <c r="C125" i="28"/>
  <c r="D124" i="28"/>
  <c r="C124" i="28"/>
  <c r="D123" i="28"/>
  <c r="C123" i="28"/>
  <c r="D122" i="28"/>
  <c r="C122" i="28"/>
  <c r="D121" i="28"/>
  <c r="C121" i="28"/>
  <c r="D120" i="28"/>
  <c r="C120" i="28"/>
  <c r="D119" i="28"/>
  <c r="C119" i="28"/>
  <c r="D118" i="28"/>
  <c r="C118" i="28"/>
  <c r="D117" i="28"/>
  <c r="C117" i="28"/>
  <c r="D116" i="28"/>
  <c r="C116" i="28"/>
  <c r="D115" i="28"/>
  <c r="C115" i="28"/>
  <c r="D114" i="28"/>
  <c r="C114" i="28"/>
  <c r="D113" i="28"/>
  <c r="C113" i="28"/>
  <c r="D112" i="28"/>
  <c r="C112" i="28"/>
  <c r="D111" i="28"/>
  <c r="C111" i="28"/>
  <c r="D158" i="29"/>
  <c r="C158" i="29"/>
  <c r="D157" i="29"/>
  <c r="C157" i="29"/>
  <c r="D156" i="29"/>
  <c r="C156" i="29"/>
  <c r="D155" i="29"/>
  <c r="C155" i="29"/>
  <c r="D154" i="29"/>
  <c r="C154" i="29"/>
  <c r="D153" i="29"/>
  <c r="C153" i="29"/>
  <c r="D152" i="29"/>
  <c r="C152" i="29"/>
  <c r="D151" i="29"/>
  <c r="C151" i="29"/>
  <c r="D150" i="29"/>
  <c r="C150" i="29"/>
  <c r="D149" i="29"/>
  <c r="C149" i="29"/>
  <c r="D148" i="29"/>
  <c r="C148" i="29"/>
  <c r="D147" i="29"/>
  <c r="C147" i="29"/>
  <c r="D146" i="29"/>
  <c r="C146" i="29"/>
  <c r="D145" i="29"/>
  <c r="C145" i="29"/>
  <c r="D144" i="29"/>
  <c r="C144" i="29"/>
  <c r="D143" i="29"/>
  <c r="C143" i="29"/>
  <c r="D142" i="29"/>
  <c r="C142" i="29"/>
  <c r="D141" i="29"/>
  <c r="C141" i="29"/>
  <c r="D140" i="29"/>
  <c r="C140" i="29"/>
  <c r="D139" i="29"/>
  <c r="C139" i="29"/>
  <c r="D138" i="29"/>
  <c r="C138" i="29"/>
  <c r="D137" i="29"/>
  <c r="C137" i="29"/>
  <c r="D136" i="29"/>
  <c r="C136" i="29"/>
  <c r="D135" i="29"/>
  <c r="C135" i="29"/>
  <c r="D134" i="29"/>
  <c r="C134" i="29"/>
  <c r="D133" i="29"/>
  <c r="C133" i="29"/>
  <c r="D132" i="29"/>
  <c r="C132" i="29"/>
  <c r="D131" i="29"/>
  <c r="C131" i="29"/>
  <c r="D130" i="29"/>
  <c r="C130" i="29"/>
  <c r="D129" i="29"/>
  <c r="C129" i="29"/>
  <c r="D128" i="29"/>
  <c r="C128" i="29"/>
  <c r="D127" i="29"/>
  <c r="C127" i="29"/>
  <c r="D126" i="29"/>
  <c r="C126" i="29"/>
  <c r="D125" i="29"/>
  <c r="C125" i="29"/>
  <c r="D124" i="29"/>
  <c r="C124" i="29"/>
  <c r="D123" i="29"/>
  <c r="C123" i="29"/>
  <c r="D122" i="29"/>
  <c r="C122" i="29"/>
  <c r="D121" i="29"/>
  <c r="C121" i="29"/>
  <c r="D120" i="29"/>
  <c r="C120" i="29"/>
  <c r="D119" i="29"/>
  <c r="C119" i="29"/>
  <c r="D118" i="29"/>
  <c r="C118" i="29"/>
  <c r="D117" i="29"/>
  <c r="C117" i="29"/>
  <c r="D116" i="29"/>
  <c r="C116" i="29"/>
  <c r="D115" i="29"/>
  <c r="C115" i="29"/>
  <c r="D114" i="29"/>
  <c r="C114" i="29"/>
  <c r="D113" i="29"/>
  <c r="C113" i="29"/>
  <c r="D112" i="29"/>
  <c r="C112" i="29"/>
  <c r="D111" i="29"/>
  <c r="C111" i="29"/>
  <c r="D158" i="30"/>
  <c r="C158" i="30"/>
  <c r="D157" i="30"/>
  <c r="C157" i="30"/>
  <c r="D156" i="30"/>
  <c r="C156" i="30"/>
  <c r="D155" i="30"/>
  <c r="C155" i="30"/>
  <c r="D154" i="30"/>
  <c r="C154" i="30"/>
  <c r="D153" i="30"/>
  <c r="C153" i="30"/>
  <c r="D152" i="30"/>
  <c r="C152" i="30"/>
  <c r="D151" i="30"/>
  <c r="C151" i="30"/>
  <c r="D150" i="30"/>
  <c r="C150" i="30"/>
  <c r="D149" i="30"/>
  <c r="C149" i="30"/>
  <c r="D148" i="30"/>
  <c r="C148" i="30"/>
  <c r="D147" i="30"/>
  <c r="C147" i="30"/>
  <c r="D146" i="30"/>
  <c r="C146" i="30"/>
  <c r="D145" i="30"/>
  <c r="C145" i="30"/>
  <c r="D144" i="30"/>
  <c r="C144" i="30"/>
  <c r="D143" i="30"/>
  <c r="C143" i="30"/>
  <c r="D142" i="30"/>
  <c r="C142" i="30"/>
  <c r="D141" i="30"/>
  <c r="C141" i="30"/>
  <c r="D140" i="30"/>
  <c r="C140" i="30"/>
  <c r="D139" i="30"/>
  <c r="C139" i="30"/>
  <c r="D138" i="30"/>
  <c r="C138" i="30"/>
  <c r="D137" i="30"/>
  <c r="C137" i="30"/>
  <c r="D136" i="30"/>
  <c r="C136" i="30"/>
  <c r="D135" i="30"/>
  <c r="C135" i="30"/>
  <c r="D134" i="30"/>
  <c r="C134" i="30"/>
  <c r="D133" i="30"/>
  <c r="C133" i="30"/>
  <c r="D132" i="30"/>
  <c r="C132" i="30"/>
  <c r="D131" i="30"/>
  <c r="C131" i="30"/>
  <c r="D130" i="30"/>
  <c r="C130" i="30"/>
  <c r="D129" i="30"/>
  <c r="C129" i="30"/>
  <c r="D128" i="30"/>
  <c r="C128" i="30"/>
  <c r="D127" i="30"/>
  <c r="C127" i="30"/>
  <c r="D126" i="30"/>
  <c r="C126" i="30"/>
  <c r="D125" i="30"/>
  <c r="C125" i="30"/>
  <c r="D124" i="30"/>
  <c r="C124" i="30"/>
  <c r="D123" i="30"/>
  <c r="C123" i="30"/>
  <c r="D122" i="30"/>
  <c r="C122" i="30"/>
  <c r="D121" i="30"/>
  <c r="C121" i="30"/>
  <c r="D120" i="30"/>
  <c r="C120" i="30"/>
  <c r="D119" i="30"/>
  <c r="C119" i="30"/>
  <c r="D118" i="30"/>
  <c r="C118" i="30"/>
  <c r="D117" i="30"/>
  <c r="C117" i="30"/>
  <c r="D116" i="30"/>
  <c r="C116" i="30"/>
  <c r="D115" i="30"/>
  <c r="C115" i="30"/>
  <c r="D114" i="30"/>
  <c r="C114" i="30"/>
  <c r="D113" i="30"/>
  <c r="C113" i="30"/>
  <c r="D112" i="30"/>
  <c r="C112" i="30"/>
  <c r="D111" i="30"/>
  <c r="C111" i="30"/>
  <c r="D158" i="31"/>
  <c r="C158" i="31"/>
  <c r="D157" i="31"/>
  <c r="C157" i="31"/>
  <c r="D156" i="31"/>
  <c r="C156" i="31"/>
  <c r="D155" i="31"/>
  <c r="C155" i="31"/>
  <c r="D154" i="31"/>
  <c r="C154" i="31"/>
  <c r="D153" i="31"/>
  <c r="C153" i="31"/>
  <c r="D152" i="31"/>
  <c r="C152" i="31"/>
  <c r="D151" i="31"/>
  <c r="C151" i="31"/>
  <c r="D150" i="31"/>
  <c r="C150" i="31"/>
  <c r="D149" i="31"/>
  <c r="C149" i="31"/>
  <c r="D148" i="31"/>
  <c r="C148" i="31"/>
  <c r="D147" i="31"/>
  <c r="C147" i="31"/>
  <c r="D146" i="31"/>
  <c r="C146" i="31"/>
  <c r="D145" i="31"/>
  <c r="C145" i="31"/>
  <c r="D144" i="31"/>
  <c r="C144" i="31"/>
  <c r="D143" i="31"/>
  <c r="C143" i="31"/>
  <c r="D142" i="31"/>
  <c r="C142" i="31"/>
  <c r="D141" i="31"/>
  <c r="C141" i="31"/>
  <c r="D140" i="31"/>
  <c r="C140" i="31"/>
  <c r="D139" i="31"/>
  <c r="C139" i="31"/>
  <c r="D138" i="31"/>
  <c r="C138" i="31"/>
  <c r="D137" i="31"/>
  <c r="C137" i="31"/>
  <c r="D136" i="31"/>
  <c r="C136" i="31"/>
  <c r="D135" i="31"/>
  <c r="C135" i="31"/>
  <c r="D134" i="31"/>
  <c r="C134" i="31"/>
  <c r="D133" i="31"/>
  <c r="C133" i="31"/>
  <c r="D132" i="31"/>
  <c r="C132" i="31"/>
  <c r="D131" i="31"/>
  <c r="C131" i="31"/>
  <c r="D130" i="31"/>
  <c r="C130" i="31"/>
  <c r="D129" i="31"/>
  <c r="C129" i="31"/>
  <c r="D128" i="31"/>
  <c r="C128" i="31"/>
  <c r="D127" i="31"/>
  <c r="C127" i="31"/>
  <c r="D126" i="31"/>
  <c r="C126" i="31"/>
  <c r="D125" i="31"/>
  <c r="C125" i="31"/>
  <c r="D124" i="31"/>
  <c r="C124" i="31"/>
  <c r="D123" i="31"/>
  <c r="C123" i="31"/>
  <c r="D122" i="31"/>
  <c r="C122" i="31"/>
  <c r="D121" i="31"/>
  <c r="C121" i="31"/>
  <c r="D120" i="31"/>
  <c r="C120" i="31"/>
  <c r="D119" i="31"/>
  <c r="C119" i="31"/>
  <c r="D118" i="31"/>
  <c r="C118" i="31"/>
  <c r="D117" i="31"/>
  <c r="C117" i="31"/>
  <c r="D116" i="31"/>
  <c r="C116" i="31"/>
  <c r="D115" i="31"/>
  <c r="C115" i="31"/>
  <c r="D114" i="31"/>
  <c r="C114" i="31"/>
  <c r="D113" i="31"/>
  <c r="C113" i="31"/>
  <c r="D112" i="31"/>
  <c r="C112" i="31"/>
  <c r="D111" i="31"/>
  <c r="C111" i="31"/>
  <c r="D158" i="32"/>
  <c r="C158" i="32"/>
  <c r="D157" i="32"/>
  <c r="C157" i="32"/>
  <c r="D156" i="32"/>
  <c r="C156" i="32"/>
  <c r="D155" i="32"/>
  <c r="C155" i="32"/>
  <c r="D154" i="32"/>
  <c r="C154" i="32"/>
  <c r="D153" i="32"/>
  <c r="C153" i="32"/>
  <c r="D152" i="32"/>
  <c r="C152" i="32"/>
  <c r="D151" i="32"/>
  <c r="C151" i="32"/>
  <c r="D150" i="32"/>
  <c r="C150" i="32"/>
  <c r="D149" i="32"/>
  <c r="C149" i="32"/>
  <c r="D148" i="32"/>
  <c r="C148" i="32"/>
  <c r="D147" i="32"/>
  <c r="C147" i="32"/>
  <c r="D146" i="32"/>
  <c r="C146" i="32"/>
  <c r="D145" i="32"/>
  <c r="C145" i="32"/>
  <c r="D144" i="32"/>
  <c r="C144" i="32"/>
  <c r="D143" i="32"/>
  <c r="C143" i="32"/>
  <c r="D142" i="32"/>
  <c r="C142" i="32"/>
  <c r="D141" i="32"/>
  <c r="C141" i="32"/>
  <c r="D140" i="32"/>
  <c r="C140" i="32"/>
  <c r="D139" i="32"/>
  <c r="C139" i="32"/>
  <c r="D138" i="32"/>
  <c r="C138" i="32"/>
  <c r="D137" i="32"/>
  <c r="C137" i="32"/>
  <c r="D136" i="32"/>
  <c r="C136" i="32"/>
  <c r="D135" i="32"/>
  <c r="C135" i="32"/>
  <c r="D134" i="32"/>
  <c r="C134" i="32"/>
  <c r="D133" i="32"/>
  <c r="C133" i="32"/>
  <c r="D132" i="32"/>
  <c r="C132" i="32"/>
  <c r="D131" i="32"/>
  <c r="C131" i="32"/>
  <c r="D130" i="32"/>
  <c r="C130" i="32"/>
  <c r="D129" i="32"/>
  <c r="C129" i="32"/>
  <c r="D128" i="32"/>
  <c r="C128" i="32"/>
  <c r="D127" i="32"/>
  <c r="C127" i="32"/>
  <c r="D126" i="32"/>
  <c r="C126" i="32"/>
  <c r="D125" i="32"/>
  <c r="C125" i="32"/>
  <c r="D124" i="32"/>
  <c r="C124" i="32"/>
  <c r="D123" i="32"/>
  <c r="C123" i="32"/>
  <c r="D122" i="32"/>
  <c r="C122" i="32"/>
  <c r="D121" i="32"/>
  <c r="C121" i="32"/>
  <c r="D120" i="32"/>
  <c r="C120" i="32"/>
  <c r="D119" i="32"/>
  <c r="C119" i="32"/>
  <c r="D118" i="32"/>
  <c r="C118" i="32"/>
  <c r="D117" i="32"/>
  <c r="C117" i="32"/>
  <c r="D116" i="32"/>
  <c r="C116" i="32"/>
  <c r="D115" i="32"/>
  <c r="C115" i="32"/>
  <c r="D114" i="32"/>
  <c r="C114" i="32"/>
  <c r="D113" i="32"/>
  <c r="C113" i="32"/>
  <c r="D112" i="32"/>
  <c r="C112" i="32"/>
  <c r="D111" i="32"/>
  <c r="C111" i="32"/>
  <c r="D158" i="33"/>
  <c r="C158" i="33"/>
  <c r="D157" i="33"/>
  <c r="C157" i="33"/>
  <c r="D156" i="33"/>
  <c r="C156" i="33"/>
  <c r="D155" i="33"/>
  <c r="C155" i="33"/>
  <c r="D154" i="33"/>
  <c r="C154" i="33"/>
  <c r="D153" i="33"/>
  <c r="C153" i="33"/>
  <c r="D152" i="33"/>
  <c r="C152" i="33"/>
  <c r="D151" i="33"/>
  <c r="C151" i="33"/>
  <c r="D150" i="33"/>
  <c r="C150" i="33"/>
  <c r="D149" i="33"/>
  <c r="C149" i="33"/>
  <c r="D148" i="33"/>
  <c r="C148" i="33"/>
  <c r="D147" i="33"/>
  <c r="C147" i="33"/>
  <c r="D146" i="33"/>
  <c r="C146" i="33"/>
  <c r="D145" i="33"/>
  <c r="C145" i="33"/>
  <c r="D144" i="33"/>
  <c r="C144" i="33"/>
  <c r="D143" i="33"/>
  <c r="C143" i="33"/>
  <c r="D142" i="33"/>
  <c r="C142" i="33"/>
  <c r="D141" i="33"/>
  <c r="C141" i="33"/>
  <c r="D140" i="33"/>
  <c r="C140" i="33"/>
  <c r="D139" i="33"/>
  <c r="C139" i="33"/>
  <c r="D138" i="33"/>
  <c r="C138" i="33"/>
  <c r="D137" i="33"/>
  <c r="C137" i="33"/>
  <c r="D136" i="33"/>
  <c r="C136" i="33"/>
  <c r="D135" i="33"/>
  <c r="C135" i="33"/>
  <c r="D134" i="33"/>
  <c r="C134" i="33"/>
  <c r="D133" i="33"/>
  <c r="C133" i="33"/>
  <c r="D132" i="33"/>
  <c r="C132" i="33"/>
  <c r="D131" i="33"/>
  <c r="C131" i="33"/>
  <c r="D130" i="33"/>
  <c r="C130" i="33"/>
  <c r="D129" i="33"/>
  <c r="C129" i="33"/>
  <c r="D128" i="33"/>
  <c r="C128" i="33"/>
  <c r="D127" i="33"/>
  <c r="C127" i="33"/>
  <c r="D126" i="33"/>
  <c r="C126" i="33"/>
  <c r="D125" i="33"/>
  <c r="C125" i="33"/>
  <c r="D124" i="33"/>
  <c r="C124" i="33"/>
  <c r="D123" i="33"/>
  <c r="C123" i="33"/>
  <c r="D122" i="33"/>
  <c r="C122" i="33"/>
  <c r="D121" i="33"/>
  <c r="C121" i="33"/>
  <c r="D120" i="33"/>
  <c r="C120" i="33"/>
  <c r="D119" i="33"/>
  <c r="C119" i="33"/>
  <c r="D118" i="33"/>
  <c r="C118" i="33"/>
  <c r="D117" i="33"/>
  <c r="C117" i="33"/>
  <c r="D116" i="33"/>
  <c r="C116" i="33"/>
  <c r="D115" i="33"/>
  <c r="C115" i="33"/>
  <c r="D114" i="33"/>
  <c r="C114" i="33"/>
  <c r="D113" i="33"/>
  <c r="C113" i="33"/>
  <c r="D112" i="33"/>
  <c r="C112" i="33"/>
  <c r="D111" i="33"/>
  <c r="C111" i="33"/>
  <c r="D158" i="34"/>
  <c r="C158" i="34"/>
  <c r="D157" i="34"/>
  <c r="C157" i="34"/>
  <c r="D156" i="34"/>
  <c r="C156" i="34"/>
  <c r="D155" i="34"/>
  <c r="C155" i="34"/>
  <c r="D154" i="34"/>
  <c r="C154" i="34"/>
  <c r="D153" i="34"/>
  <c r="C153" i="34"/>
  <c r="D152" i="34"/>
  <c r="C152" i="34"/>
  <c r="D151" i="34"/>
  <c r="C151" i="34"/>
  <c r="D150" i="34"/>
  <c r="C150" i="34"/>
  <c r="D149" i="34"/>
  <c r="C149" i="34"/>
  <c r="D148" i="34"/>
  <c r="C148" i="34"/>
  <c r="D147" i="34"/>
  <c r="C147" i="34"/>
  <c r="D146" i="34"/>
  <c r="C146" i="34"/>
  <c r="D145" i="34"/>
  <c r="C145" i="34"/>
  <c r="D144" i="34"/>
  <c r="C144" i="34"/>
  <c r="D143" i="34"/>
  <c r="C143" i="34"/>
  <c r="D142" i="34"/>
  <c r="C142" i="34"/>
  <c r="D141" i="34"/>
  <c r="C141" i="34"/>
  <c r="D140" i="34"/>
  <c r="C140" i="34"/>
  <c r="D139" i="34"/>
  <c r="C139" i="34"/>
  <c r="D138" i="34"/>
  <c r="C138" i="34"/>
  <c r="D137" i="34"/>
  <c r="C137" i="34"/>
  <c r="D136" i="34"/>
  <c r="C136" i="34"/>
  <c r="D135" i="34"/>
  <c r="C135" i="34"/>
  <c r="D134" i="34"/>
  <c r="C134" i="34"/>
  <c r="D133" i="34"/>
  <c r="C133" i="34"/>
  <c r="D132" i="34"/>
  <c r="C132" i="34"/>
  <c r="D131" i="34"/>
  <c r="C131" i="34"/>
  <c r="D130" i="34"/>
  <c r="C130" i="34"/>
  <c r="D129" i="34"/>
  <c r="C129" i="34"/>
  <c r="D128" i="34"/>
  <c r="C128" i="34"/>
  <c r="D127" i="34"/>
  <c r="C127" i="34"/>
  <c r="D126" i="34"/>
  <c r="C126" i="34"/>
  <c r="D125" i="34"/>
  <c r="C125" i="34"/>
  <c r="D124" i="34"/>
  <c r="C124" i="34"/>
  <c r="D123" i="34"/>
  <c r="C123" i="34"/>
  <c r="D122" i="34"/>
  <c r="C122" i="34"/>
  <c r="D121" i="34"/>
  <c r="C121" i="34"/>
  <c r="D120" i="34"/>
  <c r="C120" i="34"/>
  <c r="D119" i="34"/>
  <c r="C119" i="34"/>
  <c r="D118" i="34"/>
  <c r="C118" i="34"/>
  <c r="D117" i="34"/>
  <c r="C117" i="34"/>
  <c r="D116" i="34"/>
  <c r="C116" i="34"/>
  <c r="D115" i="34"/>
  <c r="C115" i="34"/>
  <c r="D114" i="34"/>
  <c r="C114" i="34"/>
  <c r="D113" i="34"/>
  <c r="C113" i="34"/>
  <c r="D112" i="34"/>
  <c r="C112" i="34"/>
  <c r="D111" i="34"/>
  <c r="C111" i="34"/>
  <c r="D158" i="35"/>
  <c r="C158" i="35"/>
  <c r="D157" i="35"/>
  <c r="C157" i="35"/>
  <c r="D156" i="35"/>
  <c r="C156" i="35"/>
  <c r="D155" i="35"/>
  <c r="C155" i="35"/>
  <c r="D154" i="35"/>
  <c r="C154" i="35"/>
  <c r="D153" i="35"/>
  <c r="C153" i="35"/>
  <c r="D152" i="35"/>
  <c r="C152" i="35"/>
  <c r="D151" i="35"/>
  <c r="C151" i="35"/>
  <c r="D150" i="35"/>
  <c r="C150" i="35"/>
  <c r="D149" i="35"/>
  <c r="C149" i="35"/>
  <c r="D148" i="35"/>
  <c r="C148" i="35"/>
  <c r="D147" i="35"/>
  <c r="C147" i="35"/>
  <c r="D146" i="35"/>
  <c r="C146" i="35"/>
  <c r="D145" i="35"/>
  <c r="C145" i="35"/>
  <c r="D144" i="35"/>
  <c r="C144" i="35"/>
  <c r="D143" i="35"/>
  <c r="C143" i="35"/>
  <c r="D142" i="35"/>
  <c r="C142" i="35"/>
  <c r="D141" i="35"/>
  <c r="C141" i="35"/>
  <c r="D140" i="35"/>
  <c r="C140" i="35"/>
  <c r="D139" i="35"/>
  <c r="C139" i="35"/>
  <c r="D138" i="35"/>
  <c r="C138" i="35"/>
  <c r="D137" i="35"/>
  <c r="C137" i="35"/>
  <c r="D136" i="35"/>
  <c r="C136" i="35"/>
  <c r="D135" i="35"/>
  <c r="C135" i="35"/>
  <c r="D134" i="35"/>
  <c r="C134" i="35"/>
  <c r="D133" i="35"/>
  <c r="C133" i="35"/>
  <c r="D132" i="35"/>
  <c r="C132" i="35"/>
  <c r="D131" i="35"/>
  <c r="C131" i="35"/>
  <c r="D130" i="35"/>
  <c r="C130" i="35"/>
  <c r="D129" i="35"/>
  <c r="C129" i="35"/>
  <c r="D128" i="35"/>
  <c r="C128" i="35"/>
  <c r="D127" i="35"/>
  <c r="C127" i="35"/>
  <c r="D126" i="35"/>
  <c r="C126" i="35"/>
  <c r="D125" i="35"/>
  <c r="C125" i="35"/>
  <c r="D124" i="35"/>
  <c r="C124" i="35"/>
  <c r="D123" i="35"/>
  <c r="C123" i="35"/>
  <c r="D122" i="35"/>
  <c r="C122" i="35"/>
  <c r="D121" i="35"/>
  <c r="C121" i="35"/>
  <c r="D120" i="35"/>
  <c r="C120" i="35"/>
  <c r="D119" i="35"/>
  <c r="C119" i="35"/>
  <c r="D118" i="35"/>
  <c r="C118" i="35"/>
  <c r="D117" i="35"/>
  <c r="C117" i="35"/>
  <c r="D116" i="35"/>
  <c r="C116" i="35"/>
  <c r="D115" i="35"/>
  <c r="C115" i="35"/>
  <c r="D114" i="35"/>
  <c r="C114" i="35"/>
  <c r="D113" i="35"/>
  <c r="C113" i="35"/>
  <c r="D112" i="35"/>
  <c r="C112" i="35"/>
  <c r="D111" i="35"/>
  <c r="C111" i="35"/>
  <c r="D158" i="36"/>
  <c r="C158" i="36"/>
  <c r="D157" i="36"/>
  <c r="C157" i="36"/>
  <c r="D156" i="36"/>
  <c r="C156" i="36"/>
  <c r="D155" i="36"/>
  <c r="C155" i="36"/>
  <c r="D154" i="36"/>
  <c r="C154" i="36"/>
  <c r="D153" i="36"/>
  <c r="C153" i="36"/>
  <c r="D152" i="36"/>
  <c r="C152" i="36"/>
  <c r="D151" i="36"/>
  <c r="C151" i="36"/>
  <c r="D150" i="36"/>
  <c r="C150" i="36"/>
  <c r="D149" i="36"/>
  <c r="C149" i="36"/>
  <c r="D148" i="36"/>
  <c r="C148" i="36"/>
  <c r="D147" i="36"/>
  <c r="C147" i="36"/>
  <c r="D146" i="36"/>
  <c r="C146" i="36"/>
  <c r="D145" i="36"/>
  <c r="C145" i="36"/>
  <c r="D144" i="36"/>
  <c r="C144" i="36"/>
  <c r="D143" i="36"/>
  <c r="C143" i="36"/>
  <c r="D142" i="36"/>
  <c r="C142" i="36"/>
  <c r="D141" i="36"/>
  <c r="C141" i="36"/>
  <c r="D140" i="36"/>
  <c r="C140" i="36"/>
  <c r="D139" i="36"/>
  <c r="C139" i="36"/>
  <c r="D138" i="36"/>
  <c r="C138" i="36"/>
  <c r="D137" i="36"/>
  <c r="C137" i="36"/>
  <c r="D136" i="36"/>
  <c r="C136" i="36"/>
  <c r="D135" i="36"/>
  <c r="C135" i="36"/>
  <c r="D134" i="36"/>
  <c r="C134" i="36"/>
  <c r="D133" i="36"/>
  <c r="C133" i="36"/>
  <c r="D132" i="36"/>
  <c r="C132" i="36"/>
  <c r="D131" i="36"/>
  <c r="C131" i="36"/>
  <c r="D130" i="36"/>
  <c r="C130" i="36"/>
  <c r="D129" i="36"/>
  <c r="C129" i="36"/>
  <c r="D128" i="36"/>
  <c r="C128" i="36"/>
  <c r="D127" i="36"/>
  <c r="C127" i="36"/>
  <c r="D126" i="36"/>
  <c r="C126" i="36"/>
  <c r="D125" i="36"/>
  <c r="C125" i="36"/>
  <c r="D124" i="36"/>
  <c r="C124" i="36"/>
  <c r="D123" i="36"/>
  <c r="C123" i="36"/>
  <c r="D122" i="36"/>
  <c r="C122" i="36"/>
  <c r="D121" i="36"/>
  <c r="C121" i="36"/>
  <c r="D120" i="36"/>
  <c r="C120" i="36"/>
  <c r="D119" i="36"/>
  <c r="C119" i="36"/>
  <c r="D118" i="36"/>
  <c r="C118" i="36"/>
  <c r="D117" i="36"/>
  <c r="C117" i="36"/>
  <c r="D116" i="36"/>
  <c r="C116" i="36"/>
  <c r="D115" i="36"/>
  <c r="C115" i="36"/>
  <c r="D114" i="36"/>
  <c r="C114" i="36"/>
  <c r="D113" i="36"/>
  <c r="C113" i="36"/>
  <c r="D112" i="36"/>
  <c r="C112" i="36"/>
  <c r="D111" i="36"/>
  <c r="C111" i="36"/>
  <c r="D158" i="37"/>
  <c r="C158" i="37"/>
  <c r="D157" i="37"/>
  <c r="C157" i="37"/>
  <c r="D156" i="37"/>
  <c r="C156" i="37"/>
  <c r="D155" i="37"/>
  <c r="C155" i="37"/>
  <c r="D154" i="37"/>
  <c r="C154" i="37"/>
  <c r="D153" i="37"/>
  <c r="C153" i="37"/>
  <c r="D152" i="37"/>
  <c r="C152" i="37"/>
  <c r="D151" i="37"/>
  <c r="C151" i="37"/>
  <c r="D150" i="37"/>
  <c r="C150" i="37"/>
  <c r="D149" i="37"/>
  <c r="C149" i="37"/>
  <c r="D148" i="37"/>
  <c r="C148" i="37"/>
  <c r="D147" i="37"/>
  <c r="C147" i="37"/>
  <c r="D146" i="37"/>
  <c r="C146" i="37"/>
  <c r="D145" i="37"/>
  <c r="C145" i="37"/>
  <c r="D144" i="37"/>
  <c r="C144" i="37"/>
  <c r="D143" i="37"/>
  <c r="C143" i="37"/>
  <c r="D142" i="37"/>
  <c r="C142" i="37"/>
  <c r="D141" i="37"/>
  <c r="C141" i="37"/>
  <c r="D140" i="37"/>
  <c r="C140" i="37"/>
  <c r="D139" i="37"/>
  <c r="C139" i="37"/>
  <c r="D138" i="37"/>
  <c r="C138" i="37"/>
  <c r="D137" i="37"/>
  <c r="C137" i="37"/>
  <c r="D136" i="37"/>
  <c r="C136" i="37"/>
  <c r="D135" i="37"/>
  <c r="C135" i="37"/>
  <c r="D134" i="37"/>
  <c r="C134" i="37"/>
  <c r="D133" i="37"/>
  <c r="C133" i="37"/>
  <c r="D132" i="37"/>
  <c r="C132" i="37"/>
  <c r="D131" i="37"/>
  <c r="C131" i="37"/>
  <c r="D130" i="37"/>
  <c r="C130" i="37"/>
  <c r="D129" i="37"/>
  <c r="C129" i="37"/>
  <c r="D128" i="37"/>
  <c r="C128" i="37"/>
  <c r="D127" i="37"/>
  <c r="C127" i="37"/>
  <c r="D126" i="37"/>
  <c r="C126" i="37"/>
  <c r="D125" i="37"/>
  <c r="C125" i="37"/>
  <c r="D124" i="37"/>
  <c r="C124" i="37"/>
  <c r="D123" i="37"/>
  <c r="C123" i="37"/>
  <c r="D122" i="37"/>
  <c r="C122" i="37"/>
  <c r="D121" i="37"/>
  <c r="C121" i="37"/>
  <c r="D120" i="37"/>
  <c r="C120" i="37"/>
  <c r="D119" i="37"/>
  <c r="C119" i="37"/>
  <c r="D118" i="37"/>
  <c r="C118" i="37"/>
  <c r="D117" i="37"/>
  <c r="C117" i="37"/>
  <c r="D116" i="37"/>
  <c r="C116" i="37"/>
  <c r="D115" i="37"/>
  <c r="C115" i="37"/>
  <c r="D114" i="37"/>
  <c r="C114" i="37"/>
  <c r="D113" i="37"/>
  <c r="C113" i="37"/>
  <c r="D112" i="37"/>
  <c r="C112" i="37"/>
  <c r="D111" i="37"/>
  <c r="C111" i="37"/>
  <c r="D158" i="26"/>
  <c r="C158" i="26"/>
  <c r="D157" i="26"/>
  <c r="C157" i="26"/>
  <c r="D156" i="26"/>
  <c r="C156" i="26"/>
  <c r="D155" i="26"/>
  <c r="C155" i="26"/>
  <c r="D154" i="26"/>
  <c r="C154" i="26"/>
  <c r="D153" i="26"/>
  <c r="C153" i="26"/>
  <c r="D152" i="26"/>
  <c r="C152" i="26"/>
  <c r="D151" i="26"/>
  <c r="C151" i="26"/>
  <c r="D150" i="26"/>
  <c r="C150" i="26"/>
  <c r="D149" i="26"/>
  <c r="C149" i="26"/>
  <c r="D148" i="26"/>
  <c r="C148" i="26"/>
  <c r="D147" i="26"/>
  <c r="C147" i="26"/>
  <c r="D146" i="26"/>
  <c r="C146" i="26"/>
  <c r="D145" i="26"/>
  <c r="C145" i="26"/>
  <c r="D144" i="26"/>
  <c r="C144" i="26"/>
  <c r="D143" i="26"/>
  <c r="C143" i="26"/>
  <c r="D142" i="26"/>
  <c r="C142" i="26"/>
  <c r="D141" i="26"/>
  <c r="C141" i="26"/>
  <c r="D140" i="26"/>
  <c r="C140" i="26"/>
  <c r="D139" i="26"/>
  <c r="C139" i="26"/>
  <c r="D138" i="26"/>
  <c r="C138" i="26"/>
  <c r="D137" i="26"/>
  <c r="C137" i="26"/>
  <c r="D136" i="26"/>
  <c r="C136" i="26"/>
  <c r="D135" i="26"/>
  <c r="C135" i="26"/>
  <c r="D134" i="26"/>
  <c r="C134" i="26"/>
  <c r="D133" i="26"/>
  <c r="C133" i="26"/>
  <c r="D132" i="26"/>
  <c r="C132" i="26"/>
  <c r="D131" i="26"/>
  <c r="C131" i="26"/>
  <c r="D130" i="26"/>
  <c r="C130" i="26"/>
  <c r="D129" i="26"/>
  <c r="C129" i="26"/>
  <c r="D128" i="26"/>
  <c r="C128" i="26"/>
  <c r="D127" i="26"/>
  <c r="C127" i="26"/>
  <c r="D126" i="26"/>
  <c r="C126" i="26"/>
  <c r="D125" i="26"/>
  <c r="C125" i="26"/>
  <c r="D124" i="26"/>
  <c r="C124" i="26"/>
  <c r="D123" i="26"/>
  <c r="C123" i="26"/>
  <c r="D122" i="26"/>
  <c r="C122" i="26"/>
  <c r="D121" i="26"/>
  <c r="C121" i="26"/>
  <c r="D120" i="26"/>
  <c r="C120" i="26"/>
  <c r="D119" i="26"/>
  <c r="C119" i="26"/>
  <c r="D118" i="26"/>
  <c r="C118" i="26"/>
  <c r="D117" i="26"/>
  <c r="C117" i="26"/>
  <c r="D116" i="26"/>
  <c r="C116" i="26"/>
  <c r="D115" i="26"/>
  <c r="C115" i="26"/>
  <c r="D114" i="26"/>
  <c r="C114" i="26"/>
  <c r="D113" i="26"/>
  <c r="C113" i="26"/>
  <c r="D112" i="26"/>
  <c r="C112" i="26"/>
  <c r="D111" i="26"/>
  <c r="C111" i="26"/>
  <c r="X167" i="4" l="1"/>
  <c r="C167" i="4"/>
  <c r="B167" i="4"/>
  <c r="B168" i="4" s="1"/>
  <c r="X165" i="4"/>
  <c r="C165" i="4"/>
  <c r="B165" i="4"/>
  <c r="B166" i="4" s="1"/>
  <c r="X163" i="4"/>
  <c r="C163" i="4"/>
  <c r="B163" i="4"/>
  <c r="B164" i="4" s="1"/>
  <c r="X161" i="4"/>
  <c r="C161" i="4"/>
  <c r="B161" i="4"/>
  <c r="B162" i="4" s="1"/>
  <c r="X159" i="4"/>
  <c r="C159" i="4"/>
  <c r="B159" i="4"/>
  <c r="B160" i="4" s="1"/>
  <c r="X157" i="4"/>
  <c r="C157" i="4"/>
  <c r="B157" i="4"/>
  <c r="B158" i="4" s="1"/>
  <c r="X155" i="4"/>
  <c r="C155" i="4"/>
  <c r="B155" i="4"/>
  <c r="B156" i="4" s="1"/>
  <c r="X153" i="4"/>
  <c r="C153" i="4"/>
  <c r="B153" i="4"/>
  <c r="B154" i="4" s="1"/>
  <c r="X151" i="4"/>
  <c r="C151" i="4"/>
  <c r="B151" i="4"/>
  <c r="B152" i="4" s="1"/>
  <c r="X149" i="4"/>
  <c r="C149" i="4"/>
  <c r="B149" i="4"/>
  <c r="B150" i="4" s="1"/>
  <c r="X147" i="4"/>
  <c r="C147" i="4"/>
  <c r="B147" i="4"/>
  <c r="B148" i="4" s="1"/>
  <c r="X145" i="4"/>
  <c r="C145" i="4"/>
  <c r="B145" i="4"/>
  <c r="B146" i="4" s="1"/>
  <c r="X143" i="4"/>
  <c r="C143" i="4"/>
  <c r="B143" i="4"/>
  <c r="B144" i="4" s="1"/>
  <c r="X141" i="4"/>
  <c r="C141" i="4"/>
  <c r="B141" i="4"/>
  <c r="B142" i="4" s="1"/>
  <c r="X139" i="4"/>
  <c r="C139" i="4"/>
  <c r="B139" i="4"/>
  <c r="B140" i="4" s="1"/>
  <c r="X137" i="4"/>
  <c r="C137" i="4"/>
  <c r="B137" i="4"/>
  <c r="B138" i="4" s="1"/>
  <c r="X135" i="4"/>
  <c r="C135" i="4"/>
  <c r="B135" i="4"/>
  <c r="B136" i="4" s="1"/>
  <c r="X133" i="4"/>
  <c r="C133" i="4"/>
  <c r="B133" i="4"/>
  <c r="B134" i="4" s="1"/>
  <c r="X131" i="4"/>
  <c r="C131" i="4"/>
  <c r="B131" i="4"/>
  <c r="B132" i="4" s="1"/>
  <c r="X129" i="4"/>
  <c r="C129" i="4"/>
  <c r="B129" i="4"/>
  <c r="B130" i="4" s="1"/>
  <c r="X127" i="4"/>
  <c r="C127" i="4"/>
  <c r="B127" i="4"/>
  <c r="B128" i="4" s="1"/>
  <c r="X125" i="4"/>
  <c r="C125" i="4"/>
  <c r="B125" i="4"/>
  <c r="B126" i="4" s="1"/>
  <c r="X167" i="1"/>
  <c r="C167" i="1"/>
  <c r="B167" i="1"/>
  <c r="B168" i="1" s="1"/>
  <c r="X165" i="1"/>
  <c r="C165" i="1"/>
  <c r="B165" i="1"/>
  <c r="B166" i="1" s="1"/>
  <c r="X163" i="1"/>
  <c r="C163" i="1"/>
  <c r="B163" i="1"/>
  <c r="B164" i="1" s="1"/>
  <c r="X161" i="1"/>
  <c r="C161" i="1"/>
  <c r="B161" i="1"/>
  <c r="B162" i="1" s="1"/>
  <c r="X159" i="1"/>
  <c r="C159" i="1"/>
  <c r="B159" i="1"/>
  <c r="B160" i="1" s="1"/>
  <c r="X157" i="1"/>
  <c r="C157" i="1"/>
  <c r="B157" i="1"/>
  <c r="B158" i="1" s="1"/>
  <c r="X155" i="1"/>
  <c r="C155" i="1"/>
  <c r="B155" i="1"/>
  <c r="B156" i="1" s="1"/>
  <c r="X153" i="1"/>
  <c r="C153" i="1"/>
  <c r="B153" i="1"/>
  <c r="B154" i="1" s="1"/>
  <c r="X151" i="1"/>
  <c r="C151" i="1"/>
  <c r="B151" i="1"/>
  <c r="B152" i="1" s="1"/>
  <c r="X149" i="1"/>
  <c r="C149" i="1"/>
  <c r="B149" i="1"/>
  <c r="B150" i="1" s="1"/>
  <c r="X147" i="1"/>
  <c r="C147" i="1"/>
  <c r="B147" i="1"/>
  <c r="B148" i="1" s="1"/>
  <c r="X145" i="1"/>
  <c r="C145" i="1"/>
  <c r="B145" i="1"/>
  <c r="B146" i="1" s="1"/>
  <c r="X143" i="1"/>
  <c r="C143" i="1"/>
  <c r="B143" i="1"/>
  <c r="B144" i="1" s="1"/>
  <c r="X141" i="1"/>
  <c r="C141" i="1"/>
  <c r="B141" i="1"/>
  <c r="B142" i="1" s="1"/>
  <c r="X139" i="1"/>
  <c r="C139" i="1"/>
  <c r="B139" i="1"/>
  <c r="B140" i="1" s="1"/>
  <c r="X137" i="1"/>
  <c r="C137" i="1"/>
  <c r="B137" i="1"/>
  <c r="B138" i="1" s="1"/>
  <c r="X135" i="1"/>
  <c r="C135" i="1"/>
  <c r="B135" i="1"/>
  <c r="B136" i="1" s="1"/>
  <c r="X133" i="1"/>
  <c r="C133" i="1"/>
  <c r="B133" i="1"/>
  <c r="B134" i="1" s="1"/>
  <c r="X131" i="1"/>
  <c r="C131" i="1"/>
  <c r="B131" i="1"/>
  <c r="B132" i="1" s="1"/>
  <c r="X129" i="1"/>
  <c r="C129" i="1"/>
  <c r="B129" i="1"/>
  <c r="B130" i="1" s="1"/>
  <c r="X127" i="1"/>
  <c r="C127" i="1"/>
  <c r="B127" i="1"/>
  <c r="B128" i="1" s="1"/>
  <c r="X125" i="1"/>
  <c r="C125" i="1"/>
  <c r="B125" i="1"/>
  <c r="B126" i="1" s="1"/>
  <c r="A12" i="24" l="1"/>
  <c r="C12" i="24"/>
  <c r="B12" i="24"/>
  <c r="D12" i="24" l="1"/>
  <c r="D9" i="24"/>
  <c r="E9" i="24" l="1"/>
  <c r="E8" i="24"/>
  <c r="E7" i="24"/>
  <c r="E6" i="24"/>
  <c r="E5" i="24"/>
  <c r="E4" i="24"/>
  <c r="E3" i="24"/>
  <c r="E2" i="24"/>
  <c r="D8" i="24"/>
  <c r="D5" i="24"/>
  <c r="A119" i="24"/>
  <c r="A118" i="24"/>
  <c r="A117" i="24"/>
  <c r="A116" i="24"/>
  <c r="A115" i="24"/>
  <c r="A114" i="24"/>
  <c r="A113" i="24"/>
  <c r="A112" i="24"/>
  <c r="A111" i="24"/>
  <c r="A110" i="24"/>
  <c r="A109" i="24"/>
  <c r="A108" i="24"/>
  <c r="A107" i="24"/>
  <c r="A106" i="24"/>
  <c r="A105" i="24"/>
  <c r="A104" i="24"/>
  <c r="A103" i="24"/>
  <c r="A102" i="24"/>
  <c r="A101" i="24"/>
  <c r="A100" i="24"/>
  <c r="A99" i="24"/>
  <c r="A98" i="24"/>
  <c r="A97" i="24"/>
  <c r="A96" i="24"/>
  <c r="A95" i="24"/>
  <c r="A94" i="24"/>
  <c r="A93" i="24"/>
  <c r="A92" i="24"/>
  <c r="A91" i="24"/>
  <c r="A90" i="24"/>
  <c r="A89" i="24"/>
  <c r="A88" i="24"/>
  <c r="A87" i="24"/>
  <c r="A86" i="24"/>
  <c r="Z5" i="32"/>
  <c r="Z5" i="33"/>
  <c r="Z5" i="34"/>
  <c r="Z5" i="35"/>
  <c r="Z5" i="36"/>
  <c r="Z5" i="37"/>
  <c r="Z5" i="31"/>
  <c r="Z5" i="27"/>
  <c r="Z5" i="28"/>
  <c r="Z5" i="29"/>
  <c r="Z5" i="30"/>
  <c r="Z5" i="26"/>
  <c r="R67" i="47"/>
  <c r="R63" i="47"/>
  <c r="R31" i="47"/>
  <c r="R27" i="47"/>
  <c r="Z3" i="4"/>
  <c r="Z4" i="4"/>
  <c r="Z4" i="1"/>
  <c r="Z3" i="1"/>
  <c r="D108" i="27"/>
  <c r="C108" i="27"/>
  <c r="D107" i="27"/>
  <c r="C107" i="27"/>
  <c r="D108" i="28"/>
  <c r="C108" i="28"/>
  <c r="D107" i="28"/>
  <c r="C107" i="28"/>
  <c r="D108" i="29"/>
  <c r="C108" i="29"/>
  <c r="D107" i="29"/>
  <c r="C107" i="29"/>
  <c r="D108" i="30"/>
  <c r="C108" i="30"/>
  <c r="D107" i="30"/>
  <c r="C107" i="30"/>
  <c r="D108" i="31"/>
  <c r="C108" i="31"/>
  <c r="D107" i="31"/>
  <c r="C107" i="31"/>
  <c r="D108" i="32"/>
  <c r="C108" i="32"/>
  <c r="D107" i="32"/>
  <c r="C107" i="32"/>
  <c r="D108" i="33"/>
  <c r="C108" i="33"/>
  <c r="D107" i="33"/>
  <c r="C107" i="33"/>
  <c r="D108" i="34"/>
  <c r="C108" i="34"/>
  <c r="D107" i="34"/>
  <c r="C107" i="34"/>
  <c r="D108" i="35"/>
  <c r="C108" i="35"/>
  <c r="D107" i="35"/>
  <c r="C107" i="35"/>
  <c r="D108" i="36"/>
  <c r="C108" i="36"/>
  <c r="D107" i="36"/>
  <c r="C107" i="36"/>
  <c r="D108" i="37"/>
  <c r="C108" i="37"/>
  <c r="D107" i="37"/>
  <c r="C107" i="37"/>
  <c r="D108" i="26"/>
  <c r="C108" i="26"/>
  <c r="D107" i="26"/>
  <c r="C107" i="26"/>
  <c r="C119" i="4"/>
  <c r="D159" i="31"/>
  <c r="D110" i="31"/>
  <c r="D109" i="31"/>
  <c r="D106" i="31"/>
  <c r="D105" i="31"/>
  <c r="D104" i="31"/>
  <c r="D103" i="31"/>
  <c r="D102" i="31"/>
  <c r="D101" i="31"/>
  <c r="D100" i="31"/>
  <c r="D99" i="31"/>
  <c r="D98" i="31"/>
  <c r="D97" i="31"/>
  <c r="D96" i="31"/>
  <c r="D95" i="31"/>
  <c r="D94" i="31"/>
  <c r="D93" i="31"/>
  <c r="D92" i="31"/>
  <c r="D91" i="31"/>
  <c r="D90" i="31"/>
  <c r="D89" i="31"/>
  <c r="D88" i="31"/>
  <c r="D87" i="31"/>
  <c r="D86" i="31"/>
  <c r="D85" i="31"/>
  <c r="D84" i="31"/>
  <c r="D83" i="31"/>
  <c r="D82" i="31"/>
  <c r="D81" i="31"/>
  <c r="D80" i="31"/>
  <c r="D79" i="31"/>
  <c r="D78" i="31"/>
  <c r="D77" i="31"/>
  <c r="D76" i="31"/>
  <c r="D75" i="31"/>
  <c r="D74" i="31"/>
  <c r="D73" i="31"/>
  <c r="D72" i="31"/>
  <c r="D71" i="31"/>
  <c r="D70" i="31"/>
  <c r="D69" i="31"/>
  <c r="D68" i="31"/>
  <c r="D67" i="31"/>
  <c r="D66" i="31"/>
  <c r="D65" i="31"/>
  <c r="D64" i="31"/>
  <c r="D63" i="31"/>
  <c r="D62" i="31"/>
  <c r="D61" i="31"/>
  <c r="D60" i="31"/>
  <c r="D59" i="31"/>
  <c r="D58" i="31"/>
  <c r="D57" i="31"/>
  <c r="D56" i="31"/>
  <c r="D55" i="31"/>
  <c r="D54" i="31"/>
  <c r="D53" i="31"/>
  <c r="D52" i="31"/>
  <c r="D51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1" i="31"/>
  <c r="D30" i="31"/>
  <c r="D29" i="31"/>
  <c r="D28" i="31"/>
  <c r="D27" i="31"/>
  <c r="D26" i="31"/>
  <c r="D25" i="31"/>
  <c r="D24" i="31"/>
  <c r="D23" i="31"/>
  <c r="D22" i="31"/>
  <c r="D21" i="31"/>
  <c r="D20" i="31"/>
  <c r="D19" i="31"/>
  <c r="D18" i="31"/>
  <c r="D17" i="31"/>
  <c r="D16" i="31"/>
  <c r="D15" i="31"/>
  <c r="D14" i="31"/>
  <c r="D13" i="31"/>
  <c r="C115" i="4"/>
  <c r="D12" i="31"/>
  <c r="D11" i="31"/>
  <c r="D9" i="31"/>
  <c r="D8" i="31"/>
  <c r="J48" i="4" s="1"/>
  <c r="D7" i="31"/>
  <c r="D9" i="32"/>
  <c r="D8" i="32"/>
  <c r="D7" i="32"/>
  <c r="D10" i="31"/>
  <c r="D159" i="32"/>
  <c r="D110" i="32"/>
  <c r="D109" i="32"/>
  <c r="D106" i="32"/>
  <c r="D105" i="32"/>
  <c r="D104" i="32"/>
  <c r="D103" i="32"/>
  <c r="D102" i="32"/>
  <c r="D101" i="32"/>
  <c r="D100" i="32"/>
  <c r="D99" i="32"/>
  <c r="D98" i="32"/>
  <c r="D97" i="32"/>
  <c r="D96" i="32"/>
  <c r="D95" i="32"/>
  <c r="D94" i="32"/>
  <c r="D93" i="32"/>
  <c r="D92" i="32"/>
  <c r="D91" i="32"/>
  <c r="D90" i="32"/>
  <c r="D89" i="32"/>
  <c r="D88" i="32"/>
  <c r="D87" i="32"/>
  <c r="D86" i="32"/>
  <c r="D85" i="32"/>
  <c r="D84" i="32"/>
  <c r="D83" i="32"/>
  <c r="D82" i="32"/>
  <c r="D81" i="32"/>
  <c r="D80" i="32"/>
  <c r="D79" i="32"/>
  <c r="D78" i="32"/>
  <c r="D77" i="32"/>
  <c r="D76" i="32"/>
  <c r="D75" i="32"/>
  <c r="D74" i="32"/>
  <c r="D73" i="32"/>
  <c r="D72" i="32"/>
  <c r="D71" i="32"/>
  <c r="D70" i="32"/>
  <c r="D69" i="32"/>
  <c r="D68" i="32"/>
  <c r="D67" i="32"/>
  <c r="D66" i="32"/>
  <c r="D65" i="32"/>
  <c r="D64" i="32"/>
  <c r="D63" i="32"/>
  <c r="D62" i="32"/>
  <c r="D61" i="32"/>
  <c r="D60" i="32"/>
  <c r="D59" i="32"/>
  <c r="D58" i="32"/>
  <c r="D57" i="32"/>
  <c r="D56" i="32"/>
  <c r="D55" i="32"/>
  <c r="D54" i="32"/>
  <c r="D53" i="32"/>
  <c r="D52" i="32"/>
  <c r="D51" i="32"/>
  <c r="D50" i="32"/>
  <c r="D49" i="32"/>
  <c r="D48" i="32"/>
  <c r="D47" i="32"/>
  <c r="D46" i="32"/>
  <c r="D45" i="32"/>
  <c r="D44" i="32"/>
  <c r="D43" i="32"/>
  <c r="D42" i="32"/>
  <c r="D41" i="32"/>
  <c r="D40" i="32"/>
  <c r="D39" i="32"/>
  <c r="D38" i="32"/>
  <c r="D37" i="32"/>
  <c r="D36" i="32"/>
  <c r="D35" i="32"/>
  <c r="D34" i="32"/>
  <c r="D33" i="32"/>
  <c r="D32" i="32"/>
  <c r="D31" i="32"/>
  <c r="D30" i="32"/>
  <c r="D29" i="32"/>
  <c r="D28" i="32"/>
  <c r="D27" i="32"/>
  <c r="D26" i="32"/>
  <c r="D25" i="32"/>
  <c r="D24" i="32"/>
  <c r="D23" i="32"/>
  <c r="D22" i="32"/>
  <c r="D21" i="32"/>
  <c r="D20" i="32"/>
  <c r="D19" i="32"/>
  <c r="D18" i="32"/>
  <c r="D17" i="32"/>
  <c r="D16" i="32"/>
  <c r="D15" i="32"/>
  <c r="D14" i="32"/>
  <c r="D13" i="32"/>
  <c r="D12" i="32"/>
  <c r="D11" i="32"/>
  <c r="D10" i="32"/>
  <c r="D159" i="33"/>
  <c r="D110" i="33"/>
  <c r="D109" i="33"/>
  <c r="D106" i="33"/>
  <c r="D105" i="33"/>
  <c r="D104" i="33"/>
  <c r="D103" i="33"/>
  <c r="D102" i="33"/>
  <c r="D101" i="33"/>
  <c r="D100" i="33"/>
  <c r="D99" i="33"/>
  <c r="D98" i="33"/>
  <c r="D97" i="33"/>
  <c r="D96" i="33"/>
  <c r="D95" i="33"/>
  <c r="D94" i="33"/>
  <c r="D93" i="33"/>
  <c r="D92" i="33"/>
  <c r="D91" i="33"/>
  <c r="D90" i="33"/>
  <c r="D89" i="33"/>
  <c r="D88" i="33"/>
  <c r="D87" i="33"/>
  <c r="D86" i="33"/>
  <c r="D85" i="33"/>
  <c r="D84" i="33"/>
  <c r="D83" i="33"/>
  <c r="D82" i="33"/>
  <c r="D81" i="33"/>
  <c r="D80" i="33"/>
  <c r="D79" i="33"/>
  <c r="D78" i="33"/>
  <c r="D77" i="33"/>
  <c r="D76" i="33"/>
  <c r="D75" i="33"/>
  <c r="D74" i="33"/>
  <c r="D73" i="33"/>
  <c r="D72" i="33"/>
  <c r="D71" i="33"/>
  <c r="D70" i="33"/>
  <c r="D69" i="33"/>
  <c r="D68" i="33"/>
  <c r="D67" i="33"/>
  <c r="D66" i="33"/>
  <c r="D65" i="33"/>
  <c r="D64" i="33"/>
  <c r="D63" i="33"/>
  <c r="D62" i="33"/>
  <c r="D61" i="33"/>
  <c r="D60" i="33"/>
  <c r="D59" i="33"/>
  <c r="D58" i="33"/>
  <c r="D57" i="33"/>
  <c r="D56" i="33"/>
  <c r="D55" i="33"/>
  <c r="D54" i="33"/>
  <c r="D53" i="33"/>
  <c r="D52" i="33"/>
  <c r="D51" i="33"/>
  <c r="D50" i="33"/>
  <c r="D49" i="33"/>
  <c r="D48" i="33"/>
  <c r="D47" i="33"/>
  <c r="D46" i="33"/>
  <c r="D45" i="33"/>
  <c r="D44" i="33"/>
  <c r="D43" i="33"/>
  <c r="D42" i="33"/>
  <c r="D41" i="33"/>
  <c r="D40" i="33"/>
  <c r="D39" i="33"/>
  <c r="D38" i="33"/>
  <c r="D37" i="33"/>
  <c r="D36" i="33"/>
  <c r="D35" i="33"/>
  <c r="D34" i="33"/>
  <c r="D33" i="33"/>
  <c r="D32" i="33"/>
  <c r="D31" i="33"/>
  <c r="D30" i="33"/>
  <c r="D29" i="33"/>
  <c r="D28" i="33"/>
  <c r="D27" i="33"/>
  <c r="D26" i="33"/>
  <c r="D25" i="33"/>
  <c r="D24" i="33"/>
  <c r="D23" i="33"/>
  <c r="D22" i="33"/>
  <c r="D21" i="33"/>
  <c r="D20" i="33"/>
  <c r="D19" i="33"/>
  <c r="D18" i="33"/>
  <c r="D17" i="33"/>
  <c r="D16" i="33"/>
  <c r="D15" i="33"/>
  <c r="D14" i="33"/>
  <c r="D13" i="33"/>
  <c r="D12" i="33"/>
  <c r="D11" i="33"/>
  <c r="D10" i="33"/>
  <c r="D9" i="33"/>
  <c r="D8" i="33"/>
  <c r="D7" i="33"/>
  <c r="D159" i="34"/>
  <c r="D110" i="34"/>
  <c r="D109" i="34"/>
  <c r="D106" i="34"/>
  <c r="D105" i="34"/>
  <c r="D104" i="34"/>
  <c r="D103" i="34"/>
  <c r="D102" i="34"/>
  <c r="D101" i="34"/>
  <c r="D100" i="34"/>
  <c r="D99" i="34"/>
  <c r="D98" i="34"/>
  <c r="D97" i="34"/>
  <c r="D96" i="34"/>
  <c r="D95" i="34"/>
  <c r="D94" i="34"/>
  <c r="D93" i="34"/>
  <c r="D92" i="34"/>
  <c r="D91" i="34"/>
  <c r="D90" i="34"/>
  <c r="D89" i="34"/>
  <c r="D88" i="34"/>
  <c r="D87" i="34"/>
  <c r="D86" i="34"/>
  <c r="D85" i="34"/>
  <c r="D84" i="34"/>
  <c r="D83" i="34"/>
  <c r="D82" i="34"/>
  <c r="D81" i="34"/>
  <c r="D80" i="34"/>
  <c r="D79" i="34"/>
  <c r="D78" i="34"/>
  <c r="D77" i="34"/>
  <c r="D76" i="34"/>
  <c r="D75" i="34"/>
  <c r="D74" i="34"/>
  <c r="D73" i="34"/>
  <c r="D72" i="34"/>
  <c r="D71" i="34"/>
  <c r="D70" i="34"/>
  <c r="D69" i="34"/>
  <c r="D68" i="34"/>
  <c r="D67" i="34"/>
  <c r="D66" i="34"/>
  <c r="D65" i="34"/>
  <c r="D64" i="34"/>
  <c r="D63" i="34"/>
  <c r="D62" i="34"/>
  <c r="D61" i="34"/>
  <c r="D60" i="34"/>
  <c r="D59" i="34"/>
  <c r="D58" i="34"/>
  <c r="D57" i="34"/>
  <c r="D56" i="34"/>
  <c r="D55" i="34"/>
  <c r="D54" i="34"/>
  <c r="D53" i="34"/>
  <c r="D52" i="34"/>
  <c r="D51" i="34"/>
  <c r="D50" i="34"/>
  <c r="D49" i="34"/>
  <c r="D48" i="34"/>
  <c r="D47" i="34"/>
  <c r="D46" i="34"/>
  <c r="D45" i="34"/>
  <c r="D44" i="34"/>
  <c r="D43" i="34"/>
  <c r="D42" i="34"/>
  <c r="D41" i="34"/>
  <c r="D40" i="34"/>
  <c r="D39" i="34"/>
  <c r="D38" i="34"/>
  <c r="D37" i="34"/>
  <c r="D36" i="34"/>
  <c r="D35" i="34"/>
  <c r="D34" i="34"/>
  <c r="D33" i="34"/>
  <c r="D32" i="34"/>
  <c r="D31" i="34"/>
  <c r="D30" i="34"/>
  <c r="D29" i="34"/>
  <c r="D28" i="34"/>
  <c r="D27" i="34"/>
  <c r="D26" i="34"/>
  <c r="D25" i="34"/>
  <c r="D24" i="34"/>
  <c r="D23" i="34"/>
  <c r="D22" i="34"/>
  <c r="D21" i="34"/>
  <c r="D20" i="34"/>
  <c r="D19" i="34"/>
  <c r="D18" i="34"/>
  <c r="D17" i="34"/>
  <c r="D16" i="34"/>
  <c r="D15" i="34"/>
  <c r="D14" i="34"/>
  <c r="D13" i="34"/>
  <c r="D12" i="34"/>
  <c r="D11" i="34"/>
  <c r="D10" i="34"/>
  <c r="D9" i="34"/>
  <c r="D8" i="34"/>
  <c r="D7" i="34"/>
  <c r="D159" i="35"/>
  <c r="D110" i="35"/>
  <c r="D109" i="35"/>
  <c r="D106" i="35"/>
  <c r="D105" i="35"/>
  <c r="D104" i="35"/>
  <c r="D103" i="35"/>
  <c r="D102" i="35"/>
  <c r="D101" i="35"/>
  <c r="D100" i="35"/>
  <c r="D99" i="35"/>
  <c r="D98" i="35"/>
  <c r="D97" i="35"/>
  <c r="D96" i="35"/>
  <c r="D95" i="35"/>
  <c r="D94" i="35"/>
  <c r="D93" i="35"/>
  <c r="D92" i="35"/>
  <c r="D91" i="35"/>
  <c r="D90" i="35"/>
  <c r="D89" i="35"/>
  <c r="D88" i="35"/>
  <c r="D87" i="35"/>
  <c r="D86" i="35"/>
  <c r="D85" i="35"/>
  <c r="D84" i="35"/>
  <c r="D83" i="35"/>
  <c r="D82" i="35"/>
  <c r="D81" i="35"/>
  <c r="D80" i="35"/>
  <c r="D79" i="35"/>
  <c r="D78" i="35"/>
  <c r="D77" i="35"/>
  <c r="D76" i="35"/>
  <c r="D75" i="35"/>
  <c r="D74" i="35"/>
  <c r="D73" i="35"/>
  <c r="D72" i="35"/>
  <c r="D71" i="35"/>
  <c r="D70" i="35"/>
  <c r="D69" i="35"/>
  <c r="D68" i="35"/>
  <c r="D67" i="35"/>
  <c r="D66" i="35"/>
  <c r="D65" i="35"/>
  <c r="D64" i="35"/>
  <c r="D63" i="35"/>
  <c r="D62" i="35"/>
  <c r="D61" i="35"/>
  <c r="D60" i="35"/>
  <c r="D59" i="35"/>
  <c r="D58" i="35"/>
  <c r="D57" i="35"/>
  <c r="D56" i="35"/>
  <c r="D55" i="35"/>
  <c r="D54" i="35"/>
  <c r="D53" i="35"/>
  <c r="D52" i="35"/>
  <c r="D51" i="35"/>
  <c r="D50" i="35"/>
  <c r="D49" i="35"/>
  <c r="D48" i="35"/>
  <c r="D47" i="35"/>
  <c r="D46" i="35"/>
  <c r="D45" i="35"/>
  <c r="D44" i="35"/>
  <c r="D43" i="35"/>
  <c r="D42" i="35"/>
  <c r="D41" i="35"/>
  <c r="D40" i="35"/>
  <c r="D39" i="35"/>
  <c r="D38" i="35"/>
  <c r="D37" i="35"/>
  <c r="D36" i="35"/>
  <c r="D35" i="35"/>
  <c r="D34" i="35"/>
  <c r="D33" i="35"/>
  <c r="D32" i="35"/>
  <c r="D31" i="35"/>
  <c r="D30" i="35"/>
  <c r="D29" i="35"/>
  <c r="D28" i="35"/>
  <c r="D27" i="35"/>
  <c r="D26" i="35"/>
  <c r="D25" i="35"/>
  <c r="D24" i="35"/>
  <c r="D23" i="35"/>
  <c r="D22" i="35"/>
  <c r="D21" i="35"/>
  <c r="D20" i="35"/>
  <c r="D19" i="35"/>
  <c r="D18" i="35"/>
  <c r="D17" i="35"/>
  <c r="D16" i="35"/>
  <c r="D15" i="35"/>
  <c r="D14" i="35"/>
  <c r="D13" i="35"/>
  <c r="D12" i="35"/>
  <c r="D11" i="35"/>
  <c r="D10" i="35"/>
  <c r="D9" i="35"/>
  <c r="D8" i="35"/>
  <c r="T112" i="4" s="1"/>
  <c r="D7" i="35"/>
  <c r="D159" i="36"/>
  <c r="D110" i="36"/>
  <c r="D109" i="36"/>
  <c r="D106" i="36"/>
  <c r="D105" i="36"/>
  <c r="D104" i="36"/>
  <c r="D103" i="36"/>
  <c r="D102" i="36"/>
  <c r="D101" i="36"/>
  <c r="D100" i="36"/>
  <c r="D99" i="36"/>
  <c r="D98" i="36"/>
  <c r="D97" i="36"/>
  <c r="D96" i="36"/>
  <c r="D95" i="36"/>
  <c r="D94" i="36"/>
  <c r="D93" i="36"/>
  <c r="D92" i="36"/>
  <c r="D91" i="36"/>
  <c r="D90" i="36"/>
  <c r="D89" i="36"/>
  <c r="D88" i="36"/>
  <c r="D87" i="36"/>
  <c r="D86" i="36"/>
  <c r="D85" i="36"/>
  <c r="D84" i="36"/>
  <c r="D83" i="36"/>
  <c r="D82" i="36"/>
  <c r="D81" i="36"/>
  <c r="D80" i="36"/>
  <c r="D79" i="36"/>
  <c r="D78" i="36"/>
  <c r="D77" i="36"/>
  <c r="D76" i="36"/>
  <c r="D75" i="36"/>
  <c r="D74" i="36"/>
  <c r="D73" i="36"/>
  <c r="D72" i="36"/>
  <c r="D71" i="36"/>
  <c r="D70" i="36"/>
  <c r="D69" i="36"/>
  <c r="D68" i="36"/>
  <c r="D67" i="36"/>
  <c r="D66" i="36"/>
  <c r="D65" i="36"/>
  <c r="D64" i="36"/>
  <c r="D63" i="36"/>
  <c r="D62" i="36"/>
  <c r="D61" i="36"/>
  <c r="D60" i="36"/>
  <c r="D59" i="36"/>
  <c r="D58" i="36"/>
  <c r="D57" i="36"/>
  <c r="D56" i="36"/>
  <c r="D55" i="36"/>
  <c r="D54" i="36"/>
  <c r="D53" i="36"/>
  <c r="D52" i="36"/>
  <c r="D51" i="36"/>
  <c r="D50" i="36"/>
  <c r="D49" i="36"/>
  <c r="D48" i="36"/>
  <c r="D47" i="36"/>
  <c r="D46" i="36"/>
  <c r="D45" i="36"/>
  <c r="D44" i="36"/>
  <c r="D43" i="36"/>
  <c r="D42" i="36"/>
  <c r="D41" i="36"/>
  <c r="D40" i="36"/>
  <c r="D39" i="36"/>
  <c r="D38" i="36"/>
  <c r="D37" i="36"/>
  <c r="D36" i="36"/>
  <c r="D35" i="36"/>
  <c r="D34" i="36"/>
  <c r="D33" i="36"/>
  <c r="D32" i="36"/>
  <c r="D31" i="36"/>
  <c r="D30" i="36"/>
  <c r="D29" i="36"/>
  <c r="D28" i="36"/>
  <c r="D27" i="36"/>
  <c r="D26" i="36"/>
  <c r="D25" i="36"/>
  <c r="D24" i="36"/>
  <c r="D23" i="36"/>
  <c r="D22" i="36"/>
  <c r="D21" i="36"/>
  <c r="D20" i="36"/>
  <c r="D19" i="36"/>
  <c r="D18" i="36"/>
  <c r="D17" i="36"/>
  <c r="D16" i="36"/>
  <c r="D15" i="36"/>
  <c r="D14" i="36"/>
  <c r="D13" i="36"/>
  <c r="D12" i="36"/>
  <c r="D11" i="36"/>
  <c r="D10" i="36"/>
  <c r="D9" i="36"/>
  <c r="D8" i="36"/>
  <c r="D7" i="36"/>
  <c r="D159" i="37"/>
  <c r="D110" i="37"/>
  <c r="D109" i="37"/>
  <c r="D106" i="37"/>
  <c r="D105" i="37"/>
  <c r="D104" i="37"/>
  <c r="D103" i="37"/>
  <c r="D102" i="37"/>
  <c r="D101" i="37"/>
  <c r="D100" i="37"/>
  <c r="D99" i="37"/>
  <c r="D98" i="37"/>
  <c r="D97" i="37"/>
  <c r="D96" i="37"/>
  <c r="D95" i="37"/>
  <c r="D94" i="37"/>
  <c r="D93" i="37"/>
  <c r="D92" i="37"/>
  <c r="D91" i="37"/>
  <c r="D90" i="37"/>
  <c r="D89" i="37"/>
  <c r="D88" i="37"/>
  <c r="D87" i="37"/>
  <c r="D86" i="37"/>
  <c r="D85" i="37"/>
  <c r="D84" i="37"/>
  <c r="D83" i="37"/>
  <c r="D82" i="37"/>
  <c r="D81" i="37"/>
  <c r="D80" i="37"/>
  <c r="D79" i="37"/>
  <c r="D78" i="37"/>
  <c r="D77" i="37"/>
  <c r="D76" i="37"/>
  <c r="D75" i="37"/>
  <c r="D74" i="37"/>
  <c r="D73" i="37"/>
  <c r="D72" i="37"/>
  <c r="D71" i="37"/>
  <c r="D70" i="37"/>
  <c r="D69" i="37"/>
  <c r="D68" i="37"/>
  <c r="D67" i="37"/>
  <c r="D66" i="37"/>
  <c r="D65" i="37"/>
  <c r="D64" i="37"/>
  <c r="D63" i="37"/>
  <c r="D62" i="37"/>
  <c r="D61" i="37"/>
  <c r="D60" i="37"/>
  <c r="D59" i="37"/>
  <c r="D58" i="37"/>
  <c r="D57" i="37"/>
  <c r="D56" i="37"/>
  <c r="D55" i="37"/>
  <c r="D54" i="37"/>
  <c r="D53" i="37"/>
  <c r="D52" i="37"/>
  <c r="D51" i="37"/>
  <c r="D50" i="37"/>
  <c r="D49" i="37"/>
  <c r="D48" i="37"/>
  <c r="D47" i="37"/>
  <c r="D46" i="37"/>
  <c r="D45" i="37"/>
  <c r="D44" i="37"/>
  <c r="D43" i="37"/>
  <c r="D42" i="37"/>
  <c r="D41" i="37"/>
  <c r="D40" i="37"/>
  <c r="D39" i="37"/>
  <c r="D38" i="37"/>
  <c r="D37" i="37"/>
  <c r="D36" i="37"/>
  <c r="D35" i="37"/>
  <c r="D34" i="37"/>
  <c r="D33" i="37"/>
  <c r="D32" i="37"/>
  <c r="D31" i="37"/>
  <c r="D30" i="37"/>
  <c r="D29" i="37"/>
  <c r="D28" i="37"/>
  <c r="D27" i="37"/>
  <c r="D26" i="37"/>
  <c r="D25" i="37"/>
  <c r="D24" i="37"/>
  <c r="D23" i="37"/>
  <c r="D22" i="37"/>
  <c r="D21" i="37"/>
  <c r="D20" i="37"/>
  <c r="D19" i="37"/>
  <c r="D18" i="37"/>
  <c r="D17" i="37"/>
  <c r="D16" i="37"/>
  <c r="D15" i="37"/>
  <c r="D14" i="37"/>
  <c r="D13" i="37"/>
  <c r="D12" i="37"/>
  <c r="D11" i="37"/>
  <c r="D10" i="37"/>
  <c r="D9" i="37"/>
  <c r="D8" i="37"/>
  <c r="D7" i="37"/>
  <c r="B119" i="4"/>
  <c r="B120" i="4" s="1"/>
  <c r="C177" i="4"/>
  <c r="C175" i="4"/>
  <c r="C173" i="4"/>
  <c r="C171" i="4"/>
  <c r="C169" i="4"/>
  <c r="C123" i="4"/>
  <c r="C121" i="4"/>
  <c r="C117" i="4"/>
  <c r="C113" i="4"/>
  <c r="C111" i="4"/>
  <c r="C109" i="4"/>
  <c r="C107" i="4"/>
  <c r="C105" i="4"/>
  <c r="C103" i="4"/>
  <c r="C101" i="4"/>
  <c r="C99" i="4"/>
  <c r="C97" i="4"/>
  <c r="C95" i="4"/>
  <c r="C93" i="4"/>
  <c r="C91" i="4"/>
  <c r="U92" i="4" s="1"/>
  <c r="C89" i="4"/>
  <c r="C87" i="4"/>
  <c r="C85" i="4"/>
  <c r="C83" i="4"/>
  <c r="C81" i="4"/>
  <c r="C79" i="4"/>
  <c r="C77" i="4"/>
  <c r="C75" i="4"/>
  <c r="C73" i="4"/>
  <c r="C71" i="4"/>
  <c r="C69" i="4"/>
  <c r="C67" i="4"/>
  <c r="C65" i="4"/>
  <c r="C63" i="4"/>
  <c r="C61" i="4"/>
  <c r="C59" i="4"/>
  <c r="C57" i="4"/>
  <c r="C55" i="4"/>
  <c r="C53" i="4"/>
  <c r="C51" i="4"/>
  <c r="C49" i="4"/>
  <c r="C47" i="4"/>
  <c r="C45" i="4"/>
  <c r="C43" i="4"/>
  <c r="N44" i="4" s="1"/>
  <c r="C41" i="4"/>
  <c r="C39" i="4"/>
  <c r="C37" i="4"/>
  <c r="C35" i="4"/>
  <c r="C33" i="4"/>
  <c r="C31" i="4"/>
  <c r="C29" i="4"/>
  <c r="C27" i="4"/>
  <c r="C25" i="4"/>
  <c r="C23" i="4"/>
  <c r="C21" i="4"/>
  <c r="C19" i="4"/>
  <c r="C17" i="4"/>
  <c r="C15" i="4"/>
  <c r="C13" i="4"/>
  <c r="C11" i="4"/>
  <c r="C9" i="4"/>
  <c r="C7" i="4"/>
  <c r="C5" i="4"/>
  <c r="X119" i="4"/>
  <c r="B117" i="4"/>
  <c r="B118" i="4" s="1"/>
  <c r="X117" i="4"/>
  <c r="B115" i="4"/>
  <c r="B116" i="4" s="1"/>
  <c r="X115" i="4"/>
  <c r="B113" i="4"/>
  <c r="B114" i="4" s="1"/>
  <c r="X113" i="4"/>
  <c r="B111" i="4"/>
  <c r="B112" i="4" s="1"/>
  <c r="X111" i="4"/>
  <c r="B109" i="4"/>
  <c r="B110" i="4" s="1"/>
  <c r="X109" i="4"/>
  <c r="C119" i="1"/>
  <c r="D159" i="26"/>
  <c r="D110" i="26"/>
  <c r="D109" i="26"/>
  <c r="D106" i="26"/>
  <c r="D105" i="26"/>
  <c r="D104" i="26"/>
  <c r="D103" i="26"/>
  <c r="D102" i="26"/>
  <c r="D101" i="26"/>
  <c r="D100" i="26"/>
  <c r="D99" i="26"/>
  <c r="D98" i="26"/>
  <c r="D97" i="26"/>
  <c r="D96" i="26"/>
  <c r="D95" i="26"/>
  <c r="D94" i="26"/>
  <c r="D93" i="26"/>
  <c r="D92" i="26"/>
  <c r="D91" i="26"/>
  <c r="D90" i="26"/>
  <c r="D89" i="26"/>
  <c r="D88" i="26"/>
  <c r="D87" i="26"/>
  <c r="D86" i="26"/>
  <c r="D85" i="26"/>
  <c r="D84" i="26"/>
  <c r="D83" i="26"/>
  <c r="D82" i="26"/>
  <c r="D81" i="26"/>
  <c r="D80" i="26"/>
  <c r="D79" i="26"/>
  <c r="D78" i="26"/>
  <c r="D77" i="26"/>
  <c r="D76" i="26"/>
  <c r="D75" i="26"/>
  <c r="D74" i="26"/>
  <c r="D73" i="26"/>
  <c r="D72" i="26"/>
  <c r="D71" i="26"/>
  <c r="D70" i="26"/>
  <c r="D69" i="26"/>
  <c r="D68" i="26"/>
  <c r="D67" i="26"/>
  <c r="D66" i="26"/>
  <c r="D65" i="26"/>
  <c r="D64" i="26"/>
  <c r="D63" i="26"/>
  <c r="D62" i="26"/>
  <c r="D61" i="26"/>
  <c r="D60" i="26"/>
  <c r="D59" i="26"/>
  <c r="D58" i="26"/>
  <c r="D57" i="26"/>
  <c r="D56" i="26"/>
  <c r="D55" i="26"/>
  <c r="D54" i="26"/>
  <c r="D53" i="26"/>
  <c r="D52" i="26"/>
  <c r="D51" i="26"/>
  <c r="D50" i="26"/>
  <c r="D49" i="26"/>
  <c r="D48" i="26"/>
  <c r="D47" i="26"/>
  <c r="D46" i="26"/>
  <c r="D45" i="26"/>
  <c r="D44" i="26"/>
  <c r="D43" i="26"/>
  <c r="D42" i="26"/>
  <c r="D41" i="26"/>
  <c r="D40" i="26"/>
  <c r="D39" i="26"/>
  <c r="D38" i="26"/>
  <c r="D37" i="26"/>
  <c r="D36" i="26"/>
  <c r="D35" i="26"/>
  <c r="D34" i="26"/>
  <c r="D33" i="26"/>
  <c r="D32" i="26"/>
  <c r="D31" i="26"/>
  <c r="D30" i="26"/>
  <c r="D29" i="26"/>
  <c r="D28" i="26"/>
  <c r="D27" i="26"/>
  <c r="D26" i="26"/>
  <c r="D25" i="26"/>
  <c r="D24" i="26"/>
  <c r="D23" i="26"/>
  <c r="D22" i="26"/>
  <c r="D21" i="26"/>
  <c r="D20" i="26"/>
  <c r="D19" i="26"/>
  <c r="D18" i="26"/>
  <c r="D17" i="26"/>
  <c r="D16" i="26"/>
  <c r="D15" i="26"/>
  <c r="D14" i="26"/>
  <c r="D13" i="26"/>
  <c r="D12" i="26"/>
  <c r="D11" i="26"/>
  <c r="D10" i="26"/>
  <c r="D9" i="26"/>
  <c r="D8" i="26"/>
  <c r="D7" i="26"/>
  <c r="D17" i="27"/>
  <c r="D16" i="27"/>
  <c r="D15" i="27"/>
  <c r="D14" i="27"/>
  <c r="D13" i="27"/>
  <c r="D12" i="27"/>
  <c r="D11" i="27"/>
  <c r="D10" i="27"/>
  <c r="D9" i="27"/>
  <c r="D8" i="27"/>
  <c r="D7" i="27"/>
  <c r="D159" i="27"/>
  <c r="D110" i="27"/>
  <c r="D109" i="27"/>
  <c r="D106" i="27"/>
  <c r="D105" i="27"/>
  <c r="D104" i="27"/>
  <c r="D103" i="27"/>
  <c r="D102" i="27"/>
  <c r="D101" i="27"/>
  <c r="D100" i="27"/>
  <c r="D99" i="27"/>
  <c r="D98" i="27"/>
  <c r="D97" i="27"/>
  <c r="D96" i="27"/>
  <c r="D95" i="27"/>
  <c r="D94" i="27"/>
  <c r="D93" i="27"/>
  <c r="D92" i="27"/>
  <c r="D91" i="27"/>
  <c r="D90" i="27"/>
  <c r="D89" i="27"/>
  <c r="D88" i="27"/>
  <c r="D87" i="27"/>
  <c r="D86" i="27"/>
  <c r="D85" i="27"/>
  <c r="D84" i="27"/>
  <c r="D83" i="27"/>
  <c r="D82" i="27"/>
  <c r="D81" i="27"/>
  <c r="D80" i="27"/>
  <c r="D79" i="27"/>
  <c r="D78" i="27"/>
  <c r="D77" i="27"/>
  <c r="D76" i="27"/>
  <c r="D75" i="27"/>
  <c r="D74" i="27"/>
  <c r="D73" i="27"/>
  <c r="D72" i="27"/>
  <c r="D71" i="27"/>
  <c r="D70" i="27"/>
  <c r="D69" i="27"/>
  <c r="D68" i="27"/>
  <c r="D67" i="27"/>
  <c r="D66" i="27"/>
  <c r="D65" i="27"/>
  <c r="D64" i="27"/>
  <c r="D63" i="27"/>
  <c r="D62" i="27"/>
  <c r="D61" i="27"/>
  <c r="D60" i="27"/>
  <c r="D59" i="27"/>
  <c r="D58" i="27"/>
  <c r="D57" i="27"/>
  <c r="D56" i="27"/>
  <c r="D55" i="27"/>
  <c r="D54" i="27"/>
  <c r="D53" i="27"/>
  <c r="D52" i="27"/>
  <c r="D51" i="27"/>
  <c r="D50" i="27"/>
  <c r="D49" i="27"/>
  <c r="D48" i="27"/>
  <c r="D47" i="27"/>
  <c r="D46" i="27"/>
  <c r="D45" i="27"/>
  <c r="D44" i="27"/>
  <c r="D43" i="27"/>
  <c r="D42" i="27"/>
  <c r="D41" i="27"/>
  <c r="D40" i="27"/>
  <c r="D39" i="27"/>
  <c r="D38" i="27"/>
  <c r="D37" i="27"/>
  <c r="D36" i="27"/>
  <c r="D35" i="27"/>
  <c r="D34" i="27"/>
  <c r="D33" i="27"/>
  <c r="D32" i="27"/>
  <c r="D31" i="27"/>
  <c r="D30" i="27"/>
  <c r="D29" i="27"/>
  <c r="D28" i="27"/>
  <c r="D27" i="27"/>
  <c r="D26" i="27"/>
  <c r="D25" i="27"/>
  <c r="D24" i="27"/>
  <c r="D23" i="27"/>
  <c r="D22" i="27"/>
  <c r="D21" i="27"/>
  <c r="D20" i="27"/>
  <c r="D19" i="27"/>
  <c r="D18" i="27"/>
  <c r="D159" i="28"/>
  <c r="D110" i="28"/>
  <c r="D109" i="28"/>
  <c r="D106" i="28"/>
  <c r="D105" i="28"/>
  <c r="D104" i="28"/>
  <c r="D103" i="28"/>
  <c r="D102" i="28"/>
  <c r="D101" i="28"/>
  <c r="D100" i="28"/>
  <c r="D99" i="28"/>
  <c r="D98" i="28"/>
  <c r="D97" i="28"/>
  <c r="D96" i="28"/>
  <c r="D95" i="28"/>
  <c r="D94" i="28"/>
  <c r="D93" i="28"/>
  <c r="D92" i="28"/>
  <c r="D91" i="28"/>
  <c r="D90" i="28"/>
  <c r="D89" i="28"/>
  <c r="D88" i="28"/>
  <c r="D87" i="28"/>
  <c r="D86" i="28"/>
  <c r="D85" i="28"/>
  <c r="D84" i="28"/>
  <c r="D83" i="28"/>
  <c r="D82" i="28"/>
  <c r="D81" i="28"/>
  <c r="D80" i="28"/>
  <c r="D79" i="28"/>
  <c r="D78" i="28"/>
  <c r="D77" i="28"/>
  <c r="D76" i="28"/>
  <c r="D75" i="28"/>
  <c r="D74" i="28"/>
  <c r="D73" i="28"/>
  <c r="D72" i="28"/>
  <c r="D71" i="28"/>
  <c r="D70" i="28"/>
  <c r="D69" i="28"/>
  <c r="D68" i="28"/>
  <c r="D67" i="28"/>
  <c r="D66" i="28"/>
  <c r="D65" i="28"/>
  <c r="D64" i="28"/>
  <c r="D63" i="28"/>
  <c r="D62" i="28"/>
  <c r="D61" i="28"/>
  <c r="D60" i="28"/>
  <c r="D59" i="28"/>
  <c r="D58" i="28"/>
  <c r="D57" i="28"/>
  <c r="D56" i="28"/>
  <c r="D55" i="28"/>
  <c r="D54" i="28"/>
  <c r="D53" i="28"/>
  <c r="D52" i="28"/>
  <c r="D51" i="28"/>
  <c r="D50" i="28"/>
  <c r="D49" i="28"/>
  <c r="D48" i="28"/>
  <c r="D47" i="28"/>
  <c r="D46" i="28"/>
  <c r="D45" i="28"/>
  <c r="D44" i="28"/>
  <c r="D43" i="28"/>
  <c r="D42" i="28"/>
  <c r="D41" i="28"/>
  <c r="D40" i="28"/>
  <c r="D39" i="28"/>
  <c r="D38" i="28"/>
  <c r="D37" i="28"/>
  <c r="D36" i="28"/>
  <c r="D35" i="28"/>
  <c r="D34" i="28"/>
  <c r="D33" i="28"/>
  <c r="D32" i="28"/>
  <c r="D31" i="28"/>
  <c r="D30" i="28"/>
  <c r="D29" i="28"/>
  <c r="D28" i="28"/>
  <c r="D27" i="28"/>
  <c r="D26" i="28"/>
  <c r="D25" i="28"/>
  <c r="D24" i="28"/>
  <c r="D23" i="28"/>
  <c r="D22" i="28"/>
  <c r="D21" i="28"/>
  <c r="D20" i="28"/>
  <c r="D19" i="28"/>
  <c r="D18" i="28"/>
  <c r="D17" i="28"/>
  <c r="D16" i="28"/>
  <c r="D15" i="28"/>
  <c r="D14" i="28"/>
  <c r="D13" i="28"/>
  <c r="D12" i="28"/>
  <c r="D11" i="28"/>
  <c r="D10" i="28"/>
  <c r="D9" i="28"/>
  <c r="D8" i="28"/>
  <c r="D7" i="28"/>
  <c r="D159" i="29"/>
  <c r="D110" i="29"/>
  <c r="D109" i="29"/>
  <c r="D106" i="29"/>
  <c r="D105" i="29"/>
  <c r="D104" i="29"/>
  <c r="D103" i="29"/>
  <c r="D102" i="29"/>
  <c r="D101" i="29"/>
  <c r="D100" i="29"/>
  <c r="D99" i="29"/>
  <c r="D98" i="29"/>
  <c r="D97" i="29"/>
  <c r="D96" i="29"/>
  <c r="D95" i="29"/>
  <c r="D94" i="29"/>
  <c r="D93" i="29"/>
  <c r="D92" i="29"/>
  <c r="D91" i="29"/>
  <c r="D90" i="29"/>
  <c r="D89" i="29"/>
  <c r="D88" i="29"/>
  <c r="D87" i="29"/>
  <c r="D86" i="29"/>
  <c r="D85" i="29"/>
  <c r="D84" i="29"/>
  <c r="D83" i="29"/>
  <c r="D82" i="29"/>
  <c r="D81" i="29"/>
  <c r="D80" i="29"/>
  <c r="D79" i="29"/>
  <c r="D78" i="29"/>
  <c r="D77" i="29"/>
  <c r="D76" i="29"/>
  <c r="D75" i="29"/>
  <c r="D74" i="29"/>
  <c r="D73" i="29"/>
  <c r="D72" i="29"/>
  <c r="D71" i="29"/>
  <c r="D70" i="29"/>
  <c r="D69" i="29"/>
  <c r="D68" i="29"/>
  <c r="D67" i="29"/>
  <c r="D66" i="29"/>
  <c r="D65" i="29"/>
  <c r="D64" i="29"/>
  <c r="D63" i="29"/>
  <c r="D62" i="29"/>
  <c r="D61" i="29"/>
  <c r="D60" i="29"/>
  <c r="D59" i="29"/>
  <c r="D58" i="29"/>
  <c r="D57" i="29"/>
  <c r="D56" i="29"/>
  <c r="D55" i="29"/>
  <c r="D54" i="29"/>
  <c r="D53" i="29"/>
  <c r="D52" i="29"/>
  <c r="D51" i="29"/>
  <c r="D50" i="29"/>
  <c r="D49" i="29"/>
  <c r="D48" i="29"/>
  <c r="D47" i="29"/>
  <c r="D46" i="29"/>
  <c r="D45" i="29"/>
  <c r="D44" i="29"/>
  <c r="D43" i="29"/>
  <c r="D42" i="29"/>
  <c r="D41" i="29"/>
  <c r="D40" i="29"/>
  <c r="D39" i="29"/>
  <c r="D38" i="29"/>
  <c r="D37" i="29"/>
  <c r="D36" i="29"/>
  <c r="D35" i="29"/>
  <c r="D34" i="29"/>
  <c r="D33" i="29"/>
  <c r="D32" i="29"/>
  <c r="D31" i="29"/>
  <c r="D30" i="29"/>
  <c r="D29" i="29"/>
  <c r="D28" i="29"/>
  <c r="D27" i="29"/>
  <c r="D26" i="29"/>
  <c r="D25" i="29"/>
  <c r="D24" i="29"/>
  <c r="D23" i="29"/>
  <c r="D22" i="29"/>
  <c r="D21" i="29"/>
  <c r="D20" i="29"/>
  <c r="D19" i="29"/>
  <c r="D18" i="29"/>
  <c r="D17" i="29"/>
  <c r="D16" i="29"/>
  <c r="D15" i="29"/>
  <c r="D14" i="29"/>
  <c r="D13" i="29"/>
  <c r="D12" i="29"/>
  <c r="D11" i="29"/>
  <c r="D10" i="29"/>
  <c r="D9" i="29"/>
  <c r="D8" i="29"/>
  <c r="D7" i="29"/>
  <c r="D159" i="30"/>
  <c r="D110" i="30"/>
  <c r="D109" i="30"/>
  <c r="D106" i="30"/>
  <c r="D105" i="30"/>
  <c r="D104" i="30"/>
  <c r="D103" i="30"/>
  <c r="D102" i="30"/>
  <c r="D101" i="30"/>
  <c r="D100" i="30"/>
  <c r="D99" i="30"/>
  <c r="D98" i="30"/>
  <c r="D97" i="30"/>
  <c r="D96" i="30"/>
  <c r="D95" i="30"/>
  <c r="D94" i="30"/>
  <c r="D93" i="30"/>
  <c r="D92" i="30"/>
  <c r="D91" i="30"/>
  <c r="D90" i="30"/>
  <c r="D89" i="30"/>
  <c r="D88" i="30"/>
  <c r="D87" i="30"/>
  <c r="D86" i="30"/>
  <c r="D85" i="30"/>
  <c r="D84" i="30"/>
  <c r="D83" i="30"/>
  <c r="D82" i="30"/>
  <c r="D81" i="30"/>
  <c r="D80" i="30"/>
  <c r="D79" i="30"/>
  <c r="D78" i="30"/>
  <c r="D77" i="30"/>
  <c r="D76" i="30"/>
  <c r="D75" i="30"/>
  <c r="D74" i="30"/>
  <c r="D73" i="30"/>
  <c r="D72" i="30"/>
  <c r="D71" i="30"/>
  <c r="D70" i="30"/>
  <c r="D69" i="30"/>
  <c r="D68" i="30"/>
  <c r="D67" i="30"/>
  <c r="D66" i="30"/>
  <c r="D65" i="30"/>
  <c r="D64" i="30"/>
  <c r="D63" i="30"/>
  <c r="D62" i="30"/>
  <c r="D61" i="30"/>
  <c r="D60" i="30"/>
  <c r="D59" i="30"/>
  <c r="D58" i="30"/>
  <c r="D57" i="30"/>
  <c r="D56" i="30"/>
  <c r="D55" i="30"/>
  <c r="D54" i="30"/>
  <c r="D53" i="30"/>
  <c r="D52" i="30"/>
  <c r="D51" i="30"/>
  <c r="D50" i="30"/>
  <c r="D49" i="30"/>
  <c r="D48" i="30"/>
  <c r="D47" i="30"/>
  <c r="D46" i="30"/>
  <c r="D45" i="30"/>
  <c r="D44" i="30"/>
  <c r="D43" i="30"/>
  <c r="D42" i="30"/>
  <c r="D41" i="30"/>
  <c r="D40" i="30"/>
  <c r="D39" i="30"/>
  <c r="D38" i="30"/>
  <c r="D37" i="30"/>
  <c r="D36" i="30"/>
  <c r="D35" i="30"/>
  <c r="D34" i="30"/>
  <c r="D33" i="30"/>
  <c r="D32" i="30"/>
  <c r="D31" i="30"/>
  <c r="D30" i="30"/>
  <c r="D29" i="30"/>
  <c r="D28" i="30"/>
  <c r="D27" i="30"/>
  <c r="D26" i="30"/>
  <c r="D25" i="30"/>
  <c r="D24" i="30"/>
  <c r="D23" i="30"/>
  <c r="D22" i="30"/>
  <c r="D21" i="30"/>
  <c r="D20" i="30"/>
  <c r="D19" i="30"/>
  <c r="D18" i="30"/>
  <c r="D17" i="30"/>
  <c r="D16" i="30"/>
  <c r="D15" i="30"/>
  <c r="D14" i="30"/>
  <c r="D13" i="30"/>
  <c r="D12" i="30"/>
  <c r="D11" i="30"/>
  <c r="D10" i="30"/>
  <c r="D9" i="30"/>
  <c r="D8" i="30"/>
  <c r="D7" i="30"/>
  <c r="B119" i="1"/>
  <c r="B120" i="1" s="1"/>
  <c r="C177" i="1"/>
  <c r="C175" i="1"/>
  <c r="C173" i="1"/>
  <c r="C171" i="1"/>
  <c r="C169" i="1"/>
  <c r="C123" i="1"/>
  <c r="C121" i="1"/>
  <c r="C117" i="1"/>
  <c r="C115" i="1"/>
  <c r="C113" i="1"/>
  <c r="C111" i="1"/>
  <c r="C109" i="1"/>
  <c r="C107" i="1"/>
  <c r="C105" i="1"/>
  <c r="C103" i="1"/>
  <c r="C101" i="1"/>
  <c r="C99" i="1"/>
  <c r="C97" i="1"/>
  <c r="C95" i="1"/>
  <c r="C93" i="1"/>
  <c r="C91" i="1"/>
  <c r="C89" i="1"/>
  <c r="C87" i="1"/>
  <c r="C85" i="1"/>
  <c r="C83" i="1"/>
  <c r="C81" i="1"/>
  <c r="C79" i="1"/>
  <c r="C77" i="1"/>
  <c r="C75" i="1"/>
  <c r="C73" i="1"/>
  <c r="C71" i="1"/>
  <c r="C69" i="1"/>
  <c r="C67" i="1"/>
  <c r="C65" i="1"/>
  <c r="C63" i="1"/>
  <c r="C61" i="1"/>
  <c r="C59" i="1"/>
  <c r="C57" i="1"/>
  <c r="C55" i="1"/>
  <c r="C53" i="1"/>
  <c r="C51" i="1"/>
  <c r="C49" i="1"/>
  <c r="C47" i="1"/>
  <c r="C45" i="1"/>
  <c r="C43" i="1"/>
  <c r="C41" i="1"/>
  <c r="C39" i="1"/>
  <c r="C37" i="1"/>
  <c r="C35" i="1"/>
  <c r="C33" i="1"/>
  <c r="C31" i="1"/>
  <c r="C29" i="1"/>
  <c r="C27" i="1"/>
  <c r="C25" i="1"/>
  <c r="C23" i="1"/>
  <c r="C21" i="1"/>
  <c r="C19" i="1"/>
  <c r="C17" i="1"/>
  <c r="C15" i="1"/>
  <c r="C13" i="1"/>
  <c r="C11" i="1"/>
  <c r="C9" i="1"/>
  <c r="C7" i="1"/>
  <c r="C5" i="1"/>
  <c r="X119" i="1"/>
  <c r="B117" i="1"/>
  <c r="B118" i="1" s="1"/>
  <c r="X117" i="1"/>
  <c r="B115" i="1"/>
  <c r="B116" i="1" s="1"/>
  <c r="X115" i="1"/>
  <c r="B113" i="1"/>
  <c r="B114" i="1" s="1"/>
  <c r="X113" i="1"/>
  <c r="B111" i="1"/>
  <c r="B112" i="1" s="1"/>
  <c r="X111" i="1"/>
  <c r="B109" i="1"/>
  <c r="B110" i="1" s="1"/>
  <c r="X109" i="1"/>
  <c r="C11" i="24"/>
  <c r="B11" i="24"/>
  <c r="A11" i="24"/>
  <c r="A6" i="47"/>
  <c r="A44" i="49"/>
  <c r="D27" i="49"/>
  <c r="B26" i="49"/>
  <c r="B25" i="49"/>
  <c r="B24" i="49"/>
  <c r="Q4" i="47"/>
  <c r="C4" i="47"/>
  <c r="Q3" i="47"/>
  <c r="C3" i="47"/>
  <c r="A2" i="26"/>
  <c r="A2" i="27"/>
  <c r="A2" i="28"/>
  <c r="A2" i="29"/>
  <c r="A2" i="30"/>
  <c r="A2" i="31"/>
  <c r="A2" i="32"/>
  <c r="A2" i="33"/>
  <c r="A2" i="34"/>
  <c r="A2" i="35"/>
  <c r="A2" i="36"/>
  <c r="A2" i="37"/>
  <c r="A3" i="26"/>
  <c r="A3" i="27"/>
  <c r="A3" i="28"/>
  <c r="A3" i="29"/>
  <c r="A3" i="30"/>
  <c r="A3" i="31"/>
  <c r="A3" i="32"/>
  <c r="A3" i="33"/>
  <c r="A3" i="34"/>
  <c r="A3" i="35"/>
  <c r="A3" i="36"/>
  <c r="A3" i="37"/>
  <c r="A4" i="26"/>
  <c r="A4" i="27"/>
  <c r="A4" i="28"/>
  <c r="A4" i="29"/>
  <c r="A4" i="30"/>
  <c r="A4" i="31"/>
  <c r="A4" i="32"/>
  <c r="A4" i="33"/>
  <c r="A4" i="34"/>
  <c r="A4" i="35"/>
  <c r="A4" i="36"/>
  <c r="A4" i="37"/>
  <c r="J3" i="1"/>
  <c r="D30" i="47" s="1"/>
  <c r="K3" i="1"/>
  <c r="E30" i="47" s="1"/>
  <c r="L3" i="1"/>
  <c r="F30" i="47" s="1"/>
  <c r="M3" i="1"/>
  <c r="G30" i="47" s="1"/>
  <c r="N3" i="1"/>
  <c r="H30" i="47" s="1"/>
  <c r="O3" i="1"/>
  <c r="I30" i="47" s="1"/>
  <c r="P3" i="1"/>
  <c r="J30" i="47" s="1"/>
  <c r="Q3" i="1"/>
  <c r="K30" i="47" s="1"/>
  <c r="R3" i="1"/>
  <c r="L30" i="47" s="1"/>
  <c r="S3" i="1"/>
  <c r="M30" i="47" s="1"/>
  <c r="T3" i="1"/>
  <c r="N30" i="47" s="1"/>
  <c r="U3" i="1"/>
  <c r="O30" i="47" s="1"/>
  <c r="V3" i="1"/>
  <c r="P30" i="47" s="1"/>
  <c r="W3" i="1"/>
  <c r="Q30" i="47" s="1"/>
  <c r="J3" i="4"/>
  <c r="D66" i="47" s="1"/>
  <c r="K3" i="4"/>
  <c r="E66" i="47" s="1"/>
  <c r="L3" i="4"/>
  <c r="F66" i="47" s="1"/>
  <c r="M3" i="4"/>
  <c r="G66" i="47" s="1"/>
  <c r="N3" i="4"/>
  <c r="H66" i="47" s="1"/>
  <c r="O3" i="4"/>
  <c r="I66" i="47" s="1"/>
  <c r="P3" i="4"/>
  <c r="J66" i="47" s="1"/>
  <c r="Q3" i="4"/>
  <c r="K66" i="47" s="1"/>
  <c r="R3" i="4"/>
  <c r="L66" i="47" s="1"/>
  <c r="S3" i="4"/>
  <c r="M66" i="47" s="1"/>
  <c r="T3" i="4"/>
  <c r="N66" i="47" s="1"/>
  <c r="U3" i="4"/>
  <c r="O66" i="47" s="1"/>
  <c r="V3" i="4"/>
  <c r="P66" i="47" s="1"/>
  <c r="W3" i="4"/>
  <c r="Q66" i="47" s="1"/>
  <c r="B177" i="4"/>
  <c r="B178" i="4" s="1"/>
  <c r="B175" i="4"/>
  <c r="B176" i="4" s="1"/>
  <c r="B173" i="4"/>
  <c r="B174" i="4" s="1"/>
  <c r="B171" i="4"/>
  <c r="B172" i="4" s="1"/>
  <c r="B169" i="4"/>
  <c r="B170" i="4" s="1"/>
  <c r="B123" i="4"/>
  <c r="B124" i="4" s="1"/>
  <c r="B121" i="4"/>
  <c r="B122" i="4" s="1"/>
  <c r="B107" i="4"/>
  <c r="B108" i="4" s="1"/>
  <c r="B105" i="4"/>
  <c r="B106" i="4" s="1"/>
  <c r="B103" i="4"/>
  <c r="B104" i="4" s="1"/>
  <c r="B101" i="4"/>
  <c r="B102" i="4" s="1"/>
  <c r="B99" i="4"/>
  <c r="B100" i="4" s="1"/>
  <c r="B97" i="4"/>
  <c r="B98" i="4" s="1"/>
  <c r="B95" i="4"/>
  <c r="B96" i="4" s="1"/>
  <c r="B93" i="4"/>
  <c r="B94" i="4" s="1"/>
  <c r="B91" i="4"/>
  <c r="B92" i="4" s="1"/>
  <c r="B89" i="4"/>
  <c r="B90" i="4" s="1"/>
  <c r="B87" i="4"/>
  <c r="B88" i="4" s="1"/>
  <c r="B85" i="4"/>
  <c r="B86" i="4" s="1"/>
  <c r="B83" i="4"/>
  <c r="B84" i="4" s="1"/>
  <c r="B81" i="4"/>
  <c r="B82" i="4" s="1"/>
  <c r="B79" i="4"/>
  <c r="B80" i="4" s="1"/>
  <c r="B77" i="4"/>
  <c r="B78" i="4" s="1"/>
  <c r="B75" i="4"/>
  <c r="B76" i="4" s="1"/>
  <c r="B73" i="4"/>
  <c r="B74" i="4" s="1"/>
  <c r="B71" i="4"/>
  <c r="B72" i="4" s="1"/>
  <c r="B69" i="4"/>
  <c r="B70" i="4" s="1"/>
  <c r="B67" i="4"/>
  <c r="B68" i="4" s="1"/>
  <c r="B65" i="4"/>
  <c r="B66" i="4" s="1"/>
  <c r="B63" i="4"/>
  <c r="B64" i="4" s="1"/>
  <c r="B61" i="4"/>
  <c r="B62" i="4" s="1"/>
  <c r="B59" i="4"/>
  <c r="B60" i="4" s="1"/>
  <c r="B57" i="4"/>
  <c r="B58" i="4" s="1"/>
  <c r="B55" i="4"/>
  <c r="B56" i="4" s="1"/>
  <c r="B53" i="4"/>
  <c r="B54" i="4" s="1"/>
  <c r="B51" i="4"/>
  <c r="B52" i="4" s="1"/>
  <c r="B49" i="4"/>
  <c r="B50" i="4" s="1"/>
  <c r="B47" i="4"/>
  <c r="B48" i="4" s="1"/>
  <c r="B45" i="4"/>
  <c r="B46" i="4" s="1"/>
  <c r="B43" i="4"/>
  <c r="B44" i="4" s="1"/>
  <c r="B41" i="4"/>
  <c r="B42" i="4" s="1"/>
  <c r="B39" i="4"/>
  <c r="B40" i="4" s="1"/>
  <c r="B37" i="4"/>
  <c r="B38" i="4" s="1"/>
  <c r="B35" i="4"/>
  <c r="B36" i="4" s="1"/>
  <c r="B33" i="4"/>
  <c r="B34" i="4" s="1"/>
  <c r="B31" i="4"/>
  <c r="B32" i="4" s="1"/>
  <c r="B29" i="4"/>
  <c r="B30" i="4" s="1"/>
  <c r="B27" i="4"/>
  <c r="B28" i="4" s="1"/>
  <c r="B25" i="4"/>
  <c r="B26" i="4" s="1"/>
  <c r="B23" i="4"/>
  <c r="B24" i="4" s="1"/>
  <c r="B21" i="4"/>
  <c r="B22" i="4" s="1"/>
  <c r="B19" i="4"/>
  <c r="B20" i="4" s="1"/>
  <c r="B17" i="4"/>
  <c r="B18" i="4" s="1"/>
  <c r="B15" i="4"/>
  <c r="B16" i="4" s="1"/>
  <c r="B13" i="4"/>
  <c r="B14" i="4" s="1"/>
  <c r="B11" i="4"/>
  <c r="B12" i="4" s="1"/>
  <c r="B9" i="4"/>
  <c r="B10" i="4" s="1"/>
  <c r="B7" i="4"/>
  <c r="B8" i="4" s="1"/>
  <c r="B5" i="4"/>
  <c r="B6" i="4" s="1"/>
  <c r="C159" i="33"/>
  <c r="C110" i="33"/>
  <c r="C109" i="33"/>
  <c r="C106" i="33"/>
  <c r="C105" i="33"/>
  <c r="C104" i="33"/>
  <c r="C103" i="33"/>
  <c r="C102" i="33"/>
  <c r="C101" i="33"/>
  <c r="C100" i="33"/>
  <c r="C99" i="33"/>
  <c r="C98" i="33"/>
  <c r="C97" i="33"/>
  <c r="C96" i="33"/>
  <c r="C95" i="33"/>
  <c r="C94" i="33"/>
  <c r="C93" i="33"/>
  <c r="C92" i="33"/>
  <c r="C91" i="33"/>
  <c r="C90" i="33"/>
  <c r="C89" i="33"/>
  <c r="C88" i="33"/>
  <c r="C87" i="33"/>
  <c r="C86" i="33"/>
  <c r="C85" i="33"/>
  <c r="C84" i="33"/>
  <c r="C83" i="33"/>
  <c r="C82" i="33"/>
  <c r="C81" i="33"/>
  <c r="C80" i="33"/>
  <c r="C79" i="33"/>
  <c r="C78" i="33"/>
  <c r="C77" i="33"/>
  <c r="C76" i="33"/>
  <c r="C75" i="33"/>
  <c r="C74" i="33"/>
  <c r="C73" i="33"/>
  <c r="C72" i="33"/>
  <c r="C71" i="33"/>
  <c r="C70" i="33"/>
  <c r="C69" i="33"/>
  <c r="C68" i="33"/>
  <c r="C67" i="33"/>
  <c r="C66" i="33"/>
  <c r="C65" i="33"/>
  <c r="C64" i="33"/>
  <c r="C63" i="33"/>
  <c r="C62" i="33"/>
  <c r="C61" i="33"/>
  <c r="C60" i="33"/>
  <c r="C59" i="33"/>
  <c r="C58" i="33"/>
  <c r="C57" i="33"/>
  <c r="C56" i="33"/>
  <c r="C55" i="33"/>
  <c r="C54" i="33"/>
  <c r="C53" i="33"/>
  <c r="C52" i="33"/>
  <c r="C51" i="33"/>
  <c r="C50" i="33"/>
  <c r="C49" i="33"/>
  <c r="C48" i="33"/>
  <c r="C47" i="33"/>
  <c r="C46" i="33"/>
  <c r="C45" i="33"/>
  <c r="C44" i="33"/>
  <c r="C43" i="33"/>
  <c r="C42" i="33"/>
  <c r="C41" i="33"/>
  <c r="C40" i="33"/>
  <c r="C39" i="33"/>
  <c r="C38" i="33"/>
  <c r="C37" i="33"/>
  <c r="C36" i="33"/>
  <c r="C35" i="33"/>
  <c r="C34" i="33"/>
  <c r="C33" i="33"/>
  <c r="C32" i="33"/>
  <c r="C31" i="33"/>
  <c r="C30" i="33"/>
  <c r="C29" i="33"/>
  <c r="C28" i="33"/>
  <c r="C27" i="33"/>
  <c r="C26" i="33"/>
  <c r="C25" i="33"/>
  <c r="C24" i="33"/>
  <c r="C23" i="33"/>
  <c r="C22" i="33"/>
  <c r="C21" i="33"/>
  <c r="C20" i="33"/>
  <c r="C19" i="33"/>
  <c r="C18" i="33"/>
  <c r="C17" i="33"/>
  <c r="C16" i="33"/>
  <c r="C15" i="33"/>
  <c r="C14" i="33"/>
  <c r="C13" i="33"/>
  <c r="C12" i="33"/>
  <c r="C11" i="33"/>
  <c r="C10" i="33"/>
  <c r="C9" i="33"/>
  <c r="C8" i="33"/>
  <c r="C7" i="33"/>
  <c r="C159" i="34"/>
  <c r="C110" i="34"/>
  <c r="C109" i="34"/>
  <c r="C106" i="34"/>
  <c r="C105" i="34"/>
  <c r="C104" i="34"/>
  <c r="C103" i="34"/>
  <c r="C102" i="34"/>
  <c r="C101" i="34"/>
  <c r="C100" i="34"/>
  <c r="C99" i="34"/>
  <c r="C98" i="34"/>
  <c r="C97" i="34"/>
  <c r="C96" i="34"/>
  <c r="C95" i="34"/>
  <c r="C94" i="34"/>
  <c r="C93" i="34"/>
  <c r="C92" i="34"/>
  <c r="C91" i="34"/>
  <c r="C90" i="34"/>
  <c r="C89" i="34"/>
  <c r="C88" i="34"/>
  <c r="C87" i="34"/>
  <c r="C86" i="34"/>
  <c r="C85" i="34"/>
  <c r="C84" i="34"/>
  <c r="C83" i="34"/>
  <c r="C82" i="34"/>
  <c r="C81" i="34"/>
  <c r="C80" i="34"/>
  <c r="C79" i="34"/>
  <c r="C78" i="34"/>
  <c r="C77" i="34"/>
  <c r="C76" i="34"/>
  <c r="C75" i="34"/>
  <c r="C74" i="34"/>
  <c r="C73" i="34"/>
  <c r="C72" i="34"/>
  <c r="C71" i="34"/>
  <c r="C70" i="34"/>
  <c r="C69" i="34"/>
  <c r="C68" i="34"/>
  <c r="C67" i="34"/>
  <c r="C66" i="34"/>
  <c r="C65" i="34"/>
  <c r="C64" i="34"/>
  <c r="C63" i="34"/>
  <c r="C62" i="34"/>
  <c r="C61" i="34"/>
  <c r="C60" i="34"/>
  <c r="C59" i="34"/>
  <c r="C58" i="34"/>
  <c r="C57" i="34"/>
  <c r="C56" i="34"/>
  <c r="C55" i="34"/>
  <c r="C54" i="34"/>
  <c r="C53" i="34"/>
  <c r="C52" i="34"/>
  <c r="C51" i="34"/>
  <c r="C50" i="34"/>
  <c r="C49" i="34"/>
  <c r="C48" i="34"/>
  <c r="C47" i="34"/>
  <c r="C46" i="34"/>
  <c r="C45" i="34"/>
  <c r="C44" i="34"/>
  <c r="C43" i="34"/>
  <c r="C42" i="34"/>
  <c r="C41" i="34"/>
  <c r="C40" i="34"/>
  <c r="C39" i="34"/>
  <c r="C38" i="34"/>
  <c r="C37" i="34"/>
  <c r="C36" i="34"/>
  <c r="C35" i="34"/>
  <c r="C34" i="34"/>
  <c r="C33" i="34"/>
  <c r="C32" i="34"/>
  <c r="C31" i="34"/>
  <c r="C30" i="34"/>
  <c r="C29" i="34"/>
  <c r="C28" i="34"/>
  <c r="C27" i="34"/>
  <c r="C26" i="34"/>
  <c r="C25" i="34"/>
  <c r="C24" i="34"/>
  <c r="C23" i="34"/>
  <c r="C22" i="34"/>
  <c r="C21" i="34"/>
  <c r="C20" i="34"/>
  <c r="C19" i="34"/>
  <c r="C18" i="34"/>
  <c r="C17" i="34"/>
  <c r="C16" i="34"/>
  <c r="C15" i="34"/>
  <c r="C14" i="34"/>
  <c r="C13" i="34"/>
  <c r="C12" i="34"/>
  <c r="C11" i="34"/>
  <c r="C10" i="34"/>
  <c r="C9" i="34"/>
  <c r="C8" i="34"/>
  <c r="C7" i="34"/>
  <c r="C159" i="35"/>
  <c r="C110" i="35"/>
  <c r="C109" i="35"/>
  <c r="C106" i="35"/>
  <c r="C105" i="35"/>
  <c r="C104" i="35"/>
  <c r="C103" i="35"/>
  <c r="C102" i="35"/>
  <c r="C101" i="35"/>
  <c r="C100" i="35"/>
  <c r="C99" i="35"/>
  <c r="C98" i="35"/>
  <c r="C97" i="35"/>
  <c r="C96" i="35"/>
  <c r="C95" i="35"/>
  <c r="C94" i="35"/>
  <c r="C93" i="35"/>
  <c r="C92" i="35"/>
  <c r="C91" i="35"/>
  <c r="C90" i="35"/>
  <c r="C89" i="35"/>
  <c r="C88" i="35"/>
  <c r="C87" i="35"/>
  <c r="C86" i="35"/>
  <c r="C85" i="35"/>
  <c r="C84" i="35"/>
  <c r="C83" i="35"/>
  <c r="C82" i="35"/>
  <c r="C81" i="35"/>
  <c r="C80" i="35"/>
  <c r="C79" i="35"/>
  <c r="C78" i="35"/>
  <c r="C77" i="35"/>
  <c r="C76" i="35"/>
  <c r="C75" i="35"/>
  <c r="C74" i="35"/>
  <c r="C73" i="35"/>
  <c r="C72" i="35"/>
  <c r="C71" i="35"/>
  <c r="C70" i="35"/>
  <c r="C69" i="35"/>
  <c r="C68" i="35"/>
  <c r="C67" i="35"/>
  <c r="C66" i="35"/>
  <c r="C65" i="35"/>
  <c r="C64" i="35"/>
  <c r="C63" i="35"/>
  <c r="C62" i="35"/>
  <c r="C61" i="35"/>
  <c r="C60" i="35"/>
  <c r="C59" i="35"/>
  <c r="C58" i="35"/>
  <c r="C57" i="35"/>
  <c r="C56" i="35"/>
  <c r="C55" i="35"/>
  <c r="C54" i="35"/>
  <c r="C53" i="35"/>
  <c r="C52" i="35"/>
  <c r="C51" i="35"/>
  <c r="C50" i="35"/>
  <c r="C49" i="35"/>
  <c r="C48" i="35"/>
  <c r="C47" i="35"/>
  <c r="C46" i="35"/>
  <c r="C45" i="35"/>
  <c r="C44" i="35"/>
  <c r="C43" i="35"/>
  <c r="C42" i="35"/>
  <c r="C41" i="35"/>
  <c r="C40" i="35"/>
  <c r="C39" i="35"/>
  <c r="C38" i="35"/>
  <c r="C37" i="35"/>
  <c r="C36" i="35"/>
  <c r="C35" i="35"/>
  <c r="C34" i="35"/>
  <c r="C33" i="35"/>
  <c r="C32" i="35"/>
  <c r="C31" i="35"/>
  <c r="C30" i="35"/>
  <c r="C29" i="35"/>
  <c r="C28" i="35"/>
  <c r="C27" i="35"/>
  <c r="C26" i="35"/>
  <c r="C25" i="35"/>
  <c r="C24" i="35"/>
  <c r="C23" i="35"/>
  <c r="C22" i="35"/>
  <c r="C21" i="35"/>
  <c r="C20" i="35"/>
  <c r="C19" i="35"/>
  <c r="C18" i="35"/>
  <c r="C17" i="35"/>
  <c r="C16" i="35"/>
  <c r="C15" i="35"/>
  <c r="C14" i="35"/>
  <c r="C13" i="35"/>
  <c r="C12" i="35"/>
  <c r="C11" i="35"/>
  <c r="C10" i="35"/>
  <c r="C9" i="35"/>
  <c r="C8" i="35"/>
  <c r="C7" i="35"/>
  <c r="C159" i="36"/>
  <c r="C110" i="36"/>
  <c r="C109" i="36"/>
  <c r="C106" i="36"/>
  <c r="C105" i="36"/>
  <c r="C104" i="36"/>
  <c r="C103" i="36"/>
  <c r="C102" i="36"/>
  <c r="C101" i="36"/>
  <c r="C100" i="36"/>
  <c r="C99" i="36"/>
  <c r="C98" i="36"/>
  <c r="C97" i="36"/>
  <c r="C96" i="36"/>
  <c r="C95" i="36"/>
  <c r="C94" i="36"/>
  <c r="C93" i="36"/>
  <c r="C92" i="36"/>
  <c r="C91" i="36"/>
  <c r="C90" i="36"/>
  <c r="C89" i="36"/>
  <c r="C88" i="36"/>
  <c r="C87" i="36"/>
  <c r="C86" i="36"/>
  <c r="C85" i="36"/>
  <c r="C84" i="36"/>
  <c r="C83" i="36"/>
  <c r="C82" i="36"/>
  <c r="C81" i="36"/>
  <c r="C80" i="36"/>
  <c r="C79" i="36"/>
  <c r="C78" i="36"/>
  <c r="C77" i="36"/>
  <c r="C76" i="36"/>
  <c r="C75" i="36"/>
  <c r="C74" i="36"/>
  <c r="C73" i="36"/>
  <c r="C72" i="36"/>
  <c r="C71" i="36"/>
  <c r="C70" i="36"/>
  <c r="C69" i="36"/>
  <c r="C68" i="36"/>
  <c r="C67" i="36"/>
  <c r="C66" i="36"/>
  <c r="C65" i="36"/>
  <c r="C64" i="36"/>
  <c r="C63" i="36"/>
  <c r="C62" i="36"/>
  <c r="C61" i="36"/>
  <c r="C60" i="36"/>
  <c r="C59" i="36"/>
  <c r="C58" i="36"/>
  <c r="C57" i="36"/>
  <c r="C56" i="36"/>
  <c r="C55" i="36"/>
  <c r="C54" i="36"/>
  <c r="C53" i="36"/>
  <c r="C52" i="36"/>
  <c r="C51" i="36"/>
  <c r="C50" i="36"/>
  <c r="C49" i="36"/>
  <c r="C48" i="36"/>
  <c r="C47" i="36"/>
  <c r="C46" i="36"/>
  <c r="C45" i="36"/>
  <c r="C44" i="36"/>
  <c r="C43" i="36"/>
  <c r="C42" i="36"/>
  <c r="C41" i="36"/>
  <c r="C40" i="36"/>
  <c r="C39" i="36"/>
  <c r="C38" i="36"/>
  <c r="C37" i="36"/>
  <c r="C36" i="36"/>
  <c r="C35" i="36"/>
  <c r="C34" i="36"/>
  <c r="C33" i="36"/>
  <c r="C32" i="36"/>
  <c r="C31" i="36"/>
  <c r="C30" i="36"/>
  <c r="C29" i="36"/>
  <c r="C28" i="36"/>
  <c r="C27" i="36"/>
  <c r="C26" i="36"/>
  <c r="C25" i="36"/>
  <c r="C24" i="36"/>
  <c r="C23" i="36"/>
  <c r="C22" i="36"/>
  <c r="C21" i="36"/>
  <c r="C20" i="36"/>
  <c r="C19" i="36"/>
  <c r="C18" i="36"/>
  <c r="C17" i="36"/>
  <c r="C16" i="36"/>
  <c r="C15" i="36"/>
  <c r="C14" i="36"/>
  <c r="C13" i="36"/>
  <c r="C12" i="36"/>
  <c r="C11" i="36"/>
  <c r="C10" i="36"/>
  <c r="C9" i="36"/>
  <c r="C8" i="36"/>
  <c r="C7" i="36"/>
  <c r="C159" i="37"/>
  <c r="C110" i="37"/>
  <c r="C109" i="37"/>
  <c r="C106" i="37"/>
  <c r="C105" i="37"/>
  <c r="C104" i="37"/>
  <c r="C103" i="37"/>
  <c r="C102" i="37"/>
  <c r="C101" i="37"/>
  <c r="C100" i="37"/>
  <c r="C99" i="37"/>
  <c r="C98" i="37"/>
  <c r="C97" i="37"/>
  <c r="C96" i="37"/>
  <c r="C95" i="37"/>
  <c r="C94" i="37"/>
  <c r="C93" i="37"/>
  <c r="C92" i="37"/>
  <c r="C91" i="37"/>
  <c r="C90" i="37"/>
  <c r="C89" i="37"/>
  <c r="C88" i="37"/>
  <c r="C87" i="37"/>
  <c r="C86" i="37"/>
  <c r="C85" i="37"/>
  <c r="C84" i="37"/>
  <c r="C83" i="37"/>
  <c r="C82" i="37"/>
  <c r="C81" i="37"/>
  <c r="C80" i="37"/>
  <c r="C79" i="37"/>
  <c r="C78" i="37"/>
  <c r="C77" i="37"/>
  <c r="C76" i="37"/>
  <c r="C75" i="37"/>
  <c r="C74" i="37"/>
  <c r="C73" i="37"/>
  <c r="C72" i="37"/>
  <c r="C71" i="37"/>
  <c r="C70" i="37"/>
  <c r="C69" i="37"/>
  <c r="C68" i="37"/>
  <c r="C67" i="37"/>
  <c r="C66" i="37"/>
  <c r="C65" i="37"/>
  <c r="C64" i="37"/>
  <c r="C63" i="37"/>
  <c r="C62" i="37"/>
  <c r="C61" i="37"/>
  <c r="C60" i="37"/>
  <c r="C59" i="37"/>
  <c r="C58" i="37"/>
  <c r="C57" i="37"/>
  <c r="C56" i="37"/>
  <c r="C55" i="37"/>
  <c r="C54" i="37"/>
  <c r="C53" i="37"/>
  <c r="C52" i="37"/>
  <c r="C51" i="37"/>
  <c r="C50" i="37"/>
  <c r="C49" i="37"/>
  <c r="C48" i="37"/>
  <c r="C47" i="37"/>
  <c r="C46" i="37"/>
  <c r="C45" i="37"/>
  <c r="C44" i="37"/>
  <c r="C43" i="37"/>
  <c r="C42" i="37"/>
  <c r="C41" i="37"/>
  <c r="C40" i="37"/>
  <c r="C39" i="37"/>
  <c r="C38" i="37"/>
  <c r="C37" i="37"/>
  <c r="C36" i="37"/>
  <c r="C35" i="37"/>
  <c r="C34" i="37"/>
  <c r="C33" i="37"/>
  <c r="C32" i="37"/>
  <c r="C31" i="37"/>
  <c r="C30" i="37"/>
  <c r="C29" i="37"/>
  <c r="C28" i="37"/>
  <c r="C27" i="37"/>
  <c r="C26" i="37"/>
  <c r="C25" i="37"/>
  <c r="C24" i="37"/>
  <c r="C23" i="37"/>
  <c r="C22" i="37"/>
  <c r="C21" i="37"/>
  <c r="C20" i="37"/>
  <c r="C19" i="37"/>
  <c r="C18" i="37"/>
  <c r="C17" i="37"/>
  <c r="C16" i="37"/>
  <c r="C15" i="37"/>
  <c r="C14" i="37"/>
  <c r="C13" i="37"/>
  <c r="C12" i="37"/>
  <c r="C11" i="37"/>
  <c r="C10" i="37"/>
  <c r="C9" i="37"/>
  <c r="C8" i="37"/>
  <c r="C7" i="37"/>
  <c r="C159" i="32"/>
  <c r="C110" i="32"/>
  <c r="C109" i="32"/>
  <c r="C106" i="32"/>
  <c r="C105" i="32"/>
  <c r="C104" i="32"/>
  <c r="C103" i="32"/>
  <c r="C102" i="32"/>
  <c r="C101" i="32"/>
  <c r="C100" i="32"/>
  <c r="C99" i="32"/>
  <c r="C98" i="32"/>
  <c r="C97" i="32"/>
  <c r="C96" i="32"/>
  <c r="C95" i="32"/>
  <c r="C94" i="32"/>
  <c r="C93" i="32"/>
  <c r="C92" i="32"/>
  <c r="C91" i="32"/>
  <c r="C90" i="32"/>
  <c r="C89" i="32"/>
  <c r="C88" i="32"/>
  <c r="C87" i="32"/>
  <c r="C86" i="32"/>
  <c r="C85" i="32"/>
  <c r="C84" i="32"/>
  <c r="C83" i="32"/>
  <c r="C82" i="32"/>
  <c r="C81" i="32"/>
  <c r="C80" i="32"/>
  <c r="C79" i="32"/>
  <c r="C78" i="32"/>
  <c r="C77" i="32"/>
  <c r="C76" i="32"/>
  <c r="C75" i="32"/>
  <c r="C74" i="32"/>
  <c r="C73" i="32"/>
  <c r="C72" i="32"/>
  <c r="C71" i="32"/>
  <c r="C70" i="32"/>
  <c r="C69" i="32"/>
  <c r="C68" i="32"/>
  <c r="C67" i="32"/>
  <c r="C66" i="32"/>
  <c r="C65" i="32"/>
  <c r="C64" i="32"/>
  <c r="C63" i="32"/>
  <c r="C62" i="32"/>
  <c r="C61" i="32"/>
  <c r="C60" i="32"/>
  <c r="C59" i="32"/>
  <c r="C58" i="32"/>
  <c r="C57" i="32"/>
  <c r="C56" i="32"/>
  <c r="C55" i="32"/>
  <c r="C54" i="32"/>
  <c r="C53" i="32"/>
  <c r="C52" i="32"/>
  <c r="C51" i="32"/>
  <c r="C50" i="32"/>
  <c r="C49" i="32"/>
  <c r="C48" i="32"/>
  <c r="C47" i="32"/>
  <c r="C46" i="32"/>
  <c r="C45" i="32"/>
  <c r="C44" i="32"/>
  <c r="C43" i="32"/>
  <c r="C42" i="32"/>
  <c r="C41" i="32"/>
  <c r="C40" i="32"/>
  <c r="C39" i="32"/>
  <c r="C38" i="32"/>
  <c r="C37" i="32"/>
  <c r="C36" i="32"/>
  <c r="C35" i="32"/>
  <c r="C34" i="32"/>
  <c r="C33" i="32"/>
  <c r="C32" i="32"/>
  <c r="C31" i="32"/>
  <c r="C30" i="32"/>
  <c r="C29" i="32"/>
  <c r="C28" i="32"/>
  <c r="C27" i="32"/>
  <c r="C26" i="32"/>
  <c r="C25" i="32"/>
  <c r="C24" i="32"/>
  <c r="C23" i="32"/>
  <c r="C22" i="32"/>
  <c r="C21" i="32"/>
  <c r="C20" i="32"/>
  <c r="C19" i="32"/>
  <c r="C18" i="32"/>
  <c r="C17" i="32"/>
  <c r="C16" i="32"/>
  <c r="C15" i="32"/>
  <c r="C14" i="32"/>
  <c r="C13" i="32"/>
  <c r="C12" i="32"/>
  <c r="C11" i="32"/>
  <c r="C10" i="32"/>
  <c r="C9" i="32"/>
  <c r="C8" i="32"/>
  <c r="C7" i="32"/>
  <c r="C159" i="28"/>
  <c r="C110" i="28"/>
  <c r="C109" i="28"/>
  <c r="C106" i="28"/>
  <c r="C105" i="28"/>
  <c r="C104" i="28"/>
  <c r="C103" i="28"/>
  <c r="C102" i="28"/>
  <c r="C101" i="28"/>
  <c r="C100" i="28"/>
  <c r="C99" i="28"/>
  <c r="C98" i="28"/>
  <c r="C97" i="28"/>
  <c r="C96" i="28"/>
  <c r="C95" i="28"/>
  <c r="C94" i="28"/>
  <c r="C93" i="28"/>
  <c r="C92" i="28"/>
  <c r="C91" i="28"/>
  <c r="C90" i="28"/>
  <c r="C89" i="28"/>
  <c r="C88" i="28"/>
  <c r="C87" i="28"/>
  <c r="C86" i="28"/>
  <c r="C85" i="28"/>
  <c r="C84" i="28"/>
  <c r="C83" i="28"/>
  <c r="C82" i="28"/>
  <c r="C81" i="28"/>
  <c r="C80" i="28"/>
  <c r="C79" i="28"/>
  <c r="C78" i="28"/>
  <c r="C77" i="28"/>
  <c r="C76" i="28"/>
  <c r="C75" i="28"/>
  <c r="C74" i="28"/>
  <c r="C73" i="28"/>
  <c r="C72" i="28"/>
  <c r="C71" i="28"/>
  <c r="C70" i="28"/>
  <c r="C69" i="28"/>
  <c r="C68" i="28"/>
  <c r="C67" i="28"/>
  <c r="C66" i="28"/>
  <c r="C65" i="28"/>
  <c r="C64" i="28"/>
  <c r="C63" i="28"/>
  <c r="C62" i="28"/>
  <c r="C61" i="28"/>
  <c r="C60" i="28"/>
  <c r="C59" i="28"/>
  <c r="C58" i="28"/>
  <c r="C57" i="28"/>
  <c r="C56" i="28"/>
  <c r="C55" i="28"/>
  <c r="C54" i="28"/>
  <c r="C53" i="28"/>
  <c r="C52" i="28"/>
  <c r="C51" i="28"/>
  <c r="C50" i="28"/>
  <c r="C49" i="28"/>
  <c r="C48" i="28"/>
  <c r="C47" i="28"/>
  <c r="C46" i="28"/>
  <c r="C45" i="28"/>
  <c r="C44" i="28"/>
  <c r="C43" i="28"/>
  <c r="C42" i="28"/>
  <c r="C41" i="28"/>
  <c r="C40" i="28"/>
  <c r="C39" i="28"/>
  <c r="C38" i="28"/>
  <c r="C37" i="28"/>
  <c r="C36" i="28"/>
  <c r="C35" i="28"/>
  <c r="C34" i="28"/>
  <c r="C33" i="28"/>
  <c r="C32" i="28"/>
  <c r="C31" i="28"/>
  <c r="C30" i="28"/>
  <c r="C29" i="28"/>
  <c r="C28" i="28"/>
  <c r="C27" i="28"/>
  <c r="C26" i="28"/>
  <c r="C25" i="28"/>
  <c r="C24" i="28"/>
  <c r="C23" i="28"/>
  <c r="C22" i="28"/>
  <c r="C21" i="28"/>
  <c r="C20" i="28"/>
  <c r="C19" i="28"/>
  <c r="C18" i="28"/>
  <c r="C17" i="28"/>
  <c r="C16" i="28"/>
  <c r="C15" i="28"/>
  <c r="C14" i="28"/>
  <c r="C13" i="28"/>
  <c r="C12" i="28"/>
  <c r="C11" i="28"/>
  <c r="C10" i="28"/>
  <c r="C9" i="28"/>
  <c r="C8" i="28"/>
  <c r="C7" i="28"/>
  <c r="C159" i="29"/>
  <c r="C110" i="29"/>
  <c r="C109" i="29"/>
  <c r="C106" i="29"/>
  <c r="C105" i="29"/>
  <c r="C104" i="29"/>
  <c r="C103" i="29"/>
  <c r="C102" i="29"/>
  <c r="C101" i="29"/>
  <c r="C100" i="29"/>
  <c r="C99" i="29"/>
  <c r="C98" i="29"/>
  <c r="C97" i="29"/>
  <c r="C96" i="29"/>
  <c r="C95" i="29"/>
  <c r="C94" i="29"/>
  <c r="C93" i="29"/>
  <c r="C92" i="29"/>
  <c r="C91" i="29"/>
  <c r="C90" i="29"/>
  <c r="C89" i="29"/>
  <c r="C88" i="29"/>
  <c r="C87" i="29"/>
  <c r="C86" i="29"/>
  <c r="C85" i="29"/>
  <c r="C84" i="29"/>
  <c r="C83" i="29"/>
  <c r="C82" i="29"/>
  <c r="C81" i="29"/>
  <c r="C80" i="29"/>
  <c r="C79" i="29"/>
  <c r="C78" i="29"/>
  <c r="C77" i="29"/>
  <c r="C76" i="29"/>
  <c r="C75" i="29"/>
  <c r="C74" i="29"/>
  <c r="C73" i="29"/>
  <c r="C72" i="29"/>
  <c r="C71" i="29"/>
  <c r="C70" i="29"/>
  <c r="C69" i="29"/>
  <c r="C68" i="29"/>
  <c r="C67" i="29"/>
  <c r="C66" i="29"/>
  <c r="C65" i="29"/>
  <c r="C64" i="29"/>
  <c r="C63" i="29"/>
  <c r="C62" i="29"/>
  <c r="C61" i="29"/>
  <c r="C60" i="29"/>
  <c r="C59" i="29"/>
  <c r="C58" i="29"/>
  <c r="C57" i="29"/>
  <c r="C56" i="29"/>
  <c r="C55" i="29"/>
  <c r="C54" i="29"/>
  <c r="C53" i="29"/>
  <c r="C52" i="29"/>
  <c r="C51" i="29"/>
  <c r="C50" i="29"/>
  <c r="C49" i="29"/>
  <c r="C48" i="29"/>
  <c r="C47" i="29"/>
  <c r="C46" i="29"/>
  <c r="C45" i="29"/>
  <c r="C44" i="29"/>
  <c r="C43" i="29"/>
  <c r="C42" i="29"/>
  <c r="C41" i="29"/>
  <c r="C40" i="29"/>
  <c r="C39" i="29"/>
  <c r="C38" i="29"/>
  <c r="C37" i="29"/>
  <c r="C36" i="29"/>
  <c r="C35" i="29"/>
  <c r="C34" i="29"/>
  <c r="C33" i="29"/>
  <c r="C32" i="29"/>
  <c r="C31" i="29"/>
  <c r="C30" i="29"/>
  <c r="C29" i="29"/>
  <c r="C28" i="29"/>
  <c r="C27" i="29"/>
  <c r="C26" i="29"/>
  <c r="C25" i="29"/>
  <c r="C24" i="29"/>
  <c r="C23" i="29"/>
  <c r="C22" i="29"/>
  <c r="C21" i="29"/>
  <c r="C20" i="29"/>
  <c r="C19" i="29"/>
  <c r="C18" i="29"/>
  <c r="C17" i="29"/>
  <c r="C16" i="29"/>
  <c r="C15" i="29"/>
  <c r="C14" i="29"/>
  <c r="C13" i="29"/>
  <c r="C12" i="29"/>
  <c r="C11" i="29"/>
  <c r="C10" i="29"/>
  <c r="C9" i="29"/>
  <c r="C8" i="29"/>
  <c r="C7" i="29"/>
  <c r="C159" i="30"/>
  <c r="C110" i="30"/>
  <c r="C109" i="30"/>
  <c r="C106" i="30"/>
  <c r="C105" i="30"/>
  <c r="C104" i="30"/>
  <c r="C103" i="30"/>
  <c r="C102" i="30"/>
  <c r="C101" i="30"/>
  <c r="C100" i="30"/>
  <c r="C99" i="30"/>
  <c r="C98" i="30"/>
  <c r="C97" i="30"/>
  <c r="C96" i="30"/>
  <c r="C95" i="30"/>
  <c r="C94" i="30"/>
  <c r="C93" i="30"/>
  <c r="C92" i="30"/>
  <c r="C91" i="30"/>
  <c r="C90" i="30"/>
  <c r="C89" i="30"/>
  <c r="C88" i="30"/>
  <c r="C87" i="30"/>
  <c r="C86" i="30"/>
  <c r="C85" i="30"/>
  <c r="C84" i="30"/>
  <c r="C83" i="30"/>
  <c r="C82" i="30"/>
  <c r="C81" i="30"/>
  <c r="C80" i="30"/>
  <c r="C79" i="30"/>
  <c r="C78" i="30"/>
  <c r="C77" i="30"/>
  <c r="C76" i="30"/>
  <c r="C75" i="30"/>
  <c r="C74" i="30"/>
  <c r="C73" i="30"/>
  <c r="C72" i="30"/>
  <c r="C71" i="30"/>
  <c r="C70" i="30"/>
  <c r="C69" i="30"/>
  <c r="C68" i="30"/>
  <c r="C67" i="30"/>
  <c r="C66" i="30"/>
  <c r="C65" i="30"/>
  <c r="C64" i="30"/>
  <c r="C63" i="30"/>
  <c r="C62" i="30"/>
  <c r="C61" i="30"/>
  <c r="C60" i="30"/>
  <c r="C59" i="30"/>
  <c r="C58" i="30"/>
  <c r="C57" i="30"/>
  <c r="C56" i="30"/>
  <c r="C55" i="30"/>
  <c r="C54" i="30"/>
  <c r="C53" i="30"/>
  <c r="C52" i="30"/>
  <c r="C51" i="30"/>
  <c r="C50" i="30"/>
  <c r="C49" i="30"/>
  <c r="C48" i="30"/>
  <c r="C47" i="30"/>
  <c r="C46" i="30"/>
  <c r="C45" i="30"/>
  <c r="C44" i="30"/>
  <c r="C43" i="30"/>
  <c r="C42" i="30"/>
  <c r="C41" i="30"/>
  <c r="C40" i="30"/>
  <c r="C39" i="30"/>
  <c r="C38" i="30"/>
  <c r="C37" i="30"/>
  <c r="C36" i="30"/>
  <c r="C35" i="30"/>
  <c r="C34" i="30"/>
  <c r="C33" i="30"/>
  <c r="C32" i="30"/>
  <c r="C31" i="30"/>
  <c r="C30" i="30"/>
  <c r="C29" i="30"/>
  <c r="C28" i="30"/>
  <c r="C27" i="30"/>
  <c r="C26" i="30"/>
  <c r="C25" i="30"/>
  <c r="C24" i="30"/>
  <c r="C23" i="30"/>
  <c r="C22" i="30"/>
  <c r="C21" i="30"/>
  <c r="C20" i="30"/>
  <c r="C19" i="30"/>
  <c r="C18" i="30"/>
  <c r="C17" i="30"/>
  <c r="C16" i="30"/>
  <c r="C15" i="30"/>
  <c r="C14" i="30"/>
  <c r="C13" i="30"/>
  <c r="C12" i="30"/>
  <c r="C11" i="30"/>
  <c r="C10" i="30"/>
  <c r="C9" i="30"/>
  <c r="C8" i="30"/>
  <c r="C7" i="30"/>
  <c r="C159" i="31"/>
  <c r="C110" i="31"/>
  <c r="C109" i="31"/>
  <c r="C106" i="31"/>
  <c r="C105" i="31"/>
  <c r="C104" i="31"/>
  <c r="C103" i="31"/>
  <c r="C102" i="31"/>
  <c r="C101" i="31"/>
  <c r="C100" i="31"/>
  <c r="C99" i="31"/>
  <c r="C98" i="31"/>
  <c r="C97" i="31"/>
  <c r="C96" i="31"/>
  <c r="C95" i="31"/>
  <c r="C94" i="31"/>
  <c r="C93" i="31"/>
  <c r="C92" i="31"/>
  <c r="C91" i="31"/>
  <c r="C90" i="31"/>
  <c r="C89" i="31"/>
  <c r="C88" i="31"/>
  <c r="C87" i="31"/>
  <c r="C86" i="31"/>
  <c r="C85" i="31"/>
  <c r="C84" i="31"/>
  <c r="C83" i="31"/>
  <c r="C82" i="31"/>
  <c r="C81" i="31"/>
  <c r="C80" i="31"/>
  <c r="C79" i="31"/>
  <c r="C78" i="31"/>
  <c r="C77" i="31"/>
  <c r="C76" i="31"/>
  <c r="C75" i="31"/>
  <c r="C74" i="31"/>
  <c r="C73" i="31"/>
  <c r="C72" i="31"/>
  <c r="C71" i="31"/>
  <c r="C70" i="31"/>
  <c r="C69" i="31"/>
  <c r="C68" i="31"/>
  <c r="C67" i="31"/>
  <c r="C66" i="31"/>
  <c r="C65" i="31"/>
  <c r="C64" i="31"/>
  <c r="C63" i="31"/>
  <c r="C62" i="31"/>
  <c r="C61" i="31"/>
  <c r="C60" i="31"/>
  <c r="C59" i="31"/>
  <c r="C58" i="31"/>
  <c r="C57" i="31"/>
  <c r="C56" i="31"/>
  <c r="C55" i="31"/>
  <c r="C54" i="31"/>
  <c r="C53" i="31"/>
  <c r="C52" i="31"/>
  <c r="C51" i="31"/>
  <c r="C50" i="31"/>
  <c r="C49" i="31"/>
  <c r="C48" i="31"/>
  <c r="C47" i="31"/>
  <c r="C46" i="31"/>
  <c r="C45" i="31"/>
  <c r="C44" i="31"/>
  <c r="C43" i="31"/>
  <c r="C42" i="31"/>
  <c r="C41" i="31"/>
  <c r="C40" i="31"/>
  <c r="C39" i="31"/>
  <c r="C38" i="31"/>
  <c r="C37" i="31"/>
  <c r="C36" i="31"/>
  <c r="C35" i="31"/>
  <c r="C34" i="31"/>
  <c r="C33" i="31"/>
  <c r="C32" i="31"/>
  <c r="C31" i="31"/>
  <c r="C30" i="31"/>
  <c r="C29" i="31"/>
  <c r="C28" i="31"/>
  <c r="C27" i="31"/>
  <c r="C26" i="31"/>
  <c r="C25" i="31"/>
  <c r="C24" i="31"/>
  <c r="C23" i="31"/>
  <c r="C22" i="31"/>
  <c r="C21" i="31"/>
  <c r="C20" i="31"/>
  <c r="C19" i="31"/>
  <c r="C18" i="31"/>
  <c r="C17" i="31"/>
  <c r="C16" i="31"/>
  <c r="C15" i="31"/>
  <c r="C14" i="31"/>
  <c r="C13" i="31"/>
  <c r="C12" i="31"/>
  <c r="C11" i="31"/>
  <c r="C10" i="31"/>
  <c r="C9" i="31"/>
  <c r="C8" i="31"/>
  <c r="C7" i="31"/>
  <c r="C159" i="27"/>
  <c r="C110" i="27"/>
  <c r="C109" i="27"/>
  <c r="C106" i="27"/>
  <c r="C105" i="27"/>
  <c r="C104" i="27"/>
  <c r="C103" i="27"/>
  <c r="C102" i="27"/>
  <c r="C101" i="27"/>
  <c r="C100" i="27"/>
  <c r="C99" i="27"/>
  <c r="C98" i="27"/>
  <c r="C97" i="27"/>
  <c r="C96" i="27"/>
  <c r="C95" i="27"/>
  <c r="C94" i="27"/>
  <c r="C93" i="27"/>
  <c r="C92" i="27"/>
  <c r="C91" i="27"/>
  <c r="C90" i="27"/>
  <c r="C89" i="27"/>
  <c r="C88" i="27"/>
  <c r="C87" i="27"/>
  <c r="C86" i="27"/>
  <c r="C85" i="27"/>
  <c r="C84" i="27"/>
  <c r="C83" i="27"/>
  <c r="C82" i="27"/>
  <c r="C81" i="27"/>
  <c r="C80" i="27"/>
  <c r="C79" i="27"/>
  <c r="C78" i="27"/>
  <c r="C77" i="27"/>
  <c r="C76" i="27"/>
  <c r="C75" i="27"/>
  <c r="C74" i="27"/>
  <c r="C73" i="27"/>
  <c r="C72" i="27"/>
  <c r="C71" i="27"/>
  <c r="C70" i="27"/>
  <c r="C69" i="27"/>
  <c r="C68" i="27"/>
  <c r="C67" i="27"/>
  <c r="C66" i="27"/>
  <c r="C65" i="27"/>
  <c r="C64" i="27"/>
  <c r="C63" i="27"/>
  <c r="C62" i="27"/>
  <c r="C61" i="27"/>
  <c r="C60" i="27"/>
  <c r="C59" i="27"/>
  <c r="C58" i="27"/>
  <c r="C57" i="27"/>
  <c r="C56" i="27"/>
  <c r="C55" i="27"/>
  <c r="C54" i="27"/>
  <c r="C53" i="27"/>
  <c r="C52" i="27"/>
  <c r="C51" i="27"/>
  <c r="C50" i="27"/>
  <c r="C49" i="27"/>
  <c r="C48" i="27"/>
  <c r="C47" i="27"/>
  <c r="C46" i="27"/>
  <c r="C45" i="27"/>
  <c r="C44" i="27"/>
  <c r="C43" i="27"/>
  <c r="C42" i="27"/>
  <c r="C41" i="27"/>
  <c r="C40" i="27"/>
  <c r="C39" i="27"/>
  <c r="C38" i="27"/>
  <c r="C37" i="27"/>
  <c r="C36" i="27"/>
  <c r="C35" i="27"/>
  <c r="C34" i="27"/>
  <c r="C33" i="27"/>
  <c r="C32" i="27"/>
  <c r="C31" i="27"/>
  <c r="C30" i="27"/>
  <c r="C29" i="27"/>
  <c r="C28" i="27"/>
  <c r="C27" i="27"/>
  <c r="C26" i="27"/>
  <c r="C25" i="27"/>
  <c r="C24" i="27"/>
  <c r="C23" i="27"/>
  <c r="C22" i="27"/>
  <c r="C21" i="27"/>
  <c r="C20" i="27"/>
  <c r="C19" i="27"/>
  <c r="C18" i="27"/>
  <c r="C17" i="27"/>
  <c r="C16" i="27"/>
  <c r="C15" i="27"/>
  <c r="C14" i="27"/>
  <c r="C13" i="27"/>
  <c r="C12" i="27"/>
  <c r="C11" i="27"/>
  <c r="C10" i="27"/>
  <c r="C9" i="27"/>
  <c r="C8" i="27"/>
  <c r="C7" i="27"/>
  <c r="C159" i="26"/>
  <c r="C110" i="26"/>
  <c r="C109" i="26"/>
  <c r="C106" i="26"/>
  <c r="C105" i="26"/>
  <c r="C104" i="26"/>
  <c r="C103" i="26"/>
  <c r="C102" i="26"/>
  <c r="C101" i="26"/>
  <c r="C100" i="26"/>
  <c r="C99" i="26"/>
  <c r="C98" i="26"/>
  <c r="C97" i="26"/>
  <c r="C96" i="26"/>
  <c r="C95" i="26"/>
  <c r="C94" i="26"/>
  <c r="C93" i="26"/>
  <c r="C92" i="26"/>
  <c r="C91" i="26"/>
  <c r="C90" i="26"/>
  <c r="C89" i="26"/>
  <c r="C88" i="26"/>
  <c r="C87" i="26"/>
  <c r="C86" i="26"/>
  <c r="C85" i="26"/>
  <c r="C84" i="26"/>
  <c r="C83" i="26"/>
  <c r="C82" i="26"/>
  <c r="C81" i="26"/>
  <c r="C80" i="26"/>
  <c r="C79" i="26"/>
  <c r="C78" i="26"/>
  <c r="C77" i="26"/>
  <c r="C76" i="26"/>
  <c r="C75" i="26"/>
  <c r="C74" i="26"/>
  <c r="C73" i="26"/>
  <c r="C72" i="26"/>
  <c r="C71" i="26"/>
  <c r="C70" i="26"/>
  <c r="C69" i="26"/>
  <c r="C68" i="26"/>
  <c r="C67" i="26"/>
  <c r="C66" i="26"/>
  <c r="C65" i="26"/>
  <c r="C64" i="26"/>
  <c r="C63" i="26"/>
  <c r="C62" i="26"/>
  <c r="C61" i="26"/>
  <c r="C60" i="26"/>
  <c r="C59" i="26"/>
  <c r="C58" i="26"/>
  <c r="C57" i="26"/>
  <c r="C56" i="26"/>
  <c r="C55" i="26"/>
  <c r="C54" i="26"/>
  <c r="C53" i="26"/>
  <c r="C52" i="26"/>
  <c r="C51" i="26"/>
  <c r="C50" i="26"/>
  <c r="C49" i="26"/>
  <c r="C48" i="26"/>
  <c r="C47" i="26"/>
  <c r="C46" i="26"/>
  <c r="C45" i="26"/>
  <c r="C44" i="26"/>
  <c r="C43" i="26"/>
  <c r="C42" i="26"/>
  <c r="C41" i="26"/>
  <c r="C40" i="26"/>
  <c r="C39" i="26"/>
  <c r="C38" i="26"/>
  <c r="C37" i="26"/>
  <c r="C36" i="26"/>
  <c r="C35" i="26"/>
  <c r="C34" i="26"/>
  <c r="C33" i="26"/>
  <c r="C32" i="26"/>
  <c r="C31" i="26"/>
  <c r="C30" i="26"/>
  <c r="C29" i="26"/>
  <c r="C28" i="26"/>
  <c r="C27" i="26"/>
  <c r="C26" i="26"/>
  <c r="C25" i="26"/>
  <c r="C24" i="26"/>
  <c r="C23" i="26"/>
  <c r="C22" i="26"/>
  <c r="C21" i="26"/>
  <c r="C20" i="26"/>
  <c r="C19" i="26"/>
  <c r="C18" i="26"/>
  <c r="C17" i="26"/>
  <c r="C16" i="26"/>
  <c r="C15" i="26"/>
  <c r="C14" i="26"/>
  <c r="C13" i="26"/>
  <c r="C12" i="26"/>
  <c r="C11" i="26"/>
  <c r="C10" i="26"/>
  <c r="C9" i="26"/>
  <c r="C8" i="26"/>
  <c r="B177" i="1"/>
  <c r="B178" i="1" s="1"/>
  <c r="B175" i="1"/>
  <c r="B176" i="1" s="1"/>
  <c r="B173" i="1"/>
  <c r="B174" i="1" s="1"/>
  <c r="B171" i="1"/>
  <c r="B172" i="1" s="1"/>
  <c r="B169" i="1"/>
  <c r="B170" i="1" s="1"/>
  <c r="B123" i="1"/>
  <c r="B124" i="1" s="1"/>
  <c r="B121" i="1"/>
  <c r="B122" i="1" s="1"/>
  <c r="B107" i="1"/>
  <c r="B108" i="1" s="1"/>
  <c r="B105" i="1"/>
  <c r="B106" i="1" s="1"/>
  <c r="B103" i="1"/>
  <c r="B104" i="1" s="1"/>
  <c r="B101" i="1"/>
  <c r="B102" i="1" s="1"/>
  <c r="B99" i="1"/>
  <c r="B100" i="1" s="1"/>
  <c r="B97" i="1"/>
  <c r="B98" i="1" s="1"/>
  <c r="B95" i="1"/>
  <c r="B96" i="1" s="1"/>
  <c r="B93" i="1"/>
  <c r="B94" i="1" s="1"/>
  <c r="B91" i="1"/>
  <c r="B92" i="1" s="1"/>
  <c r="B89" i="1"/>
  <c r="B90" i="1" s="1"/>
  <c r="B87" i="1"/>
  <c r="B88" i="1" s="1"/>
  <c r="B85" i="1"/>
  <c r="B86" i="1" s="1"/>
  <c r="B83" i="1"/>
  <c r="B84" i="1" s="1"/>
  <c r="B81" i="1"/>
  <c r="B82" i="1" s="1"/>
  <c r="B79" i="1"/>
  <c r="B80" i="1" s="1"/>
  <c r="B77" i="1"/>
  <c r="B78" i="1" s="1"/>
  <c r="B75" i="1"/>
  <c r="B76" i="1" s="1"/>
  <c r="B73" i="1"/>
  <c r="B74" i="1" s="1"/>
  <c r="B71" i="1"/>
  <c r="B72" i="1" s="1"/>
  <c r="B69" i="1"/>
  <c r="B70" i="1" s="1"/>
  <c r="B67" i="1"/>
  <c r="B68" i="1" s="1"/>
  <c r="B65" i="1"/>
  <c r="B66" i="1" s="1"/>
  <c r="B63" i="1"/>
  <c r="B64" i="1" s="1"/>
  <c r="B61" i="1"/>
  <c r="B62" i="1" s="1"/>
  <c r="B59" i="1"/>
  <c r="B60" i="1" s="1"/>
  <c r="B57" i="1"/>
  <c r="B58" i="1" s="1"/>
  <c r="B55" i="1"/>
  <c r="B56" i="1" s="1"/>
  <c r="B53" i="1"/>
  <c r="B54" i="1" s="1"/>
  <c r="B51" i="1"/>
  <c r="B52" i="1" s="1"/>
  <c r="B49" i="1"/>
  <c r="B50" i="1" s="1"/>
  <c r="B47" i="1"/>
  <c r="B48" i="1" s="1"/>
  <c r="B45" i="1"/>
  <c r="B46" i="1" s="1"/>
  <c r="B43" i="1"/>
  <c r="B44" i="1" s="1"/>
  <c r="B41" i="1"/>
  <c r="B42" i="1" s="1"/>
  <c r="B39" i="1"/>
  <c r="B40" i="1" s="1"/>
  <c r="B37" i="1"/>
  <c r="B38" i="1" s="1"/>
  <c r="B35" i="1"/>
  <c r="B36" i="1" s="1"/>
  <c r="B33" i="1"/>
  <c r="B34" i="1" s="1"/>
  <c r="B31" i="1"/>
  <c r="B32" i="1" s="1"/>
  <c r="B29" i="1"/>
  <c r="B30" i="1" s="1"/>
  <c r="B27" i="1"/>
  <c r="B28" i="1" s="1"/>
  <c r="B25" i="1"/>
  <c r="B26" i="1" s="1"/>
  <c r="B23" i="1"/>
  <c r="B24" i="1" s="1"/>
  <c r="B21" i="1"/>
  <c r="B22" i="1" s="1"/>
  <c r="B19" i="1"/>
  <c r="B20" i="1" s="1"/>
  <c r="B17" i="1"/>
  <c r="B18" i="1" s="1"/>
  <c r="B15" i="1"/>
  <c r="B16" i="1" s="1"/>
  <c r="B13" i="1"/>
  <c r="B14" i="1" s="1"/>
  <c r="B11" i="1"/>
  <c r="B12" i="1" s="1"/>
  <c r="B9" i="1"/>
  <c r="B10" i="1" s="1"/>
  <c r="B7" i="1"/>
  <c r="B8" i="1" s="1"/>
  <c r="C7" i="26"/>
  <c r="B5" i="1"/>
  <c r="B6" i="1" s="1"/>
  <c r="X69" i="1"/>
  <c r="X67" i="1"/>
  <c r="X65" i="1"/>
  <c r="X63" i="1"/>
  <c r="X61" i="1"/>
  <c r="X59" i="1"/>
  <c r="X57" i="1"/>
  <c r="X55" i="1"/>
  <c r="X53" i="1"/>
  <c r="X51" i="1"/>
  <c r="X49" i="1"/>
  <c r="X47" i="1"/>
  <c r="X45" i="1"/>
  <c r="X43" i="1"/>
  <c r="X41" i="1"/>
  <c r="X69" i="4"/>
  <c r="X67" i="4"/>
  <c r="X65" i="4"/>
  <c r="X63" i="4"/>
  <c r="X61" i="4"/>
  <c r="X59" i="4"/>
  <c r="X57" i="4"/>
  <c r="X55" i="4"/>
  <c r="X53" i="4"/>
  <c r="X51" i="4"/>
  <c r="X49" i="4"/>
  <c r="X47" i="4"/>
  <c r="X45" i="4"/>
  <c r="X43" i="4"/>
  <c r="X41" i="4"/>
  <c r="X83" i="4"/>
  <c r="X81" i="4"/>
  <c r="X79" i="4"/>
  <c r="X77" i="4"/>
  <c r="X75" i="4"/>
  <c r="X73" i="4"/>
  <c r="X71" i="4"/>
  <c r="X39" i="4"/>
  <c r="X37" i="4"/>
  <c r="X35" i="4"/>
  <c r="X33" i="4"/>
  <c r="X31" i="4"/>
  <c r="X175" i="4"/>
  <c r="X173" i="4"/>
  <c r="X171" i="4"/>
  <c r="X169" i="4"/>
  <c r="X123" i="4"/>
  <c r="X121" i="4"/>
  <c r="X107" i="4"/>
  <c r="X105" i="4"/>
  <c r="X103" i="4"/>
  <c r="X101" i="4"/>
  <c r="X99" i="4"/>
  <c r="X97" i="4"/>
  <c r="X177" i="4"/>
  <c r="X85" i="4"/>
  <c r="X91" i="4"/>
  <c r="X93" i="4"/>
  <c r="X75" i="1"/>
  <c r="X87" i="4"/>
  <c r="X89" i="4"/>
  <c r="X95" i="4"/>
  <c r="X83" i="1"/>
  <c r="X81" i="1"/>
  <c r="X79" i="1"/>
  <c r="X77" i="1"/>
  <c r="X73" i="1"/>
  <c r="X71" i="1"/>
  <c r="X39" i="1"/>
  <c r="X37" i="1"/>
  <c r="X35" i="1"/>
  <c r="X33" i="1"/>
  <c r="X31" i="1"/>
  <c r="X175" i="1"/>
  <c r="X173" i="1"/>
  <c r="X171" i="1"/>
  <c r="X169" i="1"/>
  <c r="X123" i="1"/>
  <c r="X121" i="1"/>
  <c r="X107" i="1"/>
  <c r="X105" i="1"/>
  <c r="X103" i="1"/>
  <c r="X101" i="1"/>
  <c r="X99" i="1"/>
  <c r="X97" i="1"/>
  <c r="X17" i="1"/>
  <c r="X19" i="1"/>
  <c r="X23" i="1"/>
  <c r="X89" i="1"/>
  <c r="X93" i="1"/>
  <c r="X177" i="1"/>
  <c r="X95" i="1"/>
  <c r="X91" i="1"/>
  <c r="X87" i="1"/>
  <c r="X85" i="1"/>
  <c r="X29" i="1"/>
  <c r="X27" i="1"/>
  <c r="X25" i="1"/>
  <c r="X21" i="1"/>
  <c r="X15" i="1"/>
  <c r="X13" i="1"/>
  <c r="X11" i="1"/>
  <c r="X9" i="1"/>
  <c r="X7" i="1"/>
  <c r="X5" i="1"/>
  <c r="X29" i="4"/>
  <c r="X27" i="4"/>
  <c r="X25" i="4"/>
  <c r="X23" i="4"/>
  <c r="X21" i="4"/>
  <c r="X19" i="4"/>
  <c r="X17" i="4"/>
  <c r="X15" i="4"/>
  <c r="X13" i="4"/>
  <c r="X11" i="4"/>
  <c r="X9" i="4"/>
  <c r="X7" i="4"/>
  <c r="X5" i="4"/>
  <c r="D6" i="24"/>
  <c r="D2" i="24"/>
  <c r="D7" i="24"/>
  <c r="D4" i="24"/>
  <c r="D3" i="24"/>
  <c r="W118" i="4"/>
  <c r="O118" i="4"/>
  <c r="K120" i="4"/>
  <c r="T80" i="4" l="1"/>
  <c r="U112" i="4"/>
  <c r="T24" i="4"/>
  <c r="N112" i="4"/>
  <c r="P18" i="4"/>
  <c r="K34" i="4"/>
  <c r="L50" i="4"/>
  <c r="K58" i="4"/>
  <c r="R90" i="4"/>
  <c r="O114" i="4"/>
  <c r="O170" i="4"/>
  <c r="N118" i="4"/>
  <c r="Q110" i="4"/>
  <c r="O112" i="4"/>
  <c r="J120" i="4"/>
  <c r="W112" i="4"/>
  <c r="Q112" i="4"/>
  <c r="P118" i="4"/>
  <c r="B31" i="30"/>
  <c r="A31" i="30" s="1"/>
  <c r="B18" i="33"/>
  <c r="A18" i="33" s="1"/>
  <c r="T114" i="4"/>
  <c r="L118" i="4"/>
  <c r="V114" i="4"/>
  <c r="U118" i="4"/>
  <c r="R118" i="4"/>
  <c r="S118" i="4"/>
  <c r="M114" i="4"/>
  <c r="B47" i="34"/>
  <c r="A47" i="34" s="1"/>
  <c r="B99" i="26"/>
  <c r="A99" i="26" s="1"/>
  <c r="B23" i="28"/>
  <c r="A23" i="28" s="1"/>
  <c r="B89" i="26"/>
  <c r="A89" i="26" s="1"/>
  <c r="B159" i="28"/>
  <c r="A159" i="28" s="1"/>
  <c r="B9" i="28"/>
  <c r="A9" i="28" s="1"/>
  <c r="B54" i="26"/>
  <c r="A54" i="26" s="1"/>
  <c r="B85" i="28"/>
  <c r="A85" i="28" s="1"/>
  <c r="B32" i="27"/>
  <c r="A32" i="27" s="1"/>
  <c r="B99" i="27"/>
  <c r="A99" i="27" s="1"/>
  <c r="B65" i="28"/>
  <c r="A65" i="28" s="1"/>
  <c r="E12" i="24"/>
  <c r="F12" i="24" s="1"/>
  <c r="B38" i="26"/>
  <c r="A38" i="26" s="1"/>
  <c r="B69" i="29"/>
  <c r="A69" i="29" s="1"/>
  <c r="B61" i="27"/>
  <c r="A61" i="27" s="1"/>
  <c r="S120" i="4"/>
  <c r="J114" i="4"/>
  <c r="U114" i="4"/>
  <c r="B107" i="37"/>
  <c r="A107" i="37" s="1"/>
  <c r="B45" i="28"/>
  <c r="A45" i="28" s="1"/>
  <c r="Q114" i="4"/>
  <c r="N120" i="4"/>
  <c r="B85" i="31"/>
  <c r="A85" i="31" s="1"/>
  <c r="J50" i="4"/>
  <c r="G74" i="47"/>
  <c r="D11" i="24"/>
  <c r="E11" i="24" s="1"/>
  <c r="F11" i="24" s="1"/>
  <c r="B65" i="37"/>
  <c r="A65" i="37" s="1"/>
  <c r="K116" i="4"/>
  <c r="I74" i="47"/>
  <c r="B64" i="29"/>
  <c r="A64" i="29" s="1"/>
  <c r="A109" i="1"/>
  <c r="A110" i="1" s="1"/>
  <c r="B48" i="26"/>
  <c r="A48" i="26" s="1"/>
  <c r="B57" i="26"/>
  <c r="A57" i="26" s="1"/>
  <c r="B19" i="26"/>
  <c r="A19" i="26" s="1"/>
  <c r="B25" i="29"/>
  <c r="A25" i="29" s="1"/>
  <c r="B88" i="30"/>
  <c r="A88" i="30" s="1"/>
  <c r="B21" i="30"/>
  <c r="A21" i="30" s="1"/>
  <c r="B50" i="28"/>
  <c r="A50" i="28" s="1"/>
  <c r="B8" i="29"/>
  <c r="A8" i="29" s="1"/>
  <c r="B110" i="29"/>
  <c r="A110" i="29" s="1"/>
  <c r="B12" i="29"/>
  <c r="A12" i="29" s="1"/>
  <c r="B52" i="29"/>
  <c r="A52" i="29" s="1"/>
  <c r="B37" i="30"/>
  <c r="A37" i="30" s="1"/>
  <c r="B45" i="26"/>
  <c r="A45" i="26" s="1"/>
  <c r="B71" i="27"/>
  <c r="A71" i="27" s="1"/>
  <c r="B33" i="27"/>
  <c r="A33" i="27" s="1"/>
  <c r="B71" i="26"/>
  <c r="A71" i="26" s="1"/>
  <c r="B35" i="28"/>
  <c r="A35" i="28" s="1"/>
  <c r="B34" i="27"/>
  <c r="A34" i="27" s="1"/>
  <c r="B78" i="29"/>
  <c r="A78" i="29" s="1"/>
  <c r="B159" i="27"/>
  <c r="A159" i="27" s="1"/>
  <c r="B109" i="28"/>
  <c r="A109" i="28" s="1"/>
  <c r="B14" i="29"/>
  <c r="A14" i="29" s="1"/>
  <c r="B61" i="30"/>
  <c r="A61" i="30" s="1"/>
  <c r="B47" i="28"/>
  <c r="A47" i="28" s="1"/>
  <c r="B30" i="37"/>
  <c r="A30" i="37" s="1"/>
  <c r="B109" i="36"/>
  <c r="A109" i="36" s="1"/>
  <c r="B79" i="32"/>
  <c r="A79" i="32" s="1"/>
  <c r="B83" i="36"/>
  <c r="A83" i="36" s="1"/>
  <c r="B55" i="35"/>
  <c r="A55" i="35" s="1"/>
  <c r="A25" i="1"/>
  <c r="A26" i="1" s="1"/>
  <c r="B101" i="30"/>
  <c r="A101" i="30" s="1"/>
  <c r="B72" i="27"/>
  <c r="A72" i="27" s="1"/>
  <c r="B31" i="27"/>
  <c r="A31" i="27" s="1"/>
  <c r="B8" i="30"/>
  <c r="A8" i="30" s="1"/>
  <c r="B84" i="30"/>
  <c r="A84" i="30" s="1"/>
  <c r="B27" i="27"/>
  <c r="A27" i="27" s="1"/>
  <c r="B98" i="26"/>
  <c r="A98" i="26" s="1"/>
  <c r="B63" i="30"/>
  <c r="A63" i="30" s="1"/>
  <c r="B43" i="26"/>
  <c r="A43" i="26" s="1"/>
  <c r="B19" i="30"/>
  <c r="A19" i="30" s="1"/>
  <c r="B52" i="27"/>
  <c r="A52" i="27" s="1"/>
  <c r="B48" i="27"/>
  <c r="A48" i="27" s="1"/>
  <c r="B90" i="27"/>
  <c r="A90" i="27" s="1"/>
  <c r="B34" i="28"/>
  <c r="A34" i="28" s="1"/>
  <c r="B81" i="30"/>
  <c r="A81" i="30" s="1"/>
  <c r="B22" i="27"/>
  <c r="A22" i="27" s="1"/>
  <c r="B73" i="29"/>
  <c r="A73" i="29" s="1"/>
  <c r="B159" i="30"/>
  <c r="A159" i="30" s="1"/>
  <c r="B105" i="28"/>
  <c r="A105" i="28" s="1"/>
  <c r="B55" i="34"/>
  <c r="A55" i="34" s="1"/>
  <c r="B41" i="31"/>
  <c r="A41" i="31" s="1"/>
  <c r="B41" i="34"/>
  <c r="A41" i="34" s="1"/>
  <c r="B98" i="35"/>
  <c r="A98" i="35" s="1"/>
  <c r="B109" i="33"/>
  <c r="A109" i="33" s="1"/>
  <c r="B80" i="26"/>
  <c r="A80" i="26" s="1"/>
  <c r="B91" i="26"/>
  <c r="A91" i="26" s="1"/>
  <c r="B11" i="27"/>
  <c r="A11" i="27" s="1"/>
  <c r="B10" i="29"/>
  <c r="A10" i="29" s="1"/>
  <c r="B35" i="26"/>
  <c r="A35" i="26" s="1"/>
  <c r="B50" i="29"/>
  <c r="A50" i="29" s="1"/>
  <c r="B68" i="30"/>
  <c r="A68" i="30" s="1"/>
  <c r="B78" i="26"/>
  <c r="A78" i="26" s="1"/>
  <c r="B26" i="30"/>
  <c r="A26" i="30" s="1"/>
  <c r="B94" i="26"/>
  <c r="A94" i="26" s="1"/>
  <c r="B72" i="29"/>
  <c r="A72" i="29" s="1"/>
  <c r="B70" i="27"/>
  <c r="A70" i="27" s="1"/>
  <c r="B53" i="28"/>
  <c r="A53" i="28" s="1"/>
  <c r="B42" i="32"/>
  <c r="A42" i="32" s="1"/>
  <c r="B36" i="37"/>
  <c r="A36" i="37" s="1"/>
  <c r="B20" i="32"/>
  <c r="A20" i="32" s="1"/>
  <c r="B159" i="33"/>
  <c r="A159" i="33" s="1"/>
  <c r="P74" i="47"/>
  <c r="B7" i="26"/>
  <c r="A7" i="26" s="1"/>
  <c r="A63" i="1"/>
  <c r="A64" i="1" s="1"/>
  <c r="A49" i="1"/>
  <c r="A50" i="1" s="1"/>
  <c r="A169" i="1"/>
  <c r="A170" i="1" s="1"/>
  <c r="A23" i="1"/>
  <c r="A24" i="1" s="1"/>
  <c r="A87" i="1"/>
  <c r="A88" i="1" s="1"/>
  <c r="A57" i="1"/>
  <c r="A58" i="1" s="1"/>
  <c r="A19" i="1"/>
  <c r="A20" i="1" s="1"/>
  <c r="A59" i="1"/>
  <c r="A60" i="1" s="1"/>
  <c r="A91" i="1"/>
  <c r="A92" i="1" s="1"/>
  <c r="A95" i="1"/>
  <c r="A96" i="1" s="1"/>
  <c r="A97" i="1"/>
  <c r="A98" i="1" s="1"/>
  <c r="A71" i="1"/>
  <c r="A72" i="1" s="1"/>
  <c r="A7" i="1"/>
  <c r="A8" i="1" s="1"/>
  <c r="A105" i="1"/>
  <c r="A106" i="1" s="1"/>
  <c r="A51" i="1"/>
  <c r="A52" i="1" s="1"/>
  <c r="A99" i="1"/>
  <c r="A100" i="1" s="1"/>
  <c r="S6" i="1"/>
  <c r="A31" i="1"/>
  <c r="A32" i="1" s="1"/>
  <c r="A65" i="1"/>
  <c r="A66" i="1" s="1"/>
  <c r="A39" i="1"/>
  <c r="A40" i="1" s="1"/>
  <c r="A41" i="1"/>
  <c r="A42" i="1" s="1"/>
  <c r="A9" i="1"/>
  <c r="A10" i="1" s="1"/>
  <c r="A27" i="1"/>
  <c r="A28" i="1" s="1"/>
  <c r="A75" i="1"/>
  <c r="A76" i="1" s="1"/>
  <c r="A47" i="1"/>
  <c r="A48" i="1" s="1"/>
  <c r="A81" i="1"/>
  <c r="A82" i="1" s="1"/>
  <c r="A173" i="1"/>
  <c r="A174" i="1" s="1"/>
  <c r="A55" i="1"/>
  <c r="A56" i="1" s="1"/>
  <c r="A89" i="1"/>
  <c r="A90" i="1" s="1"/>
  <c r="A35" i="1"/>
  <c r="A36" i="1" s="1"/>
  <c r="A123" i="1"/>
  <c r="A124" i="1" s="1"/>
  <c r="A103" i="1"/>
  <c r="A104" i="1" s="1"/>
  <c r="A177" i="1"/>
  <c r="A178" i="1" s="1"/>
  <c r="A67" i="1"/>
  <c r="A68" i="1" s="1"/>
  <c r="A83" i="1"/>
  <c r="A84" i="1" s="1"/>
  <c r="B107" i="30"/>
  <c r="A107" i="30" s="1"/>
  <c r="A115" i="1"/>
  <c r="A116" i="1" s="1"/>
  <c r="B108" i="28"/>
  <c r="A108" i="28" s="1"/>
  <c r="A15" i="1"/>
  <c r="A16" i="1" s="1"/>
  <c r="A121" i="1"/>
  <c r="A122" i="1" s="1"/>
  <c r="B108" i="29"/>
  <c r="A108" i="29" s="1"/>
  <c r="B95" i="28"/>
  <c r="A95" i="28" s="1"/>
  <c r="B63" i="28"/>
  <c r="A63" i="28" s="1"/>
  <c r="B25" i="28"/>
  <c r="A25" i="28" s="1"/>
  <c r="B86" i="29"/>
  <c r="A86" i="29" s="1"/>
  <c r="B54" i="29"/>
  <c r="A54" i="29" s="1"/>
  <c r="B16" i="29"/>
  <c r="A16" i="29" s="1"/>
  <c r="B87" i="30"/>
  <c r="A87" i="30" s="1"/>
  <c r="B45" i="30"/>
  <c r="A45" i="30" s="1"/>
  <c r="B13" i="30"/>
  <c r="A13" i="30" s="1"/>
  <c r="B74" i="28"/>
  <c r="A74" i="28" s="1"/>
  <c r="B22" i="28"/>
  <c r="A22" i="28" s="1"/>
  <c r="B56" i="29"/>
  <c r="A56" i="29" s="1"/>
  <c r="B109" i="30"/>
  <c r="A109" i="30" s="1"/>
  <c r="B41" i="30"/>
  <c r="A41" i="30" s="1"/>
  <c r="B86" i="27"/>
  <c r="A86" i="27" s="1"/>
  <c r="B46" i="27"/>
  <c r="A46" i="27" s="1"/>
  <c r="B14" i="27"/>
  <c r="A14" i="27" s="1"/>
  <c r="B11" i="26"/>
  <c r="A11" i="26" s="1"/>
  <c r="B69" i="28"/>
  <c r="A69" i="28" s="1"/>
  <c r="B106" i="29"/>
  <c r="A106" i="29" s="1"/>
  <c r="B65" i="29"/>
  <c r="A65" i="29" s="1"/>
  <c r="B13" i="29"/>
  <c r="A13" i="29" s="1"/>
  <c r="B40" i="30"/>
  <c r="A40" i="30" s="1"/>
  <c r="B93" i="27"/>
  <c r="A93" i="27" s="1"/>
  <c r="B53" i="27"/>
  <c r="A53" i="27" s="1"/>
  <c r="B21" i="27"/>
  <c r="A21" i="27" s="1"/>
  <c r="B86" i="28"/>
  <c r="A86" i="28" s="1"/>
  <c r="B10" i="28"/>
  <c r="A10" i="28" s="1"/>
  <c r="B68" i="29"/>
  <c r="A68" i="29" s="1"/>
  <c r="B95" i="30"/>
  <c r="A95" i="30" s="1"/>
  <c r="B53" i="30"/>
  <c r="A53" i="30" s="1"/>
  <c r="B20" i="30"/>
  <c r="A20" i="30" s="1"/>
  <c r="B82" i="27"/>
  <c r="A82" i="27" s="1"/>
  <c r="B42" i="27"/>
  <c r="A42" i="27" s="1"/>
  <c r="B14" i="26"/>
  <c r="A14" i="26" s="1"/>
  <c r="B49" i="26"/>
  <c r="A49" i="26" s="1"/>
  <c r="B81" i="26"/>
  <c r="A81" i="26" s="1"/>
  <c r="B40" i="27"/>
  <c r="A40" i="27" s="1"/>
  <c r="B69" i="30"/>
  <c r="A69" i="30" s="1"/>
  <c r="B70" i="28"/>
  <c r="A70" i="28" s="1"/>
  <c r="B88" i="27"/>
  <c r="A88" i="27" s="1"/>
  <c r="B20" i="27"/>
  <c r="A20" i="27" s="1"/>
  <c r="B63" i="26"/>
  <c r="A63" i="26" s="1"/>
  <c r="B10" i="26"/>
  <c r="A10" i="26" s="1"/>
  <c r="B62" i="29"/>
  <c r="A62" i="29" s="1"/>
  <c r="B51" i="30"/>
  <c r="A51" i="30" s="1"/>
  <c r="B97" i="27"/>
  <c r="A97" i="27" s="1"/>
  <c r="B51" i="27"/>
  <c r="A51" i="27" s="1"/>
  <c r="B72" i="30"/>
  <c r="A72" i="30" s="1"/>
  <c r="B66" i="28"/>
  <c r="A66" i="28" s="1"/>
  <c r="B83" i="26"/>
  <c r="A83" i="26" s="1"/>
  <c r="B12" i="27"/>
  <c r="A12" i="27" s="1"/>
  <c r="B67" i="26"/>
  <c r="A67" i="26" s="1"/>
  <c r="B76" i="30"/>
  <c r="A76" i="30" s="1"/>
  <c r="B40" i="26"/>
  <c r="A40" i="26" s="1"/>
  <c r="B56" i="30"/>
  <c r="A56" i="30" s="1"/>
  <c r="B37" i="28"/>
  <c r="A37" i="28" s="1"/>
  <c r="B110" i="26"/>
  <c r="A110" i="26" s="1"/>
  <c r="B41" i="26"/>
  <c r="A41" i="26" s="1"/>
  <c r="B15" i="30"/>
  <c r="A15" i="30" s="1"/>
  <c r="B37" i="26"/>
  <c r="A37" i="26" s="1"/>
  <c r="B159" i="26"/>
  <c r="A159" i="26" s="1"/>
  <c r="B92" i="30"/>
  <c r="A92" i="30" s="1"/>
  <c r="B33" i="28"/>
  <c r="A33" i="28" s="1"/>
  <c r="B92" i="26"/>
  <c r="A92" i="26" s="1"/>
  <c r="B89" i="27"/>
  <c r="A89" i="27" s="1"/>
  <c r="B91" i="27"/>
  <c r="A91" i="27" s="1"/>
  <c r="B97" i="30"/>
  <c r="A97" i="30" s="1"/>
  <c r="B22" i="26"/>
  <c r="A22" i="26" s="1"/>
  <c r="B64" i="26"/>
  <c r="A64" i="26" s="1"/>
  <c r="B35" i="27"/>
  <c r="A35" i="27" s="1"/>
  <c r="B79" i="30"/>
  <c r="A79" i="30" s="1"/>
  <c r="B13" i="28"/>
  <c r="A13" i="28" s="1"/>
  <c r="B81" i="29"/>
  <c r="A81" i="29" s="1"/>
  <c r="B76" i="29"/>
  <c r="A76" i="29" s="1"/>
  <c r="B30" i="26"/>
  <c r="A30" i="26" s="1"/>
  <c r="B67" i="27"/>
  <c r="A67" i="27" s="1"/>
  <c r="B44" i="30"/>
  <c r="A44" i="30" s="1"/>
  <c r="B11" i="28"/>
  <c r="A11" i="28" s="1"/>
  <c r="B59" i="28"/>
  <c r="A59" i="28" s="1"/>
  <c r="B32" i="26"/>
  <c r="A32" i="26" s="1"/>
  <c r="B74" i="26"/>
  <c r="A74" i="26" s="1"/>
  <c r="B43" i="27"/>
  <c r="A43" i="27" s="1"/>
  <c r="B99" i="30"/>
  <c r="A99" i="30" s="1"/>
  <c r="B77" i="29"/>
  <c r="A77" i="29" s="1"/>
  <c r="B27" i="26"/>
  <c r="A27" i="26" s="1"/>
  <c r="A11" i="1"/>
  <c r="A12" i="1" s="1"/>
  <c r="A113" i="1"/>
  <c r="A114" i="1" s="1"/>
  <c r="B108" i="26"/>
  <c r="A108" i="26" s="1"/>
  <c r="B108" i="27"/>
  <c r="A108" i="27" s="1"/>
  <c r="A29" i="1"/>
  <c r="A30" i="1" s="1"/>
  <c r="A53" i="1"/>
  <c r="A54" i="1" s="1"/>
  <c r="A77" i="1"/>
  <c r="A78" i="1" s="1"/>
  <c r="A117" i="1"/>
  <c r="A118" i="1" s="1"/>
  <c r="T94" i="4"/>
  <c r="A93" i="4"/>
  <c r="A94" i="4" s="1"/>
  <c r="B107" i="26"/>
  <c r="A107" i="26" s="1"/>
  <c r="B34" i="31"/>
  <c r="A34" i="31" s="1"/>
  <c r="B110" i="37"/>
  <c r="A110" i="37" s="1"/>
  <c r="B12" i="33"/>
  <c r="A12" i="33" s="1"/>
  <c r="B106" i="36"/>
  <c r="A106" i="36" s="1"/>
  <c r="B43" i="32"/>
  <c r="A43" i="32" s="1"/>
  <c r="B84" i="35"/>
  <c r="A84" i="35" s="1"/>
  <c r="B63" i="31"/>
  <c r="A63" i="31" s="1"/>
  <c r="B33" i="36"/>
  <c r="A33" i="36" s="1"/>
  <c r="B78" i="33"/>
  <c r="A78" i="33" s="1"/>
  <c r="B94" i="37"/>
  <c r="A94" i="37" s="1"/>
  <c r="B54" i="33"/>
  <c r="A54" i="33" s="1"/>
  <c r="B45" i="32"/>
  <c r="A45" i="32" s="1"/>
  <c r="B13" i="31"/>
  <c r="A13" i="31" s="1"/>
  <c r="B73" i="34"/>
  <c r="A73" i="34" s="1"/>
  <c r="B95" i="36"/>
  <c r="A95" i="36" s="1"/>
  <c r="B19" i="35"/>
  <c r="A19" i="35" s="1"/>
  <c r="A17" i="1"/>
  <c r="A18" i="1" s="1"/>
  <c r="A21" i="1"/>
  <c r="A22" i="1" s="1"/>
  <c r="A45" i="1"/>
  <c r="A46" i="1" s="1"/>
  <c r="B50" i="27"/>
  <c r="A50" i="27" s="1"/>
  <c r="B43" i="30"/>
  <c r="A43" i="30" s="1"/>
  <c r="B51" i="28"/>
  <c r="A51" i="28" s="1"/>
  <c r="B29" i="27"/>
  <c r="A29" i="27" s="1"/>
  <c r="B20" i="29"/>
  <c r="A20" i="29" s="1"/>
  <c r="B82" i="29"/>
  <c r="A82" i="29" s="1"/>
  <c r="B30" i="27"/>
  <c r="A30" i="27" s="1"/>
  <c r="B48" i="30"/>
  <c r="A48" i="30" s="1"/>
  <c r="B90" i="29"/>
  <c r="A90" i="29" s="1"/>
  <c r="B81" i="28"/>
  <c r="A81" i="28" s="1"/>
  <c r="B77" i="30"/>
  <c r="A77" i="30" s="1"/>
  <c r="B70" i="29"/>
  <c r="A70" i="29" s="1"/>
  <c r="B73" i="28"/>
  <c r="A73" i="28" s="1"/>
  <c r="B71" i="28"/>
  <c r="A71" i="28" s="1"/>
  <c r="B76" i="26"/>
  <c r="A76" i="26" s="1"/>
  <c r="B101" i="29"/>
  <c r="A101" i="29" s="1"/>
  <c r="B24" i="30"/>
  <c r="A24" i="30" s="1"/>
  <c r="B45" i="29"/>
  <c r="A45" i="29" s="1"/>
  <c r="B44" i="27"/>
  <c r="A44" i="27" s="1"/>
  <c r="B59" i="26"/>
  <c r="A59" i="26" s="1"/>
  <c r="B40" i="29"/>
  <c r="A40" i="29" s="1"/>
  <c r="B75" i="27"/>
  <c r="A75" i="27" s="1"/>
  <c r="B96" i="26"/>
  <c r="A96" i="26" s="1"/>
  <c r="B28" i="26"/>
  <c r="A28" i="26" s="1"/>
  <c r="B106" i="28"/>
  <c r="A106" i="28" s="1"/>
  <c r="B84" i="29"/>
  <c r="A84" i="29" s="1"/>
  <c r="B39" i="27"/>
  <c r="A39" i="27" s="1"/>
  <c r="B75" i="28"/>
  <c r="A75" i="28" s="1"/>
  <c r="B94" i="29"/>
  <c r="A94" i="29" s="1"/>
  <c r="B7" i="28"/>
  <c r="A7" i="28" s="1"/>
  <c r="B92" i="27"/>
  <c r="A92" i="27" s="1"/>
  <c r="B68" i="26"/>
  <c r="A68" i="26" s="1"/>
  <c r="B18" i="26"/>
  <c r="A18" i="26" s="1"/>
  <c r="B73" i="30"/>
  <c r="A73" i="30" s="1"/>
  <c r="B11" i="30"/>
  <c r="A11" i="30" s="1"/>
  <c r="B42" i="26"/>
  <c r="A42" i="26" s="1"/>
  <c r="B19" i="28"/>
  <c r="A19" i="28" s="1"/>
  <c r="B16" i="27"/>
  <c r="A16" i="27" s="1"/>
  <c r="B83" i="28"/>
  <c r="A83" i="28" s="1"/>
  <c r="B86" i="26"/>
  <c r="A86" i="26" s="1"/>
  <c r="B9" i="27"/>
  <c r="A9" i="27" s="1"/>
  <c r="B98" i="29"/>
  <c r="A98" i="29" s="1"/>
  <c r="B73" i="26"/>
  <c r="A73" i="26" s="1"/>
  <c r="B89" i="30"/>
  <c r="A89" i="30" s="1"/>
  <c r="B61" i="26"/>
  <c r="A61" i="26" s="1"/>
  <c r="B106" i="26"/>
  <c r="A106" i="26" s="1"/>
  <c r="B19" i="27"/>
  <c r="A19" i="27" s="1"/>
  <c r="B83" i="27"/>
  <c r="A83" i="27" s="1"/>
  <c r="B35" i="30"/>
  <c r="A35" i="30" s="1"/>
  <c r="B74" i="29"/>
  <c r="A74" i="29" s="1"/>
  <c r="B47" i="26"/>
  <c r="A47" i="26" s="1"/>
  <c r="B97" i="26"/>
  <c r="A97" i="26" s="1"/>
  <c r="B28" i="30"/>
  <c r="A28" i="30" s="1"/>
  <c r="B102" i="28"/>
  <c r="A102" i="28" s="1"/>
  <c r="B24" i="29"/>
  <c r="A24" i="29" s="1"/>
  <c r="B81" i="27"/>
  <c r="A81" i="27" s="1"/>
  <c r="B105" i="26"/>
  <c r="A105" i="26" s="1"/>
  <c r="B52" i="26"/>
  <c r="A52" i="26" s="1"/>
  <c r="B18" i="27"/>
  <c r="A18" i="27" s="1"/>
  <c r="B58" i="27"/>
  <c r="A58" i="27" s="1"/>
  <c r="B106" i="27"/>
  <c r="A106" i="27" s="1"/>
  <c r="B60" i="30"/>
  <c r="A60" i="30" s="1"/>
  <c r="B26" i="29"/>
  <c r="A26" i="29" s="1"/>
  <c r="B92" i="29"/>
  <c r="A92" i="29" s="1"/>
  <c r="B93" i="28"/>
  <c r="A93" i="28" s="1"/>
  <c r="B37" i="27"/>
  <c r="A37" i="27" s="1"/>
  <c r="B85" i="27"/>
  <c r="A85" i="27" s="1"/>
  <c r="B57" i="30"/>
  <c r="A57" i="30" s="1"/>
  <c r="B30" i="29"/>
  <c r="A30" i="29" s="1"/>
  <c r="B89" i="29"/>
  <c r="A89" i="29" s="1"/>
  <c r="B90" i="28"/>
  <c r="A90" i="28" s="1"/>
  <c r="B103" i="26"/>
  <c r="A103" i="26" s="1"/>
  <c r="B38" i="27"/>
  <c r="A38" i="27" s="1"/>
  <c r="B94" i="27"/>
  <c r="A94" i="27" s="1"/>
  <c r="B65" i="30"/>
  <c r="A65" i="30" s="1"/>
  <c r="B49" i="29"/>
  <c r="A49" i="29" s="1"/>
  <c r="B39" i="28"/>
  <c r="A39" i="28" s="1"/>
  <c r="B91" i="28"/>
  <c r="A91" i="28" s="1"/>
  <c r="B39" i="30"/>
  <c r="A39" i="30" s="1"/>
  <c r="B93" i="30"/>
  <c r="A93" i="30" s="1"/>
  <c r="B38" i="29"/>
  <c r="A38" i="29" s="1"/>
  <c r="B80" i="29"/>
  <c r="A80" i="29" s="1"/>
  <c r="B31" i="28"/>
  <c r="A31" i="28" s="1"/>
  <c r="B79" i="28"/>
  <c r="A79" i="28" s="1"/>
  <c r="W116" i="4"/>
  <c r="A73" i="4"/>
  <c r="B107" i="36"/>
  <c r="A107" i="36" s="1"/>
  <c r="B66" i="31"/>
  <c r="A66" i="31" s="1"/>
  <c r="B85" i="36"/>
  <c r="A85" i="36" s="1"/>
  <c r="B52" i="33"/>
  <c r="A52" i="33" s="1"/>
  <c r="B57" i="37"/>
  <c r="A57" i="37" s="1"/>
  <c r="B66" i="37"/>
  <c r="A66" i="37" s="1"/>
  <c r="B61" i="34"/>
  <c r="A61" i="34" s="1"/>
  <c r="B95" i="31"/>
  <c r="A95" i="31" s="1"/>
  <c r="B42" i="35"/>
  <c r="A42" i="35" s="1"/>
  <c r="B38" i="31"/>
  <c r="A38" i="31" s="1"/>
  <c r="B87" i="36"/>
  <c r="A87" i="36" s="1"/>
  <c r="B26" i="31"/>
  <c r="A26" i="31" s="1"/>
  <c r="B12" i="37"/>
  <c r="A12" i="37" s="1"/>
  <c r="B17" i="32"/>
  <c r="A17" i="32" s="1"/>
  <c r="B23" i="31"/>
  <c r="A23" i="31" s="1"/>
  <c r="B89" i="34"/>
  <c r="A89" i="34" s="1"/>
  <c r="B22" i="34"/>
  <c r="A22" i="34" s="1"/>
  <c r="A13" i="1"/>
  <c r="A14" i="1" s="1"/>
  <c r="A37" i="1"/>
  <c r="A38" i="1" s="1"/>
  <c r="A61" i="1"/>
  <c r="A62" i="1" s="1"/>
  <c r="A69" i="1"/>
  <c r="A70" i="1" s="1"/>
  <c r="A85" i="1"/>
  <c r="A86" i="1" s="1"/>
  <c r="A93" i="1"/>
  <c r="A94" i="1" s="1"/>
  <c r="A171" i="1"/>
  <c r="A172" i="1" s="1"/>
  <c r="A119" i="1"/>
  <c r="A107" i="4"/>
  <c r="A108" i="4" s="1"/>
  <c r="A63" i="4"/>
  <c r="A64" i="4" s="1"/>
  <c r="A81" i="4"/>
  <c r="A82" i="4" s="1"/>
  <c r="A25" i="4"/>
  <c r="A26" i="4" s="1"/>
  <c r="A67" i="4"/>
  <c r="A68" i="4" s="1"/>
  <c r="A87" i="4"/>
  <c r="A88" i="4" s="1"/>
  <c r="A5" i="4"/>
  <c r="A6" i="4" s="1"/>
  <c r="A27" i="4"/>
  <c r="A28" i="4" s="1"/>
  <c r="A177" i="4"/>
  <c r="A178" i="4" s="1"/>
  <c r="A59" i="4"/>
  <c r="A60" i="4" s="1"/>
  <c r="B33" i="37"/>
  <c r="A33" i="37" s="1"/>
  <c r="B35" i="35"/>
  <c r="A35" i="35" s="1"/>
  <c r="B103" i="35"/>
  <c r="A103" i="35" s="1"/>
  <c r="B26" i="32"/>
  <c r="A26" i="32" s="1"/>
  <c r="B10" i="36"/>
  <c r="A10" i="36" s="1"/>
  <c r="B73" i="37"/>
  <c r="A73" i="37" s="1"/>
  <c r="B101" i="35"/>
  <c r="A101" i="35" s="1"/>
  <c r="A7" i="4"/>
  <c r="A8" i="4" s="1"/>
  <c r="A31" i="4"/>
  <c r="A32" i="4" s="1"/>
  <c r="B37" i="33"/>
  <c r="A37" i="33" s="1"/>
  <c r="B51" i="33"/>
  <c r="A51" i="33" s="1"/>
  <c r="B16" i="36"/>
  <c r="A16" i="36" s="1"/>
  <c r="B22" i="32"/>
  <c r="A22" i="32" s="1"/>
  <c r="B42" i="36"/>
  <c r="A42" i="36" s="1"/>
  <c r="B104" i="32"/>
  <c r="A104" i="32" s="1"/>
  <c r="B9" i="31"/>
  <c r="A9" i="31" s="1"/>
  <c r="B110" i="34"/>
  <c r="A110" i="34" s="1"/>
  <c r="B70" i="34"/>
  <c r="A70" i="34" s="1"/>
  <c r="B54" i="32"/>
  <c r="A54" i="32" s="1"/>
  <c r="B59" i="35"/>
  <c r="A59" i="35" s="1"/>
  <c r="B38" i="36"/>
  <c r="A38" i="36" s="1"/>
  <c r="B100" i="32"/>
  <c r="A100" i="32" s="1"/>
  <c r="B104" i="34"/>
  <c r="A104" i="34" s="1"/>
  <c r="B71" i="33"/>
  <c r="A71" i="33" s="1"/>
  <c r="B8" i="36"/>
  <c r="A8" i="36" s="1"/>
  <c r="B95" i="35"/>
  <c r="A95" i="35" s="1"/>
  <c r="B90" i="36"/>
  <c r="A90" i="36" s="1"/>
  <c r="B61" i="37"/>
  <c r="A61" i="37" s="1"/>
  <c r="B89" i="33"/>
  <c r="A89" i="33" s="1"/>
  <c r="B68" i="34"/>
  <c r="A68" i="34" s="1"/>
  <c r="B53" i="35"/>
  <c r="A53" i="35" s="1"/>
  <c r="B46" i="32"/>
  <c r="A46" i="32" s="1"/>
  <c r="B30" i="36"/>
  <c r="A30" i="36" s="1"/>
  <c r="B88" i="32"/>
  <c r="A88" i="32" s="1"/>
  <c r="B96" i="34"/>
  <c r="A96" i="34" s="1"/>
  <c r="B11" i="33"/>
  <c r="A11" i="33" s="1"/>
  <c r="B35" i="37"/>
  <c r="A35" i="37" s="1"/>
  <c r="B91" i="35"/>
  <c r="A91" i="35" s="1"/>
  <c r="B58" i="36"/>
  <c r="A58" i="36" s="1"/>
  <c r="B13" i="37"/>
  <c r="A13" i="37" s="1"/>
  <c r="B49" i="33"/>
  <c r="A49" i="33" s="1"/>
  <c r="B28" i="34"/>
  <c r="A28" i="34" s="1"/>
  <c r="B52" i="36"/>
  <c r="A52" i="36" s="1"/>
  <c r="B87" i="35"/>
  <c r="A87" i="35" s="1"/>
  <c r="B78" i="36"/>
  <c r="A78" i="36" s="1"/>
  <c r="B45" i="37"/>
  <c r="A45" i="37" s="1"/>
  <c r="B24" i="35"/>
  <c r="A24" i="35" s="1"/>
  <c r="B45" i="33"/>
  <c r="A45" i="33" s="1"/>
  <c r="B24" i="34"/>
  <c r="A24" i="34" s="1"/>
  <c r="B80" i="36"/>
  <c r="A80" i="36" s="1"/>
  <c r="B62" i="32"/>
  <c r="A62" i="32" s="1"/>
  <c r="B39" i="35"/>
  <c r="A39" i="35" s="1"/>
  <c r="B14" i="36"/>
  <c r="A14" i="36" s="1"/>
  <c r="B48" i="32"/>
  <c r="A48" i="32" s="1"/>
  <c r="B15" i="36"/>
  <c r="A15" i="36" s="1"/>
  <c r="B59" i="31"/>
  <c r="A59" i="31" s="1"/>
  <c r="B56" i="35"/>
  <c r="A56" i="35" s="1"/>
  <c r="B72" i="35"/>
  <c r="A72" i="35" s="1"/>
  <c r="B97" i="32"/>
  <c r="A97" i="32" s="1"/>
  <c r="A91" i="4"/>
  <c r="A92" i="4" s="1"/>
  <c r="A17" i="4"/>
  <c r="A18" i="4" s="1"/>
  <c r="A79" i="4"/>
  <c r="A80" i="4" s="1"/>
  <c r="A49" i="4"/>
  <c r="A50" i="4" s="1"/>
  <c r="A171" i="4"/>
  <c r="A172" i="4" s="1"/>
  <c r="A71" i="4"/>
  <c r="A72" i="4" s="1"/>
  <c r="A43" i="4"/>
  <c r="A44" i="4" s="1"/>
  <c r="B41" i="33"/>
  <c r="A41" i="33" s="1"/>
  <c r="B9" i="33"/>
  <c r="A9" i="33" s="1"/>
  <c r="B84" i="34"/>
  <c r="A84" i="34" s="1"/>
  <c r="B34" i="37"/>
  <c r="A34" i="37" s="1"/>
  <c r="A75" i="4"/>
  <c r="A76" i="4" s="1"/>
  <c r="B48" i="34"/>
  <c r="A48" i="34" s="1"/>
  <c r="B72" i="36"/>
  <c r="A72" i="36" s="1"/>
  <c r="B63" i="35"/>
  <c r="A63" i="35" s="1"/>
  <c r="B69" i="37"/>
  <c r="A69" i="37" s="1"/>
  <c r="B109" i="31"/>
  <c r="A109" i="31" s="1"/>
  <c r="B76" i="34"/>
  <c r="A76" i="34" s="1"/>
  <c r="B68" i="36"/>
  <c r="A68" i="36" s="1"/>
  <c r="B14" i="32"/>
  <c r="A14" i="32" s="1"/>
  <c r="B105" i="37"/>
  <c r="A105" i="37" s="1"/>
  <c r="B61" i="33"/>
  <c r="A61" i="33" s="1"/>
  <c r="B99" i="33"/>
  <c r="A99" i="33" s="1"/>
  <c r="B102" i="32"/>
  <c r="A102" i="32" s="1"/>
  <c r="B10" i="32"/>
  <c r="A10" i="32" s="1"/>
  <c r="B97" i="37"/>
  <c r="A97" i="37" s="1"/>
  <c r="B57" i="33"/>
  <c r="A57" i="33" s="1"/>
  <c r="B67" i="33"/>
  <c r="A67" i="33" s="1"/>
  <c r="B98" i="32"/>
  <c r="A98" i="32" s="1"/>
  <c r="B93" i="37"/>
  <c r="A93" i="37" s="1"/>
  <c r="B53" i="33"/>
  <c r="A53" i="33" s="1"/>
  <c r="B63" i="33"/>
  <c r="A63" i="33" s="1"/>
  <c r="B94" i="32"/>
  <c r="A94" i="32" s="1"/>
  <c r="B47" i="35"/>
  <c r="A47" i="35" s="1"/>
  <c r="B49" i="37"/>
  <c r="A49" i="37" s="1"/>
  <c r="B17" i="33"/>
  <c r="A17" i="33" s="1"/>
  <c r="B54" i="34"/>
  <c r="A54" i="34" s="1"/>
  <c r="B66" i="32"/>
  <c r="A66" i="32" s="1"/>
  <c r="B54" i="36"/>
  <c r="A54" i="36" s="1"/>
  <c r="B80" i="32"/>
  <c r="A80" i="32" s="1"/>
  <c r="B77" i="33"/>
  <c r="A77" i="33" s="1"/>
  <c r="B31" i="33"/>
  <c r="A31" i="33" s="1"/>
  <c r="B103" i="37"/>
  <c r="A103" i="37" s="1"/>
  <c r="B30" i="32"/>
  <c r="A30" i="32" s="1"/>
  <c r="B81" i="37"/>
  <c r="A81" i="37" s="1"/>
  <c r="B57" i="32"/>
  <c r="A57" i="32" s="1"/>
  <c r="B30" i="31"/>
  <c r="A30" i="31" s="1"/>
  <c r="B67" i="32"/>
  <c r="A67" i="32" s="1"/>
  <c r="B46" i="31"/>
  <c r="A46" i="31" s="1"/>
  <c r="B16" i="33"/>
  <c r="A16" i="33" s="1"/>
  <c r="B104" i="35"/>
  <c r="A104" i="35" s="1"/>
  <c r="B91" i="31"/>
  <c r="A91" i="31" s="1"/>
  <c r="B17" i="34"/>
  <c r="A17" i="34" s="1"/>
  <c r="B8" i="35"/>
  <c r="A8" i="35" s="1"/>
  <c r="B86" i="33"/>
  <c r="A86" i="33" s="1"/>
  <c r="B59" i="34"/>
  <c r="A59" i="34" s="1"/>
  <c r="B66" i="35"/>
  <c r="A66" i="35" s="1"/>
  <c r="B57" i="36"/>
  <c r="A57" i="36" s="1"/>
  <c r="B54" i="37"/>
  <c r="A54" i="37" s="1"/>
  <c r="B37" i="32"/>
  <c r="A37" i="32" s="1"/>
  <c r="B103" i="31"/>
  <c r="A103" i="31" s="1"/>
  <c r="B84" i="31"/>
  <c r="A84" i="31" s="1"/>
  <c r="B65" i="31"/>
  <c r="A65" i="31" s="1"/>
  <c r="B39" i="31"/>
  <c r="A39" i="31" s="1"/>
  <c r="B20" i="31"/>
  <c r="A20" i="31" s="1"/>
  <c r="B80" i="33"/>
  <c r="A80" i="33" s="1"/>
  <c r="B40" i="33"/>
  <c r="A40" i="33" s="1"/>
  <c r="B103" i="34"/>
  <c r="A103" i="34" s="1"/>
  <c r="B53" i="34"/>
  <c r="A53" i="34" s="1"/>
  <c r="B92" i="35"/>
  <c r="A92" i="35" s="1"/>
  <c r="B28" i="35"/>
  <c r="A28" i="35" s="1"/>
  <c r="B67" i="36"/>
  <c r="A67" i="36" s="1"/>
  <c r="A11" i="4"/>
  <c r="A12" i="4" s="1"/>
  <c r="A23" i="4"/>
  <c r="A24" i="4" s="1"/>
  <c r="A97" i="4"/>
  <c r="A98" i="4" s="1"/>
  <c r="A51" i="4"/>
  <c r="A52" i="4" s="1"/>
  <c r="A9" i="4"/>
  <c r="A10" i="4" s="1"/>
  <c r="A47" i="4"/>
  <c r="A48" i="4" s="1"/>
  <c r="A41" i="4"/>
  <c r="A42" i="4" s="1"/>
  <c r="A105" i="4"/>
  <c r="A106" i="4" s="1"/>
  <c r="A19" i="4"/>
  <c r="A20" i="4" s="1"/>
  <c r="B82" i="32"/>
  <c r="A82" i="32" s="1"/>
  <c r="B102" i="36"/>
  <c r="A102" i="36" s="1"/>
  <c r="B20" i="34"/>
  <c r="A20" i="34" s="1"/>
  <c r="B43" i="37"/>
  <c r="A43" i="37" s="1"/>
  <c r="A169" i="4"/>
  <c r="A170" i="4" s="1"/>
  <c r="B69" i="33"/>
  <c r="A69" i="33" s="1"/>
  <c r="B10" i="34"/>
  <c r="A10" i="34" s="1"/>
  <c r="B58" i="32"/>
  <c r="A58" i="32" s="1"/>
  <c r="B98" i="36"/>
  <c r="A98" i="36" s="1"/>
  <c r="B68" i="32"/>
  <c r="A68" i="32" s="1"/>
  <c r="B65" i="33"/>
  <c r="A65" i="33" s="1"/>
  <c r="B23" i="33"/>
  <c r="A23" i="33" s="1"/>
  <c r="B99" i="35"/>
  <c r="A99" i="35" s="1"/>
  <c r="B94" i="36"/>
  <c r="A94" i="36" s="1"/>
  <c r="B25" i="37"/>
  <c r="A25" i="37" s="1"/>
  <c r="B72" i="34"/>
  <c r="A72" i="34" s="1"/>
  <c r="B57" i="35"/>
  <c r="A57" i="35" s="1"/>
  <c r="B16" i="34"/>
  <c r="A16" i="34" s="1"/>
  <c r="B62" i="36"/>
  <c r="A62" i="36" s="1"/>
  <c r="B64" i="32"/>
  <c r="A64" i="32" s="1"/>
  <c r="B100" i="34"/>
  <c r="A100" i="34" s="1"/>
  <c r="B32" i="36"/>
  <c r="A32" i="36" s="1"/>
  <c r="B15" i="35"/>
  <c r="A15" i="35" s="1"/>
  <c r="B21" i="37"/>
  <c r="A21" i="37" s="1"/>
  <c r="B64" i="34"/>
  <c r="A64" i="34" s="1"/>
  <c r="B49" i="35"/>
  <c r="A49" i="35" s="1"/>
  <c r="B8" i="34"/>
  <c r="A8" i="34" s="1"/>
  <c r="B26" i="36"/>
  <c r="A26" i="36" s="1"/>
  <c r="B102" i="37"/>
  <c r="A102" i="37" s="1"/>
  <c r="B60" i="34"/>
  <c r="A60" i="34" s="1"/>
  <c r="B67" i="37"/>
  <c r="A67" i="37" s="1"/>
  <c r="B43" i="35"/>
  <c r="A43" i="35" s="1"/>
  <c r="B85" i="37"/>
  <c r="A85" i="37" s="1"/>
  <c r="B88" i="34"/>
  <c r="A88" i="34" s="1"/>
  <c r="B105" i="35"/>
  <c r="A105" i="35" s="1"/>
  <c r="B109" i="35"/>
  <c r="A109" i="35" s="1"/>
  <c r="B74" i="36"/>
  <c r="A74" i="36" s="1"/>
  <c r="B76" i="32"/>
  <c r="A76" i="32" s="1"/>
  <c r="B40" i="35"/>
  <c r="A40" i="35" s="1"/>
  <c r="B14" i="37"/>
  <c r="A14" i="37" s="1"/>
  <c r="B47" i="36"/>
  <c r="A47" i="36" s="1"/>
  <c r="B63" i="36"/>
  <c r="A63" i="36" s="1"/>
  <c r="B24" i="37"/>
  <c r="A24" i="37" s="1"/>
  <c r="B27" i="31"/>
  <c r="A27" i="31" s="1"/>
  <c r="B70" i="37"/>
  <c r="A70" i="37" s="1"/>
  <c r="B109" i="32"/>
  <c r="A109" i="32" s="1"/>
  <c r="B106" i="33"/>
  <c r="A106" i="33" s="1"/>
  <c r="B66" i="33"/>
  <c r="A66" i="33" s="1"/>
  <c r="B27" i="34"/>
  <c r="A27" i="34" s="1"/>
  <c r="B18" i="35"/>
  <c r="A18" i="35" s="1"/>
  <c r="B96" i="37"/>
  <c r="A96" i="37" s="1"/>
  <c r="B51" i="32"/>
  <c r="A51" i="32" s="1"/>
  <c r="B25" i="32"/>
  <c r="A25" i="32" s="1"/>
  <c r="B97" i="31"/>
  <c r="A97" i="31" s="1"/>
  <c r="B71" i="31"/>
  <c r="A71" i="31" s="1"/>
  <c r="B52" i="31"/>
  <c r="A52" i="31" s="1"/>
  <c r="B33" i="31"/>
  <c r="A33" i="31" s="1"/>
  <c r="B10" i="31"/>
  <c r="A10" i="31" s="1"/>
  <c r="B60" i="33"/>
  <c r="A60" i="33" s="1"/>
  <c r="B20" i="33"/>
  <c r="A20" i="33" s="1"/>
  <c r="B83" i="34"/>
  <c r="A83" i="34" s="1"/>
  <c r="B21" i="34"/>
  <c r="A21" i="34" s="1"/>
  <c r="B60" i="35"/>
  <c r="A60" i="35" s="1"/>
  <c r="B99" i="36"/>
  <c r="A99" i="36" s="1"/>
  <c r="B35" i="36"/>
  <c r="A35" i="36" s="1"/>
  <c r="B74" i="37"/>
  <c r="A74" i="37" s="1"/>
  <c r="B18" i="37"/>
  <c r="A18" i="37" s="1"/>
  <c r="B13" i="32"/>
  <c r="A13" i="32" s="1"/>
  <c r="B61" i="31"/>
  <c r="A61" i="31" s="1"/>
  <c r="A119" i="4"/>
  <c r="A120" i="4" s="1"/>
  <c r="B77" i="34"/>
  <c r="A77" i="34" s="1"/>
  <c r="B102" i="35"/>
  <c r="A102" i="35" s="1"/>
  <c r="B22" i="35"/>
  <c r="A22" i="35" s="1"/>
  <c r="B45" i="36"/>
  <c r="A45" i="36" s="1"/>
  <c r="A39" i="4"/>
  <c r="A40" i="4" s="1"/>
  <c r="B44" i="32"/>
  <c r="A44" i="32" s="1"/>
  <c r="A65" i="4"/>
  <c r="A66" i="4" s="1"/>
  <c r="A33" i="4"/>
  <c r="A34" i="4" s="1"/>
  <c r="B37" i="35"/>
  <c r="A37" i="35" s="1"/>
  <c r="B70" i="36"/>
  <c r="A70" i="36" s="1"/>
  <c r="A123" i="4"/>
  <c r="A124" i="4" s="1"/>
  <c r="B97" i="35"/>
  <c r="A97" i="35" s="1"/>
  <c r="B159" i="37"/>
  <c r="A159" i="37" s="1"/>
  <c r="B33" i="33"/>
  <c r="A33" i="33" s="1"/>
  <c r="B71" i="35"/>
  <c r="A71" i="35" s="1"/>
  <c r="B93" i="33"/>
  <c r="A93" i="33" s="1"/>
  <c r="B36" i="36"/>
  <c r="A36" i="36" s="1"/>
  <c r="B34" i="36"/>
  <c r="A34" i="36" s="1"/>
  <c r="B36" i="34"/>
  <c r="A36" i="34" s="1"/>
  <c r="B86" i="36"/>
  <c r="A86" i="36" s="1"/>
  <c r="B32" i="34"/>
  <c r="A32" i="34" s="1"/>
  <c r="B38" i="32"/>
  <c r="A38" i="32" s="1"/>
  <c r="B81" i="33"/>
  <c r="A81" i="33" s="1"/>
  <c r="B90" i="32"/>
  <c r="A90" i="32" s="1"/>
  <c r="B9" i="37"/>
  <c r="A9" i="37" s="1"/>
  <c r="B13" i="33"/>
  <c r="A13" i="33" s="1"/>
  <c r="B86" i="32"/>
  <c r="A86" i="32" s="1"/>
  <c r="B41" i="37"/>
  <c r="A41" i="37" s="1"/>
  <c r="B94" i="31"/>
  <c r="A94" i="31" s="1"/>
  <c r="B75" i="31"/>
  <c r="A75" i="31" s="1"/>
  <c r="B69" i="34"/>
  <c r="A69" i="34" s="1"/>
  <c r="B33" i="32"/>
  <c r="A33" i="32" s="1"/>
  <c r="B76" i="33"/>
  <c r="A76" i="33" s="1"/>
  <c r="B34" i="35"/>
  <c r="A34" i="35" s="1"/>
  <c r="B81" i="32"/>
  <c r="A81" i="32" s="1"/>
  <c r="B100" i="31"/>
  <c r="A100" i="31" s="1"/>
  <c r="B55" i="31"/>
  <c r="A55" i="31" s="1"/>
  <c r="B17" i="31"/>
  <c r="A17" i="31" s="1"/>
  <c r="B30" i="33"/>
  <c r="A30" i="33" s="1"/>
  <c r="B37" i="34"/>
  <c r="A37" i="34" s="1"/>
  <c r="B12" i="35"/>
  <c r="A12" i="35" s="1"/>
  <c r="B106" i="37"/>
  <c r="A106" i="37" s="1"/>
  <c r="B28" i="37"/>
  <c r="A28" i="37" s="1"/>
  <c r="B159" i="31"/>
  <c r="A159" i="31" s="1"/>
  <c r="B29" i="31"/>
  <c r="A29" i="31" s="1"/>
  <c r="B87" i="34"/>
  <c r="A87" i="34" s="1"/>
  <c r="B86" i="35"/>
  <c r="A86" i="35" s="1"/>
  <c r="B77" i="36"/>
  <c r="A77" i="36" s="1"/>
  <c r="B42" i="37"/>
  <c r="A42" i="37" s="1"/>
  <c r="B85" i="32"/>
  <c r="A85" i="32" s="1"/>
  <c r="B36" i="32"/>
  <c r="A36" i="32" s="1"/>
  <c r="B9" i="32"/>
  <c r="A9" i="32" s="1"/>
  <c r="B74" i="31"/>
  <c r="A74" i="31" s="1"/>
  <c r="B42" i="31"/>
  <c r="A42" i="31" s="1"/>
  <c r="B94" i="33"/>
  <c r="A94" i="33" s="1"/>
  <c r="B44" i="33"/>
  <c r="A44" i="33" s="1"/>
  <c r="B57" i="34"/>
  <c r="A57" i="34" s="1"/>
  <c r="B96" i="35"/>
  <c r="A96" i="35" s="1"/>
  <c r="B32" i="35"/>
  <c r="A32" i="35" s="1"/>
  <c r="B71" i="36"/>
  <c r="A71" i="36" s="1"/>
  <c r="B7" i="36"/>
  <c r="A7" i="36" s="1"/>
  <c r="B52" i="37"/>
  <c r="A52" i="37" s="1"/>
  <c r="B16" i="32"/>
  <c r="A16" i="32" s="1"/>
  <c r="B83" i="31"/>
  <c r="A83" i="31" s="1"/>
  <c r="B51" i="31"/>
  <c r="A51" i="31" s="1"/>
  <c r="B19" i="31"/>
  <c r="A19" i="31" s="1"/>
  <c r="B48" i="33"/>
  <c r="A48" i="33" s="1"/>
  <c r="B8" i="33"/>
  <c r="A8" i="33" s="1"/>
  <c r="B71" i="34"/>
  <c r="A71" i="34" s="1"/>
  <c r="B74" i="35"/>
  <c r="A74" i="35" s="1"/>
  <c r="B97" i="36"/>
  <c r="A97" i="36" s="1"/>
  <c r="B17" i="36"/>
  <c r="A17" i="36" s="1"/>
  <c r="B46" i="37"/>
  <c r="A46" i="37" s="1"/>
  <c r="B159" i="32"/>
  <c r="A159" i="32" s="1"/>
  <c r="B8" i="32"/>
  <c r="A8" i="32" s="1"/>
  <c r="B92" i="31"/>
  <c r="A92" i="31" s="1"/>
  <c r="B73" i="31"/>
  <c r="A73" i="31" s="1"/>
  <c r="B47" i="31"/>
  <c r="A47" i="31" s="1"/>
  <c r="B28" i="31"/>
  <c r="A28" i="31" s="1"/>
  <c r="B110" i="33"/>
  <c r="A110" i="33" s="1"/>
  <c r="B85" i="34"/>
  <c r="A85" i="34" s="1"/>
  <c r="B13" i="34"/>
  <c r="A13" i="34" s="1"/>
  <c r="B52" i="35"/>
  <c r="A52" i="35" s="1"/>
  <c r="B91" i="36"/>
  <c r="A91" i="36" s="1"/>
  <c r="B11" i="31"/>
  <c r="A11" i="31" s="1"/>
  <c r="A15" i="4"/>
  <c r="A16" i="4" s="1"/>
  <c r="A99" i="4"/>
  <c r="A100" i="4" s="1"/>
  <c r="A55" i="4"/>
  <c r="A56" i="4" s="1"/>
  <c r="A35" i="4"/>
  <c r="A36" i="4" s="1"/>
  <c r="A89" i="4"/>
  <c r="A90" i="4" s="1"/>
  <c r="B26" i="33"/>
  <c r="A26" i="33" s="1"/>
  <c r="B20" i="36"/>
  <c r="A20" i="36" s="1"/>
  <c r="B105" i="33"/>
  <c r="A105" i="33" s="1"/>
  <c r="B101" i="33"/>
  <c r="A101" i="33" s="1"/>
  <c r="B106" i="32"/>
  <c r="A106" i="32" s="1"/>
  <c r="B29" i="37"/>
  <c r="A29" i="37" s="1"/>
  <c r="B44" i="34"/>
  <c r="A44" i="34" s="1"/>
  <c r="B23" i="35"/>
  <c r="A23" i="35" s="1"/>
  <c r="B29" i="33"/>
  <c r="A29" i="33" s="1"/>
  <c r="B74" i="32"/>
  <c r="A74" i="32" s="1"/>
  <c r="B92" i="32"/>
  <c r="A92" i="32" s="1"/>
  <c r="B30" i="34"/>
  <c r="A30" i="34" s="1"/>
  <c r="B53" i="37"/>
  <c r="A53" i="37" s="1"/>
  <c r="B81" i="35"/>
  <c r="A81" i="35" s="1"/>
  <c r="B82" i="36"/>
  <c r="A82" i="36" s="1"/>
  <c r="B92" i="34"/>
  <c r="A92" i="34" s="1"/>
  <c r="B34" i="32"/>
  <c r="A34" i="32" s="1"/>
  <c r="B52" i="32"/>
  <c r="A52" i="32" s="1"/>
  <c r="B56" i="34"/>
  <c r="A56" i="34" s="1"/>
  <c r="B83" i="35"/>
  <c r="A83" i="35" s="1"/>
  <c r="B43" i="31"/>
  <c r="A43" i="31" s="1"/>
  <c r="B31" i="36"/>
  <c r="A31" i="36" s="1"/>
  <c r="B88" i="35"/>
  <c r="A88" i="35" s="1"/>
  <c r="B62" i="31"/>
  <c r="A62" i="31" s="1"/>
  <c r="B86" i="37"/>
  <c r="A86" i="37" s="1"/>
  <c r="B56" i="33"/>
  <c r="A56" i="33" s="1"/>
  <c r="B73" i="36"/>
  <c r="A73" i="36" s="1"/>
  <c r="B41" i="32"/>
  <c r="A41" i="32" s="1"/>
  <c r="B87" i="31"/>
  <c r="A87" i="31" s="1"/>
  <c r="B49" i="31"/>
  <c r="A49" i="31" s="1"/>
  <c r="B90" i="33"/>
  <c r="A90" i="33" s="1"/>
  <c r="B10" i="33"/>
  <c r="A10" i="33" s="1"/>
  <c r="A95" i="4"/>
  <c r="A96" i="4" s="1"/>
  <c r="A103" i="4"/>
  <c r="A104" i="4" s="1"/>
  <c r="B14" i="34"/>
  <c r="A14" i="34" s="1"/>
  <c r="A175" i="4"/>
  <c r="A176" i="4" s="1"/>
  <c r="B75" i="35"/>
  <c r="A75" i="35" s="1"/>
  <c r="B100" i="36"/>
  <c r="A100" i="36" s="1"/>
  <c r="B40" i="34"/>
  <c r="A40" i="34" s="1"/>
  <c r="B78" i="31"/>
  <c r="A78" i="31" s="1"/>
  <c r="B85" i="33"/>
  <c r="A85" i="33" s="1"/>
  <c r="B89" i="37"/>
  <c r="A89" i="37" s="1"/>
  <c r="B11" i="35"/>
  <c r="A11" i="35" s="1"/>
  <c r="B18" i="34"/>
  <c r="A18" i="34" s="1"/>
  <c r="B49" i="34"/>
  <c r="A49" i="34" s="1"/>
  <c r="B46" i="33"/>
  <c r="A46" i="33" s="1"/>
  <c r="B33" i="34"/>
  <c r="A33" i="34" s="1"/>
  <c r="B41" i="36"/>
  <c r="A41" i="36" s="1"/>
  <c r="B81" i="31"/>
  <c r="A81" i="31" s="1"/>
  <c r="B70" i="33"/>
  <c r="A70" i="33" s="1"/>
  <c r="B110" i="35"/>
  <c r="A110" i="35" s="1"/>
  <c r="B51" i="36"/>
  <c r="A51" i="36" s="1"/>
  <c r="B38" i="37"/>
  <c r="A38" i="37" s="1"/>
  <c r="B93" i="31"/>
  <c r="A93" i="31" s="1"/>
  <c r="B14" i="33"/>
  <c r="A14" i="33" s="1"/>
  <c r="B31" i="34"/>
  <c r="A31" i="34" s="1"/>
  <c r="B61" i="36"/>
  <c r="A61" i="36" s="1"/>
  <c r="B105" i="32"/>
  <c r="A105" i="32" s="1"/>
  <c r="B40" i="32"/>
  <c r="A40" i="32" s="1"/>
  <c r="B106" i="31"/>
  <c r="A106" i="31" s="1"/>
  <c r="B58" i="31"/>
  <c r="A58" i="31" s="1"/>
  <c r="B16" i="31"/>
  <c r="A16" i="31" s="1"/>
  <c r="B34" i="33"/>
  <c r="A34" i="33" s="1"/>
  <c r="B25" i="34"/>
  <c r="A25" i="34" s="1"/>
  <c r="B48" i="35"/>
  <c r="A48" i="35" s="1"/>
  <c r="B55" i="36"/>
  <c r="A55" i="36" s="1"/>
  <c r="B78" i="37"/>
  <c r="A78" i="37" s="1"/>
  <c r="B49" i="32"/>
  <c r="A49" i="32" s="1"/>
  <c r="B70" i="31"/>
  <c r="A70" i="31" s="1"/>
  <c r="B35" i="31"/>
  <c r="A35" i="31" s="1"/>
  <c r="B58" i="33"/>
  <c r="A58" i="33" s="1"/>
  <c r="B101" i="34"/>
  <c r="A101" i="34" s="1"/>
  <c r="B19" i="34"/>
  <c r="A19" i="34" s="1"/>
  <c r="B10" i="35"/>
  <c r="A10" i="35" s="1"/>
  <c r="B88" i="37"/>
  <c r="A88" i="37" s="1"/>
  <c r="B26" i="37"/>
  <c r="A26" i="37" s="1"/>
  <c r="B12" i="32"/>
  <c r="A12" i="32" s="1"/>
  <c r="B89" i="31"/>
  <c r="A89" i="31" s="1"/>
  <c r="B60" i="31"/>
  <c r="A60" i="31" s="1"/>
  <c r="B31" i="31"/>
  <c r="A31" i="31" s="1"/>
  <c r="B98" i="33"/>
  <c r="A98" i="33" s="1"/>
  <c r="B45" i="34"/>
  <c r="A45" i="34" s="1"/>
  <c r="B68" i="35"/>
  <c r="A68" i="35" s="1"/>
  <c r="B75" i="36"/>
  <c r="A75" i="36" s="1"/>
  <c r="B11" i="36"/>
  <c r="A11" i="36" s="1"/>
  <c r="B10" i="37"/>
  <c r="A10" i="37" s="1"/>
  <c r="B23" i="32"/>
  <c r="A23" i="32" s="1"/>
  <c r="B69" i="31"/>
  <c r="A69" i="31" s="1"/>
  <c r="B96" i="32"/>
  <c r="A96" i="32" s="1"/>
  <c r="B77" i="37"/>
  <c r="A77" i="37" s="1"/>
  <c r="B27" i="35"/>
  <c r="A27" i="35" s="1"/>
  <c r="B79" i="35"/>
  <c r="A79" i="35" s="1"/>
  <c r="B82" i="33"/>
  <c r="A82" i="33" s="1"/>
  <c r="B42" i="33"/>
  <c r="A42" i="33" s="1"/>
  <c r="B105" i="34"/>
  <c r="A105" i="34" s="1"/>
  <c r="B39" i="34"/>
  <c r="A39" i="34" s="1"/>
  <c r="B46" i="35"/>
  <c r="A46" i="35" s="1"/>
  <c r="B69" i="36"/>
  <c r="A69" i="36" s="1"/>
  <c r="B92" i="37"/>
  <c r="A92" i="37" s="1"/>
  <c r="B93" i="32"/>
  <c r="A93" i="32" s="1"/>
  <c r="B88" i="31"/>
  <c r="A88" i="31" s="1"/>
  <c r="B56" i="31"/>
  <c r="A56" i="31" s="1"/>
  <c r="B24" i="31"/>
  <c r="A24" i="31" s="1"/>
  <c r="B107" i="35"/>
  <c r="A107" i="35" s="1"/>
  <c r="B108" i="33"/>
  <c r="A108" i="33" s="1"/>
  <c r="B108" i="36"/>
  <c r="A108" i="36" s="1"/>
  <c r="A113" i="4"/>
  <c r="A114" i="4" s="1"/>
  <c r="B83" i="33"/>
  <c r="A83" i="33" s="1"/>
  <c r="A83" i="4"/>
  <c r="A84" i="4" s="1"/>
  <c r="B31" i="35"/>
  <c r="A31" i="35" s="1"/>
  <c r="B78" i="32"/>
  <c r="A78" i="32" s="1"/>
  <c r="B34" i="34"/>
  <c r="A34" i="34" s="1"/>
  <c r="B25" i="33"/>
  <c r="A25" i="33" s="1"/>
  <c r="B21" i="33"/>
  <c r="A21" i="33" s="1"/>
  <c r="B84" i="32"/>
  <c r="A84" i="32" s="1"/>
  <c r="B18" i="36"/>
  <c r="A18" i="36" s="1"/>
  <c r="B48" i="36"/>
  <c r="A48" i="36" s="1"/>
  <c r="B159" i="34"/>
  <c r="A159" i="34" s="1"/>
  <c r="B79" i="36"/>
  <c r="A79" i="36" s="1"/>
  <c r="B96" i="33"/>
  <c r="A96" i="33" s="1"/>
  <c r="B80" i="37"/>
  <c r="A80" i="37" s="1"/>
  <c r="B68" i="31"/>
  <c r="A68" i="31" s="1"/>
  <c r="B50" i="33"/>
  <c r="A50" i="33" s="1"/>
  <c r="B76" i="35"/>
  <c r="A76" i="35" s="1"/>
  <c r="B19" i="36"/>
  <c r="A19" i="36" s="1"/>
  <c r="B101" i="32"/>
  <c r="A101" i="32" s="1"/>
  <c r="B77" i="31"/>
  <c r="A77" i="31" s="1"/>
  <c r="B97" i="34"/>
  <c r="A97" i="34" s="1"/>
  <c r="B70" i="35"/>
  <c r="A70" i="35" s="1"/>
  <c r="B100" i="37"/>
  <c r="A100" i="37" s="1"/>
  <c r="B95" i="32"/>
  <c r="A95" i="32" s="1"/>
  <c r="B28" i="32"/>
  <c r="A28" i="32" s="1"/>
  <c r="B90" i="31"/>
  <c r="A90" i="31" s="1"/>
  <c r="B48" i="31"/>
  <c r="A48" i="31" s="1"/>
  <c r="B84" i="33"/>
  <c r="A84" i="33" s="1"/>
  <c r="B109" i="34"/>
  <c r="A109" i="34" s="1"/>
  <c r="B9" i="34"/>
  <c r="A9" i="34" s="1"/>
  <c r="B16" i="35"/>
  <c r="A16" i="35" s="1"/>
  <c r="B39" i="36"/>
  <c r="A39" i="36" s="1"/>
  <c r="B62" i="37"/>
  <c r="A62" i="37" s="1"/>
  <c r="B102" i="31"/>
  <c r="A102" i="31" s="1"/>
  <c r="B67" i="31"/>
  <c r="A67" i="31" s="1"/>
  <c r="B22" i="31"/>
  <c r="A22" i="31" s="1"/>
  <c r="B38" i="33"/>
  <c r="A38" i="33" s="1"/>
  <c r="B91" i="34"/>
  <c r="A91" i="34" s="1"/>
  <c r="B106" i="35"/>
  <c r="A106" i="35" s="1"/>
  <c r="B81" i="36"/>
  <c r="A81" i="36" s="1"/>
  <c r="B72" i="37"/>
  <c r="A72" i="37" s="1"/>
  <c r="B16" i="37"/>
  <c r="A16" i="37" s="1"/>
  <c r="B110" i="31"/>
  <c r="A110" i="31" s="1"/>
  <c r="B79" i="31"/>
  <c r="A79" i="31" s="1"/>
  <c r="B57" i="31"/>
  <c r="A57" i="31" s="1"/>
  <c r="B25" i="31"/>
  <c r="A25" i="31" s="1"/>
  <c r="B88" i="33"/>
  <c r="A88" i="33" s="1"/>
  <c r="B29" i="34"/>
  <c r="A29" i="34" s="1"/>
  <c r="B36" i="35"/>
  <c r="A36" i="35" s="1"/>
  <c r="B59" i="36"/>
  <c r="A59" i="36" s="1"/>
  <c r="B98" i="37"/>
  <c r="A98" i="37" s="1"/>
  <c r="B73" i="32"/>
  <c r="A73" i="32" s="1"/>
  <c r="B19" i="32"/>
  <c r="A19" i="32" s="1"/>
  <c r="B53" i="31"/>
  <c r="A53" i="31" s="1"/>
  <c r="B17" i="37"/>
  <c r="A17" i="37" s="1"/>
  <c r="B101" i="37"/>
  <c r="A101" i="37" s="1"/>
  <c r="B51" i="35"/>
  <c r="A51" i="35" s="1"/>
  <c r="B12" i="34"/>
  <c r="A12" i="34" s="1"/>
  <c r="B72" i="33"/>
  <c r="A72" i="33" s="1"/>
  <c r="B32" i="33"/>
  <c r="A32" i="33" s="1"/>
  <c r="B95" i="34"/>
  <c r="A95" i="34" s="1"/>
  <c r="B7" i="34"/>
  <c r="A7" i="34" s="1"/>
  <c r="B30" i="35"/>
  <c r="A30" i="35" s="1"/>
  <c r="B53" i="36"/>
  <c r="A53" i="36" s="1"/>
  <c r="B60" i="37"/>
  <c r="A60" i="37" s="1"/>
  <c r="B47" i="32"/>
  <c r="A47" i="32" s="1"/>
  <c r="B82" i="31"/>
  <c r="A82" i="31" s="1"/>
  <c r="B50" i="31"/>
  <c r="A50" i="31" s="1"/>
  <c r="B18" i="31"/>
  <c r="A18" i="31" s="1"/>
  <c r="B107" i="31"/>
  <c r="A107" i="31" s="1"/>
  <c r="B108" i="31"/>
  <c r="A108" i="31" s="1"/>
  <c r="B108" i="34"/>
  <c r="A108" i="34" s="1"/>
  <c r="A111" i="4"/>
  <c r="A112" i="4" s="1"/>
  <c r="B80" i="34"/>
  <c r="A80" i="34" s="1"/>
  <c r="B14" i="31"/>
  <c r="A14" i="31" s="1"/>
  <c r="B66" i="36"/>
  <c r="A66" i="36" s="1"/>
  <c r="B50" i="32"/>
  <c r="A50" i="32" s="1"/>
  <c r="B31" i="37"/>
  <c r="A31" i="37" s="1"/>
  <c r="B28" i="36"/>
  <c r="A28" i="36" s="1"/>
  <c r="B91" i="33"/>
  <c r="A91" i="33" s="1"/>
  <c r="B7" i="35"/>
  <c r="A7" i="35" s="1"/>
  <c r="B44" i="37"/>
  <c r="A44" i="37" s="1"/>
  <c r="B77" i="32"/>
  <c r="A77" i="32" s="1"/>
  <c r="B43" i="34"/>
  <c r="A43" i="34" s="1"/>
  <c r="B29" i="32"/>
  <c r="A29" i="32" s="1"/>
  <c r="B36" i="31"/>
  <c r="A36" i="31" s="1"/>
  <c r="B93" i="34"/>
  <c r="A93" i="34" s="1"/>
  <c r="B44" i="35"/>
  <c r="A44" i="35" s="1"/>
  <c r="B90" i="37"/>
  <c r="A90" i="37" s="1"/>
  <c r="B61" i="32"/>
  <c r="A61" i="32" s="1"/>
  <c r="B45" i="31"/>
  <c r="A45" i="31" s="1"/>
  <c r="B63" i="34"/>
  <c r="A63" i="34" s="1"/>
  <c r="B38" i="35"/>
  <c r="A38" i="35" s="1"/>
  <c r="B84" i="37"/>
  <c r="A84" i="37" s="1"/>
  <c r="B65" i="32"/>
  <c r="A65" i="32" s="1"/>
  <c r="B24" i="32"/>
  <c r="A24" i="32" s="1"/>
  <c r="B80" i="31"/>
  <c r="A80" i="31" s="1"/>
  <c r="B32" i="31"/>
  <c r="A32" i="31" s="1"/>
  <c r="B74" i="33"/>
  <c r="A74" i="33" s="1"/>
  <c r="B67" i="34"/>
  <c r="A67" i="34" s="1"/>
  <c r="B80" i="35"/>
  <c r="A80" i="35" s="1"/>
  <c r="B103" i="36"/>
  <c r="A103" i="36" s="1"/>
  <c r="B23" i="36"/>
  <c r="A23" i="36" s="1"/>
  <c r="B22" i="37"/>
  <c r="A22" i="37" s="1"/>
  <c r="B99" i="31"/>
  <c r="A99" i="31" s="1"/>
  <c r="B54" i="31"/>
  <c r="A54" i="31" s="1"/>
  <c r="B8" i="31"/>
  <c r="A8" i="31" s="1"/>
  <c r="B28" i="33"/>
  <c r="A28" i="33" s="1"/>
  <c r="B81" i="34"/>
  <c r="A81" i="34" s="1"/>
  <c r="B58" i="35"/>
  <c r="A58" i="35" s="1"/>
  <c r="B49" i="36"/>
  <c r="A49" i="36" s="1"/>
  <c r="B56" i="37"/>
  <c r="A56" i="37" s="1"/>
  <c r="B89" i="32"/>
  <c r="A89" i="32" s="1"/>
  <c r="B105" i="31"/>
  <c r="A105" i="31" s="1"/>
  <c r="B76" i="31"/>
  <c r="A76" i="31" s="1"/>
  <c r="B44" i="31"/>
  <c r="A44" i="31" s="1"/>
  <c r="B15" i="31"/>
  <c r="A15" i="31" s="1"/>
  <c r="B68" i="33"/>
  <c r="A68" i="33" s="1"/>
  <c r="B100" i="35"/>
  <c r="A100" i="35" s="1"/>
  <c r="B20" i="35"/>
  <c r="A20" i="35" s="1"/>
  <c r="B43" i="36"/>
  <c r="A43" i="36" s="1"/>
  <c r="B82" i="37"/>
  <c r="A82" i="37" s="1"/>
  <c r="B53" i="32"/>
  <c r="A53" i="32" s="1"/>
  <c r="B101" i="31"/>
  <c r="A101" i="31" s="1"/>
  <c r="B37" i="31"/>
  <c r="A37" i="31" s="1"/>
  <c r="B37" i="37"/>
  <c r="A37" i="37" s="1"/>
  <c r="B22" i="36"/>
  <c r="A22" i="36" s="1"/>
  <c r="B18" i="32"/>
  <c r="A18" i="32" s="1"/>
  <c r="B102" i="33"/>
  <c r="A102" i="33" s="1"/>
  <c r="B62" i="33"/>
  <c r="A62" i="33" s="1"/>
  <c r="B22" i="33"/>
  <c r="A22" i="33" s="1"/>
  <c r="B65" i="34"/>
  <c r="A65" i="34" s="1"/>
  <c r="B94" i="35"/>
  <c r="A94" i="35" s="1"/>
  <c r="B14" i="35"/>
  <c r="A14" i="35" s="1"/>
  <c r="B21" i="36"/>
  <c r="A21" i="36" s="1"/>
  <c r="B50" i="37"/>
  <c r="A50" i="37" s="1"/>
  <c r="B104" i="31"/>
  <c r="A104" i="31" s="1"/>
  <c r="B72" i="31"/>
  <c r="A72" i="31" s="1"/>
  <c r="B40" i="31"/>
  <c r="A40" i="31" s="1"/>
  <c r="B7" i="31"/>
  <c r="A7" i="31" s="1"/>
  <c r="B108" i="37"/>
  <c r="A108" i="37" s="1"/>
  <c r="A117" i="4"/>
  <c r="A118" i="4" s="1"/>
  <c r="B108" i="32"/>
  <c r="A108" i="32" s="1"/>
  <c r="A13" i="4"/>
  <c r="A14" i="4" s="1"/>
  <c r="A21" i="4"/>
  <c r="A22" i="4" s="1"/>
  <c r="K30" i="4"/>
  <c r="A29" i="4"/>
  <c r="A30" i="4" s="1"/>
  <c r="A37" i="4"/>
  <c r="A38" i="4" s="1"/>
  <c r="N46" i="4"/>
  <c r="A45" i="4"/>
  <c r="A46" i="4" s="1"/>
  <c r="A53" i="4"/>
  <c r="A54" i="4" s="1"/>
  <c r="O62" i="4"/>
  <c r="A61" i="4"/>
  <c r="A62" i="4" s="1"/>
  <c r="A69" i="4"/>
  <c r="A70" i="4" s="1"/>
  <c r="T78" i="4"/>
  <c r="A77" i="4"/>
  <c r="A78" i="4" s="1"/>
  <c r="K86" i="4"/>
  <c r="A85" i="4"/>
  <c r="A86" i="4" s="1"/>
  <c r="A101" i="4"/>
  <c r="A102" i="4" s="1"/>
  <c r="N110" i="4"/>
  <c r="U110" i="4"/>
  <c r="M110" i="4"/>
  <c r="L110" i="4"/>
  <c r="A109" i="4"/>
  <c r="A110" i="4" s="1"/>
  <c r="P110" i="4"/>
  <c r="A121" i="4"/>
  <c r="A122" i="4" s="1"/>
  <c r="L174" i="4"/>
  <c r="A173" i="4"/>
  <c r="A174" i="4" s="1"/>
  <c r="P116" i="4"/>
  <c r="Q116" i="4"/>
  <c r="U116" i="4"/>
  <c r="A115" i="4"/>
  <c r="A116" i="4" s="1"/>
  <c r="B17" i="27"/>
  <c r="A17" i="27" s="1"/>
  <c r="B53" i="26"/>
  <c r="A53" i="26" s="1"/>
  <c r="B43" i="28"/>
  <c r="A43" i="28" s="1"/>
  <c r="B30" i="28"/>
  <c r="A30" i="28" s="1"/>
  <c r="B68" i="27"/>
  <c r="A68" i="27" s="1"/>
  <c r="B65" i="26"/>
  <c r="A65" i="26" s="1"/>
  <c r="B105" i="29"/>
  <c r="A105" i="29" s="1"/>
  <c r="B109" i="27"/>
  <c r="A109" i="27" s="1"/>
  <c r="B25" i="27"/>
  <c r="A25" i="27" s="1"/>
  <c r="B36" i="26"/>
  <c r="A36" i="26" s="1"/>
  <c r="B159" i="29"/>
  <c r="A159" i="29" s="1"/>
  <c r="B97" i="29"/>
  <c r="A97" i="29" s="1"/>
  <c r="B73" i="27"/>
  <c r="A73" i="27" s="1"/>
  <c r="B20" i="26"/>
  <c r="A20" i="26" s="1"/>
  <c r="B42" i="29"/>
  <c r="A42" i="29" s="1"/>
  <c r="B18" i="28"/>
  <c r="A18" i="28" s="1"/>
  <c r="B103" i="27"/>
  <c r="A103" i="27" s="1"/>
  <c r="B82" i="26"/>
  <c r="A82" i="26" s="1"/>
  <c r="B31" i="26"/>
  <c r="A31" i="26" s="1"/>
  <c r="B91" i="30"/>
  <c r="A91" i="30" s="1"/>
  <c r="B80" i="30"/>
  <c r="A80" i="30" s="1"/>
  <c r="B15" i="26"/>
  <c r="A15" i="26" s="1"/>
  <c r="B26" i="28"/>
  <c r="A26" i="28" s="1"/>
  <c r="B100" i="27"/>
  <c r="A100" i="27" s="1"/>
  <c r="B75" i="26"/>
  <c r="A75" i="26" s="1"/>
  <c r="B105" i="27"/>
  <c r="A105" i="27" s="1"/>
  <c r="B59" i="27"/>
  <c r="A59" i="27" s="1"/>
  <c r="B23" i="26"/>
  <c r="A23" i="26" s="1"/>
  <c r="B79" i="27"/>
  <c r="A79" i="27" s="1"/>
  <c r="B36" i="29"/>
  <c r="A36" i="29" s="1"/>
  <c r="B77" i="26"/>
  <c r="A77" i="26" s="1"/>
  <c r="B7" i="27"/>
  <c r="A7" i="27" s="1"/>
  <c r="B34" i="26"/>
  <c r="A34" i="26" s="1"/>
  <c r="B96" i="30"/>
  <c r="A96" i="30" s="1"/>
  <c r="B55" i="27"/>
  <c r="A55" i="27" s="1"/>
  <c r="B27" i="30"/>
  <c r="A27" i="30" s="1"/>
  <c r="B58" i="29"/>
  <c r="A58" i="29" s="1"/>
  <c r="B39" i="26"/>
  <c r="A39" i="26" s="1"/>
  <c r="B79" i="26"/>
  <c r="A79" i="26" s="1"/>
  <c r="B84" i="27"/>
  <c r="A84" i="27" s="1"/>
  <c r="B78" i="28"/>
  <c r="A78" i="28" s="1"/>
  <c r="B88" i="29"/>
  <c r="A88" i="29" s="1"/>
  <c r="B21" i="28"/>
  <c r="A21" i="28" s="1"/>
  <c r="B8" i="27"/>
  <c r="A8" i="27" s="1"/>
  <c r="B58" i="26"/>
  <c r="A58" i="26" s="1"/>
  <c r="B109" i="26"/>
  <c r="A109" i="26" s="1"/>
  <c r="B98" i="27"/>
  <c r="A98" i="27" s="1"/>
  <c r="B105" i="30"/>
  <c r="A105" i="30" s="1"/>
  <c r="B85" i="29"/>
  <c r="A85" i="29" s="1"/>
  <c r="B77" i="27"/>
  <c r="A77" i="27" s="1"/>
  <c r="B9" i="30"/>
  <c r="A9" i="30" s="1"/>
  <c r="B62" i="28"/>
  <c r="A62" i="28" s="1"/>
  <c r="B87" i="26"/>
  <c r="A87" i="26" s="1"/>
  <c r="B78" i="27"/>
  <c r="A78" i="27" s="1"/>
  <c r="B28" i="29"/>
  <c r="A28" i="29" s="1"/>
  <c r="B29" i="30"/>
  <c r="A29" i="30" s="1"/>
  <c r="B22" i="29"/>
  <c r="A22" i="29" s="1"/>
  <c r="B15" i="28"/>
  <c r="A15" i="28" s="1"/>
  <c r="B9" i="26"/>
  <c r="A9" i="26" s="1"/>
  <c r="B49" i="28"/>
  <c r="A49" i="28" s="1"/>
  <c r="B88" i="26"/>
  <c r="A88" i="26" s="1"/>
  <c r="B66" i="26"/>
  <c r="A66" i="26" s="1"/>
  <c r="B94" i="28"/>
  <c r="A94" i="28" s="1"/>
  <c r="B41" i="29"/>
  <c r="A41" i="29" s="1"/>
  <c r="B36" i="27"/>
  <c r="A36" i="27" s="1"/>
  <c r="B82" i="28"/>
  <c r="A82" i="28" s="1"/>
  <c r="B34" i="29"/>
  <c r="A34" i="29" s="1"/>
  <c r="B63" i="27"/>
  <c r="A63" i="27" s="1"/>
  <c r="B70" i="26"/>
  <c r="A70" i="26" s="1"/>
  <c r="B24" i="26"/>
  <c r="A24" i="26" s="1"/>
  <c r="B42" i="28"/>
  <c r="A42" i="28" s="1"/>
  <c r="B25" i="30"/>
  <c r="A25" i="30" s="1"/>
  <c r="B85" i="26"/>
  <c r="A85" i="26" s="1"/>
  <c r="B14" i="28"/>
  <c r="A14" i="28" s="1"/>
  <c r="B53" i="29"/>
  <c r="A53" i="29" s="1"/>
  <c r="B110" i="30"/>
  <c r="A110" i="30" s="1"/>
  <c r="B41" i="27"/>
  <c r="A41" i="27" s="1"/>
  <c r="B60" i="26"/>
  <c r="A60" i="26" s="1"/>
  <c r="B99" i="28"/>
  <c r="A99" i="28" s="1"/>
  <c r="B17" i="30"/>
  <c r="A17" i="30" s="1"/>
  <c r="B47" i="27"/>
  <c r="A47" i="27" s="1"/>
  <c r="B25" i="26"/>
  <c r="A25" i="26" s="1"/>
  <c r="B100" i="29"/>
  <c r="A100" i="29" s="1"/>
  <c r="B104" i="26"/>
  <c r="A104" i="26" s="1"/>
  <c r="B17" i="29"/>
  <c r="A17" i="29" s="1"/>
  <c r="B51" i="26"/>
  <c r="A51" i="26" s="1"/>
  <c r="B90" i="26"/>
  <c r="A90" i="26" s="1"/>
  <c r="B83" i="30"/>
  <c r="A83" i="30" s="1"/>
  <c r="B50" i="26"/>
  <c r="A50" i="26" s="1"/>
  <c r="B7" i="30"/>
  <c r="A7" i="30" s="1"/>
  <c r="B12" i="30"/>
  <c r="A12" i="30" s="1"/>
  <c r="B100" i="26"/>
  <c r="A100" i="26" s="1"/>
  <c r="B58" i="28"/>
  <c r="A58" i="28" s="1"/>
  <c r="B23" i="27"/>
  <c r="A23" i="27" s="1"/>
  <c r="B87" i="27"/>
  <c r="A87" i="27" s="1"/>
  <c r="B18" i="29"/>
  <c r="A18" i="29" s="1"/>
  <c r="B77" i="28"/>
  <c r="A77" i="28" s="1"/>
  <c r="B55" i="26"/>
  <c r="A55" i="26" s="1"/>
  <c r="B24" i="27"/>
  <c r="A24" i="27" s="1"/>
  <c r="B52" i="30"/>
  <c r="A52" i="30" s="1"/>
  <c r="N116" i="4"/>
  <c r="B61" i="28"/>
  <c r="A61" i="28" s="1"/>
  <c r="B57" i="27"/>
  <c r="A57" i="27" s="1"/>
  <c r="B84" i="26"/>
  <c r="A84" i="26" s="1"/>
  <c r="B46" i="26"/>
  <c r="A46" i="26" s="1"/>
  <c r="B26" i="27"/>
  <c r="A26" i="27" s="1"/>
  <c r="B66" i="27"/>
  <c r="A66" i="27" s="1"/>
  <c r="B23" i="30"/>
  <c r="A23" i="30" s="1"/>
  <c r="B67" i="30"/>
  <c r="A67" i="30" s="1"/>
  <c r="B61" i="29"/>
  <c r="A61" i="29" s="1"/>
  <c r="B27" i="28"/>
  <c r="A27" i="28" s="1"/>
  <c r="B103" i="28"/>
  <c r="A103" i="28" s="1"/>
  <c r="B45" i="27"/>
  <c r="A45" i="27" s="1"/>
  <c r="B101" i="27"/>
  <c r="A101" i="27" s="1"/>
  <c r="B64" i="30"/>
  <c r="A64" i="30" s="1"/>
  <c r="B37" i="29"/>
  <c r="A37" i="29" s="1"/>
  <c r="B38" i="28"/>
  <c r="A38" i="28" s="1"/>
  <c r="B97" i="28"/>
  <c r="A97" i="28" s="1"/>
  <c r="B16" i="26"/>
  <c r="A16" i="26" s="1"/>
  <c r="B62" i="27"/>
  <c r="A62" i="27" s="1"/>
  <c r="B102" i="27"/>
  <c r="A102" i="27" s="1"/>
  <c r="B100" i="30"/>
  <c r="A100" i="30" s="1"/>
  <c r="B66" i="29"/>
  <c r="A66" i="29" s="1"/>
  <c r="B46" i="28"/>
  <c r="A46" i="28" s="1"/>
  <c r="B98" i="28"/>
  <c r="A98" i="28" s="1"/>
  <c r="B55" i="30"/>
  <c r="A55" i="30" s="1"/>
  <c r="B103" i="30"/>
  <c r="A103" i="30" s="1"/>
  <c r="B48" i="29"/>
  <c r="A48" i="29" s="1"/>
  <c r="B102" i="29"/>
  <c r="A102" i="29" s="1"/>
  <c r="B41" i="28"/>
  <c r="A41" i="28" s="1"/>
  <c r="B89" i="28"/>
  <c r="A89" i="28" s="1"/>
  <c r="T116" i="4"/>
  <c r="B108" i="30"/>
  <c r="A108" i="30" s="1"/>
  <c r="B108" i="35"/>
  <c r="A108" i="35" s="1"/>
  <c r="B98" i="31"/>
  <c r="A98" i="31" s="1"/>
  <c r="B78" i="35"/>
  <c r="A78" i="35" s="1"/>
  <c r="B92" i="33"/>
  <c r="A92" i="33" s="1"/>
  <c r="B21" i="31"/>
  <c r="A21" i="31" s="1"/>
  <c r="B27" i="36"/>
  <c r="A27" i="36" s="1"/>
  <c r="B12" i="31"/>
  <c r="A12" i="31" s="1"/>
  <c r="B69" i="32"/>
  <c r="A69" i="32" s="1"/>
  <c r="B35" i="34"/>
  <c r="A35" i="34" s="1"/>
  <c r="B86" i="31"/>
  <c r="A86" i="31" s="1"/>
  <c r="B64" i="35"/>
  <c r="A64" i="35" s="1"/>
  <c r="B64" i="31"/>
  <c r="A64" i="31" s="1"/>
  <c r="B159" i="36"/>
  <c r="A159" i="36" s="1"/>
  <c r="B58" i="37"/>
  <c r="A58" i="37" s="1"/>
  <c r="B21" i="32"/>
  <c r="A21" i="32" s="1"/>
  <c r="B50" i="36"/>
  <c r="A50" i="36" s="1"/>
  <c r="B70" i="32"/>
  <c r="A70" i="32" s="1"/>
  <c r="B97" i="33"/>
  <c r="A97" i="33" s="1"/>
  <c r="A57" i="4"/>
  <c r="A58" i="4" s="1"/>
  <c r="B10" i="30"/>
  <c r="A10" i="30" s="1"/>
  <c r="B18" i="30"/>
  <c r="A18" i="30" s="1"/>
  <c r="B22" i="30"/>
  <c r="A22" i="30" s="1"/>
  <c r="B28" i="27"/>
  <c r="A28" i="27" s="1"/>
  <c r="B56" i="27"/>
  <c r="A56" i="27" s="1"/>
  <c r="B60" i="27"/>
  <c r="A60" i="27" s="1"/>
  <c r="B80" i="27"/>
  <c r="A80" i="27" s="1"/>
  <c r="B104" i="27"/>
  <c r="A104" i="27" s="1"/>
  <c r="B110" i="27"/>
  <c r="A110" i="27" s="1"/>
  <c r="B13" i="27"/>
  <c r="A13" i="27" s="1"/>
  <c r="B7" i="37"/>
  <c r="A7" i="37" s="1"/>
  <c r="B11" i="37"/>
  <c r="A11" i="37" s="1"/>
  <c r="B15" i="37"/>
  <c r="A15" i="37" s="1"/>
  <c r="B19" i="37"/>
  <c r="A19" i="37" s="1"/>
  <c r="B23" i="37"/>
  <c r="A23" i="37" s="1"/>
  <c r="B27" i="37"/>
  <c r="A27" i="37" s="1"/>
  <c r="B39" i="37"/>
  <c r="A39" i="37" s="1"/>
  <c r="B47" i="37"/>
  <c r="A47" i="37" s="1"/>
  <c r="B51" i="37"/>
  <c r="A51" i="37" s="1"/>
  <c r="B55" i="37"/>
  <c r="A55" i="37" s="1"/>
  <c r="B59" i="37"/>
  <c r="A59" i="37" s="1"/>
  <c r="B63" i="37"/>
  <c r="A63" i="37" s="1"/>
  <c r="B71" i="37"/>
  <c r="A71" i="37" s="1"/>
  <c r="B79" i="37"/>
  <c r="A79" i="37" s="1"/>
  <c r="B87" i="37"/>
  <c r="A87" i="37" s="1"/>
  <c r="B91" i="37"/>
  <c r="A91" i="37" s="1"/>
  <c r="B95" i="37"/>
  <c r="A95" i="37" s="1"/>
  <c r="B12" i="36"/>
  <c r="A12" i="36" s="1"/>
  <c r="B24" i="36"/>
  <c r="A24" i="36" s="1"/>
  <c r="B40" i="36"/>
  <c r="A40" i="36" s="1"/>
  <c r="B56" i="36"/>
  <c r="A56" i="36" s="1"/>
  <c r="B60" i="36"/>
  <c r="A60" i="36" s="1"/>
  <c r="B64" i="36"/>
  <c r="A64" i="36" s="1"/>
  <c r="B88" i="36"/>
  <c r="A88" i="36" s="1"/>
  <c r="B92" i="36"/>
  <c r="A92" i="36" s="1"/>
  <c r="B96" i="36"/>
  <c r="A96" i="36" s="1"/>
  <c r="B104" i="36"/>
  <c r="A104" i="36" s="1"/>
  <c r="B9" i="35"/>
  <c r="A9" i="35" s="1"/>
  <c r="B13" i="35"/>
  <c r="A13" i="35" s="1"/>
  <c r="B17" i="35"/>
  <c r="A17" i="35" s="1"/>
  <c r="B21" i="35"/>
  <c r="A21" i="35" s="1"/>
  <c r="B25" i="35"/>
  <c r="A25" i="35" s="1"/>
  <c r="B29" i="35"/>
  <c r="A29" i="35" s="1"/>
  <c r="B33" i="35"/>
  <c r="A33" i="35" s="1"/>
  <c r="B41" i="35"/>
  <c r="A41" i="35" s="1"/>
  <c r="B45" i="35"/>
  <c r="A45" i="35" s="1"/>
  <c r="B61" i="35"/>
  <c r="A61" i="35" s="1"/>
  <c r="B65" i="35"/>
  <c r="A65" i="35" s="1"/>
  <c r="B73" i="35"/>
  <c r="A73" i="35" s="1"/>
  <c r="B77" i="35"/>
  <c r="A77" i="35" s="1"/>
  <c r="B85" i="35"/>
  <c r="A85" i="35" s="1"/>
  <c r="B89" i="35"/>
  <c r="A89" i="35" s="1"/>
  <c r="B26" i="34"/>
  <c r="A26" i="34" s="1"/>
  <c r="B38" i="34"/>
  <c r="A38" i="34" s="1"/>
  <c r="B42" i="34"/>
  <c r="A42" i="34" s="1"/>
  <c r="B46" i="34"/>
  <c r="A46" i="34" s="1"/>
  <c r="B50" i="34"/>
  <c r="A50" i="34" s="1"/>
  <c r="B58" i="34"/>
  <c r="A58" i="34" s="1"/>
  <c r="B62" i="34"/>
  <c r="A62" i="34" s="1"/>
  <c r="B66" i="34"/>
  <c r="A66" i="34" s="1"/>
  <c r="B74" i="34"/>
  <c r="A74" i="34" s="1"/>
  <c r="B82" i="34"/>
  <c r="A82" i="34" s="1"/>
  <c r="B86" i="34"/>
  <c r="A86" i="34" s="1"/>
  <c r="B90" i="34"/>
  <c r="A90" i="34" s="1"/>
  <c r="B98" i="34"/>
  <c r="A98" i="34" s="1"/>
  <c r="B106" i="34"/>
  <c r="A106" i="34" s="1"/>
  <c r="B7" i="33"/>
  <c r="A7" i="33" s="1"/>
  <c r="B15" i="33"/>
  <c r="A15" i="33" s="1"/>
  <c r="B19" i="33"/>
  <c r="A19" i="33" s="1"/>
  <c r="B27" i="33"/>
  <c r="A27" i="33" s="1"/>
  <c r="B35" i="33"/>
  <c r="A35" i="33" s="1"/>
  <c r="B39" i="33"/>
  <c r="A39" i="33" s="1"/>
  <c r="B43" i="33"/>
  <c r="A43" i="33" s="1"/>
  <c r="B47" i="33"/>
  <c r="A47" i="33" s="1"/>
  <c r="B55" i="33"/>
  <c r="A55" i="33" s="1"/>
  <c r="B59" i="33"/>
  <c r="A59" i="33" s="1"/>
  <c r="B75" i="33"/>
  <c r="A75" i="33" s="1"/>
  <c r="B79" i="33"/>
  <c r="A79" i="33" s="1"/>
  <c r="B11" i="32"/>
  <c r="A11" i="32" s="1"/>
  <c r="B15" i="32"/>
  <c r="A15" i="32" s="1"/>
  <c r="B27" i="32"/>
  <c r="A27" i="32" s="1"/>
  <c r="B31" i="32"/>
  <c r="A31" i="32" s="1"/>
  <c r="B35" i="32"/>
  <c r="A35" i="32" s="1"/>
  <c r="B39" i="32"/>
  <c r="A39" i="32" s="1"/>
  <c r="B55" i="32"/>
  <c r="A55" i="32" s="1"/>
  <c r="B59" i="32"/>
  <c r="A59" i="32" s="1"/>
  <c r="B63" i="32"/>
  <c r="A63" i="32" s="1"/>
  <c r="B71" i="32"/>
  <c r="A71" i="32" s="1"/>
  <c r="B87" i="32"/>
  <c r="A87" i="32" s="1"/>
  <c r="B91" i="32"/>
  <c r="A91" i="32" s="1"/>
  <c r="B99" i="32"/>
  <c r="A99" i="32" s="1"/>
  <c r="B103" i="32"/>
  <c r="A103" i="32" s="1"/>
  <c r="B107" i="34"/>
  <c r="A107" i="34" s="1"/>
  <c r="B107" i="33"/>
  <c r="A107" i="33" s="1"/>
  <c r="B107" i="32"/>
  <c r="A107" i="32" s="1"/>
  <c r="B107" i="29"/>
  <c r="A107" i="29" s="1"/>
  <c r="B107" i="28"/>
  <c r="A107" i="28" s="1"/>
  <c r="B8" i="37"/>
  <c r="A8" i="37" s="1"/>
  <c r="B20" i="37"/>
  <c r="A20" i="37" s="1"/>
  <c r="B32" i="37"/>
  <c r="A32" i="37" s="1"/>
  <c r="B40" i="37"/>
  <c r="A40" i="37" s="1"/>
  <c r="B48" i="37"/>
  <c r="A48" i="37" s="1"/>
  <c r="B64" i="37"/>
  <c r="A64" i="37" s="1"/>
  <c r="B68" i="37"/>
  <c r="A68" i="37" s="1"/>
  <c r="B76" i="37"/>
  <c r="A76" i="37" s="1"/>
  <c r="B104" i="37"/>
  <c r="A104" i="37" s="1"/>
  <c r="B9" i="36"/>
  <c r="A9" i="36" s="1"/>
  <c r="B13" i="36"/>
  <c r="A13" i="36" s="1"/>
  <c r="B25" i="36"/>
  <c r="A25" i="36" s="1"/>
  <c r="B29" i="36"/>
  <c r="A29" i="36" s="1"/>
  <c r="B37" i="36"/>
  <c r="A37" i="36" s="1"/>
  <c r="B65" i="36"/>
  <c r="A65" i="36" s="1"/>
  <c r="B89" i="36"/>
  <c r="A89" i="36" s="1"/>
  <c r="B93" i="36"/>
  <c r="A93" i="36" s="1"/>
  <c r="B101" i="36"/>
  <c r="A101" i="36" s="1"/>
  <c r="B105" i="36"/>
  <c r="A105" i="36" s="1"/>
  <c r="B26" i="35"/>
  <c r="A26" i="35" s="1"/>
  <c r="B50" i="35"/>
  <c r="A50" i="35" s="1"/>
  <c r="B54" i="35"/>
  <c r="A54" i="35" s="1"/>
  <c r="B62" i="35"/>
  <c r="A62" i="35" s="1"/>
  <c r="B82" i="35"/>
  <c r="A82" i="35" s="1"/>
  <c r="B90" i="35"/>
  <c r="A90" i="35" s="1"/>
  <c r="B11" i="34"/>
  <c r="A11" i="34" s="1"/>
  <c r="B15" i="34"/>
  <c r="A15" i="34" s="1"/>
  <c r="B23" i="34"/>
  <c r="A23" i="34" s="1"/>
  <c r="B51" i="34"/>
  <c r="A51" i="34" s="1"/>
  <c r="B75" i="34"/>
  <c r="A75" i="34" s="1"/>
  <c r="B79" i="34"/>
  <c r="A79" i="34" s="1"/>
  <c r="B99" i="34"/>
  <c r="A99" i="34" s="1"/>
  <c r="B24" i="33"/>
  <c r="A24" i="33" s="1"/>
  <c r="B36" i="33"/>
  <c r="A36" i="33" s="1"/>
  <c r="B64" i="33"/>
  <c r="A64" i="33" s="1"/>
  <c r="B100" i="33"/>
  <c r="A100" i="33" s="1"/>
  <c r="B104" i="33"/>
  <c r="A104" i="33" s="1"/>
  <c r="B32" i="32"/>
  <c r="A32" i="32" s="1"/>
  <c r="B56" i="32"/>
  <c r="A56" i="32" s="1"/>
  <c r="B60" i="32"/>
  <c r="A60" i="32" s="1"/>
  <c r="B72" i="32"/>
  <c r="A72" i="32" s="1"/>
  <c r="T96" i="4"/>
  <c r="W24" i="4"/>
  <c r="V72" i="4"/>
  <c r="K40" i="4"/>
  <c r="L88" i="4"/>
  <c r="J40" i="4"/>
  <c r="L44" i="4"/>
  <c r="B7" i="32"/>
  <c r="A7" i="32" s="1"/>
  <c r="S112" i="4"/>
  <c r="M116" i="4"/>
  <c r="O120" i="4"/>
  <c r="J112" i="4"/>
  <c r="L116" i="4"/>
  <c r="T110" i="4"/>
  <c r="O110" i="4"/>
  <c r="S110" i="4"/>
  <c r="N114" i="4"/>
  <c r="V116" i="4"/>
  <c r="R114" i="4"/>
  <c r="K114" i="4"/>
  <c r="J116" i="4"/>
  <c r="P112" i="4"/>
  <c r="M120" i="4"/>
  <c r="S116" i="4"/>
  <c r="W110" i="4"/>
  <c r="K110" i="4"/>
  <c r="V120" i="4"/>
  <c r="W114" i="4"/>
  <c r="W120" i="4"/>
  <c r="P114" i="4"/>
  <c r="V110" i="4"/>
  <c r="O10" i="4"/>
  <c r="Q102" i="4"/>
  <c r="Q48" i="4"/>
  <c r="V76" i="4"/>
  <c r="V118" i="4"/>
  <c r="T118" i="4"/>
  <c r="R120" i="4"/>
  <c r="V112" i="4"/>
  <c r="L120" i="4"/>
  <c r="P120" i="4"/>
  <c r="L114" i="4"/>
  <c r="K118" i="4"/>
  <c r="L112" i="4"/>
  <c r="O116" i="4"/>
  <c r="M112" i="4"/>
  <c r="M118" i="4"/>
  <c r="S114" i="4"/>
  <c r="T120" i="4"/>
  <c r="R116" i="4"/>
  <c r="Q120" i="4"/>
  <c r="U120" i="4"/>
  <c r="R110" i="4"/>
  <c r="J110" i="4"/>
  <c r="Q118" i="4"/>
  <c r="R112" i="4"/>
  <c r="J118" i="4"/>
  <c r="K112" i="4"/>
  <c r="U44" i="4"/>
  <c r="R44" i="4"/>
  <c r="P28" i="4"/>
  <c r="S96" i="4"/>
  <c r="L178" i="4"/>
  <c r="M8" i="4"/>
  <c r="J98" i="1"/>
  <c r="M72" i="1"/>
  <c r="S100" i="1"/>
  <c r="L170" i="1"/>
  <c r="W50" i="1"/>
  <c r="Q120" i="1"/>
  <c r="W44" i="1"/>
  <c r="J114" i="1"/>
  <c r="U114" i="1"/>
  <c r="T78" i="1"/>
  <c r="T54" i="1"/>
  <c r="Q174" i="1"/>
  <c r="O68" i="1"/>
  <c r="W38" i="1"/>
  <c r="T62" i="1"/>
  <c r="Q122" i="1"/>
  <c r="T118" i="1"/>
  <c r="N112" i="1"/>
  <c r="O66" i="1"/>
  <c r="K112" i="1"/>
  <c r="M50" i="1"/>
  <c r="K174" i="1"/>
  <c r="M28" i="1"/>
  <c r="O116" i="1"/>
  <c r="R114" i="1"/>
  <c r="O118" i="1"/>
  <c r="R118" i="1"/>
  <c r="K24" i="1"/>
  <c r="Q66" i="1"/>
  <c r="U108" i="1"/>
  <c r="O102" i="1"/>
  <c r="V78" i="1"/>
  <c r="U106" i="1"/>
  <c r="Q82" i="1"/>
  <c r="M118" i="1"/>
  <c r="U84" i="1"/>
  <c r="L22" i="1"/>
  <c r="L28" i="1"/>
  <c r="T100" i="1"/>
  <c r="J70" i="1"/>
  <c r="P52" i="1"/>
  <c r="B21" i="26"/>
  <c r="A21" i="26" s="1"/>
  <c r="B75" i="37"/>
  <c r="A75" i="37" s="1"/>
  <c r="B83" i="37"/>
  <c r="A83" i="37" s="1"/>
  <c r="B99" i="37"/>
  <c r="A99" i="37" s="1"/>
  <c r="B76" i="36"/>
  <c r="A76" i="36" s="1"/>
  <c r="B84" i="36"/>
  <c r="A84" i="36" s="1"/>
  <c r="B110" i="36"/>
  <c r="A110" i="36" s="1"/>
  <c r="B93" i="35"/>
  <c r="A93" i="35" s="1"/>
  <c r="B159" i="35"/>
  <c r="A159" i="35" s="1"/>
  <c r="B94" i="34"/>
  <c r="A94" i="34" s="1"/>
  <c r="B102" i="34"/>
  <c r="A102" i="34" s="1"/>
  <c r="B87" i="33"/>
  <c r="A87" i="33" s="1"/>
  <c r="B95" i="33"/>
  <c r="A95" i="33" s="1"/>
  <c r="B103" i="33"/>
  <c r="A103" i="33" s="1"/>
  <c r="B75" i="32"/>
  <c r="A75" i="32" s="1"/>
  <c r="B83" i="32"/>
  <c r="A83" i="32" s="1"/>
  <c r="B96" i="31"/>
  <c r="A96" i="31" s="1"/>
  <c r="N74" i="47"/>
  <c r="B96" i="27"/>
  <c r="A96" i="27" s="1"/>
  <c r="B57" i="29"/>
  <c r="A57" i="29" s="1"/>
  <c r="B87" i="28"/>
  <c r="A87" i="28" s="1"/>
  <c r="B64" i="27"/>
  <c r="A64" i="27" s="1"/>
  <c r="B33" i="26"/>
  <c r="A33" i="26" s="1"/>
  <c r="B46" i="29"/>
  <c r="A46" i="29" s="1"/>
  <c r="B49" i="27"/>
  <c r="A49" i="27" s="1"/>
  <c r="B44" i="26"/>
  <c r="A44" i="26" s="1"/>
  <c r="B33" i="29"/>
  <c r="A33" i="29" s="1"/>
  <c r="B32" i="30"/>
  <c r="A32" i="30" s="1"/>
  <c r="B62" i="26"/>
  <c r="A62" i="26" s="1"/>
  <c r="B67" i="28"/>
  <c r="A67" i="28" s="1"/>
  <c r="B104" i="29"/>
  <c r="A104" i="29" s="1"/>
  <c r="B15" i="27"/>
  <c r="A15" i="27" s="1"/>
  <c r="B26" i="26"/>
  <c r="A26" i="26" s="1"/>
  <c r="B59" i="30"/>
  <c r="A59" i="30" s="1"/>
  <c r="B76" i="27"/>
  <c r="A76" i="27" s="1"/>
  <c r="B54" i="28"/>
  <c r="A54" i="28" s="1"/>
  <c r="B95" i="27"/>
  <c r="A95" i="27" s="1"/>
  <c r="B93" i="29"/>
  <c r="A93" i="29" s="1"/>
  <c r="B69" i="26"/>
  <c r="A69" i="26" s="1"/>
  <c r="B56" i="26"/>
  <c r="A56" i="26" s="1"/>
  <c r="B49" i="30"/>
  <c r="A49" i="30" s="1"/>
  <c r="B29" i="29"/>
  <c r="A29" i="29" s="1"/>
  <c r="B33" i="30"/>
  <c r="A33" i="30" s="1"/>
  <c r="B72" i="26"/>
  <c r="A72" i="26" s="1"/>
  <c r="B104" i="30"/>
  <c r="A104" i="30" s="1"/>
  <c r="B65" i="27"/>
  <c r="A65" i="27" s="1"/>
  <c r="B85" i="30"/>
  <c r="A85" i="30" s="1"/>
  <c r="B101" i="28"/>
  <c r="A101" i="28" s="1"/>
  <c r="B93" i="26"/>
  <c r="A93" i="26" s="1"/>
  <c r="B14" i="30"/>
  <c r="A14" i="30" s="1"/>
  <c r="B60" i="29"/>
  <c r="A60" i="29" s="1"/>
  <c r="B101" i="26"/>
  <c r="A101" i="26" s="1"/>
  <c r="B29" i="26"/>
  <c r="A29" i="26" s="1"/>
  <c r="B10" i="27"/>
  <c r="A10" i="27" s="1"/>
  <c r="B74" i="27"/>
  <c r="A74" i="27" s="1"/>
  <c r="B36" i="30"/>
  <c r="A36" i="30" s="1"/>
  <c r="B9" i="29"/>
  <c r="A9" i="29" s="1"/>
  <c r="B17" i="28"/>
  <c r="A17" i="28" s="1"/>
  <c r="B102" i="26"/>
  <c r="A102" i="26" s="1"/>
  <c r="B69" i="27"/>
  <c r="A69" i="27" s="1"/>
  <c r="B47" i="30"/>
  <c r="A47" i="30" s="1"/>
  <c r="B44" i="29"/>
  <c r="A44" i="29" s="1"/>
  <c r="B55" i="28"/>
  <c r="A55" i="28" s="1"/>
  <c r="B95" i="26"/>
  <c r="A95" i="26" s="1"/>
  <c r="B54" i="27"/>
  <c r="A54" i="27" s="1"/>
  <c r="B16" i="30"/>
  <c r="A16" i="30" s="1"/>
  <c r="B21" i="29"/>
  <c r="A21" i="29" s="1"/>
  <c r="B29" i="28"/>
  <c r="A29" i="28" s="1"/>
  <c r="B8" i="26"/>
  <c r="A8" i="26" s="1"/>
  <c r="B71" i="30"/>
  <c r="A71" i="30" s="1"/>
  <c r="B32" i="29"/>
  <c r="A32" i="29" s="1"/>
  <c r="B96" i="29"/>
  <c r="A96" i="29" s="1"/>
  <c r="B57" i="28"/>
  <c r="A57" i="28" s="1"/>
  <c r="B107" i="27"/>
  <c r="A107" i="27" s="1"/>
  <c r="A111" i="1"/>
  <c r="A112" i="1" s="1"/>
  <c r="A107" i="1"/>
  <c r="A108" i="1" s="1"/>
  <c r="A43" i="1"/>
  <c r="A44" i="1" s="1"/>
  <c r="A5" i="1"/>
  <c r="A6" i="1" s="1"/>
  <c r="A73" i="1"/>
  <c r="A74" i="1" s="1"/>
  <c r="A175" i="1"/>
  <c r="A176" i="1" s="1"/>
  <c r="A101" i="1"/>
  <c r="A102" i="1" s="1"/>
  <c r="A33" i="1"/>
  <c r="A34" i="1" s="1"/>
  <c r="A79" i="1"/>
  <c r="A80" i="1" s="1"/>
  <c r="H74" i="47"/>
  <c r="F74" i="47"/>
  <c r="B146" i="31"/>
  <c r="A146" i="31" s="1"/>
  <c r="B140" i="31"/>
  <c r="A140" i="31" s="1"/>
  <c r="B132" i="31"/>
  <c r="A132" i="31" s="1"/>
  <c r="B116" i="31"/>
  <c r="A116" i="31" s="1"/>
  <c r="B153" i="32"/>
  <c r="A153" i="32" s="1"/>
  <c r="B150" i="32"/>
  <c r="A150" i="32" s="1"/>
  <c r="B141" i="32"/>
  <c r="A141" i="32" s="1"/>
  <c r="B129" i="32"/>
  <c r="A129" i="32" s="1"/>
  <c r="B123" i="32"/>
  <c r="A123" i="32" s="1"/>
  <c r="B115" i="32"/>
  <c r="A115" i="32" s="1"/>
  <c r="B117" i="33"/>
  <c r="A117" i="33" s="1"/>
  <c r="B149" i="34"/>
  <c r="A149" i="34" s="1"/>
  <c r="B133" i="34"/>
  <c r="A133" i="34" s="1"/>
  <c r="B117" i="34"/>
  <c r="A117" i="34" s="1"/>
  <c r="B149" i="35"/>
  <c r="A149" i="35" s="1"/>
  <c r="B133" i="35"/>
  <c r="A133" i="35" s="1"/>
  <c r="B120" i="35"/>
  <c r="A120" i="35" s="1"/>
  <c r="B112" i="35"/>
  <c r="A112" i="35" s="1"/>
  <c r="B152" i="36"/>
  <c r="A152" i="36" s="1"/>
  <c r="B136" i="36"/>
  <c r="A136" i="36" s="1"/>
  <c r="B120" i="36"/>
  <c r="A120" i="36" s="1"/>
  <c r="B152" i="37"/>
  <c r="A152" i="37" s="1"/>
  <c r="B136" i="37"/>
  <c r="A136" i="37" s="1"/>
  <c r="B120" i="37"/>
  <c r="A120" i="37" s="1"/>
  <c r="B129" i="34"/>
  <c r="A129" i="34" s="1"/>
  <c r="B154" i="36"/>
  <c r="A154" i="36" s="1"/>
  <c r="B122" i="36"/>
  <c r="A122" i="36" s="1"/>
  <c r="B138" i="37"/>
  <c r="A138" i="37" s="1"/>
  <c r="B144" i="35"/>
  <c r="A144" i="35" s="1"/>
  <c r="B129" i="36"/>
  <c r="A129" i="36" s="1"/>
  <c r="B137" i="37"/>
  <c r="A137" i="37" s="1"/>
  <c r="B123" i="31"/>
  <c r="A123" i="31" s="1"/>
  <c r="B158" i="32"/>
  <c r="A158" i="32" s="1"/>
  <c r="B131" i="32"/>
  <c r="A131" i="32" s="1"/>
  <c r="B117" i="32"/>
  <c r="A117" i="32" s="1"/>
  <c r="B156" i="33"/>
  <c r="A156" i="33" s="1"/>
  <c r="B138" i="33"/>
  <c r="A138" i="33" s="1"/>
  <c r="B120" i="33"/>
  <c r="A120" i="33" s="1"/>
  <c r="B152" i="34"/>
  <c r="A152" i="34" s="1"/>
  <c r="B136" i="34"/>
  <c r="A136" i="34" s="1"/>
  <c r="B120" i="34"/>
  <c r="A120" i="34" s="1"/>
  <c r="B152" i="35"/>
  <c r="A152" i="35" s="1"/>
  <c r="B136" i="35"/>
  <c r="A136" i="35" s="1"/>
  <c r="B117" i="35"/>
  <c r="A117" i="35" s="1"/>
  <c r="B157" i="36"/>
  <c r="A157" i="36" s="1"/>
  <c r="B149" i="36"/>
  <c r="A149" i="36" s="1"/>
  <c r="B141" i="36"/>
  <c r="A141" i="36" s="1"/>
  <c r="B133" i="36"/>
  <c r="A133" i="36" s="1"/>
  <c r="B125" i="36"/>
  <c r="A125" i="36" s="1"/>
  <c r="B117" i="36"/>
  <c r="A117" i="36" s="1"/>
  <c r="B157" i="37"/>
  <c r="A157" i="37" s="1"/>
  <c r="B149" i="37"/>
  <c r="A149" i="37" s="1"/>
  <c r="B141" i="37"/>
  <c r="A141" i="37" s="1"/>
  <c r="B133" i="37"/>
  <c r="A133" i="37" s="1"/>
  <c r="B125" i="37"/>
  <c r="A125" i="37" s="1"/>
  <c r="B117" i="37"/>
  <c r="A117" i="37" s="1"/>
  <c r="B148" i="31"/>
  <c r="A148" i="31" s="1"/>
  <c r="B137" i="31"/>
  <c r="A137" i="31" s="1"/>
  <c r="B134" i="31"/>
  <c r="A134" i="31" s="1"/>
  <c r="B125" i="31"/>
  <c r="A125" i="31" s="1"/>
  <c r="B113" i="31"/>
  <c r="A113" i="31" s="1"/>
  <c r="B155" i="32"/>
  <c r="A155" i="32" s="1"/>
  <c r="B140" i="33"/>
  <c r="A140" i="33" s="1"/>
  <c r="B145" i="34"/>
  <c r="A145" i="34" s="1"/>
  <c r="B138" i="36"/>
  <c r="A138" i="36" s="1"/>
  <c r="B146" i="37"/>
  <c r="A146" i="37" s="1"/>
  <c r="B122" i="37"/>
  <c r="A122" i="37" s="1"/>
  <c r="B112" i="33"/>
  <c r="A112" i="33" s="1"/>
  <c r="B128" i="35"/>
  <c r="A128" i="35" s="1"/>
  <c r="B113" i="36"/>
  <c r="A113" i="36" s="1"/>
  <c r="B121" i="37"/>
  <c r="A121" i="37" s="1"/>
  <c r="B155" i="31"/>
  <c r="A155" i="31" s="1"/>
  <c r="B142" i="31"/>
  <c r="A142" i="31" s="1"/>
  <c r="B115" i="31"/>
  <c r="A115" i="31" s="1"/>
  <c r="B149" i="32"/>
  <c r="A149" i="32" s="1"/>
  <c r="B140" i="32"/>
  <c r="A140" i="32" s="1"/>
  <c r="B122" i="32"/>
  <c r="A122" i="32" s="1"/>
  <c r="B116" i="33"/>
  <c r="A116" i="33" s="1"/>
  <c r="B148" i="34"/>
  <c r="A148" i="34" s="1"/>
  <c r="B132" i="34"/>
  <c r="A132" i="34" s="1"/>
  <c r="B116" i="34"/>
  <c r="A116" i="34" s="1"/>
  <c r="B148" i="35"/>
  <c r="A148" i="35" s="1"/>
  <c r="B132" i="35"/>
  <c r="A132" i="35" s="1"/>
  <c r="B119" i="35"/>
  <c r="A119" i="35" s="1"/>
  <c r="B111" i="35"/>
  <c r="A111" i="35" s="1"/>
  <c r="B151" i="36"/>
  <c r="A151" i="36" s="1"/>
  <c r="B143" i="36"/>
  <c r="A143" i="36" s="1"/>
  <c r="B135" i="36"/>
  <c r="A135" i="36" s="1"/>
  <c r="B127" i="36"/>
  <c r="A127" i="36" s="1"/>
  <c r="B119" i="36"/>
  <c r="A119" i="36" s="1"/>
  <c r="B111" i="36"/>
  <c r="A111" i="36" s="1"/>
  <c r="B151" i="37"/>
  <c r="A151" i="37" s="1"/>
  <c r="B143" i="37"/>
  <c r="A143" i="37" s="1"/>
  <c r="B135" i="37"/>
  <c r="A135" i="37" s="1"/>
  <c r="B127" i="37"/>
  <c r="A127" i="37" s="1"/>
  <c r="B119" i="37"/>
  <c r="A119" i="37" s="1"/>
  <c r="B111" i="37"/>
  <c r="A111" i="37" s="1"/>
  <c r="B124" i="37"/>
  <c r="A124" i="37" s="1"/>
  <c r="B155" i="33"/>
  <c r="A155" i="33" s="1"/>
  <c r="B145" i="36"/>
  <c r="A145" i="36" s="1"/>
  <c r="B157" i="31"/>
  <c r="A157" i="31" s="1"/>
  <c r="B145" i="31"/>
  <c r="A145" i="31" s="1"/>
  <c r="B139" i="31"/>
  <c r="A139" i="31" s="1"/>
  <c r="B131" i="31"/>
  <c r="A131" i="31" s="1"/>
  <c r="B130" i="32"/>
  <c r="A130" i="32" s="1"/>
  <c r="B124" i="32"/>
  <c r="A124" i="32" s="1"/>
  <c r="B116" i="32"/>
  <c r="A116" i="32" s="1"/>
  <c r="B148" i="33"/>
  <c r="A148" i="33" s="1"/>
  <c r="B137" i="33"/>
  <c r="A137" i="33" s="1"/>
  <c r="B134" i="33"/>
  <c r="A134" i="33" s="1"/>
  <c r="B125" i="33"/>
  <c r="A125" i="33" s="1"/>
  <c r="B157" i="34"/>
  <c r="A157" i="34" s="1"/>
  <c r="B141" i="34"/>
  <c r="A141" i="34" s="1"/>
  <c r="B125" i="34"/>
  <c r="A125" i="34" s="1"/>
  <c r="B157" i="35"/>
  <c r="A157" i="35" s="1"/>
  <c r="B141" i="35"/>
  <c r="A141" i="35" s="1"/>
  <c r="B125" i="35"/>
  <c r="A125" i="35" s="1"/>
  <c r="B116" i="35"/>
  <c r="A116" i="35" s="1"/>
  <c r="B156" i="36"/>
  <c r="A156" i="36" s="1"/>
  <c r="B148" i="36"/>
  <c r="A148" i="36" s="1"/>
  <c r="B140" i="36"/>
  <c r="A140" i="36" s="1"/>
  <c r="B132" i="36"/>
  <c r="A132" i="36" s="1"/>
  <c r="B124" i="36"/>
  <c r="A124" i="36" s="1"/>
  <c r="B116" i="36"/>
  <c r="A116" i="36" s="1"/>
  <c r="B156" i="37"/>
  <c r="A156" i="37" s="1"/>
  <c r="B148" i="37"/>
  <c r="A148" i="37" s="1"/>
  <c r="B140" i="37"/>
  <c r="A140" i="37" s="1"/>
  <c r="B132" i="37"/>
  <c r="A132" i="37" s="1"/>
  <c r="B116" i="37"/>
  <c r="A116" i="37" s="1"/>
  <c r="B147" i="31"/>
  <c r="A147" i="31" s="1"/>
  <c r="B133" i="31"/>
  <c r="A133" i="31" s="1"/>
  <c r="B124" i="31"/>
  <c r="A124" i="31" s="1"/>
  <c r="B154" i="32"/>
  <c r="A154" i="32" s="1"/>
  <c r="B142" i="33"/>
  <c r="A142" i="33" s="1"/>
  <c r="B112" i="34"/>
  <c r="A112" i="34" s="1"/>
  <c r="B137" i="36"/>
  <c r="A137" i="36" s="1"/>
  <c r="B113" i="37"/>
  <c r="A113" i="37" s="1"/>
  <c r="B114" i="31"/>
  <c r="A114" i="31" s="1"/>
  <c r="B156" i="32"/>
  <c r="A156" i="32" s="1"/>
  <c r="B148" i="32"/>
  <c r="A148" i="32" s="1"/>
  <c r="B132" i="32"/>
  <c r="A132" i="32" s="1"/>
  <c r="B121" i="32"/>
  <c r="A121" i="32" s="1"/>
  <c r="B118" i="32"/>
  <c r="A118" i="32" s="1"/>
  <c r="B157" i="33"/>
  <c r="A157" i="33" s="1"/>
  <c r="B145" i="33"/>
  <c r="A145" i="33" s="1"/>
  <c r="B139" i="33"/>
  <c r="A139" i="33" s="1"/>
  <c r="B131" i="33"/>
  <c r="A131" i="33" s="1"/>
  <c r="B121" i="33"/>
  <c r="A121" i="33" s="1"/>
  <c r="B153" i="34"/>
  <c r="A153" i="34" s="1"/>
  <c r="B137" i="34"/>
  <c r="A137" i="34" s="1"/>
  <c r="B121" i="34"/>
  <c r="A121" i="34" s="1"/>
  <c r="B153" i="35"/>
  <c r="A153" i="35" s="1"/>
  <c r="B137" i="35"/>
  <c r="A137" i="35" s="1"/>
  <c r="B118" i="35"/>
  <c r="A118" i="35" s="1"/>
  <c r="B158" i="36"/>
  <c r="A158" i="36" s="1"/>
  <c r="B150" i="36"/>
  <c r="A150" i="36" s="1"/>
  <c r="B142" i="36"/>
  <c r="A142" i="36" s="1"/>
  <c r="B134" i="36"/>
  <c r="A134" i="36" s="1"/>
  <c r="B126" i="36"/>
  <c r="A126" i="36" s="1"/>
  <c r="B118" i="36"/>
  <c r="A118" i="36" s="1"/>
  <c r="B158" i="37"/>
  <c r="A158" i="37" s="1"/>
  <c r="B150" i="37"/>
  <c r="A150" i="37" s="1"/>
  <c r="B142" i="37"/>
  <c r="A142" i="37" s="1"/>
  <c r="B134" i="37"/>
  <c r="A134" i="37" s="1"/>
  <c r="B126" i="37"/>
  <c r="A126" i="37" s="1"/>
  <c r="B118" i="37"/>
  <c r="A118" i="37" s="1"/>
  <c r="B132" i="33"/>
  <c r="A132" i="33" s="1"/>
  <c r="B113" i="33"/>
  <c r="A113" i="33" s="1"/>
  <c r="B129" i="35"/>
  <c r="A129" i="35" s="1"/>
  <c r="B146" i="36"/>
  <c r="A146" i="36" s="1"/>
  <c r="B114" i="36"/>
  <c r="A114" i="36" s="1"/>
  <c r="B130" i="37"/>
  <c r="A130" i="37" s="1"/>
  <c r="B144" i="34"/>
  <c r="A144" i="34" s="1"/>
  <c r="B113" i="35"/>
  <c r="A113" i="35" s="1"/>
  <c r="B153" i="37"/>
  <c r="A153" i="37" s="1"/>
  <c r="B129" i="37"/>
  <c r="A129" i="37" s="1"/>
  <c r="B156" i="31"/>
  <c r="A156" i="31" s="1"/>
  <c r="B138" i="31"/>
  <c r="A138" i="31" s="1"/>
  <c r="B139" i="32"/>
  <c r="A139" i="32" s="1"/>
  <c r="B126" i="32"/>
  <c r="A126" i="32" s="1"/>
  <c r="B147" i="33"/>
  <c r="A147" i="33" s="1"/>
  <c r="B133" i="33"/>
  <c r="A133" i="33" s="1"/>
  <c r="B124" i="33"/>
  <c r="A124" i="33" s="1"/>
  <c r="B156" i="34"/>
  <c r="A156" i="34" s="1"/>
  <c r="B140" i="34"/>
  <c r="A140" i="34" s="1"/>
  <c r="B124" i="34"/>
  <c r="A124" i="34" s="1"/>
  <c r="B156" i="35"/>
  <c r="A156" i="35" s="1"/>
  <c r="B140" i="35"/>
  <c r="A140" i="35" s="1"/>
  <c r="B124" i="35"/>
  <c r="A124" i="35" s="1"/>
  <c r="B115" i="35"/>
  <c r="A115" i="35" s="1"/>
  <c r="B155" i="36"/>
  <c r="A155" i="36" s="1"/>
  <c r="B147" i="36"/>
  <c r="A147" i="36" s="1"/>
  <c r="B139" i="36"/>
  <c r="A139" i="36" s="1"/>
  <c r="B131" i="36"/>
  <c r="A131" i="36" s="1"/>
  <c r="B123" i="36"/>
  <c r="A123" i="36" s="1"/>
  <c r="B115" i="36"/>
  <c r="A115" i="36" s="1"/>
  <c r="B155" i="37"/>
  <c r="A155" i="37" s="1"/>
  <c r="B147" i="37"/>
  <c r="A147" i="37" s="1"/>
  <c r="B139" i="37"/>
  <c r="A139" i="37" s="1"/>
  <c r="B131" i="37"/>
  <c r="A131" i="37" s="1"/>
  <c r="B123" i="37"/>
  <c r="A123" i="37" s="1"/>
  <c r="B115" i="37"/>
  <c r="A115" i="37" s="1"/>
  <c r="B144" i="36"/>
  <c r="A144" i="36" s="1"/>
  <c r="B128" i="36"/>
  <c r="A128" i="36" s="1"/>
  <c r="B112" i="36"/>
  <c r="A112" i="36" s="1"/>
  <c r="B144" i="37"/>
  <c r="A144" i="37" s="1"/>
  <c r="B128" i="37"/>
  <c r="A128" i="37" s="1"/>
  <c r="B112" i="37"/>
  <c r="A112" i="37" s="1"/>
  <c r="B147" i="32"/>
  <c r="A147" i="32" s="1"/>
  <c r="B146" i="33"/>
  <c r="A146" i="33" s="1"/>
  <c r="B113" i="34"/>
  <c r="A113" i="34" s="1"/>
  <c r="B145" i="35"/>
  <c r="A145" i="35" s="1"/>
  <c r="B114" i="35"/>
  <c r="A114" i="35" s="1"/>
  <c r="B130" i="36"/>
  <c r="A130" i="36" s="1"/>
  <c r="B154" i="37"/>
  <c r="A154" i="37" s="1"/>
  <c r="B114" i="37"/>
  <c r="A114" i="37" s="1"/>
  <c r="B128" i="34"/>
  <c r="A128" i="34" s="1"/>
  <c r="B153" i="36"/>
  <c r="A153" i="36" s="1"/>
  <c r="B121" i="36"/>
  <c r="A121" i="36" s="1"/>
  <c r="B145" i="37"/>
  <c r="A145" i="37" s="1"/>
  <c r="B135" i="34"/>
  <c r="A135" i="34" s="1"/>
  <c r="B144" i="32"/>
  <c r="A144" i="32" s="1"/>
  <c r="B130" i="35"/>
  <c r="A130" i="35" s="1"/>
  <c r="B146" i="34"/>
  <c r="A146" i="34" s="1"/>
  <c r="B120" i="31"/>
  <c r="A120" i="31" s="1"/>
  <c r="B121" i="35"/>
  <c r="A121" i="35" s="1"/>
  <c r="B134" i="34"/>
  <c r="A134" i="34" s="1"/>
  <c r="B151" i="32"/>
  <c r="A151" i="32" s="1"/>
  <c r="B144" i="31"/>
  <c r="A144" i="31" s="1"/>
  <c r="B138" i="35"/>
  <c r="A138" i="35" s="1"/>
  <c r="B143" i="33"/>
  <c r="A143" i="33" s="1"/>
  <c r="B151" i="34"/>
  <c r="A151" i="34" s="1"/>
  <c r="B155" i="35"/>
  <c r="A155" i="35" s="1"/>
  <c r="B123" i="33"/>
  <c r="A123" i="33" s="1"/>
  <c r="B138" i="32"/>
  <c r="A138" i="32" s="1"/>
  <c r="B150" i="33"/>
  <c r="A150" i="33" s="1"/>
  <c r="B112" i="31"/>
  <c r="A112" i="31" s="1"/>
  <c r="B126" i="35"/>
  <c r="A126" i="35" s="1"/>
  <c r="B154" i="34"/>
  <c r="A154" i="34" s="1"/>
  <c r="B129" i="31"/>
  <c r="A129" i="31" s="1"/>
  <c r="B143" i="35"/>
  <c r="A143" i="35" s="1"/>
  <c r="B111" i="33"/>
  <c r="A111" i="33" s="1"/>
  <c r="B126" i="31"/>
  <c r="A126" i="31" s="1"/>
  <c r="B131" i="35"/>
  <c r="A131" i="35" s="1"/>
  <c r="B147" i="34"/>
  <c r="A147" i="34" s="1"/>
  <c r="B117" i="31"/>
  <c r="A117" i="31" s="1"/>
  <c r="B128" i="33"/>
  <c r="A128" i="33" s="1"/>
  <c r="B119" i="34"/>
  <c r="A119" i="34" s="1"/>
  <c r="B114" i="32"/>
  <c r="A114" i="32" s="1"/>
  <c r="B122" i="33"/>
  <c r="A122" i="33" s="1"/>
  <c r="B158" i="35"/>
  <c r="A158" i="35" s="1"/>
  <c r="B126" i="33"/>
  <c r="A126" i="33" s="1"/>
  <c r="B119" i="31"/>
  <c r="A119" i="31" s="1"/>
  <c r="B115" i="34"/>
  <c r="A115" i="34" s="1"/>
  <c r="B119" i="32"/>
  <c r="A119" i="32" s="1"/>
  <c r="B143" i="31"/>
  <c r="A143" i="31" s="1"/>
  <c r="B146" i="35"/>
  <c r="A146" i="35" s="1"/>
  <c r="B114" i="33"/>
  <c r="A114" i="33" s="1"/>
  <c r="B135" i="31"/>
  <c r="A135" i="31" s="1"/>
  <c r="B134" i="35"/>
  <c r="A134" i="35" s="1"/>
  <c r="B150" i="34"/>
  <c r="A150" i="34" s="1"/>
  <c r="B121" i="31"/>
  <c r="A121" i="31" s="1"/>
  <c r="B113" i="32"/>
  <c r="A113" i="32" s="1"/>
  <c r="B119" i="33"/>
  <c r="A119" i="33" s="1"/>
  <c r="B128" i="32"/>
  <c r="A128" i="32" s="1"/>
  <c r="B152" i="33"/>
  <c r="A152" i="33" s="1"/>
  <c r="B123" i="34"/>
  <c r="A123" i="34" s="1"/>
  <c r="B135" i="33"/>
  <c r="A135" i="33" s="1"/>
  <c r="B152" i="31"/>
  <c r="A152" i="31" s="1"/>
  <c r="B130" i="33"/>
  <c r="A130" i="33" s="1"/>
  <c r="B127" i="34"/>
  <c r="A127" i="34" s="1"/>
  <c r="B112" i="32"/>
  <c r="A112" i="32" s="1"/>
  <c r="B151" i="33"/>
  <c r="A151" i="33" s="1"/>
  <c r="B157" i="32"/>
  <c r="A157" i="32" s="1"/>
  <c r="B142" i="34"/>
  <c r="A142" i="34" s="1"/>
  <c r="B118" i="31"/>
  <c r="A118" i="31" s="1"/>
  <c r="B151" i="35"/>
  <c r="A151" i="35" s="1"/>
  <c r="B111" i="34"/>
  <c r="A111" i="34" s="1"/>
  <c r="B127" i="33"/>
  <c r="A127" i="33" s="1"/>
  <c r="B149" i="31"/>
  <c r="A149" i="31" s="1"/>
  <c r="B147" i="35"/>
  <c r="A147" i="35" s="1"/>
  <c r="B115" i="33"/>
  <c r="A115" i="33" s="1"/>
  <c r="B127" i="31"/>
  <c r="A127" i="31" s="1"/>
  <c r="B127" i="32"/>
  <c r="A127" i="32" s="1"/>
  <c r="B158" i="33"/>
  <c r="A158" i="33" s="1"/>
  <c r="B152" i="32"/>
  <c r="A152" i="32" s="1"/>
  <c r="B143" i="32"/>
  <c r="A143" i="32" s="1"/>
  <c r="B126" i="34"/>
  <c r="A126" i="34" s="1"/>
  <c r="B149" i="33"/>
  <c r="A149" i="33" s="1"/>
  <c r="B158" i="31"/>
  <c r="A158" i="31" s="1"/>
  <c r="B138" i="34"/>
  <c r="A138" i="34" s="1"/>
  <c r="B150" i="31"/>
  <c r="A150" i="31" s="1"/>
  <c r="B136" i="33"/>
  <c r="A136" i="33" s="1"/>
  <c r="B111" i="32"/>
  <c r="A111" i="32" s="1"/>
  <c r="B123" i="35"/>
  <c r="A123" i="35" s="1"/>
  <c r="B122" i="34"/>
  <c r="A122" i="34" s="1"/>
  <c r="B114" i="34"/>
  <c r="A114" i="34" s="1"/>
  <c r="B141" i="33"/>
  <c r="A141" i="33" s="1"/>
  <c r="B153" i="31"/>
  <c r="A153" i="31" s="1"/>
  <c r="B150" i="35"/>
  <c r="A150" i="35" s="1"/>
  <c r="B118" i="33"/>
  <c r="A118" i="33" s="1"/>
  <c r="B141" i="31"/>
  <c r="A141" i="31" s="1"/>
  <c r="B146" i="32"/>
  <c r="A146" i="32" s="1"/>
  <c r="B137" i="32"/>
  <c r="A137" i="32" s="1"/>
  <c r="B128" i="31"/>
  <c r="A128" i="31" s="1"/>
  <c r="B122" i="31"/>
  <c r="A122" i="31" s="1"/>
  <c r="B139" i="34"/>
  <c r="A139" i="34" s="1"/>
  <c r="B153" i="33"/>
  <c r="A153" i="33" s="1"/>
  <c r="B144" i="33"/>
  <c r="A144" i="33" s="1"/>
  <c r="B133" i="32"/>
  <c r="A133" i="32" s="1"/>
  <c r="B130" i="34"/>
  <c r="A130" i="34" s="1"/>
  <c r="B154" i="33"/>
  <c r="A154" i="33" s="1"/>
  <c r="B145" i="32"/>
  <c r="A145" i="32" s="1"/>
  <c r="B118" i="34"/>
  <c r="A118" i="34" s="1"/>
  <c r="B136" i="32"/>
  <c r="A136" i="32" s="1"/>
  <c r="B154" i="31"/>
  <c r="A154" i="31" s="1"/>
  <c r="B136" i="31"/>
  <c r="A136" i="31" s="1"/>
  <c r="B151" i="31"/>
  <c r="A151" i="31" s="1"/>
  <c r="B135" i="35"/>
  <c r="A135" i="35" s="1"/>
  <c r="B139" i="35"/>
  <c r="A139" i="35" s="1"/>
  <c r="B155" i="34"/>
  <c r="A155" i="34" s="1"/>
  <c r="B125" i="32"/>
  <c r="A125" i="32" s="1"/>
  <c r="B120" i="32"/>
  <c r="A120" i="32" s="1"/>
  <c r="B127" i="35"/>
  <c r="A127" i="35" s="1"/>
  <c r="B143" i="34"/>
  <c r="A143" i="34" s="1"/>
  <c r="B135" i="32"/>
  <c r="A135" i="32" s="1"/>
  <c r="B130" i="31"/>
  <c r="A130" i="31" s="1"/>
  <c r="B131" i="34"/>
  <c r="A131" i="34" s="1"/>
  <c r="B142" i="32"/>
  <c r="A142" i="32" s="1"/>
  <c r="B111" i="31"/>
  <c r="A111" i="31" s="1"/>
  <c r="B122" i="35"/>
  <c r="A122" i="35" s="1"/>
  <c r="B129" i="33"/>
  <c r="A129" i="33" s="1"/>
  <c r="B154" i="35"/>
  <c r="A154" i="35" s="1"/>
  <c r="B142" i="35"/>
  <c r="A142" i="35" s="1"/>
  <c r="B158" i="34"/>
  <c r="A158" i="34" s="1"/>
  <c r="B134" i="32"/>
  <c r="A134" i="32" s="1"/>
  <c r="M74" i="47"/>
  <c r="B150" i="29"/>
  <c r="A150" i="29" s="1"/>
  <c r="B148" i="30"/>
  <c r="A148" i="30" s="1"/>
  <c r="B132" i="30"/>
  <c r="A132" i="30" s="1"/>
  <c r="B121" i="30"/>
  <c r="A121" i="30" s="1"/>
  <c r="B118" i="30"/>
  <c r="A118" i="30" s="1"/>
  <c r="B156" i="26"/>
  <c r="A156" i="26" s="1"/>
  <c r="B148" i="26"/>
  <c r="A148" i="26" s="1"/>
  <c r="B140" i="26"/>
  <c r="A140" i="26" s="1"/>
  <c r="B132" i="26"/>
  <c r="A132" i="26" s="1"/>
  <c r="B124" i="26"/>
  <c r="A124" i="26" s="1"/>
  <c r="B116" i="26"/>
  <c r="A116" i="26" s="1"/>
  <c r="B134" i="26"/>
  <c r="A134" i="26" s="1"/>
  <c r="B118" i="26"/>
  <c r="A118" i="26" s="1"/>
  <c r="B122" i="26"/>
  <c r="A122" i="26" s="1"/>
  <c r="B112" i="28"/>
  <c r="A112" i="28" s="1"/>
  <c r="B127" i="26"/>
  <c r="A127" i="26" s="1"/>
  <c r="B111" i="26"/>
  <c r="A111" i="26" s="1"/>
  <c r="B138" i="30"/>
  <c r="A138" i="30" s="1"/>
  <c r="B126" i="30"/>
  <c r="A126" i="30" s="1"/>
  <c r="B153" i="26"/>
  <c r="A153" i="26" s="1"/>
  <c r="B145" i="26"/>
  <c r="A145" i="26" s="1"/>
  <c r="B137" i="26"/>
  <c r="A137" i="26" s="1"/>
  <c r="B129" i="26"/>
  <c r="A129" i="26" s="1"/>
  <c r="B121" i="26"/>
  <c r="A121" i="26" s="1"/>
  <c r="B113" i="26"/>
  <c r="A113" i="26" s="1"/>
  <c r="B116" i="29"/>
  <c r="A116" i="29" s="1"/>
  <c r="B144" i="30"/>
  <c r="A144" i="30" s="1"/>
  <c r="B129" i="30"/>
  <c r="A129" i="30" s="1"/>
  <c r="B115" i="30"/>
  <c r="A115" i="30" s="1"/>
  <c r="B158" i="26"/>
  <c r="A158" i="26" s="1"/>
  <c r="B142" i="26"/>
  <c r="A142" i="26" s="1"/>
  <c r="B126" i="26"/>
  <c r="A126" i="26" s="1"/>
  <c r="B130" i="30"/>
  <c r="A130" i="30" s="1"/>
  <c r="B146" i="26"/>
  <c r="A146" i="26" s="1"/>
  <c r="B143" i="26"/>
  <c r="A143" i="26" s="1"/>
  <c r="B119" i="26"/>
  <c r="A119" i="26" s="1"/>
  <c r="B123" i="30"/>
  <c r="A123" i="30" s="1"/>
  <c r="B150" i="26"/>
  <c r="A150" i="26" s="1"/>
  <c r="B154" i="26"/>
  <c r="A154" i="26" s="1"/>
  <c r="B128" i="29"/>
  <c r="A128" i="29" s="1"/>
  <c r="B154" i="30"/>
  <c r="A154" i="30" s="1"/>
  <c r="B134" i="30"/>
  <c r="A134" i="30" s="1"/>
  <c r="B131" i="30"/>
  <c r="A131" i="30" s="1"/>
  <c r="B117" i="30"/>
  <c r="A117" i="30" s="1"/>
  <c r="B155" i="26"/>
  <c r="A155" i="26" s="1"/>
  <c r="B147" i="26"/>
  <c r="A147" i="26" s="1"/>
  <c r="B139" i="26"/>
  <c r="A139" i="26" s="1"/>
  <c r="B131" i="26"/>
  <c r="A131" i="26" s="1"/>
  <c r="B123" i="26"/>
  <c r="A123" i="26" s="1"/>
  <c r="B115" i="26"/>
  <c r="A115" i="26" s="1"/>
  <c r="B152" i="26"/>
  <c r="A152" i="26" s="1"/>
  <c r="B128" i="26"/>
  <c r="A128" i="26" s="1"/>
  <c r="B112" i="26"/>
  <c r="A112" i="26" s="1"/>
  <c r="B116" i="28"/>
  <c r="A116" i="28" s="1"/>
  <c r="B116" i="30"/>
  <c r="A116" i="30" s="1"/>
  <c r="B130" i="26"/>
  <c r="A130" i="26" s="1"/>
  <c r="B134" i="29"/>
  <c r="A134" i="29" s="1"/>
  <c r="B142" i="30"/>
  <c r="A142" i="30" s="1"/>
  <c r="B135" i="26"/>
  <c r="A135" i="26" s="1"/>
  <c r="B158" i="29"/>
  <c r="A158" i="29" s="1"/>
  <c r="B142" i="29"/>
  <c r="A142" i="29" s="1"/>
  <c r="B132" i="29"/>
  <c r="A132" i="29" s="1"/>
  <c r="B122" i="29"/>
  <c r="A122" i="29" s="1"/>
  <c r="B144" i="26"/>
  <c r="A144" i="26" s="1"/>
  <c r="B136" i="26"/>
  <c r="A136" i="26" s="1"/>
  <c r="B120" i="26"/>
  <c r="A120" i="26" s="1"/>
  <c r="B154" i="29"/>
  <c r="A154" i="29" s="1"/>
  <c r="B124" i="30"/>
  <c r="A124" i="30" s="1"/>
  <c r="B138" i="26"/>
  <c r="A138" i="26" s="1"/>
  <c r="B151" i="26"/>
  <c r="A151" i="26" s="1"/>
  <c r="B148" i="29"/>
  <c r="A148" i="29" s="1"/>
  <c r="B138" i="29"/>
  <c r="A138" i="29" s="1"/>
  <c r="B112" i="29"/>
  <c r="A112" i="29" s="1"/>
  <c r="B122" i="30"/>
  <c r="A122" i="30" s="1"/>
  <c r="B157" i="26"/>
  <c r="A157" i="26" s="1"/>
  <c r="B149" i="26"/>
  <c r="A149" i="26" s="1"/>
  <c r="B141" i="26"/>
  <c r="A141" i="26" s="1"/>
  <c r="B133" i="26"/>
  <c r="A133" i="26" s="1"/>
  <c r="B125" i="26"/>
  <c r="A125" i="26" s="1"/>
  <c r="B117" i="26"/>
  <c r="A117" i="26" s="1"/>
  <c r="B114" i="26"/>
  <c r="A114" i="26" s="1"/>
  <c r="B144" i="29"/>
  <c r="A144" i="29" s="1"/>
  <c r="B145" i="30"/>
  <c r="A145" i="30" s="1"/>
  <c r="B123" i="27"/>
  <c r="A123" i="27" s="1"/>
  <c r="B127" i="30"/>
  <c r="A127" i="30" s="1"/>
  <c r="B117" i="29"/>
  <c r="A117" i="29" s="1"/>
  <c r="B149" i="30"/>
  <c r="A149" i="30" s="1"/>
  <c r="B128" i="28"/>
  <c r="A128" i="28" s="1"/>
  <c r="B112" i="27"/>
  <c r="A112" i="27" s="1"/>
  <c r="B144" i="27"/>
  <c r="A144" i="27" s="1"/>
  <c r="B139" i="28"/>
  <c r="A139" i="28" s="1"/>
  <c r="B137" i="30"/>
  <c r="A137" i="30" s="1"/>
  <c r="B119" i="29"/>
  <c r="A119" i="29" s="1"/>
  <c r="B141" i="28"/>
  <c r="A141" i="28" s="1"/>
  <c r="B125" i="27"/>
  <c r="A125" i="27" s="1"/>
  <c r="B157" i="27"/>
  <c r="A157" i="27" s="1"/>
  <c r="B126" i="29"/>
  <c r="A126" i="29" s="1"/>
  <c r="B114" i="28"/>
  <c r="A114" i="28" s="1"/>
  <c r="B123" i="29"/>
  <c r="A123" i="29" s="1"/>
  <c r="B122" i="28"/>
  <c r="A122" i="28" s="1"/>
  <c r="B154" i="28"/>
  <c r="A154" i="28" s="1"/>
  <c r="B138" i="27"/>
  <c r="A138" i="27" s="1"/>
  <c r="B151" i="27"/>
  <c r="A151" i="27" s="1"/>
  <c r="B148" i="28"/>
  <c r="A148" i="28" s="1"/>
  <c r="B113" i="28"/>
  <c r="A113" i="28" s="1"/>
  <c r="B145" i="27"/>
  <c r="A145" i="27" s="1"/>
  <c r="B151" i="30"/>
  <c r="A151" i="30" s="1"/>
  <c r="B126" i="27"/>
  <c r="A126" i="27" s="1"/>
  <c r="B114" i="29"/>
  <c r="A114" i="29" s="1"/>
  <c r="B127" i="27"/>
  <c r="A127" i="27" s="1"/>
  <c r="B136" i="30"/>
  <c r="A136" i="30" s="1"/>
  <c r="B123" i="28"/>
  <c r="A123" i="28" s="1"/>
  <c r="B156" i="30"/>
  <c r="A156" i="30" s="1"/>
  <c r="B132" i="28"/>
  <c r="A132" i="28" s="1"/>
  <c r="B116" i="27"/>
  <c r="A116" i="27" s="1"/>
  <c r="B148" i="27"/>
  <c r="A148" i="27" s="1"/>
  <c r="B151" i="28"/>
  <c r="A151" i="28" s="1"/>
  <c r="B143" i="30"/>
  <c r="A143" i="30" s="1"/>
  <c r="B152" i="29"/>
  <c r="A152" i="29" s="1"/>
  <c r="B145" i="28"/>
  <c r="A145" i="28" s="1"/>
  <c r="B129" i="27"/>
  <c r="A129" i="27" s="1"/>
  <c r="B135" i="30"/>
  <c r="A135" i="30" s="1"/>
  <c r="B117" i="28"/>
  <c r="A117" i="28" s="1"/>
  <c r="B112" i="30"/>
  <c r="A112" i="30" s="1"/>
  <c r="B127" i="29"/>
  <c r="A127" i="29" s="1"/>
  <c r="B126" i="28"/>
  <c r="A126" i="28" s="1"/>
  <c r="B158" i="28"/>
  <c r="A158" i="28" s="1"/>
  <c r="B142" i="27"/>
  <c r="A142" i="27" s="1"/>
  <c r="B147" i="27"/>
  <c r="A147" i="27" s="1"/>
  <c r="B157" i="29"/>
  <c r="A157" i="29" s="1"/>
  <c r="B125" i="29"/>
  <c r="A125" i="29" s="1"/>
  <c r="B128" i="27"/>
  <c r="A128" i="27" s="1"/>
  <c r="B145" i="29"/>
  <c r="A145" i="29" s="1"/>
  <c r="B157" i="28"/>
  <c r="A157" i="28" s="1"/>
  <c r="B111" i="30"/>
  <c r="A111" i="30" s="1"/>
  <c r="B141" i="30"/>
  <c r="A141" i="30" s="1"/>
  <c r="B122" i="27"/>
  <c r="A122" i="27" s="1"/>
  <c r="B137" i="29"/>
  <c r="A137" i="29" s="1"/>
  <c r="B139" i="27"/>
  <c r="A139" i="27" s="1"/>
  <c r="B111" i="29"/>
  <c r="A111" i="29" s="1"/>
  <c r="B129" i="28"/>
  <c r="A129" i="28" s="1"/>
  <c r="B125" i="30"/>
  <c r="A125" i="30" s="1"/>
  <c r="B142" i="28"/>
  <c r="A142" i="28" s="1"/>
  <c r="B131" i="29"/>
  <c r="A131" i="29" s="1"/>
  <c r="B131" i="27"/>
  <c r="A131" i="27" s="1"/>
  <c r="B139" i="30"/>
  <c r="A139" i="30" s="1"/>
  <c r="B135" i="28"/>
  <c r="A135" i="28" s="1"/>
  <c r="B115" i="29"/>
  <c r="A115" i="29" s="1"/>
  <c r="B136" i="28"/>
  <c r="A136" i="28" s="1"/>
  <c r="B120" i="27"/>
  <c r="A120" i="27" s="1"/>
  <c r="B152" i="27"/>
  <c r="A152" i="27" s="1"/>
  <c r="B119" i="27"/>
  <c r="A119" i="27" s="1"/>
  <c r="B129" i="29"/>
  <c r="A129" i="29" s="1"/>
  <c r="B155" i="29"/>
  <c r="A155" i="29" s="1"/>
  <c r="B149" i="28"/>
  <c r="A149" i="28" s="1"/>
  <c r="B133" i="27"/>
  <c r="A133" i="27" s="1"/>
  <c r="B140" i="29"/>
  <c r="A140" i="29" s="1"/>
  <c r="B120" i="30"/>
  <c r="A120" i="30" s="1"/>
  <c r="B155" i="30"/>
  <c r="A155" i="30" s="1"/>
  <c r="B130" i="29"/>
  <c r="A130" i="29" s="1"/>
  <c r="B130" i="28"/>
  <c r="A130" i="28" s="1"/>
  <c r="B114" i="27"/>
  <c r="A114" i="27" s="1"/>
  <c r="B146" i="27"/>
  <c r="A146" i="27" s="1"/>
  <c r="B147" i="29"/>
  <c r="A147" i="29" s="1"/>
  <c r="B138" i="28"/>
  <c r="A138" i="28" s="1"/>
  <c r="B143" i="28"/>
  <c r="A143" i="28" s="1"/>
  <c r="B151" i="29"/>
  <c r="A151" i="29" s="1"/>
  <c r="B153" i="30"/>
  <c r="A153" i="30" s="1"/>
  <c r="B113" i="27"/>
  <c r="A113" i="27" s="1"/>
  <c r="B139" i="29"/>
  <c r="A139" i="29" s="1"/>
  <c r="B158" i="27"/>
  <c r="A158" i="27" s="1"/>
  <c r="B119" i="28"/>
  <c r="A119" i="28" s="1"/>
  <c r="B135" i="27"/>
  <c r="A135" i="27" s="1"/>
  <c r="B141" i="29"/>
  <c r="A141" i="29" s="1"/>
  <c r="B147" i="28"/>
  <c r="A147" i="28" s="1"/>
  <c r="B118" i="29"/>
  <c r="A118" i="29" s="1"/>
  <c r="B140" i="28"/>
  <c r="A140" i="28" s="1"/>
  <c r="B124" i="27"/>
  <c r="A124" i="27" s="1"/>
  <c r="B156" i="27"/>
  <c r="A156" i="27" s="1"/>
  <c r="B143" i="27"/>
  <c r="A143" i="27" s="1"/>
  <c r="B135" i="29"/>
  <c r="A135" i="29" s="1"/>
  <c r="B121" i="28"/>
  <c r="A121" i="28" s="1"/>
  <c r="B153" i="28"/>
  <c r="A153" i="28" s="1"/>
  <c r="B137" i="27"/>
  <c r="A137" i="27" s="1"/>
  <c r="B156" i="29"/>
  <c r="A156" i="29" s="1"/>
  <c r="B113" i="29"/>
  <c r="A113" i="29" s="1"/>
  <c r="B124" i="29"/>
  <c r="A124" i="29" s="1"/>
  <c r="B133" i="29"/>
  <c r="A133" i="29" s="1"/>
  <c r="B134" i="28"/>
  <c r="A134" i="28" s="1"/>
  <c r="B118" i="27"/>
  <c r="A118" i="27" s="1"/>
  <c r="B150" i="27"/>
  <c r="A150" i="27" s="1"/>
  <c r="B131" i="28"/>
  <c r="A131" i="28" s="1"/>
  <c r="B111" i="27"/>
  <c r="A111" i="27" s="1"/>
  <c r="B144" i="28"/>
  <c r="A144" i="28" s="1"/>
  <c r="B119" i="30"/>
  <c r="A119" i="30" s="1"/>
  <c r="B125" i="28"/>
  <c r="A125" i="28" s="1"/>
  <c r="B141" i="27"/>
  <c r="A141" i="27" s="1"/>
  <c r="B136" i="29"/>
  <c r="A136" i="29" s="1"/>
  <c r="B143" i="29"/>
  <c r="A143" i="29" s="1"/>
  <c r="B154" i="27"/>
  <c r="A154" i="27" s="1"/>
  <c r="B132" i="27"/>
  <c r="A132" i="27" s="1"/>
  <c r="B153" i="29"/>
  <c r="A153" i="29" s="1"/>
  <c r="B155" i="28"/>
  <c r="A155" i="28" s="1"/>
  <c r="B155" i="27"/>
  <c r="A155" i="27" s="1"/>
  <c r="B115" i="28"/>
  <c r="A115" i="28" s="1"/>
  <c r="B133" i="30"/>
  <c r="A133" i="30" s="1"/>
  <c r="B120" i="28"/>
  <c r="A120" i="28" s="1"/>
  <c r="B152" i="28"/>
  <c r="A152" i="28" s="1"/>
  <c r="B136" i="27"/>
  <c r="A136" i="27" s="1"/>
  <c r="B121" i="29"/>
  <c r="A121" i="29" s="1"/>
  <c r="B114" i="30"/>
  <c r="A114" i="30" s="1"/>
  <c r="B140" i="30"/>
  <c r="A140" i="30" s="1"/>
  <c r="B133" i="28"/>
  <c r="A133" i="28" s="1"/>
  <c r="B117" i="27"/>
  <c r="A117" i="27" s="1"/>
  <c r="B149" i="27"/>
  <c r="A149" i="27" s="1"/>
  <c r="B147" i="30"/>
  <c r="A147" i="30" s="1"/>
  <c r="B146" i="29"/>
  <c r="A146" i="29" s="1"/>
  <c r="B158" i="30"/>
  <c r="A158" i="30" s="1"/>
  <c r="B111" i="28"/>
  <c r="A111" i="28" s="1"/>
  <c r="B146" i="28"/>
  <c r="A146" i="28" s="1"/>
  <c r="B130" i="27"/>
  <c r="A130" i="27" s="1"/>
  <c r="B115" i="27"/>
  <c r="A115" i="27" s="1"/>
  <c r="B113" i="30"/>
  <c r="A113" i="30" s="1"/>
  <c r="B152" i="30"/>
  <c r="A152" i="30" s="1"/>
  <c r="B124" i="28"/>
  <c r="A124" i="28" s="1"/>
  <c r="B156" i="28"/>
  <c r="A156" i="28" s="1"/>
  <c r="B140" i="27"/>
  <c r="A140" i="27" s="1"/>
  <c r="B127" i="28"/>
  <c r="A127" i="28" s="1"/>
  <c r="B128" i="30"/>
  <c r="A128" i="30" s="1"/>
  <c r="B137" i="28"/>
  <c r="A137" i="28" s="1"/>
  <c r="B121" i="27"/>
  <c r="A121" i="27" s="1"/>
  <c r="B157" i="30"/>
  <c r="A157" i="30" s="1"/>
  <c r="B120" i="29"/>
  <c r="A120" i="29" s="1"/>
  <c r="B118" i="28"/>
  <c r="A118" i="28" s="1"/>
  <c r="B134" i="27"/>
  <c r="A134" i="27" s="1"/>
  <c r="B146" i="30"/>
  <c r="A146" i="30" s="1"/>
  <c r="B150" i="30"/>
  <c r="A150" i="30" s="1"/>
  <c r="B153" i="27"/>
  <c r="A153" i="27" s="1"/>
  <c r="B149" i="29"/>
  <c r="A149" i="29" s="1"/>
  <c r="B150" i="28"/>
  <c r="A150" i="28" s="1"/>
  <c r="S20" i="1"/>
  <c r="Q68" i="1"/>
  <c r="R106" i="1"/>
  <c r="N98" i="1"/>
  <c r="W46" i="1"/>
  <c r="W104" i="1"/>
  <c r="J60" i="1"/>
  <c r="Q178" i="1"/>
  <c r="N20" i="1"/>
  <c r="P94" i="1"/>
  <c r="M52" i="1"/>
  <c r="S56" i="1"/>
  <c r="N36" i="1"/>
  <c r="Q26" i="1"/>
  <c r="J32" i="1"/>
  <c r="P174" i="1"/>
  <c r="P74" i="1"/>
  <c r="K56" i="1"/>
  <c r="T74" i="1"/>
  <c r="V44" i="1"/>
  <c r="P76" i="1"/>
  <c r="V172" i="1"/>
  <c r="V50" i="1"/>
  <c r="U172" i="1"/>
  <c r="T50" i="1"/>
  <c r="O36" i="1"/>
  <c r="S12" i="1"/>
  <c r="V84" i="1"/>
  <c r="W178" i="1"/>
  <c r="P66" i="1"/>
  <c r="U46" i="1"/>
  <c r="U34" i="1"/>
  <c r="K178" i="1"/>
  <c r="M46" i="1"/>
  <c r="Q28" i="1"/>
  <c r="J50" i="1"/>
  <c r="Q92" i="1"/>
  <c r="O28" i="1"/>
  <c r="N86" i="1"/>
  <c r="T178" i="1"/>
  <c r="T76" i="1"/>
  <c r="V42" i="1"/>
  <c r="M100" i="1"/>
  <c r="S74" i="1"/>
  <c r="S36" i="1"/>
  <c r="O84" i="1"/>
  <c r="T170" i="1"/>
  <c r="L86" i="1"/>
  <c r="K42" i="1"/>
  <c r="V14" i="1"/>
  <c r="T26" i="1"/>
  <c r="Q90" i="1"/>
  <c r="Q52" i="1"/>
  <c r="S104" i="1"/>
  <c r="K54" i="1"/>
  <c r="S52" i="1"/>
  <c r="M14" i="1"/>
  <c r="W122" i="1"/>
  <c r="U90" i="1"/>
  <c r="N30" i="1"/>
  <c r="M22" i="1"/>
  <c r="M172" i="1"/>
  <c r="M92" i="1"/>
  <c r="T52" i="1"/>
  <c r="M98" i="1"/>
  <c r="N54" i="1"/>
  <c r="P28" i="1"/>
  <c r="L78" i="1"/>
  <c r="R74" i="1"/>
  <c r="L14" i="1"/>
  <c r="N44" i="1"/>
  <c r="P14" i="1"/>
  <c r="N10" i="1"/>
  <c r="R122" i="1"/>
  <c r="S42" i="1"/>
  <c r="J108" i="1"/>
  <c r="O90" i="1"/>
  <c r="V28" i="1"/>
  <c r="V52" i="1"/>
  <c r="N106" i="1"/>
  <c r="V6" i="1"/>
  <c r="N34" i="1"/>
  <c r="R90" i="1"/>
  <c r="O58" i="1"/>
  <c r="U76" i="1"/>
  <c r="V26" i="1"/>
  <c r="U28" i="1"/>
  <c r="V56" i="1"/>
  <c r="M178" i="1"/>
  <c r="V36" i="1"/>
  <c r="V62" i="1"/>
  <c r="T70" i="1"/>
  <c r="W32" i="1"/>
  <c r="K88" i="1"/>
  <c r="R60" i="1"/>
  <c r="U102" i="1"/>
  <c r="V76" i="1"/>
  <c r="Q94" i="1"/>
  <c r="J78" i="1"/>
  <c r="Q74" i="1"/>
  <c r="K92" i="1"/>
  <c r="N18" i="1"/>
  <c r="J178" i="1"/>
  <c r="M44" i="1"/>
  <c r="N102" i="1"/>
  <c r="V66" i="1"/>
  <c r="S84" i="1"/>
  <c r="R86" i="1"/>
  <c r="O56" i="1"/>
  <c r="R40" i="1"/>
  <c r="L40" i="1"/>
  <c r="O78" i="1"/>
  <c r="V122" i="1"/>
  <c r="W76" i="1"/>
  <c r="P86" i="1"/>
  <c r="U22" i="1"/>
  <c r="O104" i="1"/>
  <c r="J36" i="1"/>
  <c r="U14" i="1"/>
  <c r="N46" i="1"/>
  <c r="T44" i="1"/>
  <c r="Q60" i="1"/>
  <c r="T14" i="1"/>
  <c r="N28" i="1"/>
  <c r="L84" i="1"/>
  <c r="V74" i="1"/>
  <c r="Q104" i="1"/>
  <c r="L124" i="1"/>
  <c r="J44" i="1"/>
  <c r="M74" i="1"/>
  <c r="V68" i="1"/>
  <c r="J102" i="1"/>
  <c r="J76" i="1"/>
  <c r="U42" i="1"/>
  <c r="O100" i="1"/>
  <c r="S54" i="1"/>
  <c r="T22" i="1"/>
  <c r="K84" i="1"/>
  <c r="W26" i="1"/>
  <c r="Q176" i="1"/>
  <c r="P20" i="1"/>
  <c r="L34" i="1"/>
  <c r="R30" i="1"/>
  <c r="P6" i="1"/>
  <c r="U92" i="1"/>
  <c r="M10" i="1"/>
  <c r="T10" i="1"/>
  <c r="S44" i="1"/>
  <c r="L6" i="1"/>
  <c r="O96" i="1"/>
  <c r="O16" i="1"/>
  <c r="N172" i="1"/>
  <c r="N122" i="1"/>
  <c r="R34" i="1"/>
  <c r="P40" i="1"/>
  <c r="N100" i="1"/>
  <c r="V38" i="1"/>
  <c r="J46" i="1"/>
  <c r="W72" i="1"/>
  <c r="T6" i="1"/>
  <c r="R20" i="1"/>
  <c r="R174" i="1"/>
  <c r="O32" i="1"/>
  <c r="W22" i="1"/>
  <c r="M94" i="1"/>
  <c r="O70" i="1"/>
  <c r="U62" i="1"/>
  <c r="O44" i="1"/>
  <c r="J58" i="1"/>
  <c r="J22" i="1"/>
  <c r="W60" i="1"/>
  <c r="W20" i="1"/>
  <c r="N22" i="1"/>
  <c r="W90" i="1"/>
  <c r="V54" i="1"/>
  <c r="M18" i="1"/>
  <c r="O6" i="1"/>
  <c r="Q78" i="1"/>
  <c r="R48" i="1"/>
  <c r="M80" i="1"/>
  <c r="K104" i="1"/>
  <c r="M170" i="1"/>
  <c r="U54" i="1"/>
  <c r="N52" i="1"/>
  <c r="N76" i="1"/>
  <c r="V80" i="1"/>
  <c r="O64" i="1"/>
  <c r="S178" i="1"/>
  <c r="N90" i="1"/>
  <c r="N80" i="1"/>
  <c r="U18" i="1"/>
  <c r="J16" i="1"/>
  <c r="U64" i="1"/>
  <c r="K20" i="1"/>
  <c r="N6" i="1"/>
  <c r="R12" i="1"/>
  <c r="R108" i="1"/>
  <c r="J124" i="1"/>
  <c r="T28" i="1"/>
  <c r="U86" i="1"/>
  <c r="K96" i="1"/>
  <c r="Q16" i="1"/>
  <c r="L44" i="1"/>
  <c r="U50" i="1"/>
  <c r="Q170" i="1"/>
  <c r="T72" i="1"/>
  <c r="S174" i="1"/>
  <c r="Q44" i="1"/>
  <c r="N88" i="1"/>
  <c r="W52" i="1"/>
  <c r="J10" i="1"/>
  <c r="L26" i="1"/>
  <c r="S70" i="1"/>
  <c r="W96" i="1"/>
  <c r="V96" i="1"/>
  <c r="K72" i="1"/>
  <c r="U32" i="1"/>
  <c r="L74" i="1"/>
  <c r="O86" i="1"/>
  <c r="K64" i="1"/>
  <c r="O54" i="1"/>
  <c r="P70" i="1"/>
  <c r="W54" i="1"/>
  <c r="T82" i="1"/>
  <c r="O40" i="1"/>
  <c r="N124" i="1"/>
  <c r="M30" i="1"/>
  <c r="K34" i="1"/>
  <c r="J122" i="1"/>
  <c r="O88" i="1"/>
  <c r="O76" i="1"/>
  <c r="Q64" i="1"/>
  <c r="M40" i="1"/>
  <c r="O8" i="1"/>
  <c r="S72" i="1"/>
  <c r="T20" i="1"/>
  <c r="V12" i="1"/>
  <c r="T84" i="1"/>
  <c r="V34" i="1"/>
  <c r="U36" i="1"/>
  <c r="N24" i="1"/>
  <c r="J80" i="1"/>
  <c r="S14" i="1"/>
  <c r="N92" i="1"/>
  <c r="Q172" i="1"/>
  <c r="R38" i="1"/>
  <c r="T60" i="1"/>
  <c r="M38" i="1"/>
  <c r="W92" i="1"/>
  <c r="P90" i="1"/>
  <c r="J94" i="1"/>
  <c r="S170" i="1"/>
  <c r="R88" i="1"/>
  <c r="R104" i="1"/>
  <c r="P78" i="1"/>
  <c r="O122" i="1"/>
  <c r="R24" i="1"/>
  <c r="O24" i="1"/>
  <c r="J56" i="1"/>
  <c r="V100" i="1"/>
  <c r="L122" i="1"/>
  <c r="V58" i="1"/>
  <c r="V40" i="1"/>
  <c r="W28" i="1"/>
  <c r="P10" i="1"/>
  <c r="V32" i="1"/>
  <c r="Q20" i="1"/>
  <c r="R70" i="1"/>
  <c r="T80" i="1"/>
  <c r="L46" i="1"/>
  <c r="L116" i="1"/>
  <c r="O120" i="1"/>
  <c r="S112" i="1"/>
  <c r="Q114" i="1"/>
  <c r="U118" i="1"/>
  <c r="S120" i="1"/>
  <c r="J110" i="1"/>
  <c r="R116" i="1"/>
  <c r="U120" i="1"/>
  <c r="J62" i="1"/>
  <c r="W24" i="1"/>
  <c r="M58" i="1"/>
  <c r="M26" i="1"/>
  <c r="L52" i="1"/>
  <c r="V94" i="1"/>
  <c r="L90" i="1"/>
  <c r="M34" i="1"/>
  <c r="S102" i="1"/>
  <c r="J72" i="1"/>
  <c r="J74" i="1"/>
  <c r="T172" i="1"/>
  <c r="W82" i="1"/>
  <c r="V104" i="1"/>
  <c r="M122" i="1"/>
  <c r="P22" i="1"/>
  <c r="K100" i="1"/>
  <c r="R84" i="1"/>
  <c r="T68" i="1"/>
  <c r="V72" i="1"/>
  <c r="M102" i="1"/>
  <c r="L176" i="1"/>
  <c r="S16" i="1"/>
  <c r="K52" i="1"/>
  <c r="L20" i="1"/>
  <c r="Q18" i="1"/>
  <c r="K10" i="1"/>
  <c r="P16" i="1"/>
  <c r="O124" i="1"/>
  <c r="L80" i="1"/>
  <c r="P106" i="1"/>
  <c r="T108" i="1"/>
  <c r="J92" i="1"/>
  <c r="V90" i="1"/>
  <c r="K12" i="1"/>
  <c r="P18" i="1"/>
  <c r="L64" i="1"/>
  <c r="W36" i="1"/>
  <c r="N74" i="1"/>
  <c r="W34" i="1"/>
  <c r="R172" i="1"/>
  <c r="S68" i="1"/>
  <c r="U176" i="1"/>
  <c r="L76" i="1"/>
  <c r="T32" i="1"/>
  <c r="R98" i="1"/>
  <c r="V86" i="1"/>
  <c r="W124" i="1"/>
  <c r="Q86" i="1"/>
  <c r="S64" i="1"/>
  <c r="O176" i="1"/>
  <c r="K94" i="1"/>
  <c r="J170" i="1"/>
  <c r="M88" i="1"/>
  <c r="R178" i="1"/>
  <c r="U30" i="1"/>
  <c r="O172" i="1"/>
  <c r="O106" i="1"/>
  <c r="P176" i="1"/>
  <c r="L56" i="1"/>
  <c r="M62" i="1"/>
  <c r="P46" i="1"/>
  <c r="L58" i="1"/>
  <c r="P98" i="1"/>
  <c r="M106" i="1"/>
  <c r="K50" i="1"/>
  <c r="P42" i="1"/>
  <c r="S76" i="1"/>
  <c r="V82" i="1"/>
  <c r="M84" i="1"/>
  <c r="M32" i="1"/>
  <c r="T116" i="1"/>
  <c r="W120" i="1"/>
  <c r="N110" i="1"/>
  <c r="L112" i="1"/>
  <c r="P116" i="1"/>
  <c r="N118" i="1"/>
  <c r="R110" i="1"/>
  <c r="S116" i="1"/>
  <c r="P118" i="1"/>
  <c r="K78" i="1"/>
  <c r="L92" i="1"/>
  <c r="S90" i="1"/>
  <c r="S94" i="1"/>
  <c r="T36" i="1"/>
  <c r="J86" i="1"/>
  <c r="P58" i="1"/>
  <c r="L12" i="1"/>
  <c r="N96" i="1"/>
  <c r="N176" i="1"/>
  <c r="K108" i="1"/>
  <c r="Q38" i="1"/>
  <c r="M82" i="1"/>
  <c r="L98" i="1"/>
  <c r="V178" i="1"/>
  <c r="O52" i="1"/>
  <c r="L18" i="1"/>
  <c r="R42" i="1"/>
  <c r="U60" i="1"/>
  <c r="Q54" i="1"/>
  <c r="S32" i="1"/>
  <c r="Q6" i="1"/>
  <c r="U24" i="1"/>
  <c r="O30" i="1"/>
  <c r="T56" i="1"/>
  <c r="P92" i="1"/>
  <c r="R64" i="1"/>
  <c r="P60" i="1"/>
  <c r="K26" i="1"/>
  <c r="Q30" i="1"/>
  <c r="N8" i="1"/>
  <c r="O82" i="1"/>
  <c r="M176" i="1"/>
  <c r="P36" i="1"/>
  <c r="S34" i="1"/>
  <c r="L100" i="1"/>
  <c r="T66" i="1"/>
  <c r="Q62" i="1"/>
  <c r="R68" i="1"/>
  <c r="P56" i="1"/>
  <c r="R36" i="1"/>
  <c r="U104" i="1"/>
  <c r="P102" i="1"/>
  <c r="T106" i="1"/>
  <c r="Q70" i="1"/>
  <c r="V24" i="1"/>
  <c r="U94" i="1"/>
  <c r="K48" i="1"/>
  <c r="M64" i="1"/>
  <c r="P54" i="1"/>
  <c r="S106" i="1"/>
  <c r="P100" i="1"/>
  <c r="T8" i="1"/>
  <c r="L94" i="1"/>
  <c r="O170" i="1"/>
  <c r="Q88" i="1"/>
  <c r="U178" i="1"/>
  <c r="J8" i="1"/>
  <c r="N108" i="1"/>
  <c r="Q98" i="1"/>
  <c r="S176" i="1"/>
  <c r="K38" i="1"/>
  <c r="J54" i="1"/>
  <c r="R46" i="1"/>
  <c r="R58" i="1"/>
  <c r="W68" i="1"/>
  <c r="K46" i="1"/>
  <c r="N50" i="1"/>
  <c r="P26" i="1"/>
  <c r="U78" i="1"/>
  <c r="V108" i="1"/>
  <c r="Q108" i="1"/>
  <c r="N42" i="1"/>
  <c r="W116" i="1"/>
  <c r="O114" i="1"/>
  <c r="J118" i="1"/>
  <c r="V110" i="1"/>
  <c r="T112" i="1"/>
  <c r="K114" i="1"/>
  <c r="V118" i="1"/>
  <c r="L120" i="1"/>
  <c r="M114" i="1"/>
  <c r="N114" i="1"/>
  <c r="V70" i="1"/>
  <c r="P122" i="1"/>
  <c r="S26" i="1"/>
  <c r="U44" i="1"/>
  <c r="R52" i="1"/>
  <c r="W10" i="1"/>
  <c r="L88" i="1"/>
  <c r="U8" i="1"/>
  <c r="S108" i="1"/>
  <c r="P108" i="1"/>
  <c r="P72" i="1"/>
  <c r="U82" i="1"/>
  <c r="V46" i="1"/>
  <c r="R44" i="1"/>
  <c r="U100" i="1"/>
  <c r="J52" i="1"/>
  <c r="U66" i="1"/>
  <c r="T122" i="1"/>
  <c r="U98" i="1"/>
  <c r="U40" i="1"/>
  <c r="O92" i="1"/>
  <c r="W102" i="1"/>
  <c r="P68" i="1"/>
  <c r="R124" i="1"/>
  <c r="J14" i="1"/>
  <c r="M54" i="1"/>
  <c r="J66" i="1"/>
  <c r="K62" i="1"/>
  <c r="L82" i="1"/>
  <c r="K58" i="1"/>
  <c r="W106" i="1"/>
  <c r="Q40" i="1"/>
  <c r="L8" i="1"/>
  <c r="W70" i="1"/>
  <c r="N56" i="1"/>
  <c r="T90" i="1"/>
  <c r="Q34" i="1"/>
  <c r="Q58" i="1"/>
  <c r="M70" i="1"/>
  <c r="V102" i="1"/>
  <c r="S22" i="1"/>
  <c r="K102" i="1"/>
  <c r="P80" i="1"/>
  <c r="L24" i="1"/>
  <c r="J26" i="1"/>
  <c r="M76" i="1"/>
  <c r="J18" i="1"/>
  <c r="V98" i="1"/>
  <c r="W66" i="1"/>
  <c r="U74" i="1"/>
  <c r="R80" i="1"/>
  <c r="M8" i="1"/>
  <c r="W94" i="1"/>
  <c r="W30" i="1"/>
  <c r="S88" i="1"/>
  <c r="O14" i="1"/>
  <c r="K172" i="1"/>
  <c r="R66" i="1"/>
  <c r="S28" i="1"/>
  <c r="W176" i="1"/>
  <c r="V18" i="1"/>
  <c r="L54" i="1"/>
  <c r="K14" i="1"/>
  <c r="J24" i="1"/>
  <c r="J68" i="1"/>
  <c r="W40" i="1"/>
  <c r="T86" i="1"/>
  <c r="P62" i="1"/>
  <c r="R78" i="1"/>
  <c r="K70" i="1"/>
  <c r="K40" i="1"/>
  <c r="P178" i="1"/>
  <c r="U12" i="1"/>
  <c r="P172" i="1"/>
  <c r="T30" i="1"/>
  <c r="S10" i="1"/>
  <c r="K170" i="1"/>
  <c r="Q22" i="1"/>
  <c r="M96" i="1"/>
  <c r="O72" i="1"/>
  <c r="L30" i="1"/>
  <c r="S38" i="1"/>
  <c r="J30" i="1"/>
  <c r="V60" i="1"/>
  <c r="M6" i="1"/>
  <c r="R22" i="1"/>
  <c r="W98" i="1"/>
  <c r="K106" i="1"/>
  <c r="V16" i="1"/>
  <c r="J84" i="1"/>
  <c r="W8" i="1"/>
  <c r="K22" i="1"/>
  <c r="V22" i="1"/>
  <c r="N78" i="1"/>
  <c r="L70" i="1"/>
  <c r="T124" i="1"/>
  <c r="O42" i="1"/>
  <c r="L106" i="1"/>
  <c r="K60" i="1"/>
  <c r="K6" i="1"/>
  <c r="K82" i="1"/>
  <c r="L48" i="1"/>
  <c r="K68" i="1"/>
  <c r="K28" i="1"/>
  <c r="V170" i="1"/>
  <c r="R76" i="1"/>
  <c r="T46" i="1"/>
  <c r="W88" i="1"/>
  <c r="S30" i="1"/>
  <c r="M60" i="1"/>
  <c r="M56" i="1"/>
  <c r="Q102" i="1"/>
  <c r="J104" i="1"/>
  <c r="J106" i="1"/>
  <c r="R26" i="1"/>
  <c r="U20" i="1"/>
  <c r="Q96" i="1"/>
  <c r="L60" i="1"/>
  <c r="Q50" i="1"/>
  <c r="L10" i="1"/>
  <c r="L42" i="1"/>
  <c r="M104" i="1"/>
  <c r="L108" i="1"/>
  <c r="S50" i="1"/>
  <c r="U48" i="1"/>
  <c r="R10" i="1"/>
  <c r="W174" i="1"/>
  <c r="M86" i="1"/>
  <c r="P8" i="1"/>
  <c r="N72" i="1"/>
  <c r="Q106" i="1"/>
  <c r="Q42" i="1"/>
  <c r="Q10" i="1"/>
  <c r="N40" i="1"/>
  <c r="P24" i="1"/>
  <c r="Q24" i="1"/>
  <c r="W56" i="1"/>
  <c r="L104" i="1"/>
  <c r="W108" i="1"/>
  <c r="N82" i="1"/>
  <c r="Q48" i="1"/>
  <c r="M124" i="1"/>
  <c r="N120" i="1"/>
  <c r="R112" i="1"/>
  <c r="U116" i="1"/>
  <c r="S118" i="1"/>
  <c r="J120" i="1"/>
  <c r="V112" i="1"/>
  <c r="T114" i="1"/>
  <c r="W118" i="1"/>
  <c r="K110" i="1"/>
  <c r="L110" i="1"/>
  <c r="M112" i="1"/>
  <c r="W14" i="1"/>
  <c r="N170" i="1"/>
  <c r="K44" i="1"/>
  <c r="R6" i="1"/>
  <c r="S124" i="1"/>
  <c r="O74" i="1"/>
  <c r="J176" i="1"/>
  <c r="U68" i="1"/>
  <c r="U6" i="1"/>
  <c r="O94" i="1"/>
  <c r="Q14" i="1"/>
  <c r="U56" i="1"/>
  <c r="O178" i="1"/>
  <c r="M90" i="1"/>
  <c r="K76" i="1"/>
  <c r="S78" i="1"/>
  <c r="T88" i="1"/>
  <c r="R100" i="1"/>
  <c r="S24" i="1"/>
  <c r="Q36" i="1"/>
  <c r="K16" i="1"/>
  <c r="R54" i="1"/>
  <c r="R14" i="1"/>
  <c r="U80" i="1"/>
  <c r="W58" i="1"/>
  <c r="U170" i="1"/>
  <c r="O62" i="1"/>
  <c r="W62" i="1"/>
  <c r="R72" i="1"/>
  <c r="T24" i="1"/>
  <c r="P84" i="1"/>
  <c r="Q56" i="1"/>
  <c r="S40" i="1"/>
  <c r="R170" i="1"/>
  <c r="S82" i="1"/>
  <c r="Q46" i="1"/>
  <c r="L102" i="1"/>
  <c r="U70" i="1"/>
  <c r="U72" i="1"/>
  <c r="M36" i="1"/>
  <c r="R102" i="1"/>
  <c r="V8" i="1"/>
  <c r="S172" i="1"/>
  <c r="Q12" i="1"/>
  <c r="M108" i="1"/>
  <c r="J48" i="1"/>
  <c r="N60" i="1"/>
  <c r="Q84" i="1"/>
  <c r="L172" i="1"/>
  <c r="W172" i="1"/>
  <c r="N62" i="1"/>
  <c r="V106" i="1"/>
  <c r="O50" i="1"/>
  <c r="U124" i="1"/>
  <c r="O48" i="1"/>
  <c r="K30" i="1"/>
  <c r="M42" i="1"/>
  <c r="R8" i="1"/>
  <c r="Q72" i="1"/>
  <c r="L16" i="1"/>
  <c r="Q124" i="1"/>
  <c r="J38" i="1"/>
  <c r="P44" i="1"/>
  <c r="R28" i="1"/>
  <c r="T12" i="1"/>
  <c r="R56" i="1"/>
  <c r="O20" i="1"/>
  <c r="M12" i="1"/>
  <c r="J172" i="1"/>
  <c r="W64" i="1"/>
  <c r="O26" i="1"/>
  <c r="P110" i="1"/>
  <c r="V120" i="1"/>
  <c r="M110" i="1"/>
  <c r="P114" i="1"/>
  <c r="N116" i="1"/>
  <c r="R120" i="1"/>
  <c r="Q110" i="1"/>
  <c r="O112" i="1"/>
  <c r="J116" i="1"/>
  <c r="S110" i="1"/>
  <c r="L118" i="1"/>
  <c r="T110" i="1"/>
  <c r="T120" i="1"/>
  <c r="W110" i="1"/>
  <c r="U110" i="1"/>
  <c r="J6" i="1"/>
  <c r="M20" i="1"/>
  <c r="W84" i="1"/>
  <c r="W100" i="1"/>
  <c r="V30" i="1"/>
  <c r="R94" i="1"/>
  <c r="O60" i="1"/>
  <c r="U96" i="1"/>
  <c r="P34" i="1"/>
  <c r="P12" i="1"/>
  <c r="R92" i="1"/>
  <c r="S92" i="1"/>
  <c r="K74" i="1"/>
  <c r="Q8" i="1"/>
  <c r="L38" i="1"/>
  <c r="O38" i="1"/>
  <c r="M68" i="1"/>
  <c r="N70" i="1"/>
  <c r="N178" i="1"/>
  <c r="Q112" i="1"/>
  <c r="W112" i="1"/>
  <c r="O110" i="1"/>
  <c r="J112" i="1"/>
  <c r="N64" i="1"/>
  <c r="P104" i="1"/>
  <c r="S86" i="1"/>
  <c r="U52" i="1"/>
  <c r="V64" i="1"/>
  <c r="M48" i="1"/>
  <c r="Q76" i="1"/>
  <c r="O12" i="1"/>
  <c r="W48" i="1"/>
  <c r="J40" i="1"/>
  <c r="S46" i="1"/>
  <c r="K122" i="1"/>
  <c r="S58" i="1"/>
  <c r="L178" i="1"/>
  <c r="T104" i="1"/>
  <c r="J88" i="1"/>
  <c r="W74" i="1"/>
  <c r="N84" i="1"/>
  <c r="N58" i="1"/>
  <c r="V114" i="1"/>
  <c r="L114" i="1"/>
  <c r="V116" i="1"/>
  <c r="W114" i="1"/>
  <c r="R62" i="1"/>
  <c r="N26" i="1"/>
  <c r="T38" i="1"/>
  <c r="Q32" i="1"/>
  <c r="P48" i="1"/>
  <c r="K90" i="1"/>
  <c r="S98" i="1"/>
  <c r="W78" i="1"/>
  <c r="T42" i="1"/>
  <c r="V124" i="1"/>
  <c r="S62" i="1"/>
  <c r="T176" i="1"/>
  <c r="T58" i="1"/>
  <c r="L72" i="1"/>
  <c r="N14" i="1"/>
  <c r="U38" i="1"/>
  <c r="N104" i="1"/>
  <c r="W170" i="1"/>
  <c r="M120" i="1"/>
  <c r="Q116" i="1"/>
  <c r="K118" i="1"/>
  <c r="Q118" i="1"/>
  <c r="L62" i="1"/>
  <c r="R16" i="1"/>
  <c r="J42" i="1"/>
  <c r="S8" i="1"/>
  <c r="V88" i="1"/>
  <c r="W12" i="1"/>
  <c r="T94" i="1"/>
  <c r="U58" i="1"/>
  <c r="K124" i="1"/>
  <c r="P170" i="1"/>
  <c r="K8" i="1"/>
  <c r="V20" i="1"/>
  <c r="L50" i="1"/>
  <c r="M66" i="1"/>
  <c r="S122" i="1"/>
  <c r="P30" i="1"/>
  <c r="J90" i="1"/>
  <c r="O10" i="1"/>
  <c r="P112" i="1"/>
  <c r="K120" i="1"/>
  <c r="P120" i="1"/>
  <c r="O108" i="1"/>
  <c r="W42" i="1"/>
  <c r="W6" i="1"/>
  <c r="J174" i="1"/>
  <c r="Q100" i="1"/>
  <c r="P38" i="1"/>
  <c r="V92" i="1"/>
  <c r="O18" i="1"/>
  <c r="T102" i="1"/>
  <c r="M24" i="1"/>
  <c r="N94" i="1"/>
  <c r="T34" i="1"/>
  <c r="N68" i="1"/>
  <c r="S60" i="1"/>
  <c r="K86" i="1"/>
  <c r="R82" i="1"/>
  <c r="U26" i="1"/>
  <c r="P124" i="1"/>
  <c r="M78" i="1"/>
  <c r="V10" i="1"/>
  <c r="N38" i="1"/>
  <c r="U10" i="1"/>
  <c r="L68" i="1"/>
  <c r="T92" i="1"/>
  <c r="K116" i="1"/>
  <c r="S114" i="1"/>
  <c r="M116" i="1"/>
  <c r="J12" i="1"/>
  <c r="J28" i="1"/>
  <c r="J100" i="1"/>
  <c r="R50" i="1"/>
  <c r="L32" i="1"/>
  <c r="O22" i="1"/>
  <c r="T40" i="1"/>
  <c r="L36" i="1"/>
  <c r="V176" i="1"/>
  <c r="U122" i="1"/>
  <c r="J82" i="1"/>
  <c r="J20" i="1"/>
  <c r="W86" i="1"/>
  <c r="N12" i="1"/>
  <c r="U88" i="1"/>
  <c r="K36" i="1"/>
  <c r="O46" i="1"/>
  <c r="P88" i="1"/>
  <c r="O162" i="4"/>
  <c r="S154" i="4"/>
  <c r="O142" i="4"/>
  <c r="W134" i="4"/>
  <c r="Q132" i="4"/>
  <c r="O130" i="4"/>
  <c r="W166" i="4"/>
  <c r="K162" i="4"/>
  <c r="Q154" i="4"/>
  <c r="W146" i="4"/>
  <c r="K142" i="4"/>
  <c r="S134" i="4"/>
  <c r="K130" i="4"/>
  <c r="K166" i="4"/>
  <c r="O158" i="4"/>
  <c r="O146" i="4"/>
  <c r="S166" i="4"/>
  <c r="W158" i="4"/>
  <c r="Q156" i="4"/>
  <c r="O154" i="4"/>
  <c r="S146" i="4"/>
  <c r="O134" i="4"/>
  <c r="W126" i="4"/>
  <c r="Q168" i="4"/>
  <c r="Q148" i="4"/>
  <c r="S138" i="4"/>
  <c r="O166" i="4"/>
  <c r="S158" i="4"/>
  <c r="K154" i="4"/>
  <c r="Q146" i="4"/>
  <c r="W138" i="4"/>
  <c r="K134" i="4"/>
  <c r="S126" i="4"/>
  <c r="W150" i="4"/>
  <c r="W162" i="4"/>
  <c r="K158" i="4"/>
  <c r="S150" i="4"/>
  <c r="K146" i="4"/>
  <c r="Q138" i="4"/>
  <c r="W130" i="4"/>
  <c r="K126" i="4"/>
  <c r="W154" i="4"/>
  <c r="K138" i="4"/>
  <c r="O126" i="4"/>
  <c r="S162" i="4"/>
  <c r="O150" i="4"/>
  <c r="W142" i="4"/>
  <c r="Q140" i="4"/>
  <c r="O138" i="4"/>
  <c r="S130" i="4"/>
  <c r="Q162" i="4"/>
  <c r="K150" i="4"/>
  <c r="S142" i="4"/>
  <c r="Q130" i="4"/>
  <c r="V142" i="4"/>
  <c r="V166" i="4"/>
  <c r="R138" i="4"/>
  <c r="P144" i="4"/>
  <c r="P160" i="4"/>
  <c r="M128" i="4"/>
  <c r="J128" i="4"/>
  <c r="R136" i="4"/>
  <c r="L146" i="4"/>
  <c r="T154" i="4"/>
  <c r="N164" i="4"/>
  <c r="K128" i="4"/>
  <c r="S136" i="4"/>
  <c r="M146" i="4"/>
  <c r="U154" i="4"/>
  <c r="O164" i="4"/>
  <c r="U140" i="4"/>
  <c r="T128" i="4"/>
  <c r="N138" i="4"/>
  <c r="V146" i="4"/>
  <c r="P156" i="4"/>
  <c r="J166" i="4"/>
  <c r="Q164" i="4"/>
  <c r="J132" i="4"/>
  <c r="R140" i="4"/>
  <c r="L150" i="4"/>
  <c r="T158" i="4"/>
  <c r="N168" i="4"/>
  <c r="S132" i="4"/>
  <c r="U150" i="4"/>
  <c r="W168" i="4"/>
  <c r="K148" i="4"/>
  <c r="N126" i="4"/>
  <c r="L148" i="4"/>
  <c r="T168" i="4"/>
  <c r="N144" i="4"/>
  <c r="U144" i="4"/>
  <c r="L156" i="4"/>
  <c r="V150" i="4"/>
  <c r="U128" i="4"/>
  <c r="R128" i="4"/>
  <c r="L138" i="4"/>
  <c r="T146" i="4"/>
  <c r="N156" i="4"/>
  <c r="V164" i="4"/>
  <c r="S128" i="4"/>
  <c r="M138" i="4"/>
  <c r="U146" i="4"/>
  <c r="O156" i="4"/>
  <c r="W164" i="4"/>
  <c r="M148" i="4"/>
  <c r="N130" i="4"/>
  <c r="V138" i="4"/>
  <c r="P148" i="4"/>
  <c r="J158" i="4"/>
  <c r="R166" i="4"/>
  <c r="M168" i="4"/>
  <c r="R132" i="4"/>
  <c r="L142" i="4"/>
  <c r="T150" i="4"/>
  <c r="N160" i="4"/>
  <c r="V168" i="4"/>
  <c r="K140" i="4"/>
  <c r="O152" i="4"/>
  <c r="M152" i="4"/>
  <c r="S148" i="4"/>
  <c r="J130" i="4"/>
  <c r="N150" i="4"/>
  <c r="L126" i="4"/>
  <c r="V152" i="4"/>
  <c r="M142" i="4"/>
  <c r="K132" i="4"/>
  <c r="V134" i="4"/>
  <c r="T156" i="4"/>
  <c r="P152" i="4"/>
  <c r="Q128" i="4"/>
  <c r="L130" i="4"/>
  <c r="T138" i="4"/>
  <c r="N148" i="4"/>
  <c r="V156" i="4"/>
  <c r="P166" i="4"/>
  <c r="M130" i="4"/>
  <c r="U138" i="4"/>
  <c r="O148" i="4"/>
  <c r="W156" i="4"/>
  <c r="Q166" i="4"/>
  <c r="U148" i="4"/>
  <c r="V130" i="4"/>
  <c r="P140" i="4"/>
  <c r="J150" i="4"/>
  <c r="R158" i="4"/>
  <c r="L168" i="4"/>
  <c r="U168" i="4"/>
  <c r="L134" i="4"/>
  <c r="T142" i="4"/>
  <c r="N152" i="4"/>
  <c r="V160" i="4"/>
  <c r="M144" i="4"/>
  <c r="S140" i="4"/>
  <c r="W152" i="4"/>
  <c r="U152" i="4"/>
  <c r="K156" i="4"/>
  <c r="L132" i="4"/>
  <c r="J154" i="4"/>
  <c r="T134" i="4"/>
  <c r="P162" i="4"/>
  <c r="K164" i="4"/>
  <c r="S156" i="4"/>
  <c r="P136" i="4"/>
  <c r="T132" i="4"/>
  <c r="R130" i="4"/>
  <c r="Q136" i="4"/>
  <c r="T130" i="4"/>
  <c r="N140" i="4"/>
  <c r="V148" i="4"/>
  <c r="P158" i="4"/>
  <c r="J168" i="4"/>
  <c r="U130" i="4"/>
  <c r="O140" i="4"/>
  <c r="W148" i="4"/>
  <c r="Q158" i="4"/>
  <c r="K168" i="4"/>
  <c r="M156" i="4"/>
  <c r="P132" i="4"/>
  <c r="J142" i="4"/>
  <c r="R150" i="4"/>
  <c r="L160" i="4"/>
  <c r="N134" i="4"/>
  <c r="R154" i="4"/>
  <c r="T164" i="4"/>
  <c r="V126" i="4"/>
  <c r="Q144" i="4"/>
  <c r="N132" i="4"/>
  <c r="V140" i="4"/>
  <c r="P150" i="4"/>
  <c r="J160" i="4"/>
  <c r="R168" i="4"/>
  <c r="O132" i="4"/>
  <c r="W140" i="4"/>
  <c r="Q150" i="4"/>
  <c r="K160" i="4"/>
  <c r="S168" i="4"/>
  <c r="U156" i="4"/>
  <c r="J134" i="4"/>
  <c r="R142" i="4"/>
  <c r="L152" i="4"/>
  <c r="T160" i="4"/>
  <c r="M136" i="4"/>
  <c r="T126" i="4"/>
  <c r="N136" i="4"/>
  <c r="V144" i="4"/>
  <c r="P154" i="4"/>
  <c r="J164" i="4"/>
  <c r="M126" i="4"/>
  <c r="U142" i="4"/>
  <c r="S164" i="4"/>
  <c r="M134" i="4"/>
  <c r="M158" i="4"/>
  <c r="J138" i="4"/>
  <c r="N158" i="4"/>
  <c r="P168" i="4"/>
  <c r="R162" i="4"/>
  <c r="P128" i="4"/>
  <c r="Q152" i="4"/>
  <c r="V132" i="4"/>
  <c r="P142" i="4"/>
  <c r="J152" i="4"/>
  <c r="R160" i="4"/>
  <c r="Q160" i="4"/>
  <c r="W132" i="4"/>
  <c r="Q142" i="4"/>
  <c r="K152" i="4"/>
  <c r="S160" i="4"/>
  <c r="M132" i="4"/>
  <c r="J126" i="4"/>
  <c r="R134" i="4"/>
  <c r="L144" i="4"/>
  <c r="T152" i="4"/>
  <c r="N162" i="4"/>
  <c r="U136" i="4"/>
  <c r="N128" i="4"/>
  <c r="V136" i="4"/>
  <c r="P146" i="4"/>
  <c r="J156" i="4"/>
  <c r="R164" i="4"/>
  <c r="U126" i="4"/>
  <c r="O144" i="4"/>
  <c r="M166" i="4"/>
  <c r="U134" i="4"/>
  <c r="U158" i="4"/>
  <c r="L140" i="4"/>
  <c r="J162" i="4"/>
  <c r="T148" i="4"/>
  <c r="T140" i="4"/>
  <c r="P126" i="4"/>
  <c r="R144" i="4"/>
  <c r="T162" i="4"/>
  <c r="K136" i="4"/>
  <c r="M154" i="4"/>
  <c r="M140" i="4"/>
  <c r="T136" i="4"/>
  <c r="V154" i="4"/>
  <c r="U160" i="4"/>
  <c r="J140" i="4"/>
  <c r="L158" i="4"/>
  <c r="W128" i="4"/>
  <c r="O168" i="4"/>
  <c r="W160" i="4"/>
  <c r="N166" i="4"/>
  <c r="R146" i="4"/>
  <c r="M164" i="4"/>
  <c r="P134" i="4"/>
  <c r="J144" i="4"/>
  <c r="R152" i="4"/>
  <c r="L162" i="4"/>
  <c r="U164" i="4"/>
  <c r="Q134" i="4"/>
  <c r="K144" i="4"/>
  <c r="S152" i="4"/>
  <c r="M162" i="4"/>
  <c r="U132" i="4"/>
  <c r="R126" i="4"/>
  <c r="L136" i="4"/>
  <c r="T144" i="4"/>
  <c r="N154" i="4"/>
  <c r="V162" i="4"/>
  <c r="M160" i="4"/>
  <c r="V128" i="4"/>
  <c r="P138" i="4"/>
  <c r="J148" i="4"/>
  <c r="R156" i="4"/>
  <c r="L166" i="4"/>
  <c r="O128" i="4"/>
  <c r="W144" i="4"/>
  <c r="U166" i="4"/>
  <c r="O136" i="4"/>
  <c r="O160" i="4"/>
  <c r="N142" i="4"/>
  <c r="L164" i="4"/>
  <c r="V158" i="4"/>
  <c r="J136" i="4"/>
  <c r="L154" i="4"/>
  <c r="Q126" i="4"/>
  <c r="S144" i="4"/>
  <c r="U162" i="4"/>
  <c r="L128" i="4"/>
  <c r="N146" i="4"/>
  <c r="P164" i="4"/>
  <c r="P130" i="4"/>
  <c r="R148" i="4"/>
  <c r="T166" i="4"/>
  <c r="M150" i="4"/>
  <c r="W136" i="4"/>
  <c r="J146" i="4"/>
  <c r="K178" i="4"/>
  <c r="K6" i="4"/>
  <c r="V74" i="4"/>
  <c r="R98" i="4"/>
  <c r="U72" i="4"/>
  <c r="N20" i="4"/>
  <c r="N68" i="4"/>
  <c r="O36" i="4"/>
  <c r="R96" i="4"/>
  <c r="T6" i="4"/>
  <c r="W66" i="4"/>
  <c r="J124" i="4"/>
  <c r="K72" i="4"/>
  <c r="Q34" i="4"/>
  <c r="M78" i="4"/>
  <c r="S80" i="4"/>
  <c r="Q84" i="4"/>
  <c r="J100" i="4"/>
  <c r="M60" i="4"/>
  <c r="L10" i="4"/>
  <c r="J58" i="4"/>
  <c r="N86" i="4"/>
  <c r="P48" i="4"/>
  <c r="K108" i="4"/>
  <c r="N96" i="4"/>
  <c r="T88" i="4"/>
  <c r="T50" i="4"/>
  <c r="N74" i="4"/>
  <c r="O122" i="4"/>
  <c r="K172" i="4"/>
  <c r="N76" i="4"/>
  <c r="J32" i="4"/>
  <c r="R24" i="4"/>
  <c r="V106" i="4"/>
  <c r="P22" i="4"/>
  <c r="N106" i="4"/>
  <c r="V86" i="4"/>
  <c r="J80" i="4"/>
  <c r="L84" i="4"/>
  <c r="M100" i="4"/>
  <c r="W176" i="4"/>
  <c r="R92" i="4"/>
  <c r="U70" i="4"/>
  <c r="W22" i="4"/>
  <c r="L6" i="4"/>
  <c r="U78" i="4"/>
  <c r="S104" i="4"/>
  <c r="L108" i="4"/>
  <c r="V64" i="4"/>
  <c r="O46" i="4"/>
  <c r="T98" i="4"/>
  <c r="R76" i="4"/>
  <c r="L56" i="4"/>
  <c r="K106" i="4"/>
  <c r="O82" i="4"/>
  <c r="W50" i="4"/>
  <c r="K124" i="4"/>
  <c r="Q12" i="4"/>
  <c r="U24" i="4"/>
  <c r="V70" i="4"/>
  <c r="S90" i="4"/>
  <c r="W74" i="4"/>
  <c r="R172" i="4"/>
  <c r="R32" i="4"/>
  <c r="M92" i="4"/>
  <c r="P72" i="4"/>
  <c r="J30" i="4"/>
  <c r="R40" i="4"/>
  <c r="S42" i="4"/>
  <c r="J70" i="4"/>
  <c r="K78" i="4"/>
  <c r="Q28" i="4"/>
  <c r="Q40" i="4"/>
  <c r="W104" i="4"/>
  <c r="O108" i="4"/>
  <c r="S62" i="4"/>
  <c r="V90" i="4"/>
  <c r="Q66" i="4"/>
  <c r="T68" i="4"/>
  <c r="N60" i="4"/>
  <c r="V94" i="4"/>
  <c r="P38" i="4"/>
  <c r="J172" i="4"/>
  <c r="Q88" i="4"/>
  <c r="U170" i="4"/>
  <c r="R12" i="4"/>
  <c r="S18" i="4"/>
  <c r="U66" i="4"/>
  <c r="P122" i="4"/>
  <c r="N40" i="4"/>
  <c r="W20" i="4"/>
  <c r="V68" i="4"/>
  <c r="P36" i="4"/>
  <c r="W96" i="4"/>
  <c r="S54" i="4"/>
  <c r="M86" i="4"/>
  <c r="Q80" i="4"/>
  <c r="W40" i="4"/>
  <c r="V8" i="4"/>
  <c r="V170" i="4"/>
  <c r="R48" i="4"/>
  <c r="W52" i="4"/>
  <c r="S68" i="4"/>
  <c r="V176" i="4"/>
  <c r="Q42" i="4"/>
  <c r="W18" i="4"/>
  <c r="L170" i="4"/>
  <c r="L16" i="4"/>
  <c r="U76" i="4"/>
  <c r="W64" i="4"/>
  <c r="Q56" i="4"/>
  <c r="V58" i="4"/>
  <c r="Q74" i="4"/>
  <c r="N124" i="4"/>
  <c r="U172" i="4"/>
  <c r="U12" i="4"/>
  <c r="W32" i="4"/>
  <c r="R10" i="4"/>
  <c r="U28" i="4"/>
  <c r="P90" i="4"/>
  <c r="K68" i="4"/>
  <c r="S6" i="4"/>
  <c r="L66" i="4"/>
  <c r="W124" i="4"/>
  <c r="O8" i="4"/>
  <c r="S108" i="4"/>
  <c r="U36" i="4"/>
  <c r="Q36" i="4"/>
  <c r="T22" i="4"/>
  <c r="O28" i="4"/>
  <c r="W170" i="4"/>
  <c r="K80" i="4"/>
  <c r="L8" i="4"/>
  <c r="Q82" i="4"/>
  <c r="R170" i="4"/>
  <c r="M16" i="4"/>
  <c r="K20" i="4"/>
  <c r="P68" i="4"/>
  <c r="R176" i="4"/>
  <c r="R42" i="4"/>
  <c r="V6" i="4"/>
  <c r="J106" i="4"/>
  <c r="Q72" i="4"/>
  <c r="L76" i="4"/>
  <c r="N64" i="4"/>
  <c r="W56" i="4"/>
  <c r="Q58" i="4"/>
  <c r="S66" i="4"/>
  <c r="U80" i="4"/>
  <c r="R84" i="4"/>
  <c r="V12" i="4"/>
  <c r="K60" i="4"/>
  <c r="P10" i="4"/>
  <c r="J72" i="4"/>
  <c r="J90" i="4"/>
  <c r="W38" i="4"/>
  <c r="T170" i="4"/>
  <c r="J16" i="4"/>
  <c r="M20" i="4"/>
  <c r="O96" i="4"/>
  <c r="N56" i="4"/>
  <c r="K28" i="4"/>
  <c r="S8" i="4"/>
  <c r="J38" i="4"/>
  <c r="M26" i="4"/>
  <c r="R174" i="4"/>
  <c r="N8" i="4"/>
  <c r="O44" i="4"/>
  <c r="V92" i="4"/>
  <c r="N18" i="4"/>
  <c r="N48" i="4"/>
  <c r="P100" i="4"/>
  <c r="V10" i="4"/>
  <c r="V82" i="4"/>
  <c r="T90" i="4"/>
  <c r="K38" i="4"/>
  <c r="O16" i="4"/>
  <c r="U96" i="4"/>
  <c r="M42" i="4"/>
  <c r="J94" i="4"/>
  <c r="R26" i="4"/>
  <c r="Q70" i="4"/>
  <c r="P20" i="4"/>
  <c r="L176" i="4"/>
  <c r="V122" i="4"/>
  <c r="T72" i="4"/>
  <c r="N26" i="4"/>
  <c r="V20" i="4"/>
  <c r="S92" i="4"/>
  <c r="U14" i="4"/>
  <c r="M124" i="4"/>
  <c r="P24" i="4"/>
  <c r="W82" i="4"/>
  <c r="N78" i="4"/>
  <c r="M96" i="4"/>
  <c r="M34" i="4"/>
  <c r="Q22" i="4"/>
  <c r="V98" i="4"/>
  <c r="K122" i="4"/>
  <c r="J18" i="4"/>
  <c r="L22" i="4"/>
  <c r="P86" i="4"/>
  <c r="W80" i="4"/>
  <c r="P172" i="4"/>
  <c r="M76" i="4"/>
  <c r="J36" i="4"/>
  <c r="R36" i="4"/>
  <c r="U54" i="4"/>
  <c r="V102" i="4"/>
  <c r="J170" i="4"/>
  <c r="M48" i="4"/>
  <c r="L54" i="4"/>
  <c r="M102" i="4"/>
  <c r="Q98" i="4"/>
  <c r="W72" i="4"/>
  <c r="U20" i="4"/>
  <c r="P96" i="4"/>
  <c r="M88" i="4"/>
  <c r="V62" i="4"/>
  <c r="U6" i="4"/>
  <c r="K98" i="4"/>
  <c r="T172" i="4"/>
  <c r="P12" i="4"/>
  <c r="K32" i="4"/>
  <c r="Q24" i="4"/>
  <c r="J82" i="4"/>
  <c r="T86" i="4"/>
  <c r="O48" i="4"/>
  <c r="O52" i="4"/>
  <c r="S100" i="4"/>
  <c r="S176" i="4"/>
  <c r="P42" i="4"/>
  <c r="R104" i="4"/>
  <c r="U58" i="4"/>
  <c r="L92" i="4"/>
  <c r="L106" i="4"/>
  <c r="T16" i="4"/>
  <c r="W108" i="4"/>
  <c r="Q64" i="4"/>
  <c r="M24" i="4"/>
  <c r="L28" i="4"/>
  <c r="P82" i="4"/>
  <c r="T38" i="4"/>
  <c r="L102" i="4"/>
  <c r="U124" i="4"/>
  <c r="O172" i="4"/>
  <c r="O12" i="4"/>
  <c r="T28" i="4"/>
  <c r="R6" i="4"/>
  <c r="N104" i="4"/>
  <c r="L96" i="4"/>
  <c r="N42" i="4"/>
  <c r="O40" i="4"/>
  <c r="W90" i="4"/>
  <c r="U82" i="4"/>
  <c r="V40" i="4"/>
  <c r="O32" i="4"/>
  <c r="K42" i="4"/>
  <c r="P40" i="4"/>
  <c r="W54" i="4"/>
  <c r="U174" i="4"/>
  <c r="R108" i="4"/>
  <c r="O88" i="4"/>
  <c r="V34" i="4"/>
  <c r="V104" i="4"/>
  <c r="W26" i="4"/>
  <c r="P102" i="4"/>
  <c r="P170" i="4"/>
  <c r="R16" i="4"/>
  <c r="V84" i="4"/>
  <c r="S12" i="4"/>
  <c r="L36" i="4"/>
  <c r="T36" i="4"/>
  <c r="N38" i="4"/>
  <c r="P74" i="4"/>
  <c r="S98" i="4"/>
  <c r="K16" i="4"/>
  <c r="R34" i="4"/>
  <c r="R66" i="4"/>
  <c r="T122" i="4"/>
  <c r="N172" i="4"/>
  <c r="Q76" i="4"/>
  <c r="U64" i="4"/>
  <c r="V56" i="4"/>
  <c r="N28" i="4"/>
  <c r="U74" i="4"/>
  <c r="L122" i="4"/>
  <c r="N52" i="4"/>
  <c r="K100" i="4"/>
  <c r="W60" i="4"/>
  <c r="S10" i="4"/>
  <c r="W6" i="4"/>
  <c r="S170" i="4"/>
  <c r="N16" i="4"/>
  <c r="R20" i="4"/>
  <c r="J96" i="4"/>
  <c r="U88" i="4"/>
  <c r="U122" i="4"/>
  <c r="P92" i="4"/>
  <c r="S22" i="4"/>
  <c r="L74" i="4"/>
  <c r="K174" i="4"/>
  <c r="K8" i="4"/>
  <c r="T76" i="4"/>
  <c r="M32" i="4"/>
  <c r="L42" i="4"/>
  <c r="M70" i="4"/>
  <c r="U90" i="4"/>
  <c r="S64" i="4"/>
  <c r="R38" i="4"/>
  <c r="R102" i="4"/>
  <c r="M170" i="4"/>
  <c r="P16" i="4"/>
  <c r="T84" i="4"/>
  <c r="V100" i="4"/>
  <c r="M36" i="4"/>
  <c r="V36" i="4"/>
  <c r="U38" i="4"/>
  <c r="R74" i="4"/>
  <c r="N98" i="4"/>
  <c r="Q16" i="4"/>
  <c r="N178" i="4"/>
  <c r="R86" i="4"/>
  <c r="Q124" i="4"/>
  <c r="L172" i="4"/>
  <c r="K12" i="4"/>
  <c r="T64" i="4"/>
  <c r="P56" i="4"/>
  <c r="V26" i="4"/>
  <c r="K48" i="4"/>
  <c r="S36" i="4"/>
  <c r="S48" i="4"/>
  <c r="M40" i="4"/>
  <c r="O60" i="4"/>
  <c r="S84" i="4"/>
  <c r="O176" i="4"/>
  <c r="U98" i="4"/>
  <c r="L68" i="4"/>
  <c r="W28" i="4"/>
  <c r="K102" i="4"/>
  <c r="S72" i="4"/>
  <c r="R64" i="4"/>
  <c r="P34" i="4"/>
  <c r="Q26" i="4"/>
  <c r="Q78" i="4"/>
  <c r="J52" i="4"/>
  <c r="P32" i="4"/>
  <c r="U86" i="4"/>
  <c r="L64" i="4"/>
  <c r="O34" i="4"/>
  <c r="N58" i="4"/>
  <c r="R80" i="4"/>
  <c r="S88" i="4"/>
  <c r="M94" i="4"/>
  <c r="W102" i="4"/>
  <c r="T12" i="4"/>
  <c r="Q106" i="4"/>
  <c r="M22" i="4"/>
  <c r="L48" i="4"/>
  <c r="R106" i="4"/>
  <c r="T70" i="4"/>
  <c r="O100" i="4"/>
  <c r="O70" i="4"/>
  <c r="S16" i="4"/>
  <c r="V42" i="4"/>
  <c r="L18" i="4"/>
  <c r="T8" i="4"/>
  <c r="Q10" i="4"/>
  <c r="W8" i="4"/>
  <c r="P6" i="4"/>
  <c r="U52" i="4"/>
  <c r="T42" i="4"/>
  <c r="L94" i="4"/>
  <c r="T66" i="4"/>
  <c r="O68" i="4"/>
  <c r="L70" i="4"/>
  <c r="W86" i="4"/>
  <c r="T100" i="4"/>
  <c r="S106" i="4"/>
  <c r="Q54" i="4"/>
  <c r="K104" i="4"/>
  <c r="W36" i="4"/>
  <c r="Q104" i="4"/>
  <c r="W84" i="4"/>
  <c r="R58" i="4"/>
  <c r="T52" i="4"/>
  <c r="N24" i="4"/>
  <c r="J174" i="4"/>
  <c r="K64" i="4"/>
  <c r="T82" i="4"/>
  <c r="J74" i="4"/>
  <c r="W172" i="4"/>
  <c r="K92" i="4"/>
  <c r="P104" i="4"/>
  <c r="P54" i="4"/>
  <c r="P98" i="4"/>
  <c r="S20" i="4"/>
  <c r="O38" i="4"/>
  <c r="K170" i="4"/>
  <c r="T32" i="4"/>
  <c r="R60" i="4"/>
  <c r="N34" i="4"/>
  <c r="S172" i="4"/>
  <c r="T56" i="4"/>
  <c r="S60" i="4"/>
  <c r="P66" i="4"/>
  <c r="U68" i="4"/>
  <c r="L60" i="4"/>
  <c r="N90" i="4"/>
  <c r="K84" i="4"/>
  <c r="O106" i="4"/>
  <c r="L26" i="4"/>
  <c r="N88" i="4"/>
  <c r="Q30" i="4"/>
  <c r="R8" i="4"/>
  <c r="P26" i="4"/>
  <c r="R54" i="4"/>
  <c r="P52" i="4"/>
  <c r="W42" i="4"/>
  <c r="W178" i="4"/>
  <c r="N102" i="4"/>
  <c r="U108" i="4"/>
  <c r="W106" i="4"/>
  <c r="Q90" i="4"/>
  <c r="Q170" i="4"/>
  <c r="S32" i="4"/>
  <c r="T178" i="4"/>
  <c r="S70" i="4"/>
  <c r="M64" i="4"/>
  <c r="M122" i="4"/>
  <c r="T58" i="4"/>
  <c r="R22" i="4"/>
  <c r="M172" i="4"/>
  <c r="O54" i="4"/>
  <c r="N54" i="4"/>
  <c r="T108" i="4"/>
  <c r="O102" i="4"/>
  <c r="Q20" i="4"/>
  <c r="M10" i="4"/>
  <c r="T48" i="4"/>
  <c r="O64" i="4"/>
  <c r="L104" i="4"/>
  <c r="O66" i="4"/>
  <c r="M84" i="4"/>
  <c r="J28" i="4"/>
  <c r="S82" i="4"/>
  <c r="M58" i="4"/>
  <c r="T124" i="4"/>
  <c r="Q108" i="4"/>
  <c r="Q38" i="4"/>
  <c r="R122" i="4"/>
  <c r="K176" i="4"/>
  <c r="P8" i="4"/>
  <c r="T54" i="4"/>
  <c r="Q52" i="4"/>
  <c r="W10" i="4"/>
  <c r="W70" i="4"/>
  <c r="P124" i="4"/>
  <c r="V96" i="4"/>
  <c r="W34" i="4"/>
  <c r="W30" i="4"/>
  <c r="N100" i="4"/>
  <c r="U26" i="4"/>
  <c r="R94" i="4"/>
  <c r="U42" i="4"/>
  <c r="V22" i="4"/>
  <c r="K52" i="4"/>
  <c r="O94" i="4"/>
  <c r="Q50" i="4"/>
  <c r="J108" i="4"/>
  <c r="O26" i="4"/>
  <c r="U22" i="4"/>
  <c r="V66" i="4"/>
  <c r="J68" i="4"/>
  <c r="V28" i="4"/>
  <c r="S30" i="4"/>
  <c r="N174" i="4"/>
  <c r="T176" i="4"/>
  <c r="K82" i="4"/>
  <c r="N122" i="4"/>
  <c r="U60" i="4"/>
  <c r="K94" i="4"/>
  <c r="P58" i="4"/>
  <c r="R52" i="4"/>
  <c r="U18" i="4"/>
  <c r="K18" i="4"/>
  <c r="Q100" i="4"/>
  <c r="K66" i="4"/>
  <c r="N12" i="4"/>
  <c r="J42" i="4"/>
  <c r="M72" i="4"/>
  <c r="N176" i="4"/>
  <c r="N70" i="4"/>
  <c r="U178" i="4"/>
  <c r="V52" i="4"/>
  <c r="J56" i="4"/>
  <c r="P178" i="4"/>
  <c r="J54" i="4"/>
  <c r="O80" i="4"/>
  <c r="W76" i="4"/>
  <c r="S38" i="4"/>
  <c r="Q172" i="4"/>
  <c r="R88" i="4"/>
  <c r="S178" i="4"/>
  <c r="V18" i="4"/>
  <c r="T20" i="4"/>
  <c r="S28" i="4"/>
  <c r="M90" i="4"/>
  <c r="U48" i="4"/>
  <c r="J60" i="4"/>
  <c r="S122" i="4"/>
  <c r="V50" i="4"/>
  <c r="J64" i="4"/>
  <c r="M82" i="4"/>
  <c r="W98" i="4"/>
  <c r="M62" i="4"/>
  <c r="J34" i="4"/>
  <c r="U100" i="4"/>
  <c r="J8" i="4"/>
  <c r="M6" i="4"/>
  <c r="T74" i="4"/>
  <c r="L100" i="4"/>
  <c r="N66" i="4"/>
  <c r="J86" i="4"/>
  <c r="L32" i="4"/>
  <c r="W174" i="4"/>
  <c r="W68" i="4"/>
  <c r="N72" i="4"/>
  <c r="J20" i="4"/>
  <c r="S24" i="4"/>
  <c r="L38" i="4"/>
  <c r="Q122" i="4"/>
  <c r="W12" i="4"/>
  <c r="T34" i="4"/>
  <c r="O90" i="4"/>
  <c r="S74" i="4"/>
  <c r="U16" i="4"/>
  <c r="R68" i="4"/>
  <c r="R18" i="4"/>
  <c r="L52" i="4"/>
  <c r="W62" i="4"/>
  <c r="Q178" i="4"/>
  <c r="M66" i="4"/>
  <c r="R100" i="4"/>
  <c r="O92" i="4"/>
  <c r="V14" i="4"/>
  <c r="S40" i="4"/>
  <c r="O24" i="4"/>
  <c r="R28" i="4"/>
  <c r="Q86" i="4"/>
  <c r="K88" i="4"/>
  <c r="O30" i="4"/>
  <c r="U8" i="4"/>
  <c r="V178" i="4"/>
  <c r="Q94" i="4"/>
  <c r="M176" i="4"/>
  <c r="T60" i="4"/>
  <c r="W78" i="4"/>
  <c r="Q176" i="4"/>
  <c r="P94" i="4"/>
  <c r="O58" i="4"/>
  <c r="N80" i="4"/>
  <c r="J176" i="4"/>
  <c r="T104" i="4"/>
  <c r="J6" i="4"/>
  <c r="V172" i="4"/>
  <c r="J10" i="4"/>
  <c r="U30" i="4"/>
  <c r="P84" i="4"/>
  <c r="K10" i="4"/>
  <c r="O104" i="4"/>
  <c r="O86" i="4"/>
  <c r="K36" i="4"/>
  <c r="P106" i="4"/>
  <c r="M98" i="4"/>
  <c r="V88" i="4"/>
  <c r="L124" i="4"/>
  <c r="U32" i="4"/>
  <c r="J102" i="4"/>
  <c r="P108" i="4"/>
  <c r="U106" i="4"/>
  <c r="L58" i="4"/>
  <c r="O124" i="4"/>
  <c r="L12" i="4"/>
  <c r="T106" i="4"/>
  <c r="W58" i="4"/>
  <c r="J66" i="4"/>
  <c r="R72" i="4"/>
  <c r="K96" i="4"/>
  <c r="U40" i="4"/>
  <c r="N108" i="4"/>
  <c r="K26" i="4"/>
  <c r="O178" i="4"/>
  <c r="N170" i="4"/>
  <c r="Q92" i="4"/>
  <c r="S34" i="4"/>
  <c r="P50" i="4"/>
  <c r="S52" i="4"/>
  <c r="T10" i="4"/>
  <c r="R82" i="4"/>
  <c r="O98" i="4"/>
  <c r="K56" i="4"/>
  <c r="K54" i="4"/>
  <c r="N84" i="4"/>
  <c r="Q8" i="4"/>
  <c r="J98" i="4"/>
  <c r="W88" i="4"/>
  <c r="R178" i="4"/>
  <c r="V124" i="4"/>
  <c r="P88" i="4"/>
  <c r="T40" i="4"/>
  <c r="U50" i="4"/>
  <c r="U104" i="4"/>
  <c r="V24" i="4"/>
  <c r="K70" i="4"/>
  <c r="K22" i="4"/>
  <c r="P76" i="4"/>
  <c r="N92" i="4"/>
  <c r="O18" i="4"/>
  <c r="O20" i="4"/>
  <c r="T62" i="4"/>
  <c r="K90" i="4"/>
  <c r="M44" i="4"/>
  <c r="O50" i="4"/>
  <c r="M50" i="4"/>
  <c r="T92" i="4"/>
  <c r="J104" i="4"/>
  <c r="L62" i="4"/>
  <c r="Q60" i="4"/>
  <c r="R14" i="4"/>
  <c r="N22" i="4"/>
  <c r="M52" i="4"/>
  <c r="U34" i="4"/>
  <c r="K24" i="4"/>
  <c r="N50" i="4"/>
  <c r="O42" i="4"/>
  <c r="U176" i="4"/>
  <c r="M12" i="4"/>
  <c r="S86" i="4"/>
  <c r="W48" i="4"/>
  <c r="M178" i="4"/>
  <c r="M80" i="4"/>
  <c r="J44" i="4"/>
  <c r="K50" i="4"/>
  <c r="J122" i="4"/>
  <c r="J88" i="4"/>
  <c r="O56" i="4"/>
  <c r="W92" i="4"/>
  <c r="V54" i="4"/>
  <c r="P174" i="4"/>
  <c r="L24" i="4"/>
  <c r="V32" i="4"/>
  <c r="J178" i="4"/>
  <c r="M56" i="4"/>
  <c r="M108" i="4"/>
  <c r="J84" i="4"/>
  <c r="O6" i="4"/>
  <c r="L98" i="4"/>
  <c r="Q18" i="4"/>
  <c r="K74" i="4"/>
  <c r="N32" i="4"/>
  <c r="R124" i="4"/>
  <c r="N62" i="4"/>
  <c r="P44" i="4"/>
  <c r="O174" i="4"/>
  <c r="U102" i="4"/>
  <c r="S58" i="4"/>
  <c r="M18" i="4"/>
  <c r="P176" i="4"/>
  <c r="W122" i="4"/>
  <c r="S102" i="4"/>
  <c r="S76" i="4"/>
  <c r="U56" i="4"/>
  <c r="N82" i="4"/>
  <c r="M38" i="4"/>
  <c r="Q96" i="4"/>
  <c r="N6" i="4"/>
  <c r="M28" i="4"/>
  <c r="W16" i="4"/>
  <c r="M74" i="4"/>
  <c r="S50" i="4"/>
  <c r="O22" i="4"/>
  <c r="J22" i="4"/>
  <c r="M68" i="4"/>
  <c r="T102" i="4"/>
  <c r="V44" i="4"/>
  <c r="T44" i="4"/>
  <c r="R50" i="4"/>
  <c r="Q6" i="4"/>
  <c r="K76" i="4"/>
  <c r="O72" i="4"/>
  <c r="J12" i="4"/>
  <c r="S26" i="4"/>
  <c r="L30" i="4"/>
  <c r="V16" i="4"/>
  <c r="P60" i="4"/>
  <c r="S124" i="4"/>
  <c r="V38" i="4"/>
  <c r="M54" i="4"/>
  <c r="P64" i="4"/>
  <c r="T26" i="4"/>
  <c r="V60" i="4"/>
  <c r="P80" i="4"/>
  <c r="N36" i="4"/>
  <c r="S44" i="4"/>
  <c r="K44" i="4"/>
  <c r="M46" i="4"/>
  <c r="U84" i="4"/>
  <c r="T18" i="4"/>
  <c r="V48" i="4"/>
  <c r="M104" i="4"/>
  <c r="N10" i="4"/>
  <c r="L90" i="4"/>
  <c r="L82" i="4"/>
  <c r="L34" i="4"/>
  <c r="O74" i="4"/>
  <c r="P30" i="4"/>
  <c r="J92" i="4"/>
  <c r="W100" i="4"/>
  <c r="U10" i="4"/>
  <c r="R56" i="4"/>
  <c r="L86" i="4"/>
  <c r="J76" i="4"/>
  <c r="W44" i="4"/>
  <c r="Q44" i="4"/>
  <c r="S56" i="4"/>
  <c r="L20" i="4"/>
  <c r="R70" i="4"/>
  <c r="S46" i="4"/>
  <c r="L80" i="4"/>
  <c r="Q32" i="4"/>
  <c r="P70" i="4"/>
  <c r="R30" i="4"/>
  <c r="V108" i="4"/>
  <c r="L72" i="4"/>
  <c r="L40" i="4"/>
  <c r="X40" i="4" s="1"/>
  <c r="Y39" i="4" s="1"/>
  <c r="J26" i="4"/>
  <c r="O84" i="4"/>
  <c r="Q68" i="4"/>
  <c r="O76" i="4"/>
  <c r="J24" i="4"/>
  <c r="M106" i="4"/>
  <c r="M16" i="1"/>
  <c r="P32" i="1"/>
  <c r="V48" i="1"/>
  <c r="P64" i="1"/>
  <c r="Q80" i="1"/>
  <c r="T96" i="1"/>
  <c r="U112" i="1"/>
  <c r="U174" i="1"/>
  <c r="V80" i="4"/>
  <c r="T18" i="1"/>
  <c r="J34" i="1"/>
  <c r="P50" i="1"/>
  <c r="N66" i="1"/>
  <c r="P82" i="1"/>
  <c r="K98" i="1"/>
  <c r="R176" i="1"/>
  <c r="W162" i="1"/>
  <c r="K158" i="1"/>
  <c r="W154" i="1"/>
  <c r="T134" i="1"/>
  <c r="O154" i="1"/>
  <c r="Q126" i="1"/>
  <c r="W166" i="1"/>
  <c r="T162" i="1"/>
  <c r="W158" i="1"/>
  <c r="T154" i="1"/>
  <c r="W150" i="1"/>
  <c r="W146" i="1"/>
  <c r="T142" i="1"/>
  <c r="T138" i="1"/>
  <c r="S134" i="1"/>
  <c r="T130" i="1"/>
  <c r="W126" i="1"/>
  <c r="S142" i="1"/>
  <c r="U136" i="1"/>
  <c r="Q132" i="1"/>
  <c r="U128" i="1"/>
  <c r="S158" i="1"/>
  <c r="Q152" i="1"/>
  <c r="Q144" i="1"/>
  <c r="M140" i="1"/>
  <c r="M132" i="1"/>
  <c r="Q128" i="1"/>
  <c r="J160" i="1"/>
  <c r="M148" i="1"/>
  <c r="O134" i="1"/>
  <c r="R168" i="1"/>
  <c r="T166" i="1"/>
  <c r="V164" i="1"/>
  <c r="S162" i="1"/>
  <c r="R160" i="1"/>
  <c r="T158" i="1"/>
  <c r="S154" i="1"/>
  <c r="R152" i="1"/>
  <c r="T150" i="1"/>
  <c r="T146" i="1"/>
  <c r="S138" i="1"/>
  <c r="Q134" i="1"/>
  <c r="S130" i="1"/>
  <c r="T126" i="1"/>
  <c r="Q160" i="1"/>
  <c r="P154" i="1"/>
  <c r="S146" i="1"/>
  <c r="Q142" i="1"/>
  <c r="P134" i="1"/>
  <c r="P130" i="1"/>
  <c r="O166" i="1"/>
  <c r="Q150" i="1"/>
  <c r="O138" i="1"/>
  <c r="Q168" i="1"/>
  <c r="P166" i="1"/>
  <c r="N164" i="1"/>
  <c r="P162" i="1"/>
  <c r="S150" i="1"/>
  <c r="P138" i="1"/>
  <c r="S126" i="1"/>
  <c r="O162" i="1"/>
  <c r="O130" i="1"/>
  <c r="L166" i="1"/>
  <c r="L162" i="1"/>
  <c r="P158" i="1"/>
  <c r="L154" i="1"/>
  <c r="P150" i="1"/>
  <c r="O146" i="1"/>
  <c r="O142" i="1"/>
  <c r="L138" i="1"/>
  <c r="L134" i="1"/>
  <c r="L130" i="1"/>
  <c r="P126" i="1"/>
  <c r="K138" i="1"/>
  <c r="O126" i="1"/>
  <c r="L158" i="1"/>
  <c r="L150" i="1"/>
  <c r="K142" i="1"/>
  <c r="L126" i="1"/>
  <c r="W142" i="1"/>
  <c r="W130" i="1"/>
  <c r="K126" i="1"/>
  <c r="Q158" i="1"/>
  <c r="P146" i="1"/>
  <c r="M128" i="1"/>
  <c r="K166" i="1"/>
  <c r="K162" i="1"/>
  <c r="O158" i="1"/>
  <c r="K154" i="1"/>
  <c r="O150" i="1"/>
  <c r="L146" i="1"/>
  <c r="L142" i="1"/>
  <c r="K134" i="1"/>
  <c r="K130" i="1"/>
  <c r="K146" i="1"/>
  <c r="W134" i="1"/>
  <c r="K150" i="1"/>
  <c r="W138" i="1"/>
  <c r="J168" i="1"/>
  <c r="J152" i="1"/>
  <c r="P142" i="1"/>
  <c r="T156" i="1"/>
  <c r="T148" i="1"/>
  <c r="O148" i="1"/>
  <c r="O128" i="1"/>
  <c r="P136" i="1"/>
  <c r="J136" i="1"/>
  <c r="K140" i="1"/>
  <c r="T132" i="1"/>
  <c r="O132" i="1"/>
  <c r="N156" i="1"/>
  <c r="O164" i="1"/>
  <c r="U130" i="1"/>
  <c r="U154" i="1"/>
  <c r="R134" i="1"/>
  <c r="V146" i="1"/>
  <c r="J158" i="1"/>
  <c r="R166" i="1"/>
  <c r="Q164" i="1"/>
  <c r="N144" i="1"/>
  <c r="M142" i="1"/>
  <c r="W152" i="1"/>
  <c r="Q162" i="1"/>
  <c r="U144" i="1"/>
  <c r="J130" i="1"/>
  <c r="N158" i="1"/>
  <c r="S128" i="1"/>
  <c r="P140" i="1"/>
  <c r="U138" i="1"/>
  <c r="J126" i="1"/>
  <c r="T160" i="1"/>
  <c r="S156" i="1"/>
  <c r="N142" i="1"/>
  <c r="S132" i="1"/>
  <c r="U146" i="1"/>
  <c r="Q130" i="1"/>
  <c r="R156" i="1"/>
  <c r="R130" i="1"/>
  <c r="T164" i="1"/>
  <c r="U132" i="1"/>
  <c r="R154" i="1"/>
  <c r="L148" i="1"/>
  <c r="W148" i="1"/>
  <c r="T128" i="1"/>
  <c r="N136" i="1"/>
  <c r="S136" i="1"/>
  <c r="R140" i="1"/>
  <c r="L132" i="1"/>
  <c r="V132" i="1"/>
  <c r="V156" i="1"/>
  <c r="W164" i="1"/>
  <c r="K144" i="1"/>
  <c r="O156" i="1"/>
  <c r="N138" i="1"/>
  <c r="J150" i="1"/>
  <c r="R158" i="1"/>
  <c r="L168" i="1"/>
  <c r="S166" i="1"/>
  <c r="V144" i="1"/>
  <c r="U142" i="1"/>
  <c r="Q154" i="1"/>
  <c r="K164" i="1"/>
  <c r="N152" i="1"/>
  <c r="N134" i="1"/>
  <c r="J162" i="1"/>
  <c r="K136" i="1"/>
  <c r="R132" i="1"/>
  <c r="M138" i="1"/>
  <c r="S144" i="1"/>
  <c r="V138" i="1"/>
  <c r="L160" i="1"/>
  <c r="M168" i="1"/>
  <c r="O144" i="1"/>
  <c r="S164" i="1"/>
  <c r="J138" i="1"/>
  <c r="J148" i="1"/>
  <c r="O136" i="1"/>
  <c r="J132" i="1"/>
  <c r="K168" i="1"/>
  <c r="J142" i="1"/>
  <c r="M152" i="1"/>
  <c r="U126" i="1"/>
  <c r="M166" i="1"/>
  <c r="N166" i="1"/>
  <c r="M156" i="1"/>
  <c r="R126" i="1"/>
  <c r="N162" i="1"/>
  <c r="Q146" i="1"/>
  <c r="V134" i="1"/>
  <c r="R162" i="1"/>
  <c r="R148" i="1"/>
  <c r="V148" i="1"/>
  <c r="L128" i="1"/>
  <c r="W136" i="1"/>
  <c r="J140" i="1"/>
  <c r="N132" i="1"/>
  <c r="Q166" i="1"/>
  <c r="W156" i="1"/>
  <c r="R150" i="1"/>
  <c r="T168" i="1"/>
  <c r="M126" i="1"/>
  <c r="K156" i="1"/>
  <c r="V152" i="1"/>
  <c r="L164" i="1"/>
  <c r="N148" i="1"/>
  <c r="M136" i="1"/>
  <c r="Q136" i="1"/>
  <c r="M146" i="1"/>
  <c r="L152" i="1"/>
  <c r="U168" i="1"/>
  <c r="W144" i="1"/>
  <c r="J156" i="1"/>
  <c r="T140" i="1"/>
  <c r="S168" i="1"/>
  <c r="T152" i="1"/>
  <c r="U152" i="1"/>
  <c r="M158" i="1"/>
  <c r="P152" i="1"/>
  <c r="V166" i="1"/>
  <c r="P160" i="1"/>
  <c r="V126" i="1"/>
  <c r="Q148" i="1"/>
  <c r="P128" i="1"/>
  <c r="K128" i="1"/>
  <c r="V136" i="1"/>
  <c r="W140" i="1"/>
  <c r="K160" i="1"/>
  <c r="R142" i="1"/>
  <c r="N160" i="1"/>
  <c r="U166" i="1"/>
  <c r="R138" i="1"/>
  <c r="V142" i="1"/>
  <c r="S148" i="1"/>
  <c r="V128" i="1"/>
  <c r="R128" i="1"/>
  <c r="T136" i="1"/>
  <c r="L140" i="1"/>
  <c r="O140" i="1"/>
  <c r="K132" i="1"/>
  <c r="U156" i="1"/>
  <c r="S160" i="1"/>
  <c r="J144" i="1"/>
  <c r="K152" i="1"/>
  <c r="N130" i="1"/>
  <c r="L144" i="1"/>
  <c r="N154" i="1"/>
  <c r="V162" i="1"/>
  <c r="Q156" i="1"/>
  <c r="V160" i="1"/>
  <c r="M134" i="1"/>
  <c r="M150" i="1"/>
  <c r="U158" i="1"/>
  <c r="O168" i="1"/>
  <c r="J164" i="1"/>
  <c r="N150" i="1"/>
  <c r="W128" i="1"/>
  <c r="R136" i="1"/>
  <c r="N140" i="1"/>
  <c r="U164" i="1"/>
  <c r="M130" i="1"/>
  <c r="J134" i="1"/>
  <c r="P156" i="1"/>
  <c r="U160" i="1"/>
  <c r="Q138" i="1"/>
  <c r="W160" i="1"/>
  <c r="N126" i="1"/>
  <c r="J146" i="1"/>
  <c r="U140" i="1"/>
  <c r="P168" i="1"/>
  <c r="V150" i="1"/>
  <c r="R146" i="1"/>
  <c r="K148" i="1"/>
  <c r="N128" i="1"/>
  <c r="J128" i="1"/>
  <c r="L136" i="1"/>
  <c r="Q140" i="1"/>
  <c r="V140" i="1"/>
  <c r="P132" i="1"/>
  <c r="M164" i="1"/>
  <c r="M162" i="1"/>
  <c r="R144" i="1"/>
  <c r="S152" i="1"/>
  <c r="V130" i="1"/>
  <c r="T144" i="1"/>
  <c r="V154" i="1"/>
  <c r="P164" i="1"/>
  <c r="M160" i="1"/>
  <c r="N168" i="1"/>
  <c r="U134" i="1"/>
  <c r="U150" i="1"/>
  <c r="O160" i="1"/>
  <c r="W168" i="1"/>
  <c r="R164" i="1"/>
  <c r="J154" i="1"/>
  <c r="P144" i="1"/>
  <c r="V158" i="1"/>
  <c r="P148" i="1"/>
  <c r="U148" i="1"/>
  <c r="S140" i="1"/>
  <c r="W132" i="1"/>
  <c r="U162" i="1"/>
  <c r="M154" i="1"/>
  <c r="N146" i="1"/>
  <c r="J166" i="1"/>
  <c r="V168" i="1"/>
  <c r="O152" i="1"/>
  <c r="M144" i="1"/>
  <c r="L156" i="1"/>
  <c r="A133" i="4"/>
  <c r="A134" i="4" s="1"/>
  <c r="A157" i="4"/>
  <c r="A158" i="4" s="1"/>
  <c r="A165" i="4"/>
  <c r="A166" i="4" s="1"/>
  <c r="A149" i="4"/>
  <c r="A150" i="4" s="1"/>
  <c r="A141" i="4"/>
  <c r="A142" i="4" s="1"/>
  <c r="A161" i="4"/>
  <c r="A162" i="4" s="1"/>
  <c r="A137" i="4"/>
  <c r="A138" i="4" s="1"/>
  <c r="A129" i="4"/>
  <c r="A130" i="4" s="1"/>
  <c r="A125" i="4"/>
  <c r="A126" i="4" s="1"/>
  <c r="A153" i="4"/>
  <c r="A154" i="4" s="1"/>
  <c r="A145" i="4"/>
  <c r="A146" i="4" s="1"/>
  <c r="A127" i="4"/>
  <c r="A128" i="4" s="1"/>
  <c r="A135" i="4"/>
  <c r="A136" i="4" s="1"/>
  <c r="A143" i="4"/>
  <c r="A144" i="4" s="1"/>
  <c r="A151" i="4"/>
  <c r="A152" i="4" s="1"/>
  <c r="A159" i="4"/>
  <c r="A160" i="4" s="1"/>
  <c r="A167" i="4"/>
  <c r="A168" i="4" s="1"/>
  <c r="A139" i="4"/>
  <c r="A140" i="4" s="1"/>
  <c r="A147" i="4"/>
  <c r="A148" i="4" s="1"/>
  <c r="A163" i="4"/>
  <c r="A164" i="4" s="1"/>
  <c r="A155" i="4"/>
  <c r="A156" i="4" s="1"/>
  <c r="A131" i="4"/>
  <c r="A132" i="4" s="1"/>
  <c r="O80" i="1"/>
  <c r="U16" i="1"/>
  <c r="S66" i="1"/>
  <c r="S80" i="1"/>
  <c r="R18" i="1"/>
  <c r="N32" i="1"/>
  <c r="B66" i="30"/>
  <c r="A66" i="30" s="1"/>
  <c r="L66" i="1"/>
  <c r="K66" i="1"/>
  <c r="V174" i="1"/>
  <c r="O34" i="1"/>
  <c r="W18" i="1"/>
  <c r="S48" i="1"/>
  <c r="P96" i="1"/>
  <c r="W16" i="1"/>
  <c r="S96" i="1"/>
  <c r="R96" i="1"/>
  <c r="B17" i="26"/>
  <c r="A17" i="26" s="1"/>
  <c r="R32" i="1"/>
  <c r="O174" i="1"/>
  <c r="T48" i="1"/>
  <c r="O98" i="1"/>
  <c r="S18" i="1"/>
  <c r="T174" i="1"/>
  <c r="T16" i="1"/>
  <c r="K176" i="1"/>
  <c r="N16" i="1"/>
  <c r="A149" i="1"/>
  <c r="A150" i="1" s="1"/>
  <c r="A141" i="1"/>
  <c r="A142" i="1" s="1"/>
  <c r="A165" i="1"/>
  <c r="A166" i="1" s="1"/>
  <c r="A157" i="1"/>
  <c r="A158" i="1" s="1"/>
  <c r="A161" i="1"/>
  <c r="A162" i="1" s="1"/>
  <c r="A153" i="1"/>
  <c r="A154" i="1" s="1"/>
  <c r="A133" i="1"/>
  <c r="A134" i="1" s="1"/>
  <c r="A125" i="1"/>
  <c r="A126" i="1" s="1"/>
  <c r="A145" i="1"/>
  <c r="A146" i="1" s="1"/>
  <c r="A129" i="1"/>
  <c r="A130" i="1" s="1"/>
  <c r="A137" i="1"/>
  <c r="A138" i="1" s="1"/>
  <c r="A151" i="1"/>
  <c r="A152" i="1" s="1"/>
  <c r="A143" i="1"/>
  <c r="A144" i="1" s="1"/>
  <c r="A155" i="1"/>
  <c r="A156" i="1" s="1"/>
  <c r="A163" i="1"/>
  <c r="A164" i="1" s="1"/>
  <c r="A159" i="1"/>
  <c r="A160" i="1" s="1"/>
  <c r="A167" i="1"/>
  <c r="A168" i="1" s="1"/>
  <c r="A135" i="1"/>
  <c r="A136" i="1" s="1"/>
  <c r="A131" i="1"/>
  <c r="A132" i="1" s="1"/>
  <c r="A127" i="1"/>
  <c r="A128" i="1" s="1"/>
  <c r="A147" i="1"/>
  <c r="A148" i="1" s="1"/>
  <c r="A139" i="1"/>
  <c r="A140" i="1" s="1"/>
  <c r="T64" i="1"/>
  <c r="K32" i="1"/>
  <c r="L96" i="1"/>
  <c r="L174" i="1"/>
  <c r="J96" i="1"/>
  <c r="K18" i="1"/>
  <c r="K80" i="1"/>
  <c r="T98" i="1"/>
  <c r="M174" i="1"/>
  <c r="N174" i="1"/>
  <c r="W80" i="1"/>
  <c r="N48" i="1"/>
  <c r="J64" i="1"/>
  <c r="X64" i="1" s="1"/>
  <c r="Y63" i="1" s="1"/>
  <c r="X3" i="4"/>
  <c r="B110" i="32"/>
  <c r="A110" i="32" s="1"/>
  <c r="J74" i="47"/>
  <c r="Q14" i="4"/>
  <c r="B48" i="28"/>
  <c r="A48" i="28" s="1"/>
  <c r="T30" i="4"/>
  <c r="B55" i="29"/>
  <c r="A55" i="29" s="1"/>
  <c r="M30" i="4"/>
  <c r="Q74" i="47"/>
  <c r="B23" i="29"/>
  <c r="A23" i="29" s="1"/>
  <c r="B94" i="30"/>
  <c r="A94" i="30" s="1"/>
  <c r="B109" i="37"/>
  <c r="A109" i="37" s="1"/>
  <c r="B62" i="30"/>
  <c r="A62" i="30" s="1"/>
  <c r="B80" i="28"/>
  <c r="A80" i="28" s="1"/>
  <c r="B42" i="30"/>
  <c r="A42" i="30" s="1"/>
  <c r="B13" i="26"/>
  <c r="A13" i="26" s="1"/>
  <c r="B16" i="28"/>
  <c r="A16" i="28" s="1"/>
  <c r="B87" i="29"/>
  <c r="A87" i="29" s="1"/>
  <c r="K74" i="47"/>
  <c r="E74" i="47"/>
  <c r="S66" i="47"/>
  <c r="L74" i="47"/>
  <c r="S30" i="47"/>
  <c r="D74" i="47"/>
  <c r="T14" i="4"/>
  <c r="B78" i="34"/>
  <c r="A78" i="34" s="1"/>
  <c r="B110" i="28"/>
  <c r="A110" i="28" s="1"/>
  <c r="B76" i="28"/>
  <c r="A76" i="28" s="1"/>
  <c r="B44" i="28"/>
  <c r="A44" i="28" s="1"/>
  <c r="B12" i="28"/>
  <c r="A12" i="28" s="1"/>
  <c r="B83" i="29"/>
  <c r="A83" i="29" s="1"/>
  <c r="B51" i="29"/>
  <c r="A51" i="29" s="1"/>
  <c r="B19" i="29"/>
  <c r="A19" i="29" s="1"/>
  <c r="B90" i="30"/>
  <c r="A90" i="30" s="1"/>
  <c r="B58" i="30"/>
  <c r="A58" i="30" s="1"/>
  <c r="B38" i="30"/>
  <c r="A38" i="30" s="1"/>
  <c r="P46" i="4"/>
  <c r="W94" i="4"/>
  <c r="P62" i="4"/>
  <c r="W14" i="4"/>
  <c r="J14" i="4"/>
  <c r="M14" i="4"/>
  <c r="B104" i="28"/>
  <c r="A104" i="28" s="1"/>
  <c r="B72" i="28"/>
  <c r="A72" i="28" s="1"/>
  <c r="B40" i="28"/>
  <c r="A40" i="28" s="1"/>
  <c r="B8" i="28"/>
  <c r="A8" i="28" s="1"/>
  <c r="B79" i="29"/>
  <c r="A79" i="29" s="1"/>
  <c r="B47" i="29"/>
  <c r="A47" i="29" s="1"/>
  <c r="B15" i="29"/>
  <c r="A15" i="29" s="1"/>
  <c r="B86" i="30"/>
  <c r="A86" i="30" s="1"/>
  <c r="B54" i="30"/>
  <c r="A54" i="30" s="1"/>
  <c r="B34" i="30"/>
  <c r="A34" i="30" s="1"/>
  <c r="U46" i="4"/>
  <c r="Q46" i="4"/>
  <c r="P14" i="4"/>
  <c r="V30" i="4"/>
  <c r="R62" i="4"/>
  <c r="V78" i="4"/>
  <c r="L14" i="4"/>
  <c r="U62" i="4"/>
  <c r="O78" i="4"/>
  <c r="B100" i="28"/>
  <c r="A100" i="28" s="1"/>
  <c r="B68" i="28"/>
  <c r="A68" i="28" s="1"/>
  <c r="B36" i="28"/>
  <c r="A36" i="28" s="1"/>
  <c r="B109" i="29"/>
  <c r="A109" i="29" s="1"/>
  <c r="B75" i="29"/>
  <c r="A75" i="29" s="1"/>
  <c r="B43" i="29"/>
  <c r="A43" i="29" s="1"/>
  <c r="B11" i="29"/>
  <c r="A11" i="29" s="1"/>
  <c r="B82" i="30"/>
  <c r="A82" i="30" s="1"/>
  <c r="B50" i="30"/>
  <c r="A50" i="30" s="1"/>
  <c r="B30" i="30"/>
  <c r="A30" i="30" s="1"/>
  <c r="S78" i="4"/>
  <c r="N14" i="4"/>
  <c r="S94" i="4"/>
  <c r="N30" i="4"/>
  <c r="R78" i="4"/>
  <c r="K46" i="4"/>
  <c r="U94" i="4"/>
  <c r="J62" i="4"/>
  <c r="J78" i="4"/>
  <c r="Q62" i="4"/>
  <c r="N94" i="4"/>
  <c r="L78" i="4"/>
  <c r="L46" i="4"/>
  <c r="B96" i="28"/>
  <c r="A96" i="28" s="1"/>
  <c r="B64" i="28"/>
  <c r="A64" i="28" s="1"/>
  <c r="B32" i="28"/>
  <c r="A32" i="28" s="1"/>
  <c r="B103" i="29"/>
  <c r="A103" i="29" s="1"/>
  <c r="B71" i="29"/>
  <c r="A71" i="29" s="1"/>
  <c r="B39" i="29"/>
  <c r="A39" i="29" s="1"/>
  <c r="B7" i="29"/>
  <c r="A7" i="29" s="1"/>
  <c r="B78" i="30"/>
  <c r="A78" i="30" s="1"/>
  <c r="B46" i="30"/>
  <c r="A46" i="30" s="1"/>
  <c r="J46" i="4"/>
  <c r="P78" i="4"/>
  <c r="R46" i="4"/>
  <c r="S174" i="4"/>
  <c r="B73" i="33"/>
  <c r="A73" i="33" s="1"/>
  <c r="B92" i="28"/>
  <c r="A92" i="28" s="1"/>
  <c r="B60" i="28"/>
  <c r="A60" i="28" s="1"/>
  <c r="B28" i="28"/>
  <c r="A28" i="28" s="1"/>
  <c r="B99" i="29"/>
  <c r="A99" i="29" s="1"/>
  <c r="B67" i="29"/>
  <c r="A67" i="29" s="1"/>
  <c r="B35" i="29"/>
  <c r="A35" i="29" s="1"/>
  <c r="B106" i="30"/>
  <c r="A106" i="30" s="1"/>
  <c r="B74" i="30"/>
  <c r="A74" i="30" s="1"/>
  <c r="B67" i="35"/>
  <c r="A67" i="35" s="1"/>
  <c r="M174" i="4"/>
  <c r="K62" i="4"/>
  <c r="O14" i="4"/>
  <c r="W46" i="4"/>
  <c r="T174" i="4"/>
  <c r="V174" i="4"/>
  <c r="K14" i="4"/>
  <c r="V46" i="4"/>
  <c r="B12" i="26"/>
  <c r="A12" i="26" s="1"/>
  <c r="B52" i="34"/>
  <c r="A52" i="34" s="1"/>
  <c r="B69" i="35"/>
  <c r="A69" i="35" s="1"/>
  <c r="B88" i="28"/>
  <c r="A88" i="28" s="1"/>
  <c r="B56" i="28"/>
  <c r="A56" i="28" s="1"/>
  <c r="B24" i="28"/>
  <c r="A24" i="28" s="1"/>
  <c r="B95" i="29"/>
  <c r="A95" i="29" s="1"/>
  <c r="B63" i="29"/>
  <c r="A63" i="29" s="1"/>
  <c r="B31" i="29"/>
  <c r="A31" i="29" s="1"/>
  <c r="B102" i="30"/>
  <c r="A102" i="30" s="1"/>
  <c r="B70" i="30"/>
  <c r="A70" i="30" s="1"/>
  <c r="B46" i="36"/>
  <c r="A46" i="36" s="1"/>
  <c r="T46" i="4"/>
  <c r="Q174" i="4"/>
  <c r="S14" i="4"/>
  <c r="B44" i="36"/>
  <c r="A44" i="36" s="1"/>
  <c r="B84" i="28"/>
  <c r="A84" i="28" s="1"/>
  <c r="B52" i="28"/>
  <c r="A52" i="28" s="1"/>
  <c r="B20" i="28"/>
  <c r="A20" i="28" s="1"/>
  <c r="B91" i="29"/>
  <c r="A91" i="29" s="1"/>
  <c r="B59" i="29"/>
  <c r="A59" i="29" s="1"/>
  <c r="B27" i="29"/>
  <c r="A27" i="29" s="1"/>
  <c r="B98" i="30"/>
  <c r="A98" i="30" s="1"/>
  <c r="X70" i="1"/>
  <c r="Y69" i="1" s="1"/>
  <c r="X38" i="1"/>
  <c r="Y37" i="1" s="1"/>
  <c r="X60" i="1"/>
  <c r="Y59" i="1" s="1"/>
  <c r="X82" i="1"/>
  <c r="Y81" i="1" s="1"/>
  <c r="X54" i="1"/>
  <c r="Y53" i="1" s="1"/>
  <c r="X110" i="1"/>
  <c r="Y109" i="1" s="1"/>
  <c r="X106" i="1"/>
  <c r="Y105" i="1" s="1"/>
  <c r="X58" i="1"/>
  <c r="Y57" i="1" s="1"/>
  <c r="X170" i="1"/>
  <c r="Y169" i="1" s="1"/>
  <c r="X116" i="1"/>
  <c r="Y115" i="1" s="1"/>
  <c r="X84" i="1"/>
  <c r="Y83" i="1" s="1"/>
  <c r="X94" i="1"/>
  <c r="Y93" i="1" s="1"/>
  <c r="X114" i="1"/>
  <c r="Y113" i="1" s="1"/>
  <c r="X120" i="1"/>
  <c r="Y119" i="1" s="1"/>
  <c r="A74" i="4"/>
  <c r="X114" i="4"/>
  <c r="Y113" i="4" s="1"/>
  <c r="X100" i="1"/>
  <c r="Y99" i="1" s="1"/>
  <c r="X22" i="1"/>
  <c r="Y21" i="1" s="1"/>
  <c r="X36" i="1"/>
  <c r="Y35" i="1" s="1"/>
  <c r="X42" i="1"/>
  <c r="Y41" i="1" s="1"/>
  <c r="X3" i="1"/>
  <c r="X118" i="4"/>
  <c r="Y117" i="4" s="1"/>
  <c r="X68" i="1"/>
  <c r="Y67" i="1" s="1"/>
  <c r="X92" i="1"/>
  <c r="Y91" i="1" s="1"/>
  <c r="X72" i="1"/>
  <c r="Y71" i="1" s="1"/>
  <c r="X108" i="1"/>
  <c r="Y107" i="1" s="1"/>
  <c r="X28" i="1"/>
  <c r="Y27" i="1" s="1"/>
  <c r="X56" i="1"/>
  <c r="Y55" i="1" s="1"/>
  <c r="X104" i="1"/>
  <c r="Y103" i="1" s="1"/>
  <c r="X172" i="1"/>
  <c r="Y171" i="1" s="1"/>
  <c r="X30" i="1"/>
  <c r="Y29" i="1" s="1"/>
  <c r="X90" i="1"/>
  <c r="Y89" i="1" s="1"/>
  <c r="X52" i="1"/>
  <c r="Y51" i="1" s="1"/>
  <c r="X26" i="1"/>
  <c r="Y25" i="1" s="1"/>
  <c r="X46" i="1"/>
  <c r="Y45" i="1" s="1"/>
  <c r="X76" i="1"/>
  <c r="Y75" i="1" s="1"/>
  <c r="X78" i="1"/>
  <c r="Y77" i="1" s="1"/>
  <c r="X32" i="4"/>
  <c r="Y31" i="4" s="1"/>
  <c r="X112" i="4"/>
  <c r="Y111" i="4" s="1"/>
  <c r="X102" i="1"/>
  <c r="Y101" i="1" s="1"/>
  <c r="X50" i="1"/>
  <c r="Y49" i="1" s="1"/>
  <c r="X40" i="1"/>
  <c r="Y39" i="1" s="1"/>
  <c r="X20" i="1"/>
  <c r="Y19" i="1" s="1"/>
  <c r="X116" i="4"/>
  <c r="Y115" i="4" s="1"/>
  <c r="X44" i="1"/>
  <c r="Y43" i="1" s="1"/>
  <c r="X86" i="1"/>
  <c r="Y85" i="1" s="1"/>
  <c r="X122" i="1"/>
  <c r="Y121" i="1" s="1"/>
  <c r="X74" i="1"/>
  <c r="Y73" i="1" s="1"/>
  <c r="X62" i="1"/>
  <c r="Y61" i="1" s="1"/>
  <c r="X118" i="1"/>
  <c r="Y117" i="1" s="1"/>
  <c r="B75" i="30"/>
  <c r="A75" i="30" s="1"/>
  <c r="X120" i="4"/>
  <c r="Y119" i="4" s="1"/>
  <c r="X110" i="4"/>
  <c r="Y109" i="4" s="1"/>
  <c r="O74" i="47"/>
  <c r="A120" i="1"/>
  <c r="X112" i="1" l="1"/>
  <c r="Y111" i="1" s="1"/>
  <c r="X64" i="4"/>
  <c r="Y63" i="4" s="1"/>
  <c r="X18" i="4"/>
  <c r="Y17" i="4" s="1"/>
  <c r="X172" i="4"/>
  <c r="Y171" i="4" s="1"/>
  <c r="X88" i="1"/>
  <c r="Y87" i="1" s="1"/>
  <c r="X124" i="1"/>
  <c r="Y123" i="1" s="1"/>
  <c r="X24" i="1"/>
  <c r="Y23" i="1" s="1"/>
  <c r="X50" i="4"/>
  <c r="Y49" i="4" s="1"/>
  <c r="X84" i="4"/>
  <c r="Y83" i="4" s="1"/>
  <c r="X60" i="4"/>
  <c r="Y59" i="4" s="1"/>
  <c r="X28" i="4"/>
  <c r="Y27" i="4" s="1"/>
  <c r="X124" i="4"/>
  <c r="Y123" i="4" s="1"/>
  <c r="X72" i="4"/>
  <c r="Y71" i="4" s="1"/>
  <c r="X170" i="4"/>
  <c r="Y169" i="4" s="1"/>
  <c r="X122" i="4"/>
  <c r="Y121" i="4" s="1"/>
  <c r="X106" i="4"/>
  <c r="Y105" i="4" s="1"/>
  <c r="X44" i="4"/>
  <c r="Y43" i="4" s="1"/>
  <c r="X54" i="4"/>
  <c r="Y53" i="4" s="1"/>
  <c r="X16" i="4"/>
  <c r="Y15" i="4" s="1"/>
  <c r="X104" i="4"/>
  <c r="Y103" i="4" s="1"/>
  <c r="X48" i="1"/>
  <c r="Y47" i="1" s="1"/>
  <c r="X34" i="1"/>
  <c r="Y33" i="1" s="1"/>
  <c r="X176" i="1"/>
  <c r="Y175" i="1" s="1"/>
  <c r="X58" i="4"/>
  <c r="Y57" i="4" s="1"/>
  <c r="W3" i="31"/>
  <c r="O36" i="47" s="1"/>
  <c r="O4" i="31"/>
  <c r="G37" i="47" s="1"/>
  <c r="O4" i="37"/>
  <c r="G61" i="47" s="1"/>
  <c r="R2" i="33"/>
  <c r="Q4" i="32"/>
  <c r="I41" i="47" s="1"/>
  <c r="X80" i="4"/>
  <c r="Y79" i="4" s="1"/>
  <c r="X68" i="4"/>
  <c r="Y67" i="4" s="1"/>
  <c r="X102" i="4"/>
  <c r="Y101" i="4" s="1"/>
  <c r="X56" i="4"/>
  <c r="Y55" i="4" s="1"/>
  <c r="X86" i="4"/>
  <c r="Y85" i="4" s="1"/>
  <c r="X70" i="4"/>
  <c r="Y69" i="4" s="1"/>
  <c r="X92" i="4"/>
  <c r="Y91" i="4" s="1"/>
  <c r="X98" i="4"/>
  <c r="Y97" i="4" s="1"/>
  <c r="X176" i="4"/>
  <c r="Y175" i="4" s="1"/>
  <c r="X88" i="4"/>
  <c r="Y87" i="4" s="1"/>
  <c r="X90" i="4"/>
  <c r="Y89" i="4" s="1"/>
  <c r="X100" i="4"/>
  <c r="Y99" i="4" s="1"/>
  <c r="X82" i="4"/>
  <c r="Y81" i="4" s="1"/>
  <c r="X146" i="4"/>
  <c r="Y145" i="4" s="1"/>
  <c r="Q3" i="33"/>
  <c r="I44" i="47" s="1"/>
  <c r="X20" i="4"/>
  <c r="Y19" i="4" s="1"/>
  <c r="X34" i="4"/>
  <c r="Y33" i="4" s="1"/>
  <c r="X66" i="4"/>
  <c r="Y65" i="4" s="1"/>
  <c r="X22" i="4"/>
  <c r="Y21" i="4" s="1"/>
  <c r="X32" i="1"/>
  <c r="Y31" i="1" s="1"/>
  <c r="X16" i="1"/>
  <c r="Y15" i="1" s="1"/>
  <c r="X18" i="1"/>
  <c r="Y17" i="1" s="1"/>
  <c r="X98" i="1"/>
  <c r="Y97" i="1" s="1"/>
  <c r="X166" i="1"/>
  <c r="Y165" i="1" s="1"/>
  <c r="X48" i="4"/>
  <c r="Y47" i="4" s="1"/>
  <c r="X140" i="4"/>
  <c r="Y139" i="4" s="1"/>
  <c r="X178" i="4"/>
  <c r="Y177" i="4" s="1"/>
  <c r="X96" i="4"/>
  <c r="Y95" i="4" s="1"/>
  <c r="X148" i="4"/>
  <c r="Y147" i="4" s="1"/>
  <c r="X178" i="1"/>
  <c r="Y177" i="1" s="1"/>
  <c r="X8" i="1"/>
  <c r="Y7" i="1" s="1"/>
  <c r="M3" i="31"/>
  <c r="E36" i="47" s="1"/>
  <c r="T3" i="32"/>
  <c r="L40" i="47" s="1"/>
  <c r="R4" i="37"/>
  <c r="J61" i="47" s="1"/>
  <c r="Y2" i="32"/>
  <c r="X10" i="4"/>
  <c r="Y9" i="4" s="1"/>
  <c r="M2" i="31"/>
  <c r="E35" i="47" s="1"/>
  <c r="P4" i="37"/>
  <c r="H61" i="47" s="1"/>
  <c r="M2" i="37"/>
  <c r="E59" i="47" s="1"/>
  <c r="V2" i="31"/>
  <c r="N35" i="47" s="1"/>
  <c r="X3" i="37"/>
  <c r="P60" i="47" s="1"/>
  <c r="O3" i="37"/>
  <c r="G60" i="47" s="1"/>
  <c r="V3" i="32"/>
  <c r="N40" i="47" s="1"/>
  <c r="P3" i="37"/>
  <c r="H60" i="47" s="1"/>
  <c r="Y2" i="31"/>
  <c r="Q35" i="47" s="1"/>
  <c r="X8" i="4"/>
  <c r="Y7" i="4" s="1"/>
  <c r="L3" i="31"/>
  <c r="D36" i="47" s="1"/>
  <c r="M4" i="4"/>
  <c r="X12" i="4"/>
  <c r="Y11" i="4" s="1"/>
  <c r="V2" i="32"/>
  <c r="N39" i="47" s="1"/>
  <c r="W2" i="37"/>
  <c r="O59" i="47" s="1"/>
  <c r="O3" i="31"/>
  <c r="G36" i="47" s="1"/>
  <c r="T4" i="35"/>
  <c r="L53" i="47" s="1"/>
  <c r="W4" i="31"/>
  <c r="S4" i="31"/>
  <c r="K37" i="47" s="1"/>
  <c r="X4" i="32"/>
  <c r="P41" i="47" s="1"/>
  <c r="S3" i="31"/>
  <c r="K36" i="47" s="1"/>
  <c r="P3" i="31"/>
  <c r="H36" i="47" s="1"/>
  <c r="Q3" i="32"/>
  <c r="X4" i="31"/>
  <c r="P37" i="47" s="1"/>
  <c r="R3" i="32"/>
  <c r="J40" i="47" s="1"/>
  <c r="S4" i="37"/>
  <c r="K61" i="47" s="1"/>
  <c r="K4" i="4"/>
  <c r="P4" i="33"/>
  <c r="H45" i="47" s="1"/>
  <c r="S4" i="32"/>
  <c r="K41" i="47" s="1"/>
  <c r="R4" i="35"/>
  <c r="J53" i="47" s="1"/>
  <c r="T4" i="31"/>
  <c r="L37" i="47" s="1"/>
  <c r="X14" i="1"/>
  <c r="Y13" i="1" s="1"/>
  <c r="O4" i="1"/>
  <c r="X10" i="1"/>
  <c r="Y9" i="1" s="1"/>
  <c r="U4" i="1"/>
  <c r="R4" i="1"/>
  <c r="C177" i="42"/>
  <c r="Q4" i="33"/>
  <c r="V4" i="33"/>
  <c r="N45" i="47" s="1"/>
  <c r="Y4" i="31"/>
  <c r="Q37" i="47" s="1"/>
  <c r="M3" i="37"/>
  <c r="Q2" i="31"/>
  <c r="I35" i="47" s="1"/>
  <c r="P4" i="31"/>
  <c r="H37" i="47" s="1"/>
  <c r="R4" i="31"/>
  <c r="J37" i="47" s="1"/>
  <c r="N3" i="31"/>
  <c r="F36" i="47" s="1"/>
  <c r="P2" i="32"/>
  <c r="H39" i="47" s="1"/>
  <c r="Y2" i="33"/>
  <c r="Q43" i="47" s="1"/>
  <c r="T4" i="32"/>
  <c r="L41" i="47" s="1"/>
  <c r="R2" i="37"/>
  <c r="J59" i="47" s="1"/>
  <c r="L3" i="37"/>
  <c r="D60" i="47" s="1"/>
  <c r="T2" i="33"/>
  <c r="L43" i="47" s="1"/>
  <c r="Q4" i="31"/>
  <c r="I37" i="47" s="1"/>
  <c r="L4" i="31"/>
  <c r="D37" i="47" s="1"/>
  <c r="S3" i="32"/>
  <c r="K40" i="47" s="1"/>
  <c r="L4" i="37"/>
  <c r="D61" i="47" s="1"/>
  <c r="U3" i="31"/>
  <c r="M36" i="47" s="1"/>
  <c r="L2" i="32"/>
  <c r="D39" i="47" s="1"/>
  <c r="Q3" i="31"/>
  <c r="I36" i="47" s="1"/>
  <c r="U4" i="32"/>
  <c r="M41" i="47" s="1"/>
  <c r="Y3" i="31"/>
  <c r="L3" i="32"/>
  <c r="P65" i="47"/>
  <c r="P4" i="32"/>
  <c r="H41" i="47" s="1"/>
  <c r="T2" i="31"/>
  <c r="L35" i="47" s="1"/>
  <c r="R3" i="31"/>
  <c r="J36" i="47" s="1"/>
  <c r="R3" i="37"/>
  <c r="J60" i="47" s="1"/>
  <c r="P3" i="32"/>
  <c r="H40" i="47" s="1"/>
  <c r="Q2" i="33"/>
  <c r="I43" i="47" s="1"/>
  <c r="N4" i="33"/>
  <c r="F45" i="47" s="1"/>
  <c r="Y3" i="37"/>
  <c r="Q60" i="47" s="1"/>
  <c r="V3" i="31"/>
  <c r="N36" i="47" s="1"/>
  <c r="Q2" i="32"/>
  <c r="I39" i="47" s="1"/>
  <c r="X3" i="31"/>
  <c r="P36" i="47" s="1"/>
  <c r="M4" i="31"/>
  <c r="E37" i="47" s="1"/>
  <c r="N2" i="35"/>
  <c r="F51" i="47" s="1"/>
  <c r="L4" i="33"/>
  <c r="D45" i="47" s="1"/>
  <c r="U3" i="32"/>
  <c r="M40" i="47" s="1"/>
  <c r="U4" i="31"/>
  <c r="M37" i="47" s="1"/>
  <c r="O3" i="33"/>
  <c r="G44" i="47" s="1"/>
  <c r="N2" i="31"/>
  <c r="S2" i="32"/>
  <c r="K39" i="47" s="1"/>
  <c r="S3" i="37"/>
  <c r="K60" i="47" s="1"/>
  <c r="U2" i="32"/>
  <c r="M39" i="47" s="1"/>
  <c r="N4" i="32"/>
  <c r="F41" i="47" s="1"/>
  <c r="T2" i="32"/>
  <c r="L39" i="47" s="1"/>
  <c r="Y4" i="32"/>
  <c r="Q41" i="47" s="1"/>
  <c r="T3" i="31"/>
  <c r="L36" i="47" s="1"/>
  <c r="N3" i="33"/>
  <c r="F44" i="47" s="1"/>
  <c r="N3" i="32"/>
  <c r="F40" i="47" s="1"/>
  <c r="W3" i="33"/>
  <c r="O44" i="47" s="1"/>
  <c r="S2" i="33"/>
  <c r="K43" i="47" s="1"/>
  <c r="U4" i="4"/>
  <c r="N2" i="33"/>
  <c r="F43" i="47" s="1"/>
  <c r="Y3" i="33"/>
  <c r="Q44" i="47" s="1"/>
  <c r="V4" i="37"/>
  <c r="N61" i="47" s="1"/>
  <c r="V2" i="33"/>
  <c r="N4" i="31"/>
  <c r="F37" i="47" s="1"/>
  <c r="R4" i="32"/>
  <c r="J41" i="47" s="1"/>
  <c r="O3" i="32"/>
  <c r="G40" i="47" s="1"/>
  <c r="L2" i="37"/>
  <c r="O65" i="47"/>
  <c r="R2" i="31"/>
  <c r="J35" i="47" s="1"/>
  <c r="U2" i="31"/>
  <c r="M35" i="47" s="1"/>
  <c r="T4" i="37"/>
  <c r="L61" i="47" s="1"/>
  <c r="O2" i="31"/>
  <c r="G35" i="47" s="1"/>
  <c r="M4" i="33"/>
  <c r="E45" i="47" s="1"/>
  <c r="W2" i="31"/>
  <c r="O35" i="47" s="1"/>
  <c r="X2" i="31"/>
  <c r="P35" i="47" s="1"/>
  <c r="Q4" i="37"/>
  <c r="I61" i="47" s="1"/>
  <c r="L2" i="31"/>
  <c r="D35" i="47" s="1"/>
  <c r="L4" i="32"/>
  <c r="D41" i="47" s="1"/>
  <c r="W4" i="37"/>
  <c r="O61" i="47" s="1"/>
  <c r="L4" i="4"/>
  <c r="P2" i="31"/>
  <c r="H35" i="47" s="1"/>
  <c r="Y4" i="37"/>
  <c r="Q61" i="47" s="1"/>
  <c r="V4" i="31"/>
  <c r="N37" i="47" s="1"/>
  <c r="R2" i="32"/>
  <c r="J39" i="47" s="1"/>
  <c r="Y2" i="37"/>
  <c r="Q59" i="47" s="1"/>
  <c r="Q2" i="37"/>
  <c r="I59" i="47" s="1"/>
  <c r="L2" i="33"/>
  <c r="D43" i="47" s="1"/>
  <c r="V4" i="32"/>
  <c r="N41" i="47" s="1"/>
  <c r="S2" i="31"/>
  <c r="N4" i="37"/>
  <c r="F61" i="47" s="1"/>
  <c r="W3" i="32"/>
  <c r="O40" i="47" s="1"/>
  <c r="M65" i="47"/>
  <c r="X4" i="33"/>
  <c r="P45" i="47" s="1"/>
  <c r="O2" i="32"/>
  <c r="G39" i="47" s="1"/>
  <c r="U3" i="33"/>
  <c r="M44" i="47" s="1"/>
  <c r="V2" i="37"/>
  <c r="N59" i="47" s="1"/>
  <c r="R4" i="4"/>
  <c r="M4" i="1"/>
  <c r="X6" i="1"/>
  <c r="Y5" i="1" s="1"/>
  <c r="X12" i="1"/>
  <c r="Y11" i="1" s="1"/>
  <c r="N4" i="1"/>
  <c r="P4" i="1"/>
  <c r="L2" i="27"/>
  <c r="D11" i="47" s="1"/>
  <c r="V4" i="27"/>
  <c r="N13" i="47" s="1"/>
  <c r="T3" i="27"/>
  <c r="L12" i="47" s="1"/>
  <c r="P2" i="27"/>
  <c r="V4" i="1"/>
  <c r="N3" i="27"/>
  <c r="F12" i="47" s="1"/>
  <c r="Y3" i="27"/>
  <c r="Q12" i="47" s="1"/>
  <c r="W4" i="27"/>
  <c r="O13" i="47" s="1"/>
  <c r="Q4" i="1"/>
  <c r="Q4" i="27"/>
  <c r="I13" i="47" s="1"/>
  <c r="W4" i="1"/>
  <c r="P4" i="27"/>
  <c r="H13" i="47" s="1"/>
  <c r="O2" i="27"/>
  <c r="G11" i="47" s="1"/>
  <c r="Q2" i="27"/>
  <c r="I11" i="47" s="1"/>
  <c r="R3" i="27"/>
  <c r="J12" i="47" s="1"/>
  <c r="W2" i="27"/>
  <c r="O11" i="47" s="1"/>
  <c r="W3" i="27"/>
  <c r="O12" i="47" s="1"/>
  <c r="M3" i="27"/>
  <c r="E12" i="47" s="1"/>
  <c r="U3" i="27"/>
  <c r="M12" i="47" s="1"/>
  <c r="O4" i="27"/>
  <c r="G13" i="47" s="1"/>
  <c r="M2" i="27"/>
  <c r="E11" i="47" s="1"/>
  <c r="Q3" i="27"/>
  <c r="I12" i="47" s="1"/>
  <c r="L3" i="27"/>
  <c r="X4" i="27"/>
  <c r="P13" i="47" s="1"/>
  <c r="P3" i="27"/>
  <c r="H12" i="47" s="1"/>
  <c r="S3" i="27"/>
  <c r="K12" i="47" s="1"/>
  <c r="N4" i="27"/>
  <c r="F13" i="47" s="1"/>
  <c r="U2" i="27"/>
  <c r="M11" i="47" s="1"/>
  <c r="N2" i="27"/>
  <c r="F11" i="47" s="1"/>
  <c r="J4" i="1"/>
  <c r="O3" i="27"/>
  <c r="G12" i="47" s="1"/>
  <c r="T2" i="27"/>
  <c r="L11" i="47" s="1"/>
  <c r="X3" i="27"/>
  <c r="P12" i="47" s="1"/>
  <c r="Y2" i="27"/>
  <c r="Q11" i="47" s="1"/>
  <c r="R4" i="27"/>
  <c r="J13" i="47" s="1"/>
  <c r="W3" i="26"/>
  <c r="O8" i="47" s="1"/>
  <c r="X2" i="27"/>
  <c r="P11" i="47" s="1"/>
  <c r="T4" i="27"/>
  <c r="L13" i="47" s="1"/>
  <c r="S4" i="27"/>
  <c r="K13" i="47" s="1"/>
  <c r="V2" i="27"/>
  <c r="N11" i="47" s="1"/>
  <c r="L4" i="27"/>
  <c r="V3" i="27"/>
  <c r="N12" i="47" s="1"/>
  <c r="R2" i="27"/>
  <c r="Y4" i="27"/>
  <c r="Q13" i="47" s="1"/>
  <c r="U4" i="27"/>
  <c r="M13" i="47" s="1"/>
  <c r="M4" i="27"/>
  <c r="E13" i="47" s="1"/>
  <c r="S2" i="27"/>
  <c r="K11" i="47" s="1"/>
  <c r="X3" i="33"/>
  <c r="P44" i="47" s="1"/>
  <c r="U2" i="33"/>
  <c r="X134" i="1"/>
  <c r="Y133" i="1" s="1"/>
  <c r="X162" i="1"/>
  <c r="Y161" i="1" s="1"/>
  <c r="X130" i="1"/>
  <c r="Y129" i="1" s="1"/>
  <c r="X158" i="1"/>
  <c r="Y157" i="1" s="1"/>
  <c r="X24" i="4"/>
  <c r="Y23" i="4" s="1"/>
  <c r="X136" i="4"/>
  <c r="Y135" i="4" s="1"/>
  <c r="X164" i="4"/>
  <c r="Y163" i="4" s="1"/>
  <c r="W4" i="33"/>
  <c r="O45" i="47" s="1"/>
  <c r="W2" i="33"/>
  <c r="O43" i="47" s="1"/>
  <c r="M3" i="33"/>
  <c r="E44" i="47" s="1"/>
  <c r="X2" i="33"/>
  <c r="X2" i="32"/>
  <c r="X4" i="37"/>
  <c r="P61" i="47" s="1"/>
  <c r="T3" i="33"/>
  <c r="L44" i="47" s="1"/>
  <c r="X2" i="37"/>
  <c r="P59" i="47" s="1"/>
  <c r="V3" i="37"/>
  <c r="N60" i="47" s="1"/>
  <c r="M2" i="33"/>
  <c r="E43" i="47" s="1"/>
  <c r="U4" i="37"/>
  <c r="M61" i="47" s="1"/>
  <c r="N2" i="37"/>
  <c r="F59" i="47" s="1"/>
  <c r="M3" i="32"/>
  <c r="E40" i="47" s="1"/>
  <c r="M2" i="32"/>
  <c r="E39" i="47" s="1"/>
  <c r="W4" i="32"/>
  <c r="O41" i="47" s="1"/>
  <c r="N2" i="32"/>
  <c r="F39" i="47" s="1"/>
  <c r="P2" i="33"/>
  <c r="H43" i="47" s="1"/>
  <c r="M4" i="32"/>
  <c r="E41" i="47" s="1"/>
  <c r="W4" i="4"/>
  <c r="X78" i="4"/>
  <c r="Y77" i="4" s="1"/>
  <c r="X30" i="4"/>
  <c r="Y29" i="4" s="1"/>
  <c r="K4" i="1"/>
  <c r="T4" i="1"/>
  <c r="X96" i="1"/>
  <c r="Y95" i="1" s="1"/>
  <c r="L4" i="1"/>
  <c r="X156" i="1"/>
  <c r="Y155" i="1" s="1"/>
  <c r="X142" i="1"/>
  <c r="Y141" i="1" s="1"/>
  <c r="X42" i="4"/>
  <c r="Y41" i="4" s="1"/>
  <c r="X52" i="4"/>
  <c r="Y51" i="4" s="1"/>
  <c r="X162" i="4"/>
  <c r="Y161" i="4" s="1"/>
  <c r="X156" i="4"/>
  <c r="Y155" i="4" s="1"/>
  <c r="X134" i="4"/>
  <c r="Y133" i="4" s="1"/>
  <c r="X160" i="4"/>
  <c r="Y159" i="4" s="1"/>
  <c r="X154" i="4"/>
  <c r="Y153" i="4" s="1"/>
  <c r="X132" i="4"/>
  <c r="Y131" i="4" s="1"/>
  <c r="X94" i="4"/>
  <c r="Y93" i="4" s="1"/>
  <c r="O4" i="33"/>
  <c r="G45" i="47" s="1"/>
  <c r="U3" i="37"/>
  <c r="M60" i="47" s="1"/>
  <c r="T2" i="37"/>
  <c r="L59" i="47" s="1"/>
  <c r="P2" i="37"/>
  <c r="H59" i="47" s="1"/>
  <c r="W2" i="32"/>
  <c r="O39" i="47" s="1"/>
  <c r="R4" i="33"/>
  <c r="J45" i="47" s="1"/>
  <c r="U2" i="37"/>
  <c r="M59" i="47" s="1"/>
  <c r="T3" i="37"/>
  <c r="L60" i="47" s="1"/>
  <c r="Y3" i="32"/>
  <c r="Q40" i="47" s="1"/>
  <c r="M4" i="37"/>
  <c r="E61" i="47" s="1"/>
  <c r="X3" i="32"/>
  <c r="P40" i="47" s="1"/>
  <c r="U4" i="33"/>
  <c r="M45" i="47" s="1"/>
  <c r="O4" i="32"/>
  <c r="G41" i="47" s="1"/>
  <c r="S2" i="37"/>
  <c r="K59" i="47" s="1"/>
  <c r="O4" i="4"/>
  <c r="X146" i="1"/>
  <c r="Y145" i="1" s="1"/>
  <c r="X160" i="1"/>
  <c r="Y159" i="1" s="1"/>
  <c r="X140" i="1"/>
  <c r="Y139" i="1" s="1"/>
  <c r="X168" i="1"/>
  <c r="Y167" i="1" s="1"/>
  <c r="X152" i="1"/>
  <c r="Y151" i="1" s="1"/>
  <c r="X150" i="1"/>
  <c r="Y149" i="1" s="1"/>
  <c r="X136" i="1"/>
  <c r="Y135" i="1" s="1"/>
  <c r="X26" i="4"/>
  <c r="Y25" i="4" s="1"/>
  <c r="X6" i="4"/>
  <c r="Y5" i="4" s="1"/>
  <c r="X126" i="4"/>
  <c r="Y125" i="4" s="1"/>
  <c r="X152" i="4"/>
  <c r="Y151" i="4" s="1"/>
  <c r="X138" i="4"/>
  <c r="Y137" i="4" s="1"/>
  <c r="X158" i="4"/>
  <c r="Y157" i="4" s="1"/>
  <c r="X128" i="4"/>
  <c r="Y127" i="4" s="1"/>
  <c r="X128" i="1"/>
  <c r="Y127" i="1" s="1"/>
  <c r="X144" i="1"/>
  <c r="Y143" i="1" s="1"/>
  <c r="X132" i="1"/>
  <c r="Y131" i="1" s="1"/>
  <c r="X126" i="1"/>
  <c r="Y125" i="1" s="1"/>
  <c r="X76" i="4"/>
  <c r="Y75" i="4" s="1"/>
  <c r="X166" i="4"/>
  <c r="Y165" i="4" s="1"/>
  <c r="X74" i="4"/>
  <c r="Y73" i="4" s="1"/>
  <c r="X144" i="4"/>
  <c r="Y143" i="4" s="1"/>
  <c r="X142" i="4"/>
  <c r="Y141" i="4" s="1"/>
  <c r="X168" i="4"/>
  <c r="Y167" i="4" s="1"/>
  <c r="X148" i="1"/>
  <c r="Y147" i="1" s="1"/>
  <c r="X108" i="4"/>
  <c r="Y107" i="4" s="1"/>
  <c r="X36" i="4"/>
  <c r="Y35" i="4" s="1"/>
  <c r="X138" i="1"/>
  <c r="Y137" i="1" s="1"/>
  <c r="X130" i="4"/>
  <c r="Y129" i="4" s="1"/>
  <c r="P3" i="33"/>
  <c r="H44" i="47" s="1"/>
  <c r="V3" i="33"/>
  <c r="N44" i="47" s="1"/>
  <c r="T4" i="33"/>
  <c r="L45" i="47" s="1"/>
  <c r="S3" i="33"/>
  <c r="K44" i="47" s="1"/>
  <c r="L3" i="33"/>
  <c r="D44" i="47" s="1"/>
  <c r="Y4" i="33"/>
  <c r="Q45" i="47" s="1"/>
  <c r="S4" i="33"/>
  <c r="K45" i="47" s="1"/>
  <c r="O2" i="33"/>
  <c r="G43" i="47" s="1"/>
  <c r="X154" i="1"/>
  <c r="Y153" i="1" s="1"/>
  <c r="X164" i="1"/>
  <c r="Y163" i="1" s="1"/>
  <c r="X38" i="4"/>
  <c r="Y37" i="4" s="1"/>
  <c r="X150" i="4"/>
  <c r="Y149" i="4" s="1"/>
  <c r="P3" i="36"/>
  <c r="H56" i="47" s="1"/>
  <c r="Q4" i="4"/>
  <c r="N4" i="4"/>
  <c r="S4" i="1"/>
  <c r="X66" i="1"/>
  <c r="Y65" i="1" s="1"/>
  <c r="X80" i="1"/>
  <c r="Y79" i="1" s="1"/>
  <c r="X174" i="1"/>
  <c r="Y173" i="1" s="1"/>
  <c r="I27" i="47"/>
  <c r="Y3" i="26"/>
  <c r="Q8" i="47" s="1"/>
  <c r="U2" i="26"/>
  <c r="M7" i="47" s="1"/>
  <c r="L4" i="26"/>
  <c r="D9" i="47" s="1"/>
  <c r="M4" i="26"/>
  <c r="E9" i="47" s="1"/>
  <c r="Y4" i="26"/>
  <c r="Q9" i="47" s="1"/>
  <c r="T2" i="26"/>
  <c r="L7" i="47" s="1"/>
  <c r="X3" i="26"/>
  <c r="P8" i="47" s="1"/>
  <c r="N3" i="26"/>
  <c r="F8" i="47" s="1"/>
  <c r="S74" i="47"/>
  <c r="C27" i="49" s="1"/>
  <c r="R3" i="33"/>
  <c r="J44" i="47" s="1"/>
  <c r="S4" i="34"/>
  <c r="K49" i="47" s="1"/>
  <c r="N3" i="37"/>
  <c r="F60" i="47" s="1"/>
  <c r="W3" i="37"/>
  <c r="O60" i="47" s="1"/>
  <c r="O2" i="37"/>
  <c r="G59" i="47" s="1"/>
  <c r="Q3" i="37"/>
  <c r="I60" i="47" s="1"/>
  <c r="L2" i="34"/>
  <c r="D47" i="47" s="1"/>
  <c r="T2" i="34"/>
  <c r="L47" i="47" s="1"/>
  <c r="R2" i="34"/>
  <c r="J47" i="47" s="1"/>
  <c r="L2" i="36"/>
  <c r="D55" i="47" s="1"/>
  <c r="M3" i="34"/>
  <c r="E48" i="47" s="1"/>
  <c r="N2" i="34"/>
  <c r="F47" i="47" s="1"/>
  <c r="O2" i="35"/>
  <c r="G51" i="47" s="1"/>
  <c r="O2" i="34"/>
  <c r="G47" i="47" s="1"/>
  <c r="U3" i="34"/>
  <c r="M48" i="47" s="1"/>
  <c r="R4" i="34"/>
  <c r="J49" i="47" s="1"/>
  <c r="W2" i="34"/>
  <c r="O47" i="47" s="1"/>
  <c r="V4" i="36"/>
  <c r="N57" i="47" s="1"/>
  <c r="S2" i="34"/>
  <c r="K47" i="47" s="1"/>
  <c r="L4" i="34"/>
  <c r="D49" i="47" s="1"/>
  <c r="C2" i="42"/>
  <c r="D2" i="42" s="1"/>
  <c r="O177" i="42"/>
  <c r="W4" i="26"/>
  <c r="O9" i="47" s="1"/>
  <c r="P4" i="34"/>
  <c r="H49" i="47" s="1"/>
  <c r="R2" i="26"/>
  <c r="J7" i="47" s="1"/>
  <c r="Q3" i="26"/>
  <c r="I8" i="47" s="1"/>
  <c r="U3" i="26"/>
  <c r="M8" i="47" s="1"/>
  <c r="R3" i="26"/>
  <c r="J8" i="47" s="1"/>
  <c r="V2" i="36"/>
  <c r="V4" i="34"/>
  <c r="N49" i="47" s="1"/>
  <c r="M3" i="26"/>
  <c r="E8" i="47" s="1"/>
  <c r="P2" i="26"/>
  <c r="H7" i="47" s="1"/>
  <c r="L3" i="26"/>
  <c r="D8" i="47" s="1"/>
  <c r="S3" i="26"/>
  <c r="K8" i="47" s="1"/>
  <c r="T3" i="26"/>
  <c r="L8" i="47" s="1"/>
  <c r="P4" i="26"/>
  <c r="H9" i="47" s="1"/>
  <c r="L2" i="26"/>
  <c r="D7" i="47" s="1"/>
  <c r="M2" i="26"/>
  <c r="S4" i="36"/>
  <c r="K57" i="47" s="1"/>
  <c r="O4" i="34"/>
  <c r="G49" i="47" s="1"/>
  <c r="M4" i="34"/>
  <c r="E49" i="47" s="1"/>
  <c r="L3" i="34"/>
  <c r="D48" i="47" s="1"/>
  <c r="S3" i="34"/>
  <c r="K48" i="47" s="1"/>
  <c r="V2" i="34"/>
  <c r="N47" i="47" s="1"/>
  <c r="Y3" i="34"/>
  <c r="Q48" i="47" s="1"/>
  <c r="P3" i="26"/>
  <c r="H8" i="47" s="1"/>
  <c r="Q4" i="26"/>
  <c r="I9" i="47" s="1"/>
  <c r="N4" i="26"/>
  <c r="F9" i="47" s="1"/>
  <c r="W2" i="26"/>
  <c r="O7" i="47" s="1"/>
  <c r="R3" i="36"/>
  <c r="J56" i="47" s="1"/>
  <c r="P3" i="34"/>
  <c r="H48" i="47" s="1"/>
  <c r="X2" i="34"/>
  <c r="P47" i="47" s="1"/>
  <c r="O3" i="34"/>
  <c r="G48" i="47" s="1"/>
  <c r="N2" i="36"/>
  <c r="F55" i="47" s="1"/>
  <c r="Q3" i="34"/>
  <c r="I48" i="47" s="1"/>
  <c r="W3" i="34"/>
  <c r="O48" i="47" s="1"/>
  <c r="P2" i="34"/>
  <c r="H47" i="47" s="1"/>
  <c r="V3" i="36"/>
  <c r="N56" i="47" s="1"/>
  <c r="S4" i="26"/>
  <c r="K9" i="47" s="1"/>
  <c r="Y2" i="34"/>
  <c r="Q47" i="47" s="1"/>
  <c r="X3" i="34"/>
  <c r="P48" i="47" s="1"/>
  <c r="S4" i="4"/>
  <c r="U4" i="34"/>
  <c r="M49" i="47" s="1"/>
  <c r="U2" i="34"/>
  <c r="M47" i="47" s="1"/>
  <c r="Q2" i="34"/>
  <c r="I47" i="47" s="1"/>
  <c r="O2" i="26"/>
  <c r="G7" i="47" s="1"/>
  <c r="X4" i="26"/>
  <c r="P9" i="47" s="1"/>
  <c r="U4" i="26"/>
  <c r="M9" i="47" s="1"/>
  <c r="X2" i="26"/>
  <c r="P7" i="47" s="1"/>
  <c r="Q4" i="34"/>
  <c r="I49" i="47" s="1"/>
  <c r="T3" i="34"/>
  <c r="L48" i="47" s="1"/>
  <c r="T4" i="26"/>
  <c r="L9" i="47" s="1"/>
  <c r="Y2" i="26"/>
  <c r="Q7" i="47" s="1"/>
  <c r="R4" i="26"/>
  <c r="J9" i="47" s="1"/>
  <c r="S2" i="26"/>
  <c r="K7" i="47" s="1"/>
  <c r="R3" i="34"/>
  <c r="J48" i="47" s="1"/>
  <c r="W3" i="36"/>
  <c r="O56" i="47" s="1"/>
  <c r="N3" i="34"/>
  <c r="T4" i="34"/>
  <c r="L49" i="47" s="1"/>
  <c r="X4" i="34"/>
  <c r="P49" i="47" s="1"/>
  <c r="M2" i="34"/>
  <c r="E47" i="47" s="1"/>
  <c r="W4" i="34"/>
  <c r="O49" i="47" s="1"/>
  <c r="V3" i="34"/>
  <c r="N48" i="47" s="1"/>
  <c r="N4" i="34"/>
  <c r="F49" i="47" s="1"/>
  <c r="Y4" i="34"/>
  <c r="Q49" i="47" s="1"/>
  <c r="T4" i="4"/>
  <c r="V4" i="4"/>
  <c r="O2" i="36"/>
  <c r="G55" i="47" s="1"/>
  <c r="S3" i="36"/>
  <c r="K56" i="47" s="1"/>
  <c r="V2" i="26"/>
  <c r="N7" i="47" s="1"/>
  <c r="Q2" i="26"/>
  <c r="I7" i="47" s="1"/>
  <c r="O4" i="26"/>
  <c r="G9" i="47" s="1"/>
  <c r="O3" i="26"/>
  <c r="G8" i="47" s="1"/>
  <c r="P2" i="36"/>
  <c r="H55" i="47" s="1"/>
  <c r="W4" i="35"/>
  <c r="O53" i="47" s="1"/>
  <c r="U2" i="36"/>
  <c r="M55" i="47" s="1"/>
  <c r="Y4" i="36"/>
  <c r="Q57" i="47" s="1"/>
  <c r="T3" i="36"/>
  <c r="L56" i="47" s="1"/>
  <c r="Y2" i="36"/>
  <c r="Q55" i="47" s="1"/>
  <c r="W4" i="36"/>
  <c r="O57" i="47" s="1"/>
  <c r="S2" i="36"/>
  <c r="K55" i="47" s="1"/>
  <c r="I63" i="47"/>
  <c r="J64" i="47"/>
  <c r="X4" i="36"/>
  <c r="P57" i="47" s="1"/>
  <c r="X46" i="4"/>
  <c r="Y45" i="4" s="1"/>
  <c r="X62" i="4"/>
  <c r="Y61" i="4" s="1"/>
  <c r="P4" i="4"/>
  <c r="M4" i="36"/>
  <c r="E57" i="47" s="1"/>
  <c r="V4" i="26"/>
  <c r="N9" i="47" s="1"/>
  <c r="N2" i="26"/>
  <c r="F7" i="47" s="1"/>
  <c r="V3" i="26"/>
  <c r="N8" i="47" s="1"/>
  <c r="R2" i="36"/>
  <c r="J55" i="47" s="1"/>
  <c r="Q4" i="36"/>
  <c r="I57" i="47" s="1"/>
  <c r="K65" i="47"/>
  <c r="G64" i="47"/>
  <c r="H63" i="47"/>
  <c r="X3" i="36"/>
  <c r="P56" i="47" s="1"/>
  <c r="L64" i="47"/>
  <c r="P64" i="47"/>
  <c r="I64" i="47"/>
  <c r="L3" i="36"/>
  <c r="D56" i="47" s="1"/>
  <c r="Q3" i="36"/>
  <c r="I56" i="47" s="1"/>
  <c r="T4" i="36"/>
  <c r="L57" i="47" s="1"/>
  <c r="N4" i="36"/>
  <c r="F57" i="47" s="1"/>
  <c r="O4" i="36"/>
  <c r="G57" i="47" s="1"/>
  <c r="X174" i="4"/>
  <c r="Y173" i="4" s="1"/>
  <c r="U3" i="36"/>
  <c r="M56" i="47" s="1"/>
  <c r="O3" i="36"/>
  <c r="G56" i="47" s="1"/>
  <c r="L4" i="36"/>
  <c r="D57" i="47" s="1"/>
  <c r="R4" i="36"/>
  <c r="J57" i="47" s="1"/>
  <c r="M3" i="36"/>
  <c r="E56" i="47" s="1"/>
  <c r="L65" i="47"/>
  <c r="O64" i="47"/>
  <c r="U4" i="36"/>
  <c r="M57" i="47" s="1"/>
  <c r="N3" i="36"/>
  <c r="F56" i="47" s="1"/>
  <c r="Q2" i="36"/>
  <c r="I55" i="47" s="1"/>
  <c r="P4" i="36"/>
  <c r="H57" i="47" s="1"/>
  <c r="U4" i="28"/>
  <c r="M17" i="47" s="1"/>
  <c r="S4" i="28"/>
  <c r="K17" i="47" s="1"/>
  <c r="Y4" i="29"/>
  <c r="Q21" i="47" s="1"/>
  <c r="Q4" i="28"/>
  <c r="I17" i="47" s="1"/>
  <c r="P2" i="29"/>
  <c r="H19" i="47" s="1"/>
  <c r="O2" i="28"/>
  <c r="G15" i="47" s="1"/>
  <c r="Q4" i="29"/>
  <c r="I21" i="47" s="1"/>
  <c r="Q4" i="30"/>
  <c r="I25" i="47" s="1"/>
  <c r="P2" i="28"/>
  <c r="H15" i="47" s="1"/>
  <c r="U4" i="29"/>
  <c r="M21" i="47" s="1"/>
  <c r="Y3" i="28"/>
  <c r="Q16" i="47" s="1"/>
  <c r="X3" i="29"/>
  <c r="P20" i="47" s="1"/>
  <c r="T2" i="29"/>
  <c r="L19" i="47" s="1"/>
  <c r="N2" i="29"/>
  <c r="F19" i="47" s="1"/>
  <c r="M3" i="29"/>
  <c r="E20" i="47" s="1"/>
  <c r="V2" i="28"/>
  <c r="N15" i="47" s="1"/>
  <c r="R2" i="29"/>
  <c r="J19" i="47" s="1"/>
  <c r="X2" i="28"/>
  <c r="P15" i="47" s="1"/>
  <c r="V3" i="28"/>
  <c r="N16" i="47" s="1"/>
  <c r="L2" i="28"/>
  <c r="T2" i="28"/>
  <c r="L15" i="47" s="1"/>
  <c r="N3" i="29"/>
  <c r="F20" i="47" s="1"/>
  <c r="R3" i="29"/>
  <c r="J20" i="47" s="1"/>
  <c r="P3" i="29"/>
  <c r="H20" i="47" s="1"/>
  <c r="V2" i="29"/>
  <c r="N19" i="47" s="1"/>
  <c r="J4" i="4"/>
  <c r="F65" i="47"/>
  <c r="P63" i="47"/>
  <c r="D65" i="47"/>
  <c r="S3" i="35"/>
  <c r="K52" i="47" s="1"/>
  <c r="I65" i="47"/>
  <c r="L3" i="35"/>
  <c r="D52" i="47" s="1"/>
  <c r="G65" i="47"/>
  <c r="U3" i="35"/>
  <c r="M52" i="47" s="1"/>
  <c r="W2" i="36"/>
  <c r="O3" i="35"/>
  <c r="G52" i="47" s="1"/>
  <c r="M2" i="36"/>
  <c r="E55" i="47" s="1"/>
  <c r="M3" i="35"/>
  <c r="E52" i="47" s="1"/>
  <c r="M63" i="47"/>
  <c r="X3" i="35"/>
  <c r="P52" i="47" s="1"/>
  <c r="N3" i="35"/>
  <c r="F52" i="47" s="1"/>
  <c r="O63" i="47"/>
  <c r="N4" i="35"/>
  <c r="F53" i="47" s="1"/>
  <c r="P3" i="35"/>
  <c r="H52" i="47" s="1"/>
  <c r="R3" i="35"/>
  <c r="Q3" i="28"/>
  <c r="I16" i="47" s="1"/>
  <c r="O2" i="29"/>
  <c r="G19" i="47" s="1"/>
  <c r="Q2" i="29"/>
  <c r="I19" i="47" s="1"/>
  <c r="S3" i="29"/>
  <c r="K20" i="47" s="1"/>
  <c r="M4" i="29"/>
  <c r="E21" i="47" s="1"/>
  <c r="P4" i="35"/>
  <c r="H53" i="47" s="1"/>
  <c r="U2" i="29"/>
  <c r="M19" i="47" s="1"/>
  <c r="X4" i="28"/>
  <c r="P17" i="47" s="1"/>
  <c r="L3" i="28"/>
  <c r="D16" i="47" s="1"/>
  <c r="L4" i="28"/>
  <c r="D17" i="47" s="1"/>
  <c r="N4" i="28"/>
  <c r="F17" i="47" s="1"/>
  <c r="V4" i="28"/>
  <c r="N17" i="47" s="1"/>
  <c r="Q3" i="29"/>
  <c r="I20" i="47" s="1"/>
  <c r="S2" i="29"/>
  <c r="K19" i="47" s="1"/>
  <c r="M2" i="29"/>
  <c r="E19" i="47" s="1"/>
  <c r="L3" i="29"/>
  <c r="D20" i="47" s="1"/>
  <c r="T3" i="35"/>
  <c r="L52" i="47" s="1"/>
  <c r="Y3" i="36"/>
  <c r="Q56" i="47" s="1"/>
  <c r="D64" i="47"/>
  <c r="X2" i="36"/>
  <c r="P55" i="47" s="1"/>
  <c r="X2" i="35"/>
  <c r="P51" i="47" s="1"/>
  <c r="W2" i="35"/>
  <c r="R2" i="35"/>
  <c r="J51" i="47" s="1"/>
  <c r="Y2" i="35"/>
  <c r="Q51" i="47" s="1"/>
  <c r="T3" i="29"/>
  <c r="L20" i="47" s="1"/>
  <c r="P3" i="28"/>
  <c r="H16" i="47" s="1"/>
  <c r="W4" i="28"/>
  <c r="O17" i="47" s="1"/>
  <c r="Y4" i="28"/>
  <c r="Q17" i="47" s="1"/>
  <c r="S2" i="28"/>
  <c r="K15" i="47" s="1"/>
  <c r="X2" i="29"/>
  <c r="V4" i="29"/>
  <c r="N21" i="47" s="1"/>
  <c r="L2" i="35"/>
  <c r="Q3" i="35"/>
  <c r="I52" i="47" s="1"/>
  <c r="V3" i="29"/>
  <c r="N20" i="47" s="1"/>
  <c r="Y2" i="28"/>
  <c r="Q15" i="47" s="1"/>
  <c r="Q2" i="28"/>
  <c r="Y2" i="29"/>
  <c r="Q19" i="47" s="1"/>
  <c r="O3" i="29"/>
  <c r="G20" i="47" s="1"/>
  <c r="S4" i="29"/>
  <c r="K21" i="47" s="1"/>
  <c r="N4" i="29"/>
  <c r="F21" i="47" s="1"/>
  <c r="Q2" i="35"/>
  <c r="I51" i="47" s="1"/>
  <c r="U2" i="35"/>
  <c r="F63" i="47"/>
  <c r="Y3" i="35"/>
  <c r="Q52" i="47" s="1"/>
  <c r="M2" i="35"/>
  <c r="E51" i="47" s="1"/>
  <c r="S2" i="35"/>
  <c r="K51" i="47" s="1"/>
  <c r="Q4" i="35"/>
  <c r="I53" i="47" s="1"/>
  <c r="V3" i="35"/>
  <c r="N52" i="47" s="1"/>
  <c r="W3" i="35"/>
  <c r="O52" i="47" s="1"/>
  <c r="L4" i="35"/>
  <c r="D53" i="47" s="1"/>
  <c r="M4" i="28"/>
  <c r="E17" i="47" s="1"/>
  <c r="O4" i="35"/>
  <c r="G53" i="47" s="1"/>
  <c r="R2" i="28"/>
  <c r="J15" i="47" s="1"/>
  <c r="M2" i="28"/>
  <c r="E15" i="47" s="1"/>
  <c r="N3" i="28"/>
  <c r="F16" i="47" s="1"/>
  <c r="R4" i="28"/>
  <c r="J17" i="47" s="1"/>
  <c r="R4" i="29"/>
  <c r="J21" i="47" s="1"/>
  <c r="W3" i="28"/>
  <c r="O16" i="47" s="1"/>
  <c r="T4" i="28"/>
  <c r="L17" i="47" s="1"/>
  <c r="R3" i="28"/>
  <c r="J16" i="47" s="1"/>
  <c r="O4" i="28"/>
  <c r="G17" i="47" s="1"/>
  <c r="X3" i="28"/>
  <c r="P16" i="47" s="1"/>
  <c r="L4" i="29"/>
  <c r="D21" i="47" s="1"/>
  <c r="T4" i="29"/>
  <c r="L21" i="47" s="1"/>
  <c r="U3" i="29"/>
  <c r="M20" i="47" s="1"/>
  <c r="W4" i="29"/>
  <c r="O21" i="47" s="1"/>
  <c r="Y4" i="35"/>
  <c r="Q53" i="47" s="1"/>
  <c r="D63" i="47"/>
  <c r="V2" i="35"/>
  <c r="U4" i="35"/>
  <c r="M53" i="47" s="1"/>
  <c r="T2" i="36"/>
  <c r="L55" i="47" s="1"/>
  <c r="T2" i="35"/>
  <c r="L51" i="47" s="1"/>
  <c r="M4" i="35"/>
  <c r="E53" i="47" s="1"/>
  <c r="L63" i="47"/>
  <c r="X4" i="35"/>
  <c r="P53" i="47" s="1"/>
  <c r="S4" i="35"/>
  <c r="K53" i="47" s="1"/>
  <c r="X14" i="4"/>
  <c r="Y13" i="4" s="1"/>
  <c r="M3" i="28"/>
  <c r="E16" i="47" s="1"/>
  <c r="U3" i="28"/>
  <c r="M16" i="47" s="1"/>
  <c r="W3" i="29"/>
  <c r="O20" i="47" s="1"/>
  <c r="S3" i="28"/>
  <c r="K16" i="47" s="1"/>
  <c r="N2" i="28"/>
  <c r="F15" i="47" s="1"/>
  <c r="O4" i="29"/>
  <c r="G21" i="47" s="1"/>
  <c r="P2" i="35"/>
  <c r="H51" i="47" s="1"/>
  <c r="P4" i="28"/>
  <c r="H17" i="47" s="1"/>
  <c r="P4" i="29"/>
  <c r="H21" i="47" s="1"/>
  <c r="W2" i="28"/>
  <c r="O15" i="47" s="1"/>
  <c r="O3" i="28"/>
  <c r="G16" i="47" s="1"/>
  <c r="T3" i="28"/>
  <c r="L16" i="47" s="1"/>
  <c r="U2" i="28"/>
  <c r="M15" i="47" s="1"/>
  <c r="L2" i="29"/>
  <c r="W2" i="29"/>
  <c r="O19" i="47" s="1"/>
  <c r="X4" i="29"/>
  <c r="P21" i="47" s="1"/>
  <c r="Y3" i="29"/>
  <c r="Q20" i="47" s="1"/>
  <c r="E64" i="47"/>
  <c r="Q64" i="47"/>
  <c r="E63" i="47"/>
  <c r="V4" i="35"/>
  <c r="N53" i="47" s="1"/>
  <c r="K64" i="47"/>
  <c r="N63" i="47"/>
  <c r="F64" i="47"/>
  <c r="N64" i="47"/>
  <c r="H65" i="47"/>
  <c r="J63" i="47"/>
  <c r="N65" i="47"/>
  <c r="E65" i="47"/>
  <c r="P5" i="33"/>
  <c r="P6" i="33" s="1"/>
  <c r="M2" i="30"/>
  <c r="E23" i="47" s="1"/>
  <c r="L3" i="30"/>
  <c r="D24" i="47" s="1"/>
  <c r="I28" i="47"/>
  <c r="M4" i="30"/>
  <c r="E25" i="47" s="1"/>
  <c r="U4" i="30"/>
  <c r="M25" i="47" s="1"/>
  <c r="O4" i="30"/>
  <c r="G25" i="47" s="1"/>
  <c r="P2" i="30"/>
  <c r="H23" i="47" s="1"/>
  <c r="J43" i="47"/>
  <c r="V4" i="30"/>
  <c r="N25" i="47" s="1"/>
  <c r="O2" i="30"/>
  <c r="G23" i="47" s="1"/>
  <c r="P4" i="30"/>
  <c r="H25" i="47" s="1"/>
  <c r="T3" i="30"/>
  <c r="L24" i="47" s="1"/>
  <c r="M43" i="47"/>
  <c r="N4" i="30"/>
  <c r="F25" i="47" s="1"/>
  <c r="Q3" i="30"/>
  <c r="I24" i="47" s="1"/>
  <c r="N3" i="30"/>
  <c r="F24" i="47" s="1"/>
  <c r="W4" i="30"/>
  <c r="O25" i="47" s="1"/>
  <c r="N43" i="47"/>
  <c r="O5" i="31"/>
  <c r="K63" i="47"/>
  <c r="M3" i="30"/>
  <c r="E24" i="47" s="1"/>
  <c r="X3" i="30"/>
  <c r="P24" i="47" s="1"/>
  <c r="Q2" i="30"/>
  <c r="I23" i="47" s="1"/>
  <c r="X2" i="30"/>
  <c r="P23" i="47" s="1"/>
  <c r="Q63" i="47"/>
  <c r="R2" i="30"/>
  <c r="J23" i="47" s="1"/>
  <c r="W3" i="30"/>
  <c r="O24" i="47" s="1"/>
  <c r="U3" i="30"/>
  <c r="M24" i="47" s="1"/>
  <c r="V3" i="30"/>
  <c r="N24" i="47" s="1"/>
  <c r="L5" i="33"/>
  <c r="K35" i="47"/>
  <c r="H64" i="47"/>
  <c r="G63" i="47"/>
  <c r="M64" i="47"/>
  <c r="J65" i="47"/>
  <c r="S3" i="30"/>
  <c r="K24" i="47" s="1"/>
  <c r="R4" i="30"/>
  <c r="J25" i="47" s="1"/>
  <c r="X4" i="30"/>
  <c r="P25" i="47" s="1"/>
  <c r="S4" i="30"/>
  <c r="K25" i="47" s="1"/>
  <c r="L4" i="30"/>
  <c r="D25" i="47" s="1"/>
  <c r="Q65" i="47"/>
  <c r="Q39" i="47"/>
  <c r="S2" i="30"/>
  <c r="K23" i="47" s="1"/>
  <c r="O3" i="30"/>
  <c r="G24" i="47" s="1"/>
  <c r="T4" i="30"/>
  <c r="L25" i="47" s="1"/>
  <c r="L2" i="30"/>
  <c r="N2" i="30"/>
  <c r="F23" i="47" s="1"/>
  <c r="P3" i="30"/>
  <c r="H24" i="47" s="1"/>
  <c r="Q36" i="47"/>
  <c r="Y5" i="31"/>
  <c r="I45" i="47"/>
  <c r="F35" i="47"/>
  <c r="P39" i="47"/>
  <c r="E60" i="47"/>
  <c r="Y4" i="30"/>
  <c r="Q25" i="47" s="1"/>
  <c r="Y2" i="30"/>
  <c r="Q23" i="47" s="1"/>
  <c r="W2" i="30"/>
  <c r="O23" i="47" s="1"/>
  <c r="U2" i="30"/>
  <c r="M23" i="47" s="1"/>
  <c r="D59" i="47"/>
  <c r="Y3" i="30"/>
  <c r="Q24" i="47" s="1"/>
  <c r="V2" i="30"/>
  <c r="N23" i="47" s="1"/>
  <c r="R3" i="30"/>
  <c r="J24" i="47" s="1"/>
  <c r="T2" i="30"/>
  <c r="O37" i="47"/>
  <c r="W5" i="31"/>
  <c r="M27" i="47"/>
  <c r="N28" i="47"/>
  <c r="O27" i="47"/>
  <c r="E28" i="47"/>
  <c r="N29" i="47"/>
  <c r="F28" i="47"/>
  <c r="H27" i="47"/>
  <c r="L29" i="47"/>
  <c r="G29" i="47"/>
  <c r="J29" i="47"/>
  <c r="K28" i="47"/>
  <c r="E27" i="47"/>
  <c r="K27" i="47"/>
  <c r="P28" i="47"/>
  <c r="P72" i="47" s="1"/>
  <c r="M28" i="47"/>
  <c r="G28" i="47"/>
  <c r="J27" i="47"/>
  <c r="E29" i="47"/>
  <c r="H28" i="47"/>
  <c r="D29" i="47"/>
  <c r="K29" i="47"/>
  <c r="J28" i="47"/>
  <c r="L28" i="47"/>
  <c r="G27" i="47"/>
  <c r="L27" i="47"/>
  <c r="M29" i="47"/>
  <c r="I29" i="47"/>
  <c r="Q29" i="47"/>
  <c r="P27" i="47"/>
  <c r="O29" i="47"/>
  <c r="N27" i="47"/>
  <c r="H29" i="47"/>
  <c r="D28" i="47"/>
  <c r="H11" i="47"/>
  <c r="D27" i="47"/>
  <c r="Q28" i="47"/>
  <c r="Q27" i="47"/>
  <c r="P29" i="47"/>
  <c r="F27" i="47"/>
  <c r="F29" i="47"/>
  <c r="O28" i="47"/>
  <c r="O73" i="47" l="1"/>
  <c r="X5" i="31"/>
  <c r="N5" i="32"/>
  <c r="N6" i="32" s="1"/>
  <c r="U5" i="37"/>
  <c r="M62" i="47" s="1"/>
  <c r="S5" i="31"/>
  <c r="X5" i="32"/>
  <c r="I72" i="47"/>
  <c r="Q5" i="33"/>
  <c r="I46" i="47" s="1"/>
  <c r="W5" i="33"/>
  <c r="O46" i="47" s="1"/>
  <c r="R5" i="37"/>
  <c r="R6" i="37" s="1"/>
  <c r="J69" i="47"/>
  <c r="S5" i="37"/>
  <c r="S6" i="37" s="1"/>
  <c r="S5" i="34"/>
  <c r="O5" i="37"/>
  <c r="O6" i="37" s="1"/>
  <c r="Q5" i="31"/>
  <c r="Q6" i="31" s="1"/>
  <c r="M5" i="31"/>
  <c r="E38" i="47" s="1"/>
  <c r="X5" i="33"/>
  <c r="P43" i="47"/>
  <c r="R43" i="47" s="1"/>
  <c r="S43" i="47" s="1"/>
  <c r="T5" i="33"/>
  <c r="L46" i="47" s="1"/>
  <c r="L5" i="34"/>
  <c r="L6" i="34" s="1"/>
  <c r="R41" i="47"/>
  <c r="S41" i="47" s="1"/>
  <c r="Q5" i="32"/>
  <c r="P5" i="31"/>
  <c r="I3" i="32"/>
  <c r="N5" i="37"/>
  <c r="F62" i="47" s="1"/>
  <c r="P5" i="32"/>
  <c r="H42" i="47" s="1"/>
  <c r="U5" i="34"/>
  <c r="U6" i="34" s="1"/>
  <c r="I2" i="31"/>
  <c r="P5" i="37"/>
  <c r="H62" i="47" s="1"/>
  <c r="U5" i="33"/>
  <c r="I3" i="31"/>
  <c r="L68" i="47"/>
  <c r="R44" i="47"/>
  <c r="S44" i="47" s="1"/>
  <c r="P69" i="47"/>
  <c r="L5" i="32"/>
  <c r="D42" i="47" s="1"/>
  <c r="V5" i="33"/>
  <c r="N46" i="47" s="1"/>
  <c r="T5" i="37"/>
  <c r="L62" i="47" s="1"/>
  <c r="I4" i="32"/>
  <c r="P73" i="47"/>
  <c r="I40" i="47"/>
  <c r="I68" i="47" s="1"/>
  <c r="R5" i="31"/>
  <c r="W5" i="32"/>
  <c r="I2" i="37"/>
  <c r="V5" i="36"/>
  <c r="V6" i="36" s="1"/>
  <c r="F71" i="47"/>
  <c r="Y5" i="32"/>
  <c r="Q42" i="47" s="1"/>
  <c r="V5" i="37"/>
  <c r="V6" i="37" s="1"/>
  <c r="W5" i="37"/>
  <c r="O62" i="47" s="1"/>
  <c r="O5" i="33"/>
  <c r="S5" i="33"/>
  <c r="V5" i="31"/>
  <c r="N38" i="47" s="1"/>
  <c r="L69" i="47"/>
  <c r="M5" i="33"/>
  <c r="E46" i="47" s="1"/>
  <c r="T5" i="31"/>
  <c r="V5" i="32"/>
  <c r="N42" i="47" s="1"/>
  <c r="L5" i="37"/>
  <c r="L6" i="37" s="1"/>
  <c r="O5" i="32"/>
  <c r="U5" i="31"/>
  <c r="H68" i="47"/>
  <c r="S5" i="32"/>
  <c r="S6" i="32" s="1"/>
  <c r="Y5" i="37"/>
  <c r="Y6" i="37" s="1"/>
  <c r="L5" i="27"/>
  <c r="D14" i="47" s="1"/>
  <c r="Y5" i="27"/>
  <c r="Q14" i="47" s="1"/>
  <c r="Q5" i="27"/>
  <c r="Q6" i="27" s="1"/>
  <c r="V5" i="27"/>
  <c r="N14" i="47" s="1"/>
  <c r="M5" i="27"/>
  <c r="E14" i="47" s="1"/>
  <c r="R5" i="27"/>
  <c r="R6" i="27" s="1"/>
  <c r="Y5" i="33"/>
  <c r="Y6" i="33" s="1"/>
  <c r="N5" i="33"/>
  <c r="N6" i="33" s="1"/>
  <c r="I4" i="37"/>
  <c r="U5" i="32"/>
  <c r="U6" i="32" s="1"/>
  <c r="T5" i="34"/>
  <c r="T6" i="34" s="1"/>
  <c r="R5" i="32"/>
  <c r="R6" i="32" s="1"/>
  <c r="D40" i="47"/>
  <c r="R5" i="33"/>
  <c r="M5" i="32"/>
  <c r="M5" i="37"/>
  <c r="O72" i="47"/>
  <c r="I4" i="31"/>
  <c r="M73" i="47"/>
  <c r="L5" i="31"/>
  <c r="I3" i="33"/>
  <c r="N5" i="31"/>
  <c r="T5" i="32"/>
  <c r="I2" i="32"/>
  <c r="I2" i="33"/>
  <c r="N68" i="47"/>
  <c r="H73" i="47"/>
  <c r="O71" i="47"/>
  <c r="X5" i="37"/>
  <c r="P62" i="47" s="1"/>
  <c r="R45" i="47"/>
  <c r="S45" i="47" s="1"/>
  <c r="I4" i="33"/>
  <c r="C3" i="42"/>
  <c r="P5" i="27"/>
  <c r="H14" i="47" s="1"/>
  <c r="N5" i="27"/>
  <c r="N6" i="27" s="1"/>
  <c r="J11" i="47"/>
  <c r="R11" i="47" s="1"/>
  <c r="S11" i="47" s="1"/>
  <c r="T5" i="27"/>
  <c r="T6" i="27" s="1"/>
  <c r="X5" i="27"/>
  <c r="P14" i="47" s="1"/>
  <c r="M5" i="26"/>
  <c r="M6" i="26" s="1"/>
  <c r="D13" i="47"/>
  <c r="R13" i="47" s="1"/>
  <c r="S13" i="47" s="1"/>
  <c r="W5" i="27"/>
  <c r="O14" i="47" s="1"/>
  <c r="T5" i="26"/>
  <c r="T6" i="26" s="1"/>
  <c r="E7" i="47"/>
  <c r="E31" i="47" s="1"/>
  <c r="U5" i="27"/>
  <c r="U6" i="27" s="1"/>
  <c r="I71" i="47"/>
  <c r="I2" i="27"/>
  <c r="I3" i="27"/>
  <c r="X4" i="1"/>
  <c r="Y3" i="1" s="1"/>
  <c r="U5" i="26"/>
  <c r="U6" i="26" s="1"/>
  <c r="D12" i="47"/>
  <c r="R12" i="47" s="1"/>
  <c r="S12" i="47" s="1"/>
  <c r="O5" i="27"/>
  <c r="O6" i="27" s="1"/>
  <c r="S5" i="27"/>
  <c r="S6" i="27" s="1"/>
  <c r="R5" i="26"/>
  <c r="J10" i="47" s="1"/>
  <c r="I4" i="27"/>
  <c r="K72" i="47"/>
  <c r="L72" i="47"/>
  <c r="F73" i="47"/>
  <c r="J72" i="47"/>
  <c r="N55" i="47"/>
  <c r="L5" i="36"/>
  <c r="L6" i="36" s="1"/>
  <c r="U5" i="28"/>
  <c r="U6" i="28" s="1"/>
  <c r="Q5" i="28"/>
  <c r="Q6" i="28" s="1"/>
  <c r="P32" i="47"/>
  <c r="V5" i="26"/>
  <c r="N10" i="47" s="1"/>
  <c r="Y5" i="26"/>
  <c r="Y6" i="26" s="1"/>
  <c r="I15" i="47"/>
  <c r="I31" i="47" s="1"/>
  <c r="W5" i="26"/>
  <c r="W6" i="26" s="1"/>
  <c r="X5" i="26"/>
  <c r="X6" i="26" s="1"/>
  <c r="I4" i="26"/>
  <c r="Q5" i="26"/>
  <c r="I10" i="47" s="1"/>
  <c r="Q33" i="47"/>
  <c r="K33" i="47"/>
  <c r="N5" i="26"/>
  <c r="F10" i="47" s="1"/>
  <c r="S5" i="26"/>
  <c r="S6" i="26" s="1"/>
  <c r="I3" i="37"/>
  <c r="E71" i="47"/>
  <c r="R60" i="47"/>
  <c r="S60" i="47" s="1"/>
  <c r="M5" i="34"/>
  <c r="M6" i="34" s="1"/>
  <c r="P5" i="34"/>
  <c r="H50" i="47" s="1"/>
  <c r="I67" i="47"/>
  <c r="M69" i="47"/>
  <c r="L71" i="47"/>
  <c r="Q5" i="37"/>
  <c r="Q6" i="37" s="1"/>
  <c r="G67" i="47"/>
  <c r="R5" i="34"/>
  <c r="J50" i="47" s="1"/>
  <c r="Q71" i="47"/>
  <c r="I2" i="34"/>
  <c r="G72" i="47"/>
  <c r="F72" i="47"/>
  <c r="F69" i="47"/>
  <c r="T5" i="35"/>
  <c r="T6" i="35" s="1"/>
  <c r="I73" i="47"/>
  <c r="J71" i="47"/>
  <c r="J62" i="47"/>
  <c r="L73" i="47"/>
  <c r="X5" i="35"/>
  <c r="N71" i="47"/>
  <c r="H71" i="47"/>
  <c r="R59" i="47"/>
  <c r="S59" i="47" s="1"/>
  <c r="E69" i="47"/>
  <c r="O68" i="47"/>
  <c r="P68" i="47"/>
  <c r="D68" i="47"/>
  <c r="P71" i="47"/>
  <c r="M71" i="47"/>
  <c r="P5" i="36"/>
  <c r="H58" i="47" s="1"/>
  <c r="R5" i="36"/>
  <c r="J58" i="47" s="1"/>
  <c r="K68" i="47"/>
  <c r="F67" i="47"/>
  <c r="G68" i="47"/>
  <c r="N5" i="36"/>
  <c r="F58" i="47" s="1"/>
  <c r="W5" i="34"/>
  <c r="W6" i="34" s="1"/>
  <c r="G69" i="47"/>
  <c r="H69" i="47"/>
  <c r="X4" i="4"/>
  <c r="Y3" i="4" s="1"/>
  <c r="G2" i="42"/>
  <c r="H2" i="42" s="1"/>
  <c r="G177" i="42"/>
  <c r="K2" i="42"/>
  <c r="L2" i="42" s="1"/>
  <c r="K177" i="42"/>
  <c r="O2" i="42"/>
  <c r="P2" i="42" s="1"/>
  <c r="K73" i="47"/>
  <c r="K71" i="47"/>
  <c r="N73" i="47"/>
  <c r="M68" i="47"/>
  <c r="R57" i="47"/>
  <c r="S57" i="47" s="1"/>
  <c r="Q5" i="34"/>
  <c r="Q6" i="34" s="1"/>
  <c r="P5" i="26"/>
  <c r="P6" i="26" s="1"/>
  <c r="E72" i="47"/>
  <c r="H32" i="47"/>
  <c r="O5" i="34"/>
  <c r="G50" i="47" s="1"/>
  <c r="X5" i="34"/>
  <c r="X6" i="34" s="1"/>
  <c r="I32" i="47"/>
  <c r="N5" i="35"/>
  <c r="N6" i="35" s="1"/>
  <c r="H72" i="47"/>
  <c r="I2" i="26"/>
  <c r="Q5" i="35"/>
  <c r="Q6" i="35" s="1"/>
  <c r="Y5" i="36"/>
  <c r="Y6" i="36" s="1"/>
  <c r="Y5" i="34"/>
  <c r="Q50" i="47" s="1"/>
  <c r="I33" i="47"/>
  <c r="F48" i="47"/>
  <c r="N5" i="34"/>
  <c r="V5" i="29"/>
  <c r="V6" i="29" s="1"/>
  <c r="Q62" i="47"/>
  <c r="K62" i="47"/>
  <c r="L5" i="26"/>
  <c r="L6" i="26" s="1"/>
  <c r="S5" i="36"/>
  <c r="K58" i="47" s="1"/>
  <c r="I3" i="34"/>
  <c r="M33" i="47"/>
  <c r="Q72" i="47"/>
  <c r="G73" i="47"/>
  <c r="I3" i="36"/>
  <c r="O5" i="36"/>
  <c r="G58" i="47" s="1"/>
  <c r="Q68" i="47"/>
  <c r="V5" i="34"/>
  <c r="N50" i="47" s="1"/>
  <c r="N72" i="47"/>
  <c r="I4" i="34"/>
  <c r="D69" i="47"/>
  <c r="N5" i="29"/>
  <c r="N6" i="29" s="1"/>
  <c r="O5" i="26"/>
  <c r="G10" i="47" s="1"/>
  <c r="U5" i="36"/>
  <c r="U6" i="36" s="1"/>
  <c r="P6" i="32"/>
  <c r="R56" i="47"/>
  <c r="S56" i="47" s="1"/>
  <c r="R39" i="47"/>
  <c r="S39" i="47" s="1"/>
  <c r="Q67" i="47"/>
  <c r="U5" i="35"/>
  <c r="U6" i="35" s="1"/>
  <c r="I3" i="26"/>
  <c r="H46" i="47"/>
  <c r="I4" i="36"/>
  <c r="X5" i="36"/>
  <c r="J73" i="47"/>
  <c r="Q5" i="36"/>
  <c r="I58" i="47" s="1"/>
  <c r="I2" i="35"/>
  <c r="F32" i="47"/>
  <c r="M51" i="47"/>
  <c r="M67" i="47" s="1"/>
  <c r="Q32" i="47"/>
  <c r="E67" i="47"/>
  <c r="T5" i="36"/>
  <c r="T6" i="36" s="1"/>
  <c r="N33" i="47"/>
  <c r="P5" i="29"/>
  <c r="P6" i="29" s="1"/>
  <c r="X5" i="28"/>
  <c r="P18" i="47" s="1"/>
  <c r="E33" i="47"/>
  <c r="Y5" i="28"/>
  <c r="Y6" i="28" s="1"/>
  <c r="W5" i="30"/>
  <c r="W6" i="30" s="1"/>
  <c r="S5" i="28"/>
  <c r="K18" i="47" s="1"/>
  <c r="R17" i="47"/>
  <c r="S17" i="47" s="1"/>
  <c r="V5" i="28"/>
  <c r="N18" i="47" s="1"/>
  <c r="L32" i="47"/>
  <c r="L5" i="28"/>
  <c r="D18" i="47" s="1"/>
  <c r="Q5" i="29"/>
  <c r="Q6" i="29" s="1"/>
  <c r="L33" i="47"/>
  <c r="V5" i="30"/>
  <c r="V6" i="30" s="1"/>
  <c r="E32" i="47"/>
  <c r="G32" i="47"/>
  <c r="N32" i="47"/>
  <c r="O33" i="47"/>
  <c r="I2" i="28"/>
  <c r="Q5" i="30"/>
  <c r="I26" i="47" s="1"/>
  <c r="D15" i="47"/>
  <c r="M5" i="29"/>
  <c r="M6" i="29" s="1"/>
  <c r="W5" i="29"/>
  <c r="W6" i="29" s="1"/>
  <c r="I2" i="29"/>
  <c r="P5" i="28"/>
  <c r="H18" i="47" s="1"/>
  <c r="R20" i="47"/>
  <c r="S20" i="47" s="1"/>
  <c r="K32" i="47"/>
  <c r="F33" i="47"/>
  <c r="M5" i="28"/>
  <c r="R5" i="29"/>
  <c r="L5" i="29"/>
  <c r="L6" i="29" s="1"/>
  <c r="J32" i="47"/>
  <c r="Y5" i="29"/>
  <c r="Y6" i="29" s="1"/>
  <c r="X5" i="29"/>
  <c r="X6" i="29" s="1"/>
  <c r="S5" i="29"/>
  <c r="K22" i="47" s="1"/>
  <c r="N5" i="28"/>
  <c r="F18" i="47" s="1"/>
  <c r="O5" i="28"/>
  <c r="G18" i="47" s="1"/>
  <c r="T5" i="29"/>
  <c r="T6" i="29" s="1"/>
  <c r="M32" i="47"/>
  <c r="H33" i="47"/>
  <c r="I4" i="28"/>
  <c r="P33" i="47"/>
  <c r="P77" i="47" s="1"/>
  <c r="W5" i="28"/>
  <c r="W6" i="28" s="1"/>
  <c r="I3" i="29"/>
  <c r="J33" i="47"/>
  <c r="D19" i="47"/>
  <c r="E73" i="47"/>
  <c r="X5" i="30"/>
  <c r="P26" i="47" s="1"/>
  <c r="Y5" i="35"/>
  <c r="Y6" i="35" s="1"/>
  <c r="R21" i="47"/>
  <c r="S21" i="47" s="1"/>
  <c r="I3" i="35"/>
  <c r="W6" i="33"/>
  <c r="M5" i="35"/>
  <c r="O55" i="47"/>
  <c r="W5" i="36"/>
  <c r="M5" i="36"/>
  <c r="M6" i="36" s="1"/>
  <c r="M5" i="30"/>
  <c r="E26" i="47" s="1"/>
  <c r="M72" i="47"/>
  <c r="T5" i="30"/>
  <c r="T6" i="30" s="1"/>
  <c r="P5" i="35"/>
  <c r="H54" i="47" s="1"/>
  <c r="G33" i="47"/>
  <c r="S5" i="35"/>
  <c r="O5" i="35"/>
  <c r="O51" i="47"/>
  <c r="W5" i="35"/>
  <c r="I4" i="29"/>
  <c r="U5" i="29"/>
  <c r="U6" i="29" s="1"/>
  <c r="P19" i="47"/>
  <c r="P31" i="47" s="1"/>
  <c r="I4" i="35"/>
  <c r="O32" i="47"/>
  <c r="D51" i="47"/>
  <c r="D67" i="47" s="1"/>
  <c r="L5" i="35"/>
  <c r="R16" i="47"/>
  <c r="S16" i="47" s="1"/>
  <c r="T5" i="28"/>
  <c r="T6" i="28" s="1"/>
  <c r="O5" i="29"/>
  <c r="O6" i="29" s="1"/>
  <c r="U5" i="30"/>
  <c r="U6" i="30" s="1"/>
  <c r="I3" i="28"/>
  <c r="R5" i="28"/>
  <c r="J18" i="47" s="1"/>
  <c r="Q73" i="47"/>
  <c r="K67" i="47"/>
  <c r="I2" i="36"/>
  <c r="N51" i="47"/>
  <c r="V5" i="35"/>
  <c r="R5" i="35"/>
  <c r="J52" i="47"/>
  <c r="J68" i="47" s="1"/>
  <c r="R47" i="47"/>
  <c r="S47" i="47" s="1"/>
  <c r="S65" i="47"/>
  <c r="S64" i="47"/>
  <c r="X6" i="31"/>
  <c r="P38" i="47"/>
  <c r="I2" i="30"/>
  <c r="M6" i="31"/>
  <c r="P5" i="30"/>
  <c r="H26" i="47" s="1"/>
  <c r="R35" i="47"/>
  <c r="S35" i="47" s="1"/>
  <c r="S63" i="47"/>
  <c r="D23" i="47"/>
  <c r="I3" i="30"/>
  <c r="G71" i="47"/>
  <c r="I4" i="30"/>
  <c r="W6" i="32"/>
  <c r="O42" i="47"/>
  <c r="R36" i="47"/>
  <c r="S36" i="47" s="1"/>
  <c r="L6" i="33"/>
  <c r="K38" i="47"/>
  <c r="S6" i="31"/>
  <c r="K46" i="47"/>
  <c r="S6" i="33"/>
  <c r="R25" i="47"/>
  <c r="S25" i="47" s="1"/>
  <c r="R24" i="47"/>
  <c r="S24" i="47" s="1"/>
  <c r="N5" i="30"/>
  <c r="N6" i="30" s="1"/>
  <c r="L67" i="47"/>
  <c r="D46" i="47"/>
  <c r="M46" i="47"/>
  <c r="U6" i="33"/>
  <c r="G38" i="47"/>
  <c r="O6" i="31"/>
  <c r="R6" i="31"/>
  <c r="J38" i="47"/>
  <c r="D50" i="47"/>
  <c r="L5" i="30"/>
  <c r="D26" i="47" s="1"/>
  <c r="L23" i="47"/>
  <c r="L31" i="47" s="1"/>
  <c r="Y5" i="30"/>
  <c r="Q26" i="47" s="1"/>
  <c r="R5" i="30"/>
  <c r="J26" i="47" s="1"/>
  <c r="O5" i="30"/>
  <c r="G26" i="47" s="1"/>
  <c r="J67" i="47"/>
  <c r="U6" i="31"/>
  <c r="M38" i="47"/>
  <c r="Q31" i="47"/>
  <c r="S5" i="30"/>
  <c r="S6" i="30" s="1"/>
  <c r="H67" i="47"/>
  <c r="I69" i="47"/>
  <c r="K69" i="47"/>
  <c r="R49" i="47"/>
  <c r="S49" i="47" s="1"/>
  <c r="O6" i="32"/>
  <c r="G42" i="47"/>
  <c r="Q6" i="33"/>
  <c r="N69" i="47"/>
  <c r="R61" i="47"/>
  <c r="S61" i="47" s="1"/>
  <c r="U6" i="37"/>
  <c r="Q6" i="32"/>
  <c r="I42" i="47"/>
  <c r="S6" i="34"/>
  <c r="K50" i="47"/>
  <c r="R6" i="36"/>
  <c r="H31" i="47"/>
  <c r="E68" i="47"/>
  <c r="L6" i="32"/>
  <c r="O38" i="47"/>
  <c r="W6" i="31"/>
  <c r="O69" i="47"/>
  <c r="R37" i="47"/>
  <c r="S37" i="47" s="1"/>
  <c r="J42" i="47"/>
  <c r="Q69" i="47"/>
  <c r="R53" i="47"/>
  <c r="S53" i="47" s="1"/>
  <c r="P42" i="47"/>
  <c r="X6" i="32"/>
  <c r="G46" i="47"/>
  <c r="O6" i="33"/>
  <c r="Y6" i="31"/>
  <c r="Q38" i="47"/>
  <c r="Y6" i="32"/>
  <c r="P67" i="47"/>
  <c r="P46" i="47"/>
  <c r="X6" i="33"/>
  <c r="L6" i="31"/>
  <c r="D38" i="47"/>
  <c r="N6" i="31"/>
  <c r="F38" i="47"/>
  <c r="D71" i="47"/>
  <c r="S27" i="47"/>
  <c r="O31" i="47"/>
  <c r="V6" i="27"/>
  <c r="F31" i="47"/>
  <c r="K31" i="47"/>
  <c r="L6" i="27"/>
  <c r="D72" i="47"/>
  <c r="S28" i="47"/>
  <c r="D73" i="47"/>
  <c r="S29" i="47"/>
  <c r="K14" i="47"/>
  <c r="M31" i="47"/>
  <c r="R9" i="47"/>
  <c r="S9" i="47" s="1"/>
  <c r="R8" i="47"/>
  <c r="S8" i="47" s="1"/>
  <c r="N31" i="47"/>
  <c r="G31" i="47"/>
  <c r="M6" i="27" l="1"/>
  <c r="K42" i="47"/>
  <c r="O10" i="47"/>
  <c r="F42" i="47"/>
  <c r="H76" i="47"/>
  <c r="L54" i="47"/>
  <c r="N6" i="37"/>
  <c r="L14" i="47"/>
  <c r="R6" i="26"/>
  <c r="J31" i="47"/>
  <c r="J75" i="47" s="1"/>
  <c r="M14" i="47"/>
  <c r="F46" i="47"/>
  <c r="I62" i="47"/>
  <c r="P6" i="37"/>
  <c r="T6" i="37"/>
  <c r="M6" i="33"/>
  <c r="H77" i="47"/>
  <c r="F77" i="47"/>
  <c r="N67" i="47"/>
  <c r="N75" i="47" s="1"/>
  <c r="R55" i="47"/>
  <c r="S55" i="47" s="1"/>
  <c r="G75" i="47"/>
  <c r="E10" i="47"/>
  <c r="I14" i="47"/>
  <c r="J14" i="47"/>
  <c r="T6" i="33"/>
  <c r="Y6" i="30"/>
  <c r="V6" i="34"/>
  <c r="R15" i="47"/>
  <c r="S15" i="47" s="1"/>
  <c r="R6" i="34"/>
  <c r="G2" i="31"/>
  <c r="Y6" i="27"/>
  <c r="H38" i="47"/>
  <c r="H70" i="47" s="1"/>
  <c r="V6" i="31"/>
  <c r="E22" i="47"/>
  <c r="N26" i="47"/>
  <c r="X6" i="27"/>
  <c r="P6" i="31"/>
  <c r="M50" i="47"/>
  <c r="E77" i="47"/>
  <c r="J77" i="47"/>
  <c r="G22" i="47"/>
  <c r="X6" i="37"/>
  <c r="I38" i="47"/>
  <c r="K76" i="47"/>
  <c r="G2" i="32"/>
  <c r="G62" i="47"/>
  <c r="K75" i="47"/>
  <c r="D62" i="47"/>
  <c r="R40" i="47"/>
  <c r="S40" i="47" s="1"/>
  <c r="V6" i="33"/>
  <c r="L77" i="47"/>
  <c r="F75" i="47"/>
  <c r="Q6" i="36"/>
  <c r="N58" i="47"/>
  <c r="O50" i="47"/>
  <c r="Q46" i="47"/>
  <c r="L58" i="47"/>
  <c r="N62" i="47"/>
  <c r="M42" i="47"/>
  <c r="L38" i="47"/>
  <c r="T6" i="31"/>
  <c r="L76" i="47"/>
  <c r="I75" i="47"/>
  <c r="O76" i="47"/>
  <c r="N76" i="47"/>
  <c r="L50" i="47"/>
  <c r="W6" i="37"/>
  <c r="V6" i="32"/>
  <c r="P6" i="34"/>
  <c r="G2" i="33"/>
  <c r="W6" i="27"/>
  <c r="F14" i="47"/>
  <c r="G14" i="47"/>
  <c r="G34" i="47" s="1"/>
  <c r="Q18" i="47"/>
  <c r="R7" i="47"/>
  <c r="S7" i="47" s="1"/>
  <c r="P6" i="27"/>
  <c r="V6" i="26"/>
  <c r="C4" i="42"/>
  <c r="D3" i="42"/>
  <c r="P6" i="35"/>
  <c r="G2" i="37"/>
  <c r="I50" i="47"/>
  <c r="I76" i="47"/>
  <c r="J46" i="47"/>
  <c r="F54" i="47"/>
  <c r="E75" i="47"/>
  <c r="R6" i="33"/>
  <c r="N6" i="36"/>
  <c r="D58" i="47"/>
  <c r="P6" i="36"/>
  <c r="L42" i="47"/>
  <c r="T6" i="32"/>
  <c r="E62" i="47"/>
  <c r="M6" i="37"/>
  <c r="G77" i="47"/>
  <c r="M6" i="32"/>
  <c r="G6" i="32" s="1"/>
  <c r="E42" i="47"/>
  <c r="H22" i="47"/>
  <c r="D33" i="47"/>
  <c r="D77" i="47" s="1"/>
  <c r="L10" i="47"/>
  <c r="D32" i="47"/>
  <c r="S32" i="47" s="1"/>
  <c r="Q22" i="47"/>
  <c r="Q77" i="47"/>
  <c r="P76" i="47"/>
  <c r="Q10" i="47"/>
  <c r="G2" i="27"/>
  <c r="N6" i="26"/>
  <c r="O6" i="26"/>
  <c r="I22" i="47"/>
  <c r="I18" i="47"/>
  <c r="N22" i="47"/>
  <c r="N34" i="47" s="1"/>
  <c r="Q6" i="26"/>
  <c r="M10" i="47"/>
  <c r="H10" i="47"/>
  <c r="H34" i="47" s="1"/>
  <c r="V6" i="28"/>
  <c r="P10" i="47"/>
  <c r="N77" i="47"/>
  <c r="P6" i="28"/>
  <c r="X6" i="30"/>
  <c r="M18" i="47"/>
  <c r="M6" i="30"/>
  <c r="E50" i="47"/>
  <c r="K77" i="47"/>
  <c r="F22" i="47"/>
  <c r="G2" i="26"/>
  <c r="D10" i="47"/>
  <c r="O6" i="28"/>
  <c r="O26" i="47"/>
  <c r="K10" i="47"/>
  <c r="L22" i="47"/>
  <c r="L26" i="47"/>
  <c r="Q76" i="47"/>
  <c r="M77" i="47"/>
  <c r="M22" i="47"/>
  <c r="Q58" i="47"/>
  <c r="O6" i="34"/>
  <c r="I54" i="47"/>
  <c r="X6" i="35"/>
  <c r="P54" i="47"/>
  <c r="Q75" i="47"/>
  <c r="Y6" i="34"/>
  <c r="S71" i="47"/>
  <c r="C24" i="49" s="1"/>
  <c r="Q54" i="47"/>
  <c r="Q70" i="47" s="1"/>
  <c r="G76" i="47"/>
  <c r="G3" i="42"/>
  <c r="O3" i="42"/>
  <c r="K3" i="42"/>
  <c r="O6" i="36"/>
  <c r="N6" i="28"/>
  <c r="R6" i="30"/>
  <c r="L75" i="47"/>
  <c r="Q6" i="30"/>
  <c r="L6" i="28"/>
  <c r="X6" i="28"/>
  <c r="I77" i="47"/>
  <c r="M54" i="47"/>
  <c r="M76" i="47"/>
  <c r="S6" i="29"/>
  <c r="S6" i="36"/>
  <c r="M58" i="47"/>
  <c r="G2" i="34"/>
  <c r="N6" i="34"/>
  <c r="F50" i="47"/>
  <c r="R51" i="47"/>
  <c r="S51" i="47" s="1"/>
  <c r="P50" i="47"/>
  <c r="F68" i="47"/>
  <c r="F76" i="47" s="1"/>
  <c r="R48" i="47"/>
  <c r="S48" i="47" s="1"/>
  <c r="P58" i="47"/>
  <c r="X6" i="36"/>
  <c r="D22" i="47"/>
  <c r="S6" i="28"/>
  <c r="O22" i="47"/>
  <c r="M75" i="47"/>
  <c r="G2" i="35"/>
  <c r="L18" i="47"/>
  <c r="P22" i="47"/>
  <c r="J76" i="47"/>
  <c r="L6" i="30"/>
  <c r="O18" i="47"/>
  <c r="G2" i="28"/>
  <c r="O77" i="47"/>
  <c r="R6" i="28"/>
  <c r="M6" i="28"/>
  <c r="E18" i="47"/>
  <c r="S72" i="47"/>
  <c r="C25" i="49" s="1"/>
  <c r="D31" i="47"/>
  <c r="D75" i="47" s="1"/>
  <c r="G2" i="29"/>
  <c r="R19" i="47"/>
  <c r="S19" i="47" s="1"/>
  <c r="J22" i="47"/>
  <c r="R6" i="29"/>
  <c r="S73" i="47"/>
  <c r="C26" i="49" s="1"/>
  <c r="P6" i="30"/>
  <c r="E58" i="47"/>
  <c r="O58" i="47"/>
  <c r="W6" i="36"/>
  <c r="G2" i="36"/>
  <c r="K54" i="47"/>
  <c r="K70" i="47" s="1"/>
  <c r="S6" i="35"/>
  <c r="M26" i="47"/>
  <c r="E54" i="47"/>
  <c r="M6" i="35"/>
  <c r="L6" i="35"/>
  <c r="D54" i="47"/>
  <c r="O6" i="30"/>
  <c r="J54" i="47"/>
  <c r="R6" i="35"/>
  <c r="W6" i="35"/>
  <c r="O54" i="47"/>
  <c r="V6" i="35"/>
  <c r="N54" i="47"/>
  <c r="O67" i="47"/>
  <c r="O75" i="47" s="1"/>
  <c r="R52" i="47"/>
  <c r="S52" i="47" s="1"/>
  <c r="P75" i="47"/>
  <c r="G54" i="47"/>
  <c r="O6" i="35"/>
  <c r="R23" i="47"/>
  <c r="S23" i="47" s="1"/>
  <c r="K26" i="47"/>
  <c r="H75" i="47"/>
  <c r="F26" i="47"/>
  <c r="G2" i="30"/>
  <c r="S69" i="47"/>
  <c r="E76" i="47"/>
  <c r="E34" i="47" l="1"/>
  <c r="I70" i="47"/>
  <c r="R46" i="47"/>
  <c r="S46" i="47" s="1"/>
  <c r="S33" i="47"/>
  <c r="G6" i="37"/>
  <c r="R42" i="47"/>
  <c r="S42" i="47" s="1"/>
  <c r="G70" i="47"/>
  <c r="G78" i="47" s="1"/>
  <c r="N70" i="47"/>
  <c r="N78" i="47" s="1"/>
  <c r="G6" i="33"/>
  <c r="R38" i="47"/>
  <c r="S38" i="47" s="1"/>
  <c r="J70" i="47"/>
  <c r="D70" i="47"/>
  <c r="R62" i="47"/>
  <c r="S62" i="47" s="1"/>
  <c r="L70" i="47"/>
  <c r="G6" i="31"/>
  <c r="R58" i="47"/>
  <c r="S58" i="47" s="1"/>
  <c r="M70" i="47"/>
  <c r="R14" i="47"/>
  <c r="S14" i="47" s="1"/>
  <c r="F70" i="47"/>
  <c r="G6" i="27"/>
  <c r="I34" i="47"/>
  <c r="I78" i="47" s="1"/>
  <c r="D76" i="47"/>
  <c r="S76" i="47" s="1"/>
  <c r="P34" i="47"/>
  <c r="Q34" i="47"/>
  <c r="Q78" i="47" s="1"/>
  <c r="K4" i="42"/>
  <c r="L3" i="42"/>
  <c r="G4" i="42"/>
  <c r="H3" i="42"/>
  <c r="O4" i="42"/>
  <c r="P3" i="42"/>
  <c r="C5" i="42"/>
  <c r="D4" i="42"/>
  <c r="F34" i="47"/>
  <c r="G6" i="26"/>
  <c r="M34" i="47"/>
  <c r="O34" i="47"/>
  <c r="R10" i="47"/>
  <c r="S10" i="47" s="1"/>
  <c r="D34" i="47"/>
  <c r="L34" i="47"/>
  <c r="G6" i="29"/>
  <c r="K34" i="47"/>
  <c r="K78" i="47" s="1"/>
  <c r="G6" i="34"/>
  <c r="R50" i="47"/>
  <c r="S50" i="47" s="1"/>
  <c r="P70" i="47"/>
  <c r="O70" i="47"/>
  <c r="G6" i="36"/>
  <c r="S68" i="47"/>
  <c r="R22" i="47"/>
  <c r="S22" i="47" s="1"/>
  <c r="E70" i="47"/>
  <c r="E78" i="47" s="1"/>
  <c r="H78" i="47"/>
  <c r="S67" i="47"/>
  <c r="R54" i="47"/>
  <c r="S54" i="47" s="1"/>
  <c r="G6" i="35"/>
  <c r="S77" i="47"/>
  <c r="J34" i="47"/>
  <c r="R18" i="47"/>
  <c r="S18" i="47" s="1"/>
  <c r="G6" i="28"/>
  <c r="G6" i="30"/>
  <c r="S31" i="47"/>
  <c r="S75" i="47"/>
  <c r="R26" i="47"/>
  <c r="S26" i="47" s="1"/>
  <c r="D78" i="47" l="1"/>
  <c r="L78" i="47"/>
  <c r="M78" i="47"/>
  <c r="F78" i="47"/>
  <c r="P78" i="47"/>
  <c r="K5" i="42"/>
  <c r="L4" i="42"/>
  <c r="C6" i="42"/>
  <c r="D5" i="42"/>
  <c r="O5" i="42"/>
  <c r="P4" i="42"/>
  <c r="G5" i="42"/>
  <c r="H4" i="42"/>
  <c r="O78" i="47"/>
  <c r="S34" i="47"/>
  <c r="S70" i="47"/>
  <c r="J78" i="47"/>
  <c r="G6" i="42" l="1"/>
  <c r="H5" i="42"/>
  <c r="O6" i="42"/>
  <c r="P5" i="42"/>
  <c r="C7" i="42"/>
  <c r="D6" i="42"/>
  <c r="K6" i="42"/>
  <c r="L5" i="42"/>
  <c r="S78" i="47"/>
  <c r="K7" i="42" l="1"/>
  <c r="L6" i="42"/>
  <c r="C8" i="42"/>
  <c r="D7" i="42"/>
  <c r="O7" i="42"/>
  <c r="P6" i="42"/>
  <c r="G7" i="42"/>
  <c r="H6" i="42"/>
  <c r="G8" i="42" l="1"/>
  <c r="H7" i="42"/>
  <c r="O8" i="42"/>
  <c r="P7" i="42"/>
  <c r="C9" i="42"/>
  <c r="D8" i="42"/>
  <c r="K8" i="42"/>
  <c r="L7" i="42"/>
  <c r="K9" i="42" l="1"/>
  <c r="L8" i="42"/>
  <c r="G9" i="42"/>
  <c r="H8" i="42"/>
  <c r="C10" i="42"/>
  <c r="D9" i="42"/>
  <c r="O9" i="42"/>
  <c r="P8" i="42"/>
  <c r="O10" i="42" l="1"/>
  <c r="P9" i="42"/>
  <c r="C11" i="42"/>
  <c r="D10" i="42"/>
  <c r="G10" i="42"/>
  <c r="H9" i="42"/>
  <c r="K10" i="42"/>
  <c r="L9" i="42"/>
  <c r="C12" i="42" l="1"/>
  <c r="D11" i="42"/>
  <c r="O11" i="42"/>
  <c r="P10" i="42"/>
  <c r="K11" i="42"/>
  <c r="L10" i="42"/>
  <c r="G11" i="42"/>
  <c r="H10" i="42"/>
  <c r="K12" i="42" l="1"/>
  <c r="L11" i="42"/>
  <c r="O12" i="42"/>
  <c r="P11" i="42"/>
  <c r="G12" i="42"/>
  <c r="H11" i="42"/>
  <c r="C13" i="42"/>
  <c r="D12" i="42"/>
  <c r="C14" i="42" l="1"/>
  <c r="D13" i="42"/>
  <c r="G13" i="42"/>
  <c r="H12" i="42"/>
  <c r="O13" i="42"/>
  <c r="P12" i="42"/>
  <c r="K13" i="42"/>
  <c r="L12" i="42"/>
  <c r="O14" i="42" l="1"/>
  <c r="P13" i="42"/>
  <c r="K14" i="42"/>
  <c r="L13" i="42"/>
  <c r="G14" i="42"/>
  <c r="H13" i="42"/>
  <c r="C15" i="42"/>
  <c r="D14" i="42"/>
  <c r="C16" i="42" l="1"/>
  <c r="D15" i="42"/>
  <c r="G15" i="42"/>
  <c r="H14" i="42"/>
  <c r="K15" i="42"/>
  <c r="L14" i="42"/>
  <c r="O15" i="42"/>
  <c r="P14" i="42"/>
  <c r="O16" i="42" l="1"/>
  <c r="P15" i="42"/>
  <c r="K16" i="42"/>
  <c r="L15" i="42"/>
  <c r="G16" i="42"/>
  <c r="H15" i="42"/>
  <c r="C17" i="42"/>
  <c r="D16" i="42"/>
  <c r="C18" i="42" l="1"/>
  <c r="D17" i="42"/>
  <c r="G17" i="42"/>
  <c r="H16" i="42"/>
  <c r="K17" i="42"/>
  <c r="L16" i="42"/>
  <c r="O17" i="42"/>
  <c r="P16" i="42"/>
  <c r="O18" i="42" l="1"/>
  <c r="P17" i="42"/>
  <c r="K18" i="42"/>
  <c r="L17" i="42"/>
  <c r="G18" i="42"/>
  <c r="H17" i="42"/>
  <c r="C19" i="42"/>
  <c r="D18" i="42"/>
  <c r="C20" i="42" l="1"/>
  <c r="D19" i="42"/>
  <c r="G19" i="42"/>
  <c r="H18" i="42"/>
  <c r="O19" i="42"/>
  <c r="P18" i="42"/>
  <c r="K19" i="42"/>
  <c r="L18" i="42"/>
  <c r="O20" i="42" l="1"/>
  <c r="P19" i="42"/>
  <c r="G20" i="42"/>
  <c r="H19" i="42"/>
  <c r="K20" i="42"/>
  <c r="L19" i="42"/>
  <c r="C21" i="42"/>
  <c r="D20" i="42"/>
  <c r="K21" i="42" l="1"/>
  <c r="L20" i="42"/>
  <c r="C22" i="42"/>
  <c r="D21" i="42"/>
  <c r="G21" i="42"/>
  <c r="H20" i="42"/>
  <c r="O21" i="42"/>
  <c r="P20" i="42"/>
  <c r="O22" i="42" l="1"/>
  <c r="P21" i="42"/>
  <c r="G22" i="42"/>
  <c r="H21" i="42"/>
  <c r="C23" i="42"/>
  <c r="D22" i="42"/>
  <c r="K22" i="42"/>
  <c r="L21" i="42"/>
  <c r="K23" i="42" l="1"/>
  <c r="L22" i="42"/>
  <c r="C24" i="42"/>
  <c r="D23" i="42"/>
  <c r="G23" i="42"/>
  <c r="H22" i="42"/>
  <c r="O23" i="42"/>
  <c r="P22" i="42"/>
  <c r="O24" i="42" l="1"/>
  <c r="P23" i="42"/>
  <c r="C25" i="42"/>
  <c r="D24" i="42"/>
  <c r="G24" i="42"/>
  <c r="H23" i="42"/>
  <c r="K24" i="42"/>
  <c r="L23" i="42"/>
  <c r="K25" i="42" l="1"/>
  <c r="L24" i="42"/>
  <c r="G25" i="42"/>
  <c r="H24" i="42"/>
  <c r="C26" i="42"/>
  <c r="D25" i="42"/>
  <c r="O25" i="42"/>
  <c r="P24" i="42"/>
  <c r="O26" i="42" l="1"/>
  <c r="P25" i="42"/>
  <c r="C27" i="42"/>
  <c r="D26" i="42"/>
  <c r="G26" i="42"/>
  <c r="H25" i="42"/>
  <c r="K26" i="42"/>
  <c r="L25" i="42"/>
  <c r="K27" i="42" l="1"/>
  <c r="L26" i="42"/>
  <c r="G27" i="42"/>
  <c r="H26" i="42"/>
  <c r="C28" i="42"/>
  <c r="D27" i="42"/>
  <c r="O27" i="42"/>
  <c r="P26" i="42"/>
  <c r="O28" i="42" l="1"/>
  <c r="P27" i="42"/>
  <c r="C29" i="42"/>
  <c r="D28" i="42"/>
  <c r="G28" i="42"/>
  <c r="H27" i="42"/>
  <c r="K28" i="42"/>
  <c r="L27" i="42"/>
  <c r="G29" i="42" l="1"/>
  <c r="H28" i="42"/>
  <c r="C30" i="42"/>
  <c r="D29" i="42"/>
  <c r="K29" i="42"/>
  <c r="L28" i="42"/>
  <c r="O29" i="42"/>
  <c r="P28" i="42"/>
  <c r="O30" i="42" l="1"/>
  <c r="P29" i="42"/>
  <c r="C31" i="42"/>
  <c r="D30" i="42"/>
  <c r="K30" i="42"/>
  <c r="L29" i="42"/>
  <c r="G30" i="42"/>
  <c r="H29" i="42"/>
  <c r="G31" i="42" l="1"/>
  <c r="H30" i="42"/>
  <c r="K31" i="42"/>
  <c r="L30" i="42"/>
  <c r="C32" i="42"/>
  <c r="D31" i="42"/>
  <c r="O31" i="42"/>
  <c r="P30" i="42"/>
  <c r="O32" i="42" l="1"/>
  <c r="P31" i="42"/>
  <c r="C33" i="42"/>
  <c r="D32" i="42"/>
  <c r="K32" i="42"/>
  <c r="L31" i="42"/>
  <c r="G32" i="42"/>
  <c r="H31" i="42"/>
  <c r="K33" i="42" l="1"/>
  <c r="L32" i="42"/>
  <c r="G33" i="42"/>
  <c r="H32" i="42"/>
  <c r="C34" i="42"/>
  <c r="D33" i="42"/>
  <c r="O33" i="42"/>
  <c r="P32" i="42"/>
  <c r="G34" i="42" l="1"/>
  <c r="H33" i="42"/>
  <c r="K34" i="42"/>
  <c r="L33" i="42"/>
  <c r="O34" i="42"/>
  <c r="P33" i="42"/>
  <c r="C35" i="42"/>
  <c r="D34" i="42"/>
  <c r="C36" i="42" l="1"/>
  <c r="D35" i="42"/>
  <c r="O35" i="42"/>
  <c r="P34" i="42"/>
  <c r="K35" i="42"/>
  <c r="L34" i="42"/>
  <c r="G35" i="42"/>
  <c r="H34" i="42"/>
  <c r="G36" i="42" l="1"/>
  <c r="H35" i="42"/>
  <c r="K36" i="42"/>
  <c r="L35" i="42"/>
  <c r="O36" i="42"/>
  <c r="P35" i="42"/>
  <c r="C37" i="42"/>
  <c r="D36" i="42"/>
  <c r="G37" i="42" l="1"/>
  <c r="H36" i="42"/>
  <c r="C38" i="42"/>
  <c r="D37" i="42"/>
  <c r="O37" i="42"/>
  <c r="P36" i="42"/>
  <c r="K37" i="42"/>
  <c r="L36" i="42"/>
  <c r="K38" i="42" l="1"/>
  <c r="L37" i="42"/>
  <c r="O38" i="42"/>
  <c r="P37" i="42"/>
  <c r="C39" i="42"/>
  <c r="D38" i="42"/>
  <c r="G38" i="42"/>
  <c r="H37" i="42"/>
  <c r="G39" i="42" l="1"/>
  <c r="H38" i="42"/>
  <c r="C40" i="42"/>
  <c r="D39" i="42"/>
  <c r="O39" i="42"/>
  <c r="P38" i="42"/>
  <c r="K39" i="42"/>
  <c r="L38" i="42"/>
  <c r="O40" i="42" l="1"/>
  <c r="P39" i="42"/>
  <c r="K40" i="42"/>
  <c r="L39" i="42"/>
  <c r="C41" i="42"/>
  <c r="D40" i="42"/>
  <c r="G40" i="42"/>
  <c r="H39" i="42"/>
  <c r="G41" i="42" l="1"/>
  <c r="H40" i="42"/>
  <c r="C42" i="42"/>
  <c r="D41" i="42"/>
  <c r="K41" i="42"/>
  <c r="L40" i="42"/>
  <c r="O41" i="42"/>
  <c r="P40" i="42"/>
  <c r="C43" i="42" l="1"/>
  <c r="D42" i="42"/>
  <c r="O42" i="42"/>
  <c r="P41" i="42"/>
  <c r="K42" i="42"/>
  <c r="L41" i="42"/>
  <c r="G42" i="42"/>
  <c r="H41" i="42"/>
  <c r="O43" i="42" l="1"/>
  <c r="P42" i="42"/>
  <c r="C44" i="42"/>
  <c r="D43" i="42"/>
  <c r="G43" i="42"/>
  <c r="H42" i="42"/>
  <c r="K43" i="42"/>
  <c r="L42" i="42"/>
  <c r="K44" i="42" l="1"/>
  <c r="L43" i="42"/>
  <c r="G44" i="42"/>
  <c r="H43" i="42"/>
  <c r="C45" i="42"/>
  <c r="D44" i="42"/>
  <c r="O44" i="42"/>
  <c r="P43" i="42"/>
  <c r="O45" i="42" l="1"/>
  <c r="P44" i="42"/>
  <c r="C46" i="42"/>
  <c r="D45" i="42"/>
  <c r="G45" i="42"/>
  <c r="H44" i="42"/>
  <c r="K45" i="42"/>
  <c r="L44" i="42"/>
  <c r="G46" i="42" l="1"/>
  <c r="H45" i="42"/>
  <c r="C47" i="42"/>
  <c r="D46" i="42"/>
  <c r="K46" i="42"/>
  <c r="L45" i="42"/>
  <c r="P45" i="42"/>
  <c r="O46" i="42"/>
  <c r="K47" i="42" l="1"/>
  <c r="L46" i="42"/>
  <c r="O47" i="42"/>
  <c r="P46" i="42"/>
  <c r="C48" i="42"/>
  <c r="D47" i="42"/>
  <c r="G47" i="42"/>
  <c r="H46" i="42"/>
  <c r="G48" i="42" l="1"/>
  <c r="H47" i="42"/>
  <c r="C49" i="42"/>
  <c r="D48" i="42"/>
  <c r="O48" i="42"/>
  <c r="P47" i="42"/>
  <c r="K48" i="42"/>
  <c r="L47" i="42"/>
  <c r="K49" i="42" l="1"/>
  <c r="L48" i="42"/>
  <c r="O49" i="42"/>
  <c r="P48" i="42"/>
  <c r="C50" i="42"/>
  <c r="D49" i="42"/>
  <c r="G49" i="42"/>
  <c r="H48" i="42"/>
  <c r="C51" i="42" l="1"/>
  <c r="D50" i="42"/>
  <c r="G50" i="42"/>
  <c r="H49" i="42"/>
  <c r="O50" i="42"/>
  <c r="P49" i="42"/>
  <c r="K50" i="42"/>
  <c r="L49" i="42"/>
  <c r="K51" i="42" l="1"/>
  <c r="L50" i="42"/>
  <c r="O51" i="42"/>
  <c r="P50" i="42"/>
  <c r="G51" i="42"/>
  <c r="H50" i="42"/>
  <c r="C52" i="42"/>
  <c r="D51" i="42"/>
  <c r="C53" i="42" l="1"/>
  <c r="D52" i="42"/>
  <c r="G52" i="42"/>
  <c r="H51" i="42"/>
  <c r="O52" i="42"/>
  <c r="P51" i="42"/>
  <c r="K52" i="42"/>
  <c r="L51" i="42"/>
  <c r="K53" i="42" l="1"/>
  <c r="L52" i="42"/>
  <c r="O53" i="42"/>
  <c r="P52" i="42"/>
  <c r="G53" i="42"/>
  <c r="H52" i="42"/>
  <c r="C54" i="42"/>
  <c r="D53" i="42"/>
  <c r="C55" i="42" l="1"/>
  <c r="D54" i="42"/>
  <c r="G54" i="42"/>
  <c r="H53" i="42"/>
  <c r="O54" i="42"/>
  <c r="P53" i="42"/>
  <c r="K54" i="42"/>
  <c r="L53" i="42"/>
  <c r="K55" i="42" l="1"/>
  <c r="L54" i="42"/>
  <c r="O55" i="42"/>
  <c r="P54" i="42"/>
  <c r="C56" i="42"/>
  <c r="D55" i="42"/>
  <c r="G55" i="42"/>
  <c r="H54" i="42"/>
  <c r="C57" i="42" l="1"/>
  <c r="D56" i="42"/>
  <c r="G56" i="42"/>
  <c r="H55" i="42"/>
  <c r="O56" i="42"/>
  <c r="P55" i="42"/>
  <c r="K56" i="42"/>
  <c r="L55" i="42"/>
  <c r="O57" i="42" l="1"/>
  <c r="P56" i="42"/>
  <c r="G57" i="42"/>
  <c r="H56" i="42"/>
  <c r="K57" i="42"/>
  <c r="L56" i="42"/>
  <c r="C58" i="42"/>
  <c r="D57" i="42"/>
  <c r="K58" i="42" l="1"/>
  <c r="L57" i="42"/>
  <c r="G58" i="42"/>
  <c r="H57" i="42"/>
  <c r="C59" i="42"/>
  <c r="D58" i="42"/>
  <c r="O58" i="42"/>
  <c r="P57" i="42"/>
  <c r="O59" i="42" l="1"/>
  <c r="P58" i="42"/>
  <c r="C60" i="42"/>
  <c r="D59" i="42"/>
  <c r="G59" i="42"/>
  <c r="H58" i="42"/>
  <c r="K59" i="42"/>
  <c r="L58" i="42"/>
  <c r="K60" i="42" l="1"/>
  <c r="L59" i="42"/>
  <c r="G60" i="42"/>
  <c r="H59" i="42"/>
  <c r="C61" i="42"/>
  <c r="D60" i="42"/>
  <c r="O60" i="42"/>
  <c r="P59" i="42"/>
  <c r="C62" i="42" l="1"/>
  <c r="D61" i="42"/>
  <c r="G61" i="42"/>
  <c r="H60" i="42"/>
  <c r="O61" i="42"/>
  <c r="P60" i="42"/>
  <c r="K61" i="42"/>
  <c r="L60" i="42"/>
  <c r="K62" i="42" l="1"/>
  <c r="L61" i="42"/>
  <c r="G62" i="42"/>
  <c r="H61" i="42"/>
  <c r="O62" i="42"/>
  <c r="P61" i="42"/>
  <c r="C63" i="42"/>
  <c r="D62" i="42"/>
  <c r="C64" i="42" l="1"/>
  <c r="D63" i="42"/>
  <c r="O63" i="42"/>
  <c r="P62" i="42"/>
  <c r="G63" i="42"/>
  <c r="H62" i="42"/>
  <c r="K63" i="42"/>
  <c r="L62" i="42"/>
  <c r="O64" i="42" l="1"/>
  <c r="P63" i="42"/>
  <c r="C65" i="42"/>
  <c r="D64" i="42"/>
  <c r="K64" i="42"/>
  <c r="L63" i="42"/>
  <c r="G64" i="42"/>
  <c r="H63" i="42"/>
  <c r="K65" i="42" l="1"/>
  <c r="L64" i="42"/>
  <c r="C66" i="42"/>
  <c r="D65" i="42"/>
  <c r="G65" i="42"/>
  <c r="H64" i="42"/>
  <c r="O65" i="42"/>
  <c r="P64" i="42"/>
  <c r="O66" i="42" l="1"/>
  <c r="P65" i="42"/>
  <c r="G66" i="42"/>
  <c r="H65" i="42"/>
  <c r="C67" i="42"/>
  <c r="D66" i="42"/>
  <c r="K66" i="42"/>
  <c r="L65" i="42"/>
  <c r="K67" i="42" l="1"/>
  <c r="L66" i="42"/>
  <c r="C68" i="42"/>
  <c r="D67" i="42"/>
  <c r="G67" i="42"/>
  <c r="H66" i="42"/>
  <c r="O67" i="42"/>
  <c r="P66" i="42"/>
  <c r="O68" i="42" l="1"/>
  <c r="P67" i="42"/>
  <c r="G68" i="42"/>
  <c r="H67" i="42"/>
  <c r="D68" i="42"/>
  <c r="C69" i="42"/>
  <c r="L67" i="42"/>
  <c r="K68" i="42"/>
  <c r="O69" i="42" l="1"/>
  <c r="P68" i="42"/>
  <c r="G69" i="42"/>
  <c r="H68" i="42"/>
  <c r="L68" i="42"/>
  <c r="K69" i="42"/>
  <c r="C70" i="42"/>
  <c r="D69" i="42"/>
  <c r="L69" i="42" l="1"/>
  <c r="K70" i="42"/>
  <c r="C71" i="42"/>
  <c r="D70" i="42"/>
  <c r="G70" i="42"/>
  <c r="H69" i="42"/>
  <c r="O70" i="42"/>
  <c r="P69" i="42"/>
  <c r="O71" i="42" l="1"/>
  <c r="P70" i="42"/>
  <c r="G71" i="42"/>
  <c r="H70" i="42"/>
  <c r="C72" i="42"/>
  <c r="D71" i="42"/>
  <c r="L70" i="42"/>
  <c r="K71" i="42"/>
  <c r="C73" i="42" l="1"/>
  <c r="D72" i="42"/>
  <c r="L71" i="42"/>
  <c r="K72" i="42"/>
  <c r="G72" i="42"/>
  <c r="H71" i="42"/>
  <c r="P71" i="42"/>
  <c r="O72" i="42"/>
  <c r="G73" i="42" l="1"/>
  <c r="H72" i="42"/>
  <c r="D73" i="42"/>
  <c r="C74" i="42"/>
  <c r="O73" i="42"/>
  <c r="P72" i="42"/>
  <c r="L72" i="42"/>
  <c r="K73" i="42"/>
  <c r="H73" i="42" l="1"/>
  <c r="G74" i="42"/>
  <c r="L73" i="42"/>
  <c r="K74" i="42"/>
  <c r="P73" i="42"/>
  <c r="O74" i="42"/>
  <c r="D74" i="42"/>
  <c r="C75" i="42"/>
  <c r="D75" i="42" l="1"/>
  <c r="C76" i="42"/>
  <c r="L74" i="42"/>
  <c r="K75" i="42"/>
  <c r="G75" i="42"/>
  <c r="H74" i="42"/>
  <c r="O75" i="42"/>
  <c r="P74" i="42"/>
  <c r="P75" i="42" l="1"/>
  <c r="O76" i="42"/>
  <c r="D76" i="42"/>
  <c r="C77" i="42"/>
  <c r="H75" i="42"/>
  <c r="G76" i="42"/>
  <c r="L75" i="42"/>
  <c r="K76" i="42"/>
  <c r="L76" i="42" l="1"/>
  <c r="K77" i="42"/>
  <c r="G77" i="42"/>
  <c r="H76" i="42"/>
  <c r="D77" i="42"/>
  <c r="C78" i="42"/>
  <c r="O77" i="42"/>
  <c r="P76" i="42"/>
  <c r="D78" i="42" l="1"/>
  <c r="C79" i="42"/>
  <c r="G78" i="42"/>
  <c r="H77" i="42"/>
  <c r="P77" i="42"/>
  <c r="O78" i="42"/>
  <c r="L77" i="42"/>
  <c r="K78" i="42"/>
  <c r="L78" i="42" l="1"/>
  <c r="K79" i="42"/>
  <c r="O79" i="42"/>
  <c r="P78" i="42"/>
  <c r="G79" i="42"/>
  <c r="H78" i="42"/>
  <c r="D79" i="42"/>
  <c r="C80" i="42"/>
  <c r="G80" i="42" l="1"/>
  <c r="H79" i="42"/>
  <c r="L79" i="42"/>
  <c r="K80" i="42"/>
  <c r="D80" i="42"/>
  <c r="C81" i="42"/>
  <c r="O80" i="42"/>
  <c r="P79" i="42"/>
  <c r="O81" i="42" l="1"/>
  <c r="P80" i="42"/>
  <c r="D81" i="42"/>
  <c r="C82" i="42"/>
  <c r="L80" i="42"/>
  <c r="K81" i="42"/>
  <c r="G81" i="42"/>
  <c r="H80" i="42"/>
  <c r="L81" i="42" l="1"/>
  <c r="K82" i="42"/>
  <c r="G82" i="42"/>
  <c r="H81" i="42"/>
  <c r="D82" i="42"/>
  <c r="C83" i="42"/>
  <c r="O82" i="42"/>
  <c r="P81" i="42"/>
  <c r="P82" i="42" l="1"/>
  <c r="O83" i="42"/>
  <c r="D83" i="42"/>
  <c r="C84" i="42"/>
  <c r="G83" i="42"/>
  <c r="H82" i="42"/>
  <c r="L82" i="42"/>
  <c r="K83" i="42"/>
  <c r="K84" i="42" l="1"/>
  <c r="L83" i="42"/>
  <c r="G84" i="42"/>
  <c r="H83" i="42"/>
  <c r="D84" i="42"/>
  <c r="C85" i="42"/>
  <c r="P83" i="42"/>
  <c r="O84" i="42"/>
  <c r="P84" i="42" l="1"/>
  <c r="O85" i="42"/>
  <c r="G85" i="42"/>
  <c r="H84" i="42"/>
  <c r="D85" i="42"/>
  <c r="C86" i="42"/>
  <c r="K85" i="42"/>
  <c r="L84" i="42"/>
  <c r="K86" i="42" l="1"/>
  <c r="L85" i="42"/>
  <c r="D86" i="42"/>
  <c r="C87" i="42"/>
  <c r="G86" i="42"/>
  <c r="H85" i="42"/>
  <c r="P85" i="42"/>
  <c r="O86" i="42"/>
  <c r="P86" i="42" l="1"/>
  <c r="O87" i="42"/>
  <c r="D87" i="42"/>
  <c r="C88" i="42"/>
  <c r="G87" i="42"/>
  <c r="H86" i="42"/>
  <c r="K87" i="42"/>
  <c r="L86" i="42"/>
  <c r="D88" i="42" l="1"/>
  <c r="C89" i="42"/>
  <c r="K88" i="42"/>
  <c r="L87" i="42"/>
  <c r="G88" i="42"/>
  <c r="H87" i="42"/>
  <c r="P87" i="42"/>
  <c r="O88" i="42"/>
  <c r="P88" i="42" l="1"/>
  <c r="O89" i="42"/>
  <c r="G89" i="42"/>
  <c r="H88" i="42"/>
  <c r="K89" i="42"/>
  <c r="L88" i="42"/>
  <c r="D89" i="42"/>
  <c r="C90" i="42"/>
  <c r="D90" i="42" l="1"/>
  <c r="C91" i="42"/>
  <c r="K90" i="42"/>
  <c r="L89" i="42"/>
  <c r="G90" i="42"/>
  <c r="H89" i="42"/>
  <c r="P89" i="42"/>
  <c r="O90" i="42"/>
  <c r="P90" i="42" l="1"/>
  <c r="O91" i="42"/>
  <c r="K91" i="42"/>
  <c r="L90" i="42"/>
  <c r="G91" i="42"/>
  <c r="H90" i="42"/>
  <c r="D91" i="42"/>
  <c r="C92" i="42"/>
  <c r="G92" i="42" l="1"/>
  <c r="H91" i="42"/>
  <c r="P91" i="42"/>
  <c r="O92" i="42"/>
  <c r="D92" i="42"/>
  <c r="C93" i="42"/>
  <c r="K92" i="42"/>
  <c r="L91" i="42"/>
  <c r="K93" i="42" l="1"/>
  <c r="L92" i="42"/>
  <c r="P92" i="42"/>
  <c r="O93" i="42"/>
  <c r="D93" i="42"/>
  <c r="C94" i="42"/>
  <c r="G93" i="42"/>
  <c r="H92" i="42"/>
  <c r="G94" i="42" l="1"/>
  <c r="H93" i="42"/>
  <c r="D94" i="42"/>
  <c r="C95" i="42"/>
  <c r="P93" i="42"/>
  <c r="O94" i="42"/>
  <c r="K94" i="42"/>
  <c r="L93" i="42"/>
  <c r="K95" i="42" l="1"/>
  <c r="L94" i="42"/>
  <c r="P94" i="42"/>
  <c r="O95" i="42"/>
  <c r="G95" i="42"/>
  <c r="H94" i="42"/>
  <c r="D95" i="42"/>
  <c r="C96" i="42"/>
  <c r="D96" i="42" l="1"/>
  <c r="C97" i="42"/>
  <c r="G96" i="42"/>
  <c r="H95" i="42"/>
  <c r="P95" i="42"/>
  <c r="O96" i="42"/>
  <c r="K96" i="42"/>
  <c r="L95" i="42"/>
  <c r="K97" i="42" l="1"/>
  <c r="L96" i="42"/>
  <c r="P96" i="42"/>
  <c r="O97" i="42"/>
  <c r="G97" i="42"/>
  <c r="H96" i="42"/>
  <c r="D97" i="42"/>
  <c r="C98" i="42"/>
  <c r="D98" i="42" l="1"/>
  <c r="C99" i="42"/>
  <c r="P97" i="42"/>
  <c r="O98" i="42"/>
  <c r="G98" i="42"/>
  <c r="H97" i="42"/>
  <c r="K98" i="42"/>
  <c r="L97" i="42"/>
  <c r="L98" i="42" l="1"/>
  <c r="K99" i="42"/>
  <c r="H98" i="42"/>
  <c r="G99" i="42"/>
  <c r="P98" i="42"/>
  <c r="O99" i="42"/>
  <c r="D99" i="42"/>
  <c r="C100" i="42"/>
  <c r="P99" i="42" l="1"/>
  <c r="O100" i="42"/>
  <c r="D100" i="42"/>
  <c r="C101" i="42"/>
  <c r="H99" i="42"/>
  <c r="G100" i="42"/>
  <c r="L99" i="42"/>
  <c r="K100" i="42"/>
  <c r="L100" i="42" l="1"/>
  <c r="K101" i="42"/>
  <c r="H100" i="42"/>
  <c r="G101" i="42"/>
  <c r="D101" i="42"/>
  <c r="C102" i="42"/>
  <c r="P100" i="42"/>
  <c r="O101" i="42"/>
  <c r="P101" i="42" l="1"/>
  <c r="O102" i="42"/>
  <c r="D102" i="42"/>
  <c r="C103" i="42"/>
  <c r="H101" i="42"/>
  <c r="G102" i="42"/>
  <c r="L101" i="42"/>
  <c r="K102" i="42"/>
  <c r="H102" i="42" l="1"/>
  <c r="G103" i="42"/>
  <c r="P102" i="42"/>
  <c r="O103" i="42"/>
  <c r="L102" i="42"/>
  <c r="K103" i="42"/>
  <c r="D103" i="42"/>
  <c r="C104" i="42"/>
  <c r="D104" i="42" l="1"/>
  <c r="C105" i="42"/>
  <c r="L103" i="42"/>
  <c r="K104" i="42"/>
  <c r="P103" i="42"/>
  <c r="O104" i="42"/>
  <c r="H103" i="42"/>
  <c r="G104" i="42"/>
  <c r="P104" i="42" l="1"/>
  <c r="O105" i="42"/>
  <c r="H104" i="42"/>
  <c r="G105" i="42"/>
  <c r="L104" i="42"/>
  <c r="K105" i="42"/>
  <c r="D105" i="42"/>
  <c r="C106" i="42"/>
  <c r="D106" i="42" l="1"/>
  <c r="C107" i="42"/>
  <c r="L105" i="42"/>
  <c r="K106" i="42"/>
  <c r="H105" i="42"/>
  <c r="G106" i="42"/>
  <c r="P105" i="42"/>
  <c r="O106" i="42"/>
  <c r="P106" i="42" l="1"/>
  <c r="O107" i="42"/>
  <c r="L106" i="42"/>
  <c r="K107" i="42"/>
  <c r="D107" i="42"/>
  <c r="C108" i="42"/>
  <c r="H106" i="42"/>
  <c r="G107" i="42"/>
  <c r="H107" i="42" l="1"/>
  <c r="G108" i="42"/>
  <c r="D108" i="42"/>
  <c r="C109" i="42"/>
  <c r="P107" i="42"/>
  <c r="O108" i="42"/>
  <c r="L107" i="42"/>
  <c r="K108" i="42"/>
  <c r="P108" i="42" l="1"/>
  <c r="O109" i="42"/>
  <c r="L108" i="42"/>
  <c r="K109" i="42"/>
  <c r="D109" i="42"/>
  <c r="C110" i="42"/>
  <c r="H108" i="42"/>
  <c r="G109" i="42"/>
  <c r="H109" i="42" l="1"/>
  <c r="G110" i="42"/>
  <c r="D110" i="42"/>
  <c r="C111" i="42"/>
  <c r="L109" i="42"/>
  <c r="K110" i="42"/>
  <c r="P109" i="42"/>
  <c r="O110" i="42"/>
  <c r="H110" i="42" l="1"/>
  <c r="G111" i="42"/>
  <c r="P110" i="42"/>
  <c r="O111" i="42"/>
  <c r="L110" i="42"/>
  <c r="K111" i="42"/>
  <c r="D111" i="42"/>
  <c r="C112" i="42"/>
  <c r="L111" i="42" l="1"/>
  <c r="K112" i="42"/>
  <c r="D112" i="42"/>
  <c r="C113" i="42"/>
  <c r="P111" i="42"/>
  <c r="O112" i="42"/>
  <c r="H111" i="42"/>
  <c r="G112" i="42"/>
  <c r="P112" i="42" l="1"/>
  <c r="O113" i="42"/>
  <c r="H112" i="42"/>
  <c r="G113" i="42"/>
  <c r="D113" i="42"/>
  <c r="C114" i="42"/>
  <c r="L112" i="42"/>
  <c r="K113" i="42"/>
  <c r="D114" i="42" l="1"/>
  <c r="C115" i="42"/>
  <c r="P113" i="42"/>
  <c r="O114" i="42"/>
  <c r="L113" i="42"/>
  <c r="K114" i="42"/>
  <c r="H113" i="42"/>
  <c r="G114" i="42"/>
  <c r="L114" i="42" l="1"/>
  <c r="K115" i="42"/>
  <c r="H114" i="42"/>
  <c r="G115" i="42"/>
  <c r="P114" i="42"/>
  <c r="O115" i="42"/>
  <c r="D115" i="42"/>
  <c r="C116" i="42"/>
  <c r="P115" i="42" l="1"/>
  <c r="O116" i="42"/>
  <c r="H115" i="42"/>
  <c r="G116" i="42"/>
  <c r="D116" i="42"/>
  <c r="C117" i="42"/>
  <c r="L115" i="42"/>
  <c r="K116" i="42"/>
  <c r="L116" i="42" l="1"/>
  <c r="K117" i="42"/>
  <c r="D117" i="42"/>
  <c r="C118" i="42"/>
  <c r="H116" i="42"/>
  <c r="G117" i="42"/>
  <c r="P116" i="42"/>
  <c r="O117" i="42"/>
  <c r="P117" i="42" l="1"/>
  <c r="O118" i="42"/>
  <c r="H117" i="42"/>
  <c r="G118" i="42"/>
  <c r="D118" i="42"/>
  <c r="C119" i="42"/>
  <c r="L117" i="42"/>
  <c r="K118" i="42"/>
  <c r="G119" i="42" l="1"/>
  <c r="H118" i="42"/>
  <c r="L118" i="42"/>
  <c r="K119" i="42"/>
  <c r="D119" i="42"/>
  <c r="C120" i="42"/>
  <c r="P118" i="42"/>
  <c r="O119" i="42"/>
  <c r="P119" i="42" l="1"/>
  <c r="O120" i="42"/>
  <c r="D120" i="42"/>
  <c r="C121" i="42"/>
  <c r="K120" i="42"/>
  <c r="L119" i="42"/>
  <c r="H119" i="42"/>
  <c r="G120" i="42"/>
  <c r="H120" i="42" l="1"/>
  <c r="G121" i="42"/>
  <c r="L120" i="42"/>
  <c r="K121" i="42"/>
  <c r="D121" i="42"/>
  <c r="C122" i="42"/>
  <c r="O121" i="42"/>
  <c r="P120" i="42"/>
  <c r="L121" i="42" l="1"/>
  <c r="K122" i="42"/>
  <c r="P121" i="42"/>
  <c r="O122" i="42"/>
  <c r="H121" i="42"/>
  <c r="G122" i="42"/>
  <c r="D122" i="42"/>
  <c r="C123" i="42"/>
  <c r="H122" i="42" l="1"/>
  <c r="G123" i="42"/>
  <c r="O123" i="42"/>
  <c r="P122" i="42"/>
  <c r="D123" i="42"/>
  <c r="C124" i="42"/>
  <c r="L122" i="42"/>
  <c r="K123" i="42"/>
  <c r="L123" i="42" l="1"/>
  <c r="K124" i="42"/>
  <c r="D124" i="42"/>
  <c r="C125" i="42"/>
  <c r="P123" i="42"/>
  <c r="O124" i="42"/>
  <c r="H123" i="42"/>
  <c r="G124" i="42"/>
  <c r="O125" i="42" l="1"/>
  <c r="P124" i="42"/>
  <c r="H124" i="42"/>
  <c r="G125" i="42"/>
  <c r="D125" i="42"/>
  <c r="C126" i="42"/>
  <c r="L124" i="42"/>
  <c r="K125" i="42"/>
  <c r="L125" i="42" l="1"/>
  <c r="K126" i="42"/>
  <c r="D126" i="42"/>
  <c r="C127" i="42"/>
  <c r="H125" i="42"/>
  <c r="G126" i="42"/>
  <c r="P125" i="42"/>
  <c r="O126" i="42"/>
  <c r="O127" i="42" l="1"/>
  <c r="P126" i="42"/>
  <c r="L126" i="42"/>
  <c r="K127" i="42"/>
  <c r="H126" i="42"/>
  <c r="G127" i="42"/>
  <c r="D127" i="42"/>
  <c r="C128" i="42"/>
  <c r="D128" i="42" l="1"/>
  <c r="C129" i="42"/>
  <c r="H127" i="42"/>
  <c r="G128" i="42"/>
  <c r="L127" i="42"/>
  <c r="K128" i="42"/>
  <c r="P127" i="42"/>
  <c r="O128" i="42"/>
  <c r="O129" i="42" l="1"/>
  <c r="P128" i="42"/>
  <c r="H128" i="42"/>
  <c r="G129" i="42"/>
  <c r="L128" i="42"/>
  <c r="K129" i="42"/>
  <c r="D129" i="42"/>
  <c r="C130" i="42"/>
  <c r="H129" i="42" l="1"/>
  <c r="G130" i="42"/>
  <c r="D130" i="42"/>
  <c r="C131" i="42"/>
  <c r="L129" i="42"/>
  <c r="K130" i="42"/>
  <c r="P129" i="42"/>
  <c r="O130" i="42"/>
  <c r="L130" i="42" l="1"/>
  <c r="K131" i="42"/>
  <c r="O131" i="42"/>
  <c r="P130" i="42"/>
  <c r="D131" i="42"/>
  <c r="C132" i="42"/>
  <c r="H130" i="42"/>
  <c r="G131" i="42"/>
  <c r="D132" i="42" l="1"/>
  <c r="C133" i="42"/>
  <c r="H131" i="42"/>
  <c r="G132" i="42"/>
  <c r="P131" i="42"/>
  <c r="O132" i="42"/>
  <c r="L131" i="42"/>
  <c r="K132" i="42"/>
  <c r="D133" i="42" l="1"/>
  <c r="C134" i="42"/>
  <c r="L132" i="42"/>
  <c r="K133" i="42"/>
  <c r="O133" i="42"/>
  <c r="P132" i="42"/>
  <c r="H132" i="42"/>
  <c r="G133" i="42"/>
  <c r="H133" i="42" l="1"/>
  <c r="G134" i="42"/>
  <c r="D134" i="42"/>
  <c r="C135" i="42"/>
  <c r="P133" i="42"/>
  <c r="O134" i="42"/>
  <c r="L133" i="42"/>
  <c r="K134" i="42"/>
  <c r="L134" i="42" l="1"/>
  <c r="K135" i="42"/>
  <c r="O135" i="42"/>
  <c r="P134" i="42"/>
  <c r="D135" i="42"/>
  <c r="C136" i="42"/>
  <c r="H134" i="42"/>
  <c r="G135" i="42"/>
  <c r="H135" i="42" l="1"/>
  <c r="G136" i="42"/>
  <c r="L135" i="42"/>
  <c r="K136" i="42"/>
  <c r="D136" i="42"/>
  <c r="C137" i="42"/>
  <c r="P135" i="42"/>
  <c r="O136" i="42"/>
  <c r="O137" i="42" l="1"/>
  <c r="P136" i="42"/>
  <c r="H136" i="42"/>
  <c r="G137" i="42"/>
  <c r="D137" i="42"/>
  <c r="C138" i="42"/>
  <c r="L136" i="42"/>
  <c r="K137" i="42"/>
  <c r="L137" i="42" l="1"/>
  <c r="K138" i="42"/>
  <c r="D138" i="42"/>
  <c r="C139" i="42"/>
  <c r="H137" i="42"/>
  <c r="G138" i="42"/>
  <c r="O138" i="42"/>
  <c r="P137" i="42"/>
  <c r="O139" i="42" l="1"/>
  <c r="P138" i="42"/>
  <c r="H138" i="42"/>
  <c r="G139" i="42"/>
  <c r="D139" i="42"/>
  <c r="C140" i="42"/>
  <c r="L138" i="42"/>
  <c r="K139" i="42"/>
  <c r="L139" i="42" l="1"/>
  <c r="K140" i="42"/>
  <c r="D140" i="42"/>
  <c r="C141" i="42"/>
  <c r="H139" i="42"/>
  <c r="G140" i="42"/>
  <c r="O140" i="42"/>
  <c r="P139" i="42"/>
  <c r="O141" i="42" l="1"/>
  <c r="P140" i="42"/>
  <c r="H140" i="42"/>
  <c r="G141" i="42"/>
  <c r="D141" i="42"/>
  <c r="C142" i="42"/>
  <c r="L140" i="42"/>
  <c r="K141" i="42"/>
  <c r="L141" i="42" l="1"/>
  <c r="K142" i="42"/>
  <c r="D142" i="42"/>
  <c r="C143" i="42"/>
  <c r="G142" i="42"/>
  <c r="H141" i="42"/>
  <c r="O142" i="42"/>
  <c r="P141" i="42"/>
  <c r="O143" i="42" l="1"/>
  <c r="P142" i="42"/>
  <c r="G143" i="42"/>
  <c r="H142" i="42"/>
  <c r="L142" i="42"/>
  <c r="K143" i="42"/>
  <c r="D143" i="42"/>
  <c r="C144" i="42"/>
  <c r="L143" i="42" l="1"/>
  <c r="K144" i="42"/>
  <c r="D144" i="42"/>
  <c r="C145" i="42"/>
  <c r="G144" i="42"/>
  <c r="H143" i="42"/>
  <c r="O144" i="42"/>
  <c r="P143" i="42"/>
  <c r="G145" i="42" l="1"/>
  <c r="H144" i="42"/>
  <c r="D145" i="42"/>
  <c r="C146" i="42"/>
  <c r="L144" i="42"/>
  <c r="K145" i="42"/>
  <c r="O145" i="42"/>
  <c r="P144" i="42"/>
  <c r="O146" i="42" l="1"/>
  <c r="P145" i="42"/>
  <c r="D146" i="42"/>
  <c r="C147" i="42"/>
  <c r="L145" i="42"/>
  <c r="K146" i="42"/>
  <c r="G146" i="42"/>
  <c r="H145" i="42"/>
  <c r="D147" i="42" l="1"/>
  <c r="C148" i="42"/>
  <c r="G147" i="42"/>
  <c r="H146" i="42"/>
  <c r="L146" i="42"/>
  <c r="K147" i="42"/>
  <c r="O147" i="42"/>
  <c r="P146" i="42"/>
  <c r="L147" i="42" l="1"/>
  <c r="K148" i="42"/>
  <c r="G148" i="42"/>
  <c r="H147" i="42"/>
  <c r="D148" i="42"/>
  <c r="C149" i="42"/>
  <c r="O148" i="42"/>
  <c r="P147" i="42"/>
  <c r="O149" i="42" l="1"/>
  <c r="P148" i="42"/>
  <c r="D149" i="42"/>
  <c r="C150" i="42"/>
  <c r="L148" i="42"/>
  <c r="K149" i="42"/>
  <c r="G149" i="42"/>
  <c r="H148" i="42"/>
  <c r="G150" i="42" l="1"/>
  <c r="H149" i="42"/>
  <c r="L149" i="42"/>
  <c r="K150" i="42"/>
  <c r="D150" i="42"/>
  <c r="C151" i="42"/>
  <c r="O150" i="42"/>
  <c r="P149" i="42"/>
  <c r="O151" i="42" l="1"/>
  <c r="P150" i="42"/>
  <c r="D151" i="42"/>
  <c r="C152" i="42"/>
  <c r="L150" i="42"/>
  <c r="K151" i="42"/>
  <c r="G151" i="42"/>
  <c r="H150" i="42"/>
  <c r="D152" i="42" l="1"/>
  <c r="C153" i="42"/>
  <c r="G152" i="42"/>
  <c r="H151" i="42"/>
  <c r="L151" i="42"/>
  <c r="K152" i="42"/>
  <c r="O152" i="42"/>
  <c r="P151" i="42"/>
  <c r="L152" i="42" l="1"/>
  <c r="K153" i="42"/>
  <c r="G153" i="42"/>
  <c r="H152" i="42"/>
  <c r="D153" i="42"/>
  <c r="C154" i="42"/>
  <c r="O153" i="42"/>
  <c r="P152" i="42"/>
  <c r="D154" i="42" l="1"/>
  <c r="C155" i="42"/>
  <c r="O154" i="42"/>
  <c r="P153" i="42"/>
  <c r="G154" i="42"/>
  <c r="H153" i="42"/>
  <c r="L153" i="42"/>
  <c r="K154" i="42"/>
  <c r="L154" i="42" l="1"/>
  <c r="K155" i="42"/>
  <c r="G155" i="42"/>
  <c r="H154" i="42"/>
  <c r="O155" i="42"/>
  <c r="P154" i="42"/>
  <c r="D155" i="42"/>
  <c r="C156" i="42"/>
  <c r="G156" i="42" l="1"/>
  <c r="H155" i="42"/>
  <c r="L155" i="42"/>
  <c r="K156" i="42"/>
  <c r="D156" i="42"/>
  <c r="C157" i="42"/>
  <c r="O156" i="42"/>
  <c r="P155" i="42"/>
  <c r="O157" i="42" l="1"/>
  <c r="P156" i="42"/>
  <c r="L156" i="42"/>
  <c r="K157" i="42"/>
  <c r="D157" i="42"/>
  <c r="C158" i="42"/>
  <c r="G157" i="42"/>
  <c r="H156" i="42"/>
  <c r="D158" i="42" l="1"/>
  <c r="C159" i="42"/>
  <c r="L157" i="42"/>
  <c r="K158" i="42"/>
  <c r="G158" i="42"/>
  <c r="H157" i="42"/>
  <c r="O158" i="42"/>
  <c r="P157" i="42"/>
  <c r="O159" i="42" l="1"/>
  <c r="P158" i="42"/>
  <c r="D159" i="42"/>
  <c r="C160" i="42"/>
  <c r="G159" i="42"/>
  <c r="H158" i="42"/>
  <c r="L158" i="42"/>
  <c r="K159" i="42"/>
  <c r="L159" i="42" l="1"/>
  <c r="K160" i="42"/>
  <c r="G160" i="42"/>
  <c r="H159" i="42"/>
  <c r="D160" i="42"/>
  <c r="C161" i="42"/>
  <c r="O160" i="42"/>
  <c r="P159" i="42"/>
  <c r="D161" i="42" l="1"/>
  <c r="C162" i="42"/>
  <c r="O161" i="42"/>
  <c r="P160" i="42"/>
  <c r="G161" i="42"/>
  <c r="H160" i="42"/>
  <c r="L160" i="42"/>
  <c r="K161" i="42"/>
  <c r="L161" i="42" l="1"/>
  <c r="K162" i="42"/>
  <c r="G162" i="42"/>
  <c r="H161" i="42"/>
  <c r="O162" i="42"/>
  <c r="P161" i="42"/>
  <c r="D162" i="42"/>
  <c r="C163" i="42"/>
  <c r="D163" i="42" l="1"/>
  <c r="C164" i="42"/>
  <c r="O163" i="42"/>
  <c r="P162" i="42"/>
  <c r="G163" i="42"/>
  <c r="H162" i="42"/>
  <c r="L162" i="42"/>
  <c r="K163" i="42"/>
  <c r="L163" i="42" l="1"/>
  <c r="K164" i="42"/>
  <c r="G164" i="42"/>
  <c r="H163" i="42"/>
  <c r="O164" i="42"/>
  <c r="P163" i="42"/>
  <c r="D164" i="42"/>
  <c r="C165" i="42"/>
  <c r="O165" i="42" l="1"/>
  <c r="P164" i="42"/>
  <c r="G165" i="42"/>
  <c r="H164" i="42"/>
  <c r="D165" i="42"/>
  <c r="C166" i="42"/>
  <c r="L164" i="42"/>
  <c r="K165" i="42"/>
  <c r="G166" i="42" l="1"/>
  <c r="H165" i="42"/>
  <c r="L165" i="42"/>
  <c r="K166" i="42"/>
  <c r="D166" i="42"/>
  <c r="C167" i="42"/>
  <c r="O166" i="42"/>
  <c r="P165" i="42"/>
  <c r="D167" i="42" l="1"/>
  <c r="C168" i="42"/>
  <c r="G167" i="42"/>
  <c r="H166" i="42"/>
  <c r="O167" i="42"/>
  <c r="P166" i="42"/>
  <c r="L166" i="42"/>
  <c r="K167" i="42"/>
  <c r="D168" i="42" l="1"/>
  <c r="C169" i="42"/>
  <c r="O168" i="42"/>
  <c r="P167" i="42"/>
  <c r="L167" i="42"/>
  <c r="K168" i="42"/>
  <c r="G168" i="42"/>
  <c r="H167" i="42"/>
  <c r="O169" i="42" l="1"/>
  <c r="P168" i="42"/>
  <c r="G169" i="42"/>
  <c r="H168" i="42"/>
  <c r="L168" i="42"/>
  <c r="K169" i="42"/>
  <c r="D169" i="42"/>
  <c r="C170" i="42"/>
  <c r="D170" i="42" l="1"/>
  <c r="C171" i="42"/>
  <c r="L169" i="42"/>
  <c r="K170" i="42"/>
  <c r="G170" i="42"/>
  <c r="H169" i="42"/>
  <c r="O170" i="42"/>
  <c r="P169" i="42"/>
  <c r="G171" i="42" l="1"/>
  <c r="H170" i="42"/>
  <c r="L170" i="42"/>
  <c r="K171" i="42"/>
  <c r="O171" i="42"/>
  <c r="P170" i="42"/>
  <c r="D171" i="42"/>
  <c r="C172" i="42"/>
  <c r="O172" i="42" l="1"/>
  <c r="P171" i="42"/>
  <c r="D172" i="42"/>
  <c r="C173" i="42"/>
  <c r="L171" i="42"/>
  <c r="K172" i="42"/>
  <c r="G172" i="42"/>
  <c r="H171" i="42"/>
  <c r="G173" i="42" l="1"/>
  <c r="H172" i="42"/>
  <c r="O173" i="42"/>
  <c r="P172" i="42"/>
  <c r="D173" i="42"/>
  <c r="C174" i="42"/>
  <c r="L172" i="42"/>
  <c r="K173" i="42"/>
  <c r="D174" i="42" l="1"/>
  <c r="C175" i="42"/>
  <c r="D175" i="42" s="1"/>
  <c r="L173" i="42"/>
  <c r="K174" i="42"/>
  <c r="O174" i="42"/>
  <c r="P173" i="42"/>
  <c r="G174" i="42"/>
  <c r="H173" i="42"/>
  <c r="G175" i="42" l="1"/>
  <c r="H175" i="42" s="1"/>
  <c r="H174" i="42"/>
  <c r="O175" i="42"/>
  <c r="P175" i="42" s="1"/>
  <c r="P174" i="42"/>
  <c r="L174" i="42"/>
  <c r="K175" i="42"/>
  <c r="L175" i="42" s="1"/>
</calcChain>
</file>

<file path=xl/comments1.xml><?xml version="1.0" encoding="utf-8"?>
<comments xmlns="http://schemas.openxmlformats.org/spreadsheetml/2006/main">
  <authors>
    <author>gpv.iff</author>
    <author>Paul V.</author>
    <author>Павел Гришмановский</author>
  </authors>
  <commentList>
    <comment ref="B8" authorId="0" shapeId="0">
      <text>
        <r>
          <rPr>
            <b/>
            <sz val="8"/>
            <color indexed="81"/>
            <rFont val="Tahoma"/>
            <family val="2"/>
            <charset val="204"/>
          </rPr>
          <t>выбрать из списка</t>
        </r>
      </text>
    </comment>
    <comment ref="B9" authorId="0" shapeId="0">
      <text>
        <r>
          <rPr>
            <b/>
            <sz val="8"/>
            <color indexed="81"/>
            <rFont val="Tahoma"/>
            <family val="2"/>
            <charset val="204"/>
          </rPr>
          <t>выбрать из списка</t>
        </r>
      </text>
    </comment>
    <comment ref="B11" authorId="1" shapeId="0">
      <text>
        <r>
          <rPr>
            <b/>
            <sz val="9"/>
            <color indexed="81"/>
            <rFont val="Tahoma"/>
            <family val="2"/>
            <charset val="204"/>
          </rPr>
          <t>не изменяется</t>
        </r>
      </text>
    </comment>
    <comment ref="B12" authorId="0" shapeId="0">
      <text>
        <r>
          <rPr>
            <b/>
            <sz val="8"/>
            <color indexed="81"/>
            <rFont val="Tahoma"/>
            <family val="2"/>
            <charset val="204"/>
          </rPr>
          <t>выбрать из списка</t>
        </r>
      </text>
    </comment>
    <comment ref="B15" authorId="0" shapeId="0">
      <text>
        <r>
          <rPr>
            <b/>
            <sz val="8"/>
            <color indexed="81"/>
            <rFont val="Tahoma"/>
            <family val="2"/>
            <charset val="204"/>
          </rPr>
          <t>фамилия, имя, отчество преподавателя (полностью)</t>
        </r>
      </text>
    </comment>
    <comment ref="B16" authorId="0" shapeId="0">
      <text>
        <r>
          <rPr>
            <b/>
            <sz val="8"/>
            <color indexed="81"/>
            <rFont val="Tahoma"/>
            <family val="2"/>
            <charset val="204"/>
          </rPr>
          <t>выбрать из списка</t>
        </r>
      </text>
    </comment>
    <comment ref="F16" authorId="2" shapeId="0">
      <text>
        <r>
          <rPr>
            <b/>
            <sz val="8"/>
            <color indexed="81"/>
            <rFont val="Tahoma"/>
            <family val="2"/>
            <charset val="204"/>
          </rPr>
          <t>выбрать из списка в случае основной должности заведующего кафедрой</t>
        </r>
      </text>
    </comment>
    <comment ref="B18" authorId="0" shapeId="0">
      <text>
        <r>
          <rPr>
            <b/>
            <sz val="8"/>
            <color indexed="81"/>
            <rFont val="Tahoma"/>
            <family val="2"/>
            <charset val="204"/>
          </rPr>
          <t>выбрать из списка или оставить пустым, если нет</t>
        </r>
      </text>
    </comment>
    <comment ref="D18" authorId="0" shapeId="0">
      <text>
        <r>
          <rPr>
            <b/>
            <sz val="8"/>
            <color indexed="81"/>
            <rFont val="Tahoma"/>
            <family val="2"/>
            <charset val="204"/>
          </rPr>
          <t>выбрать отрасль наук из списка или вписать (при наличии ученой степени)</t>
        </r>
      </text>
    </comment>
    <comment ref="B19" authorId="0" shapeId="0">
      <text>
        <r>
          <rPr>
            <b/>
            <sz val="8"/>
            <color indexed="81"/>
            <rFont val="Tahoma"/>
            <family val="2"/>
            <charset val="204"/>
          </rPr>
          <t>выбрать из списка или оставить пустым, если нет</t>
        </r>
      </text>
    </comment>
    <comment ref="C24" authorId="1" shapeId="0">
      <text>
        <r>
          <rPr>
            <b/>
            <sz val="9"/>
            <color indexed="81"/>
            <rFont val="Tahoma"/>
            <family val="2"/>
            <charset val="204"/>
          </rPr>
          <t>значение рассчитывается автоматически</t>
        </r>
      </text>
    </comment>
    <comment ref="D24" authorId="1" shapeId="0">
      <text>
        <r>
          <rPr>
            <b/>
            <sz val="8"/>
            <color indexed="81"/>
            <rFont val="Tahoma"/>
            <family val="2"/>
            <charset val="204"/>
          </rPr>
          <t>заполняется в соответствии с приказом после утверждения нагрузки</t>
        </r>
      </text>
    </comment>
    <comment ref="C25" authorId="1" shapeId="0">
      <text>
        <r>
          <rPr>
            <b/>
            <sz val="9"/>
            <color indexed="81"/>
            <rFont val="Tahoma"/>
            <family val="2"/>
            <charset val="204"/>
          </rPr>
          <t>значение рассчитывается автоматически</t>
        </r>
      </text>
    </comment>
    <comment ref="D25" authorId="1" shapeId="0">
      <text>
        <r>
          <rPr>
            <b/>
            <sz val="8"/>
            <color indexed="81"/>
            <rFont val="Tahoma"/>
            <family val="2"/>
            <charset val="204"/>
          </rPr>
          <t>заполняется в соответствии с приказом после утверждения нагрузки</t>
        </r>
      </text>
    </comment>
    <comment ref="C26" authorId="2" shapeId="0">
      <text>
        <r>
          <rPr>
            <b/>
            <sz val="9"/>
            <color indexed="81"/>
            <rFont val="Tahoma"/>
            <family val="2"/>
            <charset val="204"/>
          </rPr>
          <t>значение рассчитывается автоматически</t>
        </r>
      </text>
    </comment>
    <comment ref="D26" authorId="1" shapeId="0">
      <text>
        <r>
          <rPr>
            <b/>
            <sz val="8"/>
            <color indexed="81"/>
            <rFont val="Tahoma"/>
            <family val="2"/>
            <charset val="204"/>
          </rPr>
          <t>заполняется в соответствии с приказом после утверждения нагрузки</t>
        </r>
      </text>
    </comment>
    <comment ref="C27" authorId="1" shapeId="0">
      <text>
        <r>
          <rPr>
            <b/>
            <sz val="9"/>
            <color indexed="81"/>
            <rFont val="Tahoma"/>
            <family val="2"/>
            <charset val="204"/>
          </rPr>
          <t>значение рассчитывается автоматически</t>
        </r>
      </text>
    </comment>
    <comment ref="D27" authorId="1" shapeId="0">
      <text>
        <r>
          <rPr>
            <b/>
            <sz val="9"/>
            <color indexed="81"/>
            <rFont val="Tahoma"/>
            <family val="2"/>
            <charset val="204"/>
          </rPr>
          <t>значение рассчитывается автоматически</t>
        </r>
      </text>
    </comment>
  </commentList>
</comments>
</file>

<file path=xl/sharedStrings.xml><?xml version="1.0" encoding="utf-8"?>
<sst xmlns="http://schemas.openxmlformats.org/spreadsheetml/2006/main" count="1136" uniqueCount="264">
  <si>
    <t>лекции</t>
  </si>
  <si>
    <t>консультации</t>
  </si>
  <si>
    <t>семестровые экзамены</t>
  </si>
  <si>
    <t>лабораторные работы</t>
  </si>
  <si>
    <t>контрольные работы</t>
  </si>
  <si>
    <t>прочие</t>
  </si>
  <si>
    <t>всего</t>
  </si>
  <si>
    <t>план</t>
  </si>
  <si>
    <t>факт</t>
  </si>
  <si>
    <t>Кафедра</t>
  </si>
  <si>
    <t>Преподаватель</t>
  </si>
  <si>
    <t>Должность</t>
  </si>
  <si>
    <t>Степень</t>
  </si>
  <si>
    <t>Звание</t>
  </si>
  <si>
    <t>сентябрь</t>
  </si>
  <si>
    <t>октябрь</t>
  </si>
  <si>
    <t>ноябрь</t>
  </si>
  <si>
    <t>декабрь</t>
  </si>
  <si>
    <t>январь</t>
  </si>
  <si>
    <t>февраль</t>
  </si>
  <si>
    <t>март</t>
  </si>
  <si>
    <t>апрель</t>
  </si>
  <si>
    <t>май</t>
  </si>
  <si>
    <t>июнь</t>
  </si>
  <si>
    <t>июль</t>
  </si>
  <si>
    <t>август</t>
  </si>
  <si>
    <t>Итого за год</t>
  </si>
  <si>
    <t>Итого за 
I-й семестр</t>
  </si>
  <si>
    <t>Итого за 
II-й семестр</t>
  </si>
  <si>
    <t>Примечания</t>
  </si>
  <si>
    <t>Учебный год</t>
  </si>
  <si>
    <t>Ничего заполнять не нужно, все значения рассчитываются автоматически.</t>
  </si>
  <si>
    <t>Профессор</t>
  </si>
  <si>
    <t>Доцент</t>
  </si>
  <si>
    <t>Старший преподаватель</t>
  </si>
  <si>
    <t>Ассистент</t>
  </si>
  <si>
    <t>профессор</t>
  </si>
  <si>
    <t>доцент</t>
  </si>
  <si>
    <t>Код</t>
  </si>
  <si>
    <t>Норма</t>
  </si>
  <si>
    <t>Пояснение</t>
  </si>
  <si>
    <t>Мин</t>
  </si>
  <si>
    <t>Макс</t>
  </si>
  <si>
    <t>Никто, такого не бывает</t>
  </si>
  <si>
    <t>=ЕСЛИ(титул!B17="";"";ЕСЛИ(ЕОШ(НАЙТИ(" ";титул!B17;1));титул!B17;ПСТР(титул!B17;1;НАЙТИ(" ";титул!B17;1)-1)))</t>
  </si>
  <si>
    <t>старший преподаватель</t>
  </si>
  <si>
    <t>преподаватель</t>
  </si>
  <si>
    <t>ассистент</t>
  </si>
  <si>
    <t>(нет)</t>
  </si>
  <si>
    <t>доктор наук</t>
  </si>
  <si>
    <t>кандидат наук</t>
  </si>
  <si>
    <t>Отрасли наук</t>
  </si>
  <si>
    <t>технических</t>
  </si>
  <si>
    <t>физико-математических</t>
  </si>
  <si>
    <t>биологических</t>
  </si>
  <si>
    <t>медицинских</t>
  </si>
  <si>
    <t>юридических</t>
  </si>
  <si>
    <t>филологических</t>
  </si>
  <si>
    <t>педагогических</t>
  </si>
  <si>
    <t>психологических</t>
  </si>
  <si>
    <t>философских</t>
  </si>
  <si>
    <t>политических</t>
  </si>
  <si>
    <t>курсовые проекты и работы</t>
  </si>
  <si>
    <t>бакалавриат</t>
  </si>
  <si>
    <t>специалитет</t>
  </si>
  <si>
    <t>магистратура</t>
  </si>
  <si>
    <t>аспирантура</t>
  </si>
  <si>
    <t>докторантура</t>
  </si>
  <si>
    <t>практические занятия 
и семинары</t>
  </si>
  <si>
    <t xml:space="preserve">Дисциплина, 
вид учебной работы </t>
  </si>
  <si>
    <t>руководство ВКР (дипломные проекты)</t>
  </si>
  <si>
    <t>ВидыНагрузки</t>
  </si>
  <si>
    <t>ФормыООП</t>
  </si>
  <si>
    <t>очная</t>
  </si>
  <si>
    <t>заочная</t>
  </si>
  <si>
    <t>Уровни ООП</t>
  </si>
  <si>
    <t>ключ</t>
  </si>
  <si>
    <t>индикатор</t>
  </si>
  <si>
    <t>экстернат</t>
  </si>
  <si>
    <t>интернатура</t>
  </si>
  <si>
    <t>ординатура</t>
  </si>
  <si>
    <t>Количество часов
по видам занятий:
Тема занятия                       .</t>
  </si>
  <si>
    <t>всего ошибочных часов:</t>
  </si>
  <si>
    <t>Количество часов
по видам занятий:</t>
  </si>
  <si>
    <t>Отклонение от плана</t>
  </si>
  <si>
    <t>Количество студентов</t>
  </si>
  <si>
    <t>версия</t>
  </si>
  <si>
    <t>Институты</t>
  </si>
  <si>
    <t>гуманитарного образования и спорта</t>
  </si>
  <si>
    <t>политехнический</t>
  </si>
  <si>
    <t>государства и права</t>
  </si>
  <si>
    <t>естественных и технических наук</t>
  </si>
  <si>
    <t>экономики и управления</t>
  </si>
  <si>
    <t>медицинский</t>
  </si>
  <si>
    <t>Институт</t>
  </si>
  <si>
    <t>Всего за семестр</t>
  </si>
  <si>
    <t>Заполнить</t>
  </si>
  <si>
    <t>основное</t>
  </si>
  <si>
    <t>почасовая</t>
  </si>
  <si>
    <t>очно-заочная</t>
  </si>
  <si>
    <t>Группа (институт, направление, профиль или специальность, уровень, курс)</t>
  </si>
  <si>
    <t>Количество подгрупп</t>
  </si>
  <si>
    <t>Подгруппа</t>
  </si>
  <si>
    <t>Осень.Дисциплины</t>
  </si>
  <si>
    <t>Осень.Группы</t>
  </si>
  <si>
    <t>Весна.Дисциплины</t>
  </si>
  <si>
    <t>Весна.Группы</t>
  </si>
  <si>
    <t>химических</t>
  </si>
  <si>
    <t>Служебный лист</t>
  </si>
  <si>
    <t>Вид нагрузки</t>
  </si>
  <si>
    <t>ВидыНагр</t>
  </si>
  <si>
    <t>осн.</t>
  </si>
  <si>
    <t>совм.</t>
  </si>
  <si>
    <t>пусто</t>
  </si>
  <si>
    <t>ошибка</t>
  </si>
  <si>
    <t>почас.</t>
  </si>
  <si>
    <t>Число месяца</t>
  </si>
  <si>
    <t>План / Факт</t>
  </si>
  <si>
    <t>индекс</t>
  </si>
  <si>
    <t>Всего за месяц</t>
  </si>
  <si>
    <t>Всего с начала года
(нарастающим итогом)</t>
  </si>
  <si>
    <t>Форма обучения</t>
  </si>
  <si>
    <t>архитектуры</t>
  </si>
  <si>
    <t>искусствоведения</t>
  </si>
  <si>
    <t>культурологии</t>
  </si>
  <si>
    <t>ветеринарных</t>
  </si>
  <si>
    <t>военных</t>
  </si>
  <si>
    <t>географических</t>
  </si>
  <si>
    <t>геолого-минералогических</t>
  </si>
  <si>
    <t>исторических</t>
  </si>
  <si>
    <t>сельскохозяйственных</t>
  </si>
  <si>
    <t>социологических</t>
  </si>
  <si>
    <t>фармацевтических</t>
  </si>
  <si>
    <t>экономических</t>
  </si>
  <si>
    <t>итого часов за месяц:</t>
  </si>
  <si>
    <t>Форма</t>
  </si>
  <si>
    <t xml:space="preserve"> по приказу</t>
  </si>
  <si>
    <t xml:space="preserve">по плану </t>
  </si>
  <si>
    <t>ГЭК, ИАК</t>
  </si>
  <si>
    <t>Индивидуальный план и отчет преподавателя</t>
  </si>
  <si>
    <t>ДопОбязанности</t>
  </si>
  <si>
    <t>* профорг института</t>
  </si>
  <si>
    <t>Кафедры</t>
  </si>
  <si>
    <t>* профорг университета</t>
  </si>
  <si>
    <t>Скидка (часов)</t>
  </si>
  <si>
    <t>Автоматизированных систем обработки информации и управления</t>
  </si>
  <si>
    <t>Автоматики и компьютерных систем</t>
  </si>
  <si>
    <t>Безопасности жизнедеятельности</t>
  </si>
  <si>
    <t>Иностранных языков</t>
  </si>
  <si>
    <t>Информатики и вычислительной техники</t>
  </si>
  <si>
    <t>Истории России</t>
  </si>
  <si>
    <t>Кардиологии</t>
  </si>
  <si>
    <t>Медико-биологических основ физической культуры</t>
  </si>
  <si>
    <t>Менеджмента и бизнеса</t>
  </si>
  <si>
    <t>Патофизиологии и общей патологии</t>
  </si>
  <si>
    <t>Прикладной математики</t>
  </si>
  <si>
    <t>Режиссуры</t>
  </si>
  <si>
    <t>Строительных технологий и конструкций</t>
  </si>
  <si>
    <t>Теории физической культуры</t>
  </si>
  <si>
    <t>Физической культуры</t>
  </si>
  <si>
    <t>Химии</t>
  </si>
  <si>
    <t>Экспериментальной физики</t>
  </si>
  <si>
    <t>Детских болезней</t>
  </si>
  <si>
    <t>Зав. выпускающей кафедрой</t>
  </si>
  <si>
    <t>Зав. кафедрой</t>
  </si>
  <si>
    <t>зав. кафедрой</t>
  </si>
  <si>
    <t>зав. выпускающей кафедрой</t>
  </si>
  <si>
    <t>введено 2018 г.</t>
  </si>
  <si>
    <t>введено 2018 г. (невыпускающей)</t>
  </si>
  <si>
    <t>введено 2018 г., вне зависимости от звания, степени</t>
  </si>
  <si>
    <t>На ставку</t>
  </si>
  <si>
    <t>совмещение</t>
  </si>
  <si>
    <t>Акушерства, гинекологии и перинатологии</t>
  </si>
  <si>
    <t>Внутренних болезней</t>
  </si>
  <si>
    <t>Лингвистики и переводоведения</t>
  </si>
  <si>
    <t>Многопрофильной клинической подготовки</t>
  </si>
  <si>
    <t>Педагогики профессионального и дополнительного образования</t>
  </si>
  <si>
    <t>Хирургических болезней</t>
  </si>
  <si>
    <t>Экологии и биофизики</t>
  </si>
  <si>
    <t>№</t>
  </si>
  <si>
    <t>Название</t>
  </si>
  <si>
    <t>Заведующий</t>
  </si>
  <si>
    <t>Гореликов Андрей Вячеславович</t>
  </si>
  <si>
    <t>Ельников Андрей Владимирович</t>
  </si>
  <si>
    <t>Сергиенко Наталья Анатольевна</t>
  </si>
  <si>
    <t>Пешкова Наталья Виллиевна</t>
  </si>
  <si>
    <t>Морфологии и физиологии</t>
  </si>
  <si>
    <t>Столяров Виктор Викторович</t>
  </si>
  <si>
    <t>Рыжаков Виталий Владимирович</t>
  </si>
  <si>
    <t>Арямкина Ольга Леонидовна</t>
  </si>
  <si>
    <t>Ширинкина Елена Викторовна</t>
  </si>
  <si>
    <t>Мальков Михаил Николаевич</t>
  </si>
  <si>
    <t>Пучкова Надежда Викторовна</t>
  </si>
  <si>
    <t>Белоцерковцева Лариса Дмитриевна</t>
  </si>
  <si>
    <t>Дарвин Владимир Васильевич</t>
  </si>
  <si>
    <t>Шорникова Елена Александровна</t>
  </si>
  <si>
    <t>Шевкунов Александр Николаевич</t>
  </si>
  <si>
    <t>Хадасевич Наиля Ракиповна</t>
  </si>
  <si>
    <t>Ушакова Надежда Владимировна</t>
  </si>
  <si>
    <t>Бушмелева Кия Иннокентьевна</t>
  </si>
  <si>
    <t>Коваленко Людмила Васильевна</t>
  </si>
  <si>
    <t>Галиев Ильдар Мурзагитович</t>
  </si>
  <si>
    <t>Урванцева Ирина Александровна</t>
  </si>
  <si>
    <t>Климова Наталья Валерьевна</t>
  </si>
  <si>
    <t>заочная, очно-заочная</t>
  </si>
  <si>
    <t>КСР</t>
  </si>
  <si>
    <t>Запевалов Андрей Валентинович</t>
  </si>
  <si>
    <t>Радиоэлектроники и электроэнергетики</t>
  </si>
  <si>
    <t>Лосев Виктор Юрьевич</t>
  </si>
  <si>
    <t>Совмещение</t>
  </si>
  <si>
    <t>Попова Лариса Александровна</t>
  </si>
  <si>
    <t>среднего медицинского образования</t>
  </si>
  <si>
    <t>ИГиП</t>
  </si>
  <si>
    <t>ИГОиС</t>
  </si>
  <si>
    <t>ИЕиТН</t>
  </si>
  <si>
    <t>МИ</t>
  </si>
  <si>
    <t>ПИ</t>
  </si>
  <si>
    <t>ИЭиУ</t>
  </si>
  <si>
    <t>ИСМО</t>
  </si>
  <si>
    <t>Тепляков Андрей Александрович</t>
  </si>
  <si>
    <t>Лысенкова Светлана Александровна</t>
  </si>
  <si>
    <t>Инст№</t>
  </si>
  <si>
    <t>ИнстСокр</t>
  </si>
  <si>
    <r>
      <t>Структура учебной нагрузки (</t>
    </r>
    <r>
      <rPr>
        <b/>
        <sz val="9"/>
        <rFont val="Open Sans"/>
        <charset val="204"/>
      </rPr>
      <t>в часах</t>
    </r>
    <r>
      <rPr>
        <sz val="9"/>
        <rFont val="Open Sans"/>
        <charset val="204"/>
      </rPr>
      <t>):</t>
    </r>
  </si>
  <si>
    <r>
      <t xml:space="preserve">Уважаемые коллеги! Данный продукт изначально разрабатывался для личных целей и впоследствии был доработан для использования всеми преподавателями СурГУ, поэтому при разработке не преследовалась цель обеспечения максимальных потребительских качеств, функциональности и надежности, тем более, что Microsoft Excel не обладает для этого достаточными возможностями.
Для обеспечения адекватного функционирования системы необходимо </t>
    </r>
    <r>
      <rPr>
        <b/>
        <sz val="9"/>
        <color rgb="FFFF0000"/>
        <rFont val="Open Sans"/>
        <charset val="204"/>
      </rPr>
      <t>соблюдать приведенные ниже правила</t>
    </r>
    <r>
      <rPr>
        <sz val="9"/>
        <rFont val="Open Sans"/>
        <charset val="204"/>
      </rPr>
      <t xml:space="preserve">. Пренебрежение ими </t>
    </r>
    <r>
      <rPr>
        <b/>
        <sz val="9"/>
        <color indexed="10"/>
        <rFont val="Open Sans"/>
        <charset val="204"/>
      </rPr>
      <t>может повлечь нарушения вычислений и индикации ошибок</t>
    </r>
    <r>
      <rPr>
        <sz val="9"/>
        <rFont val="Open Sans"/>
        <charset val="204"/>
      </rPr>
      <t xml:space="preserve"> при учете фактически выполненной преподавателем работы.</t>
    </r>
  </si>
  <si>
    <r>
      <t xml:space="preserve">При открытии данного шаблона тетради, </t>
    </r>
    <r>
      <rPr>
        <b/>
        <sz val="9"/>
        <color indexed="10"/>
        <rFont val="Open Sans"/>
        <charset val="204"/>
      </rPr>
      <t>автоматически</t>
    </r>
    <r>
      <rPr>
        <sz val="9"/>
        <rFont val="Open Sans"/>
        <charset val="204"/>
      </rPr>
      <t xml:space="preserve"> создается новый документ, который требуется сохранить с новым именем и расширением </t>
    </r>
    <r>
      <rPr>
        <sz val="9"/>
        <color indexed="12"/>
        <rFont val="Open Sans"/>
        <charset val="204"/>
      </rPr>
      <t>".xlsx"</t>
    </r>
    <r>
      <rPr>
        <sz val="9"/>
        <rFont val="Open Sans"/>
        <charset val="204"/>
      </rPr>
      <t xml:space="preserve">. В имени файла рекомендуется указать </t>
    </r>
    <r>
      <rPr>
        <sz val="9"/>
        <color indexed="12"/>
        <rFont val="Open Sans"/>
        <charset val="204"/>
      </rPr>
      <t>NN</t>
    </r>
    <r>
      <rPr>
        <sz val="9"/>
        <rFont val="Open Sans"/>
        <charset val="204"/>
      </rPr>
      <t xml:space="preserve"> - номер кафедры, а также </t>
    </r>
    <r>
      <rPr>
        <sz val="9"/>
        <color indexed="12"/>
        <rFont val="Open Sans"/>
        <charset val="204"/>
      </rPr>
      <t>"(заоч)"</t>
    </r>
    <r>
      <rPr>
        <sz val="9"/>
        <rFont val="Open Sans"/>
        <charset val="204"/>
      </rPr>
      <t xml:space="preserve"> для тетради по заочной (очно-заочной) форме. Например: </t>
    </r>
    <r>
      <rPr>
        <sz val="9"/>
        <color indexed="12"/>
        <rFont val="Open Sans"/>
        <charset val="204"/>
      </rPr>
      <t>"Тетрадь ППС 2021-2022 каф.24 Гришмановский ПВ (заоч).xlsx"</t>
    </r>
    <r>
      <rPr>
        <sz val="9"/>
        <rFont val="Open Sans"/>
        <charset val="204"/>
      </rPr>
      <t>.</t>
    </r>
  </si>
  <si>
    <r>
      <t xml:space="preserve">Первым этапом использования системы является </t>
    </r>
    <r>
      <rPr>
        <b/>
        <sz val="9"/>
        <rFont val="Open Sans"/>
        <charset val="204"/>
      </rPr>
      <t>обязательное</t>
    </r>
    <r>
      <rPr>
        <sz val="9"/>
        <rFont val="Open Sans"/>
        <charset val="204"/>
      </rPr>
      <t xml:space="preserve"> заполнение листов:
- </t>
    </r>
    <r>
      <rPr>
        <sz val="9"/>
        <color indexed="12"/>
        <rFont val="Open Sans"/>
        <charset val="204"/>
      </rPr>
      <t>титул</t>
    </r>
    <r>
      <rPr>
        <sz val="9"/>
        <rFont val="Open Sans"/>
        <charset val="204"/>
      </rPr>
      <t xml:space="preserve"> - титульный лист, содержащий исходные данные и общие показатели;
- </t>
    </r>
    <r>
      <rPr>
        <sz val="9"/>
        <color indexed="12"/>
        <rFont val="Open Sans"/>
        <charset val="204"/>
      </rPr>
      <t>осень</t>
    </r>
    <r>
      <rPr>
        <sz val="9"/>
        <rFont val="Open Sans"/>
        <charset val="204"/>
      </rPr>
      <t xml:space="preserve"> - план учебной работы на осенний семестр;
- </t>
    </r>
    <r>
      <rPr>
        <sz val="9"/>
        <color indexed="12"/>
        <rFont val="Open Sans"/>
        <charset val="204"/>
      </rPr>
      <t>весна</t>
    </r>
    <r>
      <rPr>
        <sz val="9"/>
        <rFont val="Open Sans"/>
        <charset val="204"/>
      </rPr>
      <t xml:space="preserve"> - план учебной работы на весенний семестр.</t>
    </r>
  </si>
  <si>
    <r>
      <t xml:space="preserve">Учет по очной и другим формам обучения, а также учет нагрузки по разным кафедрам, ведется </t>
    </r>
    <r>
      <rPr>
        <b/>
        <sz val="9"/>
        <rFont val="Open Sans"/>
        <charset val="204"/>
      </rPr>
      <t>в отдельных электронных тетрадях</t>
    </r>
    <r>
      <rPr>
        <sz val="9"/>
        <rFont val="Open Sans"/>
        <charset val="204"/>
      </rPr>
      <t xml:space="preserve"> (в отдельных файлах). Кафедра и форма обучения указываются на титульном листе.</t>
    </r>
  </si>
  <si>
    <r>
      <t xml:space="preserve">Учет всех видов нагрузки (по основному месту работы, по совместительству, с почасовой оплатой) по одной кафедре ведется </t>
    </r>
    <r>
      <rPr>
        <b/>
        <sz val="9"/>
        <rFont val="Open Sans"/>
        <charset val="204"/>
      </rPr>
      <t>в одной электронной тетради</t>
    </r>
    <r>
      <rPr>
        <sz val="9"/>
        <rFont val="Open Sans"/>
        <charset val="204"/>
      </rPr>
      <t>.</t>
    </r>
  </si>
  <si>
    <r>
      <t xml:space="preserve">В течение учебного года ежемесячно заполняются листы:
- </t>
    </r>
    <r>
      <rPr>
        <sz val="9"/>
        <color indexed="12"/>
        <rFont val="Open Sans"/>
        <charset val="204"/>
      </rPr>
      <t>09</t>
    </r>
    <r>
      <rPr>
        <sz val="9"/>
        <rFont val="Open Sans"/>
        <charset val="204"/>
      </rPr>
      <t xml:space="preserve">, </t>
    </r>
    <r>
      <rPr>
        <sz val="9"/>
        <color indexed="12"/>
        <rFont val="Open Sans"/>
        <charset val="204"/>
      </rPr>
      <t>10</t>
    </r>
    <r>
      <rPr>
        <sz val="9"/>
        <rFont val="Open Sans"/>
        <charset val="204"/>
      </rPr>
      <t xml:space="preserve">, </t>
    </r>
    <r>
      <rPr>
        <sz val="9"/>
        <color indexed="12"/>
        <rFont val="Open Sans"/>
        <charset val="204"/>
      </rPr>
      <t>11</t>
    </r>
    <r>
      <rPr>
        <sz val="9"/>
        <rFont val="Open Sans"/>
        <charset val="204"/>
      </rPr>
      <t xml:space="preserve">, </t>
    </r>
    <r>
      <rPr>
        <sz val="9"/>
        <color indexed="12"/>
        <rFont val="Open Sans"/>
        <charset val="204"/>
      </rPr>
      <t>12</t>
    </r>
    <r>
      <rPr>
        <sz val="9"/>
        <rFont val="Open Sans"/>
        <charset val="204"/>
      </rPr>
      <t xml:space="preserve">, </t>
    </r>
    <r>
      <rPr>
        <sz val="9"/>
        <color indexed="12"/>
        <rFont val="Open Sans"/>
        <charset val="204"/>
      </rPr>
      <t>01</t>
    </r>
    <r>
      <rPr>
        <sz val="9"/>
        <rFont val="Open Sans"/>
        <charset val="204"/>
      </rPr>
      <t xml:space="preserve"> - месяцы осеннего семестра;
- </t>
    </r>
    <r>
      <rPr>
        <sz val="9"/>
        <color indexed="12"/>
        <rFont val="Open Sans"/>
        <charset val="204"/>
      </rPr>
      <t>02</t>
    </r>
    <r>
      <rPr>
        <sz val="9"/>
        <rFont val="Open Sans"/>
        <charset val="204"/>
      </rPr>
      <t xml:space="preserve">, </t>
    </r>
    <r>
      <rPr>
        <sz val="9"/>
        <color indexed="12"/>
        <rFont val="Open Sans"/>
        <charset val="204"/>
      </rPr>
      <t>03</t>
    </r>
    <r>
      <rPr>
        <sz val="9"/>
        <rFont val="Open Sans"/>
        <charset val="204"/>
      </rPr>
      <t xml:space="preserve">, </t>
    </r>
    <r>
      <rPr>
        <sz val="9"/>
        <color indexed="12"/>
        <rFont val="Open Sans"/>
        <charset val="204"/>
      </rPr>
      <t>04</t>
    </r>
    <r>
      <rPr>
        <sz val="9"/>
        <rFont val="Open Sans"/>
        <charset val="204"/>
      </rPr>
      <t xml:space="preserve">, </t>
    </r>
    <r>
      <rPr>
        <sz val="9"/>
        <color indexed="12"/>
        <rFont val="Open Sans"/>
        <charset val="204"/>
      </rPr>
      <t>05</t>
    </r>
    <r>
      <rPr>
        <sz val="9"/>
        <rFont val="Open Sans"/>
        <charset val="204"/>
      </rPr>
      <t xml:space="preserve">, </t>
    </r>
    <r>
      <rPr>
        <sz val="9"/>
        <color indexed="12"/>
        <rFont val="Open Sans"/>
        <charset val="204"/>
      </rPr>
      <t>06</t>
    </r>
    <r>
      <rPr>
        <sz val="9"/>
        <rFont val="Open Sans"/>
        <charset val="204"/>
      </rPr>
      <t xml:space="preserve"> - месяцы весеннего семестра;
- </t>
    </r>
    <r>
      <rPr>
        <sz val="9"/>
        <color indexed="12"/>
        <rFont val="Open Sans"/>
        <charset val="204"/>
      </rPr>
      <t>07</t>
    </r>
    <r>
      <rPr>
        <sz val="9"/>
        <rFont val="Open Sans"/>
        <charset val="204"/>
      </rPr>
      <t xml:space="preserve">, </t>
    </r>
    <r>
      <rPr>
        <sz val="9"/>
        <color indexed="12"/>
        <rFont val="Open Sans"/>
        <charset val="204"/>
      </rPr>
      <t>08</t>
    </r>
    <r>
      <rPr>
        <sz val="9"/>
        <rFont val="Open Sans"/>
        <charset val="204"/>
      </rPr>
      <t xml:space="preserve"> - для преподавателей, имеющих учебную нагрузку в июле и августе (весенний семестр).</t>
    </r>
  </si>
  <si>
    <r>
      <t xml:space="preserve">Лист </t>
    </r>
    <r>
      <rPr>
        <sz val="9"/>
        <color indexed="12"/>
        <rFont val="Open Sans"/>
        <charset val="204"/>
      </rPr>
      <t>"карточка"</t>
    </r>
    <r>
      <rPr>
        <sz val="9"/>
        <rFont val="Open Sans"/>
        <charset val="204"/>
      </rPr>
      <t xml:space="preserve"> отражает плановую и фактическую нагрузку непосредственно при изменении данных на других листах (ничего считать и вписывать самостоятельно на этом листе не нужно).</t>
    </r>
  </si>
  <si>
    <r>
      <t xml:space="preserve">Фактически выполненная работа соотносится с плановой при </t>
    </r>
    <r>
      <rPr>
        <b/>
        <sz val="9"/>
        <rFont val="Open Sans"/>
        <charset val="204"/>
      </rPr>
      <t>одновременном совпадении</t>
    </r>
    <r>
      <rPr>
        <sz val="9"/>
        <rFont val="Open Sans"/>
        <charset val="204"/>
      </rPr>
      <t xml:space="preserve"> на листах плана (</t>
    </r>
    <r>
      <rPr>
        <sz val="9"/>
        <color indexed="12"/>
        <rFont val="Open Sans"/>
        <charset val="204"/>
      </rPr>
      <t>"осень"</t>
    </r>
    <r>
      <rPr>
        <sz val="9"/>
        <rFont val="Open Sans"/>
        <charset val="204"/>
      </rPr>
      <t xml:space="preserve"> и </t>
    </r>
    <r>
      <rPr>
        <sz val="9"/>
        <color indexed="12"/>
        <rFont val="Open Sans"/>
        <charset val="204"/>
      </rPr>
      <t>"весна"</t>
    </r>
    <r>
      <rPr>
        <sz val="9"/>
        <rFont val="Open Sans"/>
        <charset val="204"/>
      </rPr>
      <t>) и месяца (</t>
    </r>
    <r>
      <rPr>
        <sz val="9"/>
        <color indexed="12"/>
        <rFont val="Open Sans"/>
        <charset val="204"/>
      </rPr>
      <t>"09"</t>
    </r>
    <r>
      <rPr>
        <sz val="9"/>
        <rFont val="Open Sans"/>
        <charset val="204"/>
      </rPr>
      <t>-</t>
    </r>
    <r>
      <rPr>
        <sz val="9"/>
        <color indexed="12"/>
        <rFont val="Open Sans"/>
        <charset val="204"/>
      </rPr>
      <t>"01"</t>
    </r>
    <r>
      <rPr>
        <sz val="9"/>
        <rFont val="Open Sans"/>
        <charset val="204"/>
      </rPr>
      <t xml:space="preserve"> и </t>
    </r>
    <r>
      <rPr>
        <sz val="9"/>
        <color indexed="12"/>
        <rFont val="Open Sans"/>
        <charset val="204"/>
      </rPr>
      <t>"02"</t>
    </r>
    <r>
      <rPr>
        <sz val="9"/>
        <rFont val="Open Sans"/>
        <charset val="204"/>
      </rPr>
      <t>-</t>
    </r>
    <r>
      <rPr>
        <sz val="9"/>
        <color indexed="12"/>
        <rFont val="Open Sans"/>
        <charset val="204"/>
      </rPr>
      <t>"08"</t>
    </r>
    <r>
      <rPr>
        <sz val="9"/>
        <rFont val="Open Sans"/>
        <charset val="204"/>
      </rPr>
      <t xml:space="preserve">) совокупности </t>
    </r>
    <r>
      <rPr>
        <b/>
        <sz val="9"/>
        <rFont val="Open Sans"/>
        <charset val="204"/>
      </rPr>
      <t>ключевых атрибутов</t>
    </r>
    <r>
      <rPr>
        <sz val="9"/>
        <rFont val="Open Sans"/>
        <charset val="204"/>
      </rPr>
      <t xml:space="preserve">:
- </t>
    </r>
    <r>
      <rPr>
        <sz val="9"/>
        <color indexed="12"/>
        <rFont val="Open Sans"/>
        <charset val="204"/>
      </rPr>
      <t>Дисциплина, вид учебной работы</t>
    </r>
    <r>
      <rPr>
        <sz val="9"/>
        <rFont val="Open Sans"/>
        <charset val="204"/>
      </rPr>
      <t xml:space="preserve">;
- </t>
    </r>
    <r>
      <rPr>
        <sz val="9"/>
        <color indexed="12"/>
        <rFont val="Open Sans"/>
        <charset val="204"/>
      </rPr>
      <t>Группа (институт, направление, профиль или специальность, уровень, курс);
- Вид нагрузки.</t>
    </r>
    <r>
      <rPr>
        <sz val="9"/>
        <rFont val="Open Sans"/>
        <charset val="204"/>
      </rPr>
      <t xml:space="preserve">
Группа может быть указана по ее номеру или в виде шифра, указанного в нагрузке по кафедре, выданной УМУ, но в одной тетради </t>
    </r>
    <r>
      <rPr>
        <b/>
        <sz val="9"/>
        <rFont val="Open Sans"/>
        <charset val="204"/>
      </rPr>
      <t>следует строго придерживаться одного варианта</t>
    </r>
    <r>
      <rPr>
        <sz val="9"/>
        <rFont val="Open Sans"/>
        <charset val="204"/>
      </rPr>
      <t>.</t>
    </r>
  </si>
  <si>
    <r>
      <t>Если на листе плана (</t>
    </r>
    <r>
      <rPr>
        <sz val="9"/>
        <color indexed="12"/>
        <rFont val="Open Sans"/>
        <charset val="204"/>
      </rPr>
      <t>"осень"</t>
    </r>
    <r>
      <rPr>
        <sz val="9"/>
        <rFont val="Open Sans"/>
        <charset val="204"/>
      </rPr>
      <t xml:space="preserve">, </t>
    </r>
    <r>
      <rPr>
        <sz val="9"/>
        <color indexed="12"/>
        <rFont val="Open Sans"/>
        <charset val="204"/>
      </rPr>
      <t>"весна"</t>
    </r>
    <r>
      <rPr>
        <sz val="9"/>
        <rFont val="Open Sans"/>
        <charset val="204"/>
      </rPr>
      <t>) в двух или более строках указаны совпадающие ключевые атрибуты, то они выделяются фоном желтого цвета. Такие строки считаются ошибочными и не учитываются в расчетах.</t>
    </r>
  </si>
  <si>
    <r>
      <t xml:space="preserve">Если ключевые атрибуты </t>
    </r>
    <r>
      <rPr>
        <sz val="9"/>
        <color indexed="12"/>
        <rFont val="Open Sans"/>
        <charset val="204"/>
      </rPr>
      <t>на листе месяца</t>
    </r>
    <r>
      <rPr>
        <sz val="9"/>
        <rFont val="Open Sans"/>
        <charset val="204"/>
      </rPr>
      <t xml:space="preserve"> не совпадают ни с одной записью на листе плана, то они выделяются фоном желтого цвета, а часы, указанные в этой строке - красным. Такие часы считаются </t>
    </r>
    <r>
      <rPr>
        <b/>
        <sz val="9"/>
        <rFont val="Open Sans"/>
        <charset val="204"/>
      </rPr>
      <t>ошибочными</t>
    </r>
    <r>
      <rPr>
        <sz val="9"/>
        <rFont val="Open Sans"/>
        <charset val="204"/>
      </rPr>
      <t xml:space="preserve">, подсчитываются отдельно в верхней части листа и </t>
    </r>
    <r>
      <rPr>
        <b/>
        <sz val="9"/>
        <rFont val="Open Sans"/>
        <charset val="204"/>
      </rPr>
      <t>не суммируются при подведении итогов.</t>
    </r>
  </si>
  <si>
    <r>
      <t xml:space="preserve">Поля </t>
    </r>
    <r>
      <rPr>
        <sz val="9"/>
        <color indexed="12"/>
        <rFont val="Open Sans"/>
        <charset val="204"/>
      </rPr>
      <t>"Число месяца"</t>
    </r>
    <r>
      <rPr>
        <sz val="9"/>
        <rFont val="Open Sans"/>
        <charset val="204"/>
      </rPr>
      <t xml:space="preserve">, </t>
    </r>
    <r>
      <rPr>
        <sz val="9"/>
        <color indexed="12"/>
        <rFont val="Open Sans"/>
        <charset val="204"/>
      </rPr>
      <t>"Подгруппа"</t>
    </r>
    <r>
      <rPr>
        <sz val="9"/>
        <rFont val="Open Sans"/>
        <charset val="204"/>
      </rPr>
      <t xml:space="preserve">, </t>
    </r>
    <r>
      <rPr>
        <sz val="9"/>
        <color indexed="12"/>
        <rFont val="Open Sans"/>
        <charset val="204"/>
      </rPr>
      <t>"Количество студентов"</t>
    </r>
    <r>
      <rPr>
        <sz val="9"/>
        <rFont val="Open Sans"/>
        <charset val="204"/>
      </rPr>
      <t xml:space="preserve">, </t>
    </r>
    <r>
      <rPr>
        <sz val="9"/>
        <color indexed="12"/>
        <rFont val="Open Sans"/>
        <charset val="204"/>
      </rPr>
      <t>"Тема занятия"</t>
    </r>
    <r>
      <rPr>
        <sz val="9"/>
        <rFont val="Open Sans"/>
        <charset val="204"/>
      </rPr>
      <t xml:space="preserve"> и </t>
    </r>
    <r>
      <rPr>
        <sz val="9"/>
        <color indexed="12"/>
        <rFont val="Open Sans"/>
        <charset val="204"/>
      </rPr>
      <t>"Примечания"</t>
    </r>
    <r>
      <rPr>
        <sz val="9"/>
        <rFont val="Open Sans"/>
        <charset val="204"/>
      </rPr>
      <t xml:space="preserve"> на листах месяцев введены для повышения информативности и не учитываются в расчетах.</t>
    </r>
  </si>
  <si>
    <r>
      <t>В случае выполнения работ, изначально не предусмотренных планом, соответствующие данные должны быть внесены на листе плана (</t>
    </r>
    <r>
      <rPr>
        <sz val="9"/>
        <color indexed="12"/>
        <rFont val="Open Sans"/>
        <charset val="204"/>
      </rPr>
      <t>"осень"</t>
    </r>
    <r>
      <rPr>
        <sz val="9"/>
        <rFont val="Open Sans"/>
        <charset val="204"/>
      </rPr>
      <t xml:space="preserve">, </t>
    </r>
    <r>
      <rPr>
        <sz val="9"/>
        <color indexed="12"/>
        <rFont val="Open Sans"/>
        <charset val="204"/>
      </rPr>
      <t>"весна"</t>
    </r>
    <r>
      <rPr>
        <sz val="9"/>
        <rFont val="Open Sans"/>
        <charset val="204"/>
      </rPr>
      <t xml:space="preserve">) </t>
    </r>
    <r>
      <rPr>
        <b/>
        <sz val="9"/>
        <rFont val="Open Sans"/>
        <charset val="204"/>
      </rPr>
      <t>без указания запланированного объема</t>
    </r>
    <r>
      <rPr>
        <sz val="9"/>
        <rFont val="Open Sans"/>
        <charset val="204"/>
      </rPr>
      <t>. После этого могут быть указаны фактические значения выполненной работы на соответствующих листах в зависимости от вида и сроков выпонения работы.</t>
    </r>
  </si>
  <si>
    <r>
      <t>НЕ ДОПУСКАЕТСЯ</t>
    </r>
    <r>
      <rPr>
        <sz val="9"/>
        <rFont val="Open Sans"/>
        <charset val="204"/>
      </rPr>
      <t xml:space="preserve"> использование перетаскивания мышью ячеек на листах - </t>
    </r>
    <r>
      <rPr>
        <b/>
        <sz val="9"/>
        <color indexed="10"/>
        <rFont val="Open Sans"/>
        <charset val="204"/>
      </rPr>
      <t>это приведет к нарушению расчетов</t>
    </r>
    <r>
      <rPr>
        <sz val="9"/>
        <rFont val="Open Sans"/>
        <charset val="204"/>
      </rPr>
      <t xml:space="preserve"> (особенность MS Excel). Вместо этого следует пользоваться </t>
    </r>
    <r>
      <rPr>
        <b/>
        <sz val="9"/>
        <rFont val="Open Sans"/>
        <charset val="204"/>
      </rPr>
      <t>специальными</t>
    </r>
    <r>
      <rPr>
        <sz val="9"/>
        <rFont val="Open Sans"/>
        <charset val="204"/>
      </rPr>
      <t xml:space="preserve"> командами копирования (не вырезания!) и вставки (см. п. 13).</t>
    </r>
  </si>
  <si>
    <r>
      <t>РЕКОМЕНДУЕТСЯ</t>
    </r>
    <r>
      <rPr>
        <sz val="9"/>
        <rFont val="Open Sans"/>
        <charset val="204"/>
      </rPr>
      <t xml:space="preserve"> при вставке данных, скопированных как из других документов, так и из этой же тетради, вместо обычной вставки использовать команды </t>
    </r>
    <r>
      <rPr>
        <i/>
        <sz val="9"/>
        <rFont val="Open Sans"/>
        <charset val="204"/>
      </rPr>
      <t>"Вставить значения"</t>
    </r>
    <r>
      <rPr>
        <sz val="9"/>
        <rFont val="Open Sans"/>
        <charset val="204"/>
      </rPr>
      <t xml:space="preserve"> или </t>
    </r>
    <r>
      <rPr>
        <i/>
        <sz val="9"/>
        <rFont val="Open Sans"/>
        <charset val="204"/>
      </rPr>
      <t>"Специальная вставка - Значения и форматы чисел"</t>
    </r>
    <r>
      <rPr>
        <sz val="9"/>
        <rFont val="Open Sans"/>
        <charset val="204"/>
      </rPr>
      <t xml:space="preserve">. </t>
    </r>
    <r>
      <rPr>
        <b/>
        <sz val="9"/>
        <color indexed="10"/>
        <rFont val="Open Sans"/>
        <charset val="204"/>
      </rPr>
      <t>В противном случае вероятно нарушение расчетов и индикации ошибок.</t>
    </r>
  </si>
  <si>
    <r>
      <t xml:space="preserve">При печати листов </t>
    </r>
    <r>
      <rPr>
        <sz val="9"/>
        <color indexed="12"/>
        <rFont val="Open Sans"/>
        <charset val="204"/>
      </rPr>
      <t>"осень"</t>
    </r>
    <r>
      <rPr>
        <sz val="9"/>
        <rFont val="Open Sans"/>
        <charset val="204"/>
      </rPr>
      <t xml:space="preserve"> и </t>
    </r>
    <r>
      <rPr>
        <sz val="9"/>
        <color indexed="12"/>
        <rFont val="Open Sans"/>
        <charset val="204"/>
      </rPr>
      <t>"весна"</t>
    </r>
    <r>
      <rPr>
        <sz val="9"/>
        <rFont val="Open Sans"/>
        <charset val="204"/>
      </rPr>
      <t>, листов по месяцам (</t>
    </r>
    <r>
      <rPr>
        <sz val="9"/>
        <color indexed="12"/>
        <rFont val="Open Sans"/>
        <charset val="204"/>
      </rPr>
      <t>"09"</t>
    </r>
    <r>
      <rPr>
        <sz val="9"/>
        <rFont val="Open Sans"/>
        <charset val="204"/>
      </rPr>
      <t>-</t>
    </r>
    <r>
      <rPr>
        <sz val="9"/>
        <color indexed="12"/>
        <rFont val="Open Sans"/>
        <charset val="204"/>
      </rPr>
      <t>"01"</t>
    </r>
    <r>
      <rPr>
        <sz val="9"/>
        <rFont val="Open Sans"/>
        <charset val="204"/>
      </rPr>
      <t xml:space="preserve"> и </t>
    </r>
    <r>
      <rPr>
        <sz val="9"/>
        <color indexed="12"/>
        <rFont val="Open Sans"/>
        <charset val="204"/>
      </rPr>
      <t>"02"</t>
    </r>
    <r>
      <rPr>
        <sz val="9"/>
        <rFont val="Open Sans"/>
        <charset val="204"/>
      </rPr>
      <t>-</t>
    </r>
    <r>
      <rPr>
        <sz val="9"/>
        <color indexed="12"/>
        <rFont val="Open Sans"/>
        <charset val="204"/>
      </rPr>
      <t>"08"</t>
    </r>
    <r>
      <rPr>
        <sz val="9"/>
        <rFont val="Open Sans"/>
        <charset val="204"/>
      </rPr>
      <t>), рекомендуется ограничивать количество выводимых страниц, чтобы избежать печати страниц, которые не содержат данных (всего предусмотрено по 4 страницы на план каждого семестра и по 6 страниц на каждый месяц). Для определения количества заполненных страниц можно использовать предварительный просмотр перед печатью.</t>
    </r>
  </si>
  <si>
    <r>
      <t xml:space="preserve">По всем </t>
    </r>
    <r>
      <rPr>
        <b/>
        <sz val="9"/>
        <rFont val="Open Sans"/>
        <charset val="204"/>
      </rPr>
      <t>техническим</t>
    </r>
    <r>
      <rPr>
        <sz val="9"/>
        <rFont val="Open Sans"/>
        <charset val="204"/>
      </rPr>
      <t xml:space="preserve"> вопросам (т.е. связанным с функционированием данной системы) следует обращаться к Гришмановскому Павлу Валерьевичу </t>
    </r>
    <r>
      <rPr>
        <b/>
        <sz val="9"/>
        <rFont val="Open Sans"/>
        <charset val="204"/>
      </rPr>
      <t>по электронной почте</t>
    </r>
    <r>
      <rPr>
        <sz val="9"/>
        <rFont val="Open Sans"/>
        <charset val="204"/>
      </rPr>
      <t xml:space="preserve"> </t>
    </r>
    <r>
      <rPr>
        <u/>
        <sz val="9"/>
        <color rgb="FF0000FF"/>
        <rFont val="Open Sans"/>
        <charset val="204"/>
      </rPr>
      <t>grishmanovskiy_pv@surgu.ru</t>
    </r>
    <r>
      <rPr>
        <sz val="9"/>
        <rFont val="Open Sans"/>
        <charset val="204"/>
      </rPr>
      <t xml:space="preserve"> с указанием </t>
    </r>
    <r>
      <rPr>
        <b/>
        <sz val="9"/>
        <rFont val="Open Sans"/>
        <charset val="204"/>
      </rPr>
      <t>в теме письма "</t>
    </r>
    <r>
      <rPr>
        <b/>
        <u/>
        <sz val="9"/>
        <color rgb="FFFF0000"/>
        <rFont val="Open Sans"/>
        <charset val="204"/>
      </rPr>
      <t>Тетрадь ППС</t>
    </r>
    <r>
      <rPr>
        <b/>
        <sz val="9"/>
        <rFont val="Open Sans"/>
        <charset val="204"/>
      </rPr>
      <t>"</t>
    </r>
    <r>
      <rPr>
        <sz val="9"/>
        <rFont val="Open Sans"/>
        <charset val="204"/>
      </rPr>
      <t xml:space="preserve">. </t>
    </r>
    <r>
      <rPr>
        <i/>
        <sz val="9"/>
        <color rgb="FF0000FF"/>
        <rFont val="Open Sans"/>
        <charset val="204"/>
      </rPr>
      <t>(ПРОСТО КЛИКНИТЕ МЫШЬЮ В ЭТОЙ ЯЧЕЙКЕ)</t>
    </r>
    <r>
      <rPr>
        <sz val="9"/>
        <rFont val="Open Sans"/>
        <charset val="204"/>
      </rPr>
      <t xml:space="preserve">
В тексте письма необходимо указать </t>
    </r>
    <r>
      <rPr>
        <b/>
        <sz val="9"/>
        <rFont val="Open Sans"/>
        <charset val="204"/>
      </rPr>
      <t>характер проблемы</t>
    </r>
    <r>
      <rPr>
        <sz val="9"/>
        <rFont val="Open Sans"/>
        <charset val="204"/>
      </rPr>
      <t xml:space="preserve"> и прикрепить к письму </t>
    </r>
    <r>
      <rPr>
        <b/>
        <sz val="9"/>
        <rFont val="Open Sans"/>
        <charset val="204"/>
      </rPr>
      <t>файл тетради</t>
    </r>
    <r>
      <rPr>
        <sz val="9"/>
        <rFont val="Open Sans"/>
        <charset val="204"/>
      </rPr>
      <t>.</t>
    </r>
  </si>
  <si>
    <r>
      <t xml:space="preserve">Заполнить только строки </t>
    </r>
    <r>
      <rPr>
        <b/>
        <sz val="9"/>
        <color indexed="10"/>
        <rFont val="Open Sans"/>
        <charset val="204"/>
      </rPr>
      <t>"план"</t>
    </r>
    <r>
      <rPr>
        <sz val="9"/>
        <rFont val="Open Sans"/>
        <charset val="204"/>
      </rPr>
      <t xml:space="preserve"> (значения в строках </t>
    </r>
    <r>
      <rPr>
        <b/>
        <sz val="9"/>
        <color indexed="10"/>
        <rFont val="Open Sans"/>
        <charset val="204"/>
      </rPr>
      <t>"факт"</t>
    </r>
    <r>
      <rPr>
        <sz val="9"/>
        <rFont val="Open Sans"/>
        <charset val="204"/>
      </rPr>
      <t xml:space="preserve"> рассчитываются </t>
    </r>
    <r>
      <rPr>
        <b/>
        <sz val="9"/>
        <color indexed="10"/>
        <rFont val="Open Sans"/>
        <charset val="204"/>
      </rPr>
      <t>автоматически</t>
    </r>
    <r>
      <rPr>
        <sz val="9"/>
        <rFont val="Open Sans"/>
        <charset val="204"/>
      </rPr>
      <t>)</t>
    </r>
  </si>
  <si>
    <t>Кузнецова Юлия Вадимовна</t>
  </si>
  <si>
    <t>Берников Кирилл Александрович</t>
  </si>
  <si>
    <t>Политологии и философии</t>
  </si>
  <si>
    <t>Родермель Татьяна Алексеевна</t>
  </si>
  <si>
    <t>Публичного и уголовного права</t>
  </si>
  <si>
    <t>Частного и предпринимательского права</t>
  </si>
  <si>
    <t>Бюджетное учреждение высшего образования Ханты-Мансийского автономного округа – Югры
«Сургутский государственный университет»</t>
  </si>
  <si>
    <t>Тетрадь планирования и учёта учебной работы преподавателя</t>
  </si>
  <si>
    <t>сборка</t>
  </si>
  <si>
    <t>G</t>
  </si>
  <si>
    <r>
      <t>Краткая инструкция</t>
    </r>
    <r>
      <rPr>
        <sz val="12"/>
        <rFont val="Open Sans"/>
        <charset val="204"/>
      </rPr>
      <t xml:space="preserve">
по работе с системой планирования и учета учебной нагрузки преподавателя</t>
    </r>
  </si>
  <si>
    <t>зачеты, дифферен-цированные зачеты</t>
  </si>
  <si>
    <t>руководство 
практиками</t>
  </si>
  <si>
    <t>руководство 
научной работой</t>
  </si>
  <si>
    <t>Биологии и биотехнологии</t>
  </si>
  <si>
    <t>Государственного, муниципального управления и управления персоналом</t>
  </si>
  <si>
    <t>Кирилюк Денис Валерьевич</t>
  </si>
  <si>
    <t>Таджибова Аксана Наруллаховна</t>
  </si>
  <si>
    <t>Демчук Анастасия Владимировна</t>
  </si>
  <si>
    <t xml:space="preserve">Психологии </t>
  </si>
  <si>
    <t>Жадобина Наталья Николаевна</t>
  </si>
  <si>
    <t>Экономики, учета и финансов</t>
  </si>
  <si>
    <t>2025/2026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</si>
</sst>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6">
    <numFmt numFmtId="164" formatCode="#,##0.0;[Red]\-#,##0.0;&quot;нет&quot;"/>
    <numFmt numFmtId="165" formatCode="#,##0.0;[Red]\-#,##0.0"/>
    <numFmt numFmtId="166" formatCode="#,##0.0#;[Red]\-#,##0.0#;"/>
    <numFmt numFmtId="167" formatCode="&quot;расчет на &quot;@"/>
    <numFmt numFmtId="168" formatCode="0.0#&quot; часов на 1,0 ст.&quot;;[Red]\-0.0#&quot; часов на 1,0 ст.&quot;;"/>
    <numFmt numFmtId="169" formatCode="&quot;* план утвержден&quot;;&quot;&quot;;&quot;&quot;"/>
    <numFmt numFmtId="170" formatCode="&quot;* факт утвержден&quot;;&quot;&quot;;&quot;&quot;"/>
    <numFmt numFmtId="171" formatCode="&quot;* план работы на учебный год утвержден &quot;dd/mm/yyyy"/>
    <numFmt numFmtId="172" formatCode="&quot;* отчет (факт) за весенний семестр утвержден &quot;dd/mm/yyyy"/>
    <numFmt numFmtId="173" formatCode="&quot;* отчет (факт) за осенний семестр утвержден &quot;dd/mm/yyyy"/>
    <numFmt numFmtId="174" formatCode="&quot;Совмещение&quot;;&quot;&quot;;&quot;&quot;"/>
    <numFmt numFmtId="175" formatCode="&quot;Изменения/восстановления&quot;;&quot;&quot;;&quot;&quot;"/>
    <numFmt numFmtId="176" formatCode="#,##0.0##;[Red]\-#,##0.0##;&quot;&quot;"/>
    <numFmt numFmtId="177" formatCode="[Blue]\+#,##0.0##;[Red]\–#,##0.0##;&quot;&quot;"/>
    <numFmt numFmtId="178" formatCode="0.0##&quot; часов на 1,0 ст.&quot;;[Red]\-0.0##&quot; часов на 1,0 ст.&quot;;"/>
    <numFmt numFmtId="179" formatCode="#,##0.0##;[Red]\-#,##0.0##;&quot;нет&quot;"/>
  </numFmts>
  <fonts count="40" x14ac:knownFonts="1">
    <font>
      <sz val="9"/>
      <name val="Open Sans"/>
      <charset val="204"/>
    </font>
    <font>
      <sz val="10"/>
      <name val="Arial Cyr"/>
      <charset val="204"/>
    </font>
    <font>
      <u/>
      <sz val="10"/>
      <color indexed="12"/>
      <name val="Arial Cyr"/>
      <charset val="204"/>
    </font>
    <font>
      <sz val="11"/>
      <color indexed="8"/>
      <name val="Calibri"/>
      <family val="2"/>
      <charset val="204"/>
    </font>
    <font>
      <sz val="11"/>
      <color indexed="9"/>
      <name val="Calibri"/>
      <family val="2"/>
      <charset val="204"/>
    </font>
    <font>
      <sz val="11"/>
      <color indexed="62"/>
      <name val="Calibri"/>
      <family val="2"/>
      <charset val="204"/>
    </font>
    <font>
      <b/>
      <sz val="11"/>
      <color indexed="63"/>
      <name val="Calibri"/>
      <family val="2"/>
      <charset val="204"/>
    </font>
    <font>
      <b/>
      <sz val="11"/>
      <color indexed="52"/>
      <name val="Calibri"/>
      <family val="2"/>
      <charset val="204"/>
    </font>
    <font>
      <b/>
      <sz val="15"/>
      <color indexed="56"/>
      <name val="Calibri"/>
      <family val="2"/>
      <charset val="204"/>
    </font>
    <font>
      <b/>
      <sz val="13"/>
      <color indexed="56"/>
      <name val="Calibri"/>
      <family val="2"/>
      <charset val="204"/>
    </font>
    <font>
      <b/>
      <sz val="11"/>
      <color indexed="56"/>
      <name val="Calibri"/>
      <family val="2"/>
      <charset val="204"/>
    </font>
    <font>
      <b/>
      <sz val="11"/>
      <color indexed="8"/>
      <name val="Calibri"/>
      <family val="2"/>
      <charset val="204"/>
    </font>
    <font>
      <b/>
      <sz val="11"/>
      <color indexed="9"/>
      <name val="Calibri"/>
      <family val="2"/>
      <charset val="204"/>
    </font>
    <font>
      <b/>
      <sz val="18"/>
      <color indexed="56"/>
      <name val="Cambria"/>
      <family val="2"/>
      <charset val="204"/>
    </font>
    <font>
      <sz val="11"/>
      <color indexed="60"/>
      <name val="Calibri"/>
      <family val="2"/>
      <charset val="204"/>
    </font>
    <font>
      <sz val="11"/>
      <color indexed="20"/>
      <name val="Calibri"/>
      <family val="2"/>
      <charset val="204"/>
    </font>
    <font>
      <i/>
      <sz val="11"/>
      <color indexed="23"/>
      <name val="Calibri"/>
      <family val="2"/>
      <charset val="204"/>
    </font>
    <font>
      <sz val="11"/>
      <color indexed="52"/>
      <name val="Calibri"/>
      <family val="2"/>
      <charset val="204"/>
    </font>
    <font>
      <sz val="11"/>
      <color indexed="10"/>
      <name val="Calibri"/>
      <family val="2"/>
      <charset val="204"/>
    </font>
    <font>
      <sz val="11"/>
      <color indexed="17"/>
      <name val="Calibri"/>
      <family val="2"/>
      <charset val="204"/>
    </font>
    <font>
      <b/>
      <sz val="8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sz val="8"/>
      <name val="Arial Cyr"/>
      <charset val="204"/>
    </font>
    <font>
      <b/>
      <sz val="9"/>
      <name val="Open Sans"/>
      <charset val="204"/>
    </font>
    <font>
      <b/>
      <sz val="9"/>
      <color indexed="10"/>
      <name val="Open Sans"/>
      <charset val="204"/>
    </font>
    <font>
      <sz val="9"/>
      <color indexed="10"/>
      <name val="Open Sans"/>
      <charset val="204"/>
    </font>
    <font>
      <b/>
      <sz val="9"/>
      <color indexed="13"/>
      <name val="Open Sans"/>
      <charset val="204"/>
    </font>
    <font>
      <b/>
      <sz val="9"/>
      <color indexed="12"/>
      <name val="Open Sans"/>
      <charset val="204"/>
    </font>
    <font>
      <sz val="9"/>
      <color indexed="12"/>
      <name val="Open Sans"/>
      <charset val="204"/>
    </font>
    <font>
      <b/>
      <sz val="12"/>
      <name val="Open Sans"/>
      <charset val="204"/>
    </font>
    <font>
      <sz val="12"/>
      <name val="Open Sans"/>
      <charset val="204"/>
    </font>
    <font>
      <b/>
      <sz val="9"/>
      <color rgb="FFFF0000"/>
      <name val="Open Sans"/>
      <charset val="204"/>
    </font>
    <font>
      <i/>
      <sz val="9"/>
      <name val="Open Sans"/>
      <charset val="204"/>
    </font>
    <font>
      <u/>
      <sz val="9"/>
      <color rgb="FF0000FF"/>
      <name val="Open Sans"/>
      <charset val="204"/>
    </font>
    <font>
      <b/>
      <u/>
      <sz val="9"/>
      <color rgb="FFFF0000"/>
      <name val="Open Sans"/>
      <charset val="204"/>
    </font>
    <font>
      <i/>
      <sz val="9"/>
      <color rgb="FF0000FF"/>
      <name val="Open Sans"/>
      <charset val="204"/>
    </font>
    <font>
      <i/>
      <sz val="8"/>
      <name val="Open Sans"/>
      <charset val="204"/>
    </font>
    <font>
      <sz val="11"/>
      <name val="Open Sans"/>
      <charset val="204"/>
    </font>
    <font>
      <b/>
      <sz val="11"/>
      <name val="Open Sans"/>
      <charset val="204"/>
    </font>
    <font>
      <b/>
      <sz val="8"/>
      <name val="Open Sans"/>
      <charset val="204"/>
    </font>
  </fonts>
  <fills count="33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27"/>
      </patternFill>
    </fill>
    <fill>
      <patternFill patternType="solid">
        <fgColor indexed="45"/>
      </patternFill>
    </fill>
    <fill>
      <patternFill patternType="solid">
        <fgColor indexed="47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57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rgb="FFCCFFCC"/>
        <bgColor indexed="64"/>
      </patternFill>
    </fill>
  </fills>
  <borders count="125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 style="thin">
        <color indexed="62"/>
      </top>
      <bottom style="double">
        <color indexed="62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 diagonalDown="1"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 style="thin">
        <color indexed="64"/>
      </diagonal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/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hair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hair">
        <color indexed="64"/>
      </right>
      <top style="hair">
        <color indexed="64"/>
      </top>
      <bottom style="double">
        <color indexed="64"/>
      </bottom>
      <diagonal/>
    </border>
    <border>
      <left style="hair">
        <color indexed="64"/>
      </left>
      <right/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/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hair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/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double">
        <color indexed="64"/>
      </top>
      <bottom style="hair">
        <color indexed="64"/>
      </bottom>
      <diagonal/>
    </border>
    <border>
      <left/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double">
        <color indexed="64"/>
      </bottom>
      <diagonal/>
    </border>
    <border>
      <left/>
      <right style="thin">
        <color indexed="64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/>
      <top style="double">
        <color indexed="64"/>
      </top>
      <bottom/>
      <diagonal/>
    </border>
    <border>
      <left/>
      <right style="hair">
        <color indexed="64"/>
      </right>
      <top style="double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 style="hair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double">
        <color indexed="64"/>
      </bottom>
      <diagonal/>
    </border>
    <border>
      <left style="thin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/>
      <top style="thin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4">
    <xf numFmtId="0" fontId="0" fillId="0" borderId="0"/>
    <xf numFmtId="0" fontId="3" fillId="2" borderId="0" applyNumberFormat="0" applyBorder="0" applyAlignment="0" applyProtection="0"/>
    <xf numFmtId="0" fontId="3" fillId="4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3" borderId="0" applyNumberFormat="0" applyBorder="0" applyAlignment="0" applyProtection="0"/>
    <xf numFmtId="0" fontId="3" fillId="5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11" borderId="0" applyNumberFormat="0" applyBorder="0" applyAlignment="0" applyProtection="0"/>
    <xf numFmtId="0" fontId="3" fillId="7" borderId="0" applyNumberFormat="0" applyBorder="0" applyAlignment="0" applyProtection="0"/>
    <xf numFmtId="0" fontId="3" fillId="9" borderId="0" applyNumberFormat="0" applyBorder="0" applyAlignment="0" applyProtection="0"/>
    <xf numFmtId="0" fontId="3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0" borderId="0" applyNumberFormat="0" applyBorder="0" applyAlignment="0" applyProtection="0"/>
    <xf numFmtId="0" fontId="4" fillId="11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20" borderId="0" applyNumberFormat="0" applyBorder="0" applyAlignment="0" applyProtection="0"/>
    <xf numFmtId="0" fontId="4" fillId="21" borderId="0" applyNumberFormat="0" applyBorder="0" applyAlignment="0" applyProtection="0"/>
    <xf numFmtId="0" fontId="4" fillId="19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22" borderId="0" applyNumberFormat="0" applyBorder="0" applyAlignment="0" applyProtection="0"/>
    <xf numFmtId="0" fontId="5" fillId="5" borderId="1" applyNumberFormat="0" applyAlignment="0" applyProtection="0"/>
    <xf numFmtId="0" fontId="6" fillId="12" borderId="2" applyNumberFormat="0" applyAlignment="0" applyProtection="0"/>
    <xf numFmtId="0" fontId="7" fillId="12" borderId="1" applyNumberFormat="0" applyAlignment="0" applyProtection="0"/>
    <xf numFmtId="0" fontId="2" fillId="0" borderId="0" applyNumberFormat="0" applyFill="0" applyBorder="0" applyAlignment="0" applyProtection="0">
      <alignment vertical="top"/>
      <protection locked="0"/>
    </xf>
    <xf numFmtId="0" fontId="8" fillId="0" borderId="3" applyNumberFormat="0" applyFill="0" applyAlignment="0" applyProtection="0"/>
    <xf numFmtId="0" fontId="9" fillId="0" borderId="4" applyNumberFormat="0" applyFill="0" applyAlignment="0" applyProtection="0"/>
    <xf numFmtId="0" fontId="10" fillId="0" borderId="5" applyNumberFormat="0" applyFill="0" applyAlignment="0" applyProtection="0"/>
    <xf numFmtId="0" fontId="10" fillId="0" borderId="0" applyNumberFormat="0" applyFill="0" applyBorder="0" applyAlignment="0" applyProtection="0"/>
    <xf numFmtId="0" fontId="11" fillId="0" borderId="6" applyNumberFormat="0" applyFill="0" applyAlignment="0" applyProtection="0"/>
    <xf numFmtId="0" fontId="12" fillId="23" borderId="7" applyNumberFormat="0" applyAlignment="0" applyProtection="0"/>
    <xf numFmtId="0" fontId="13" fillId="0" borderId="0" applyNumberFormat="0" applyFill="0" applyBorder="0" applyAlignment="0" applyProtection="0"/>
    <xf numFmtId="0" fontId="14" fillId="13" borderId="0" applyNumberFormat="0" applyBorder="0" applyAlignment="0" applyProtection="0"/>
    <xf numFmtId="0" fontId="1" fillId="0" borderId="0"/>
    <xf numFmtId="0" fontId="15" fillId="4" borderId="0" applyNumberFormat="0" applyBorder="0" applyAlignment="0" applyProtection="0"/>
    <xf numFmtId="0" fontId="16" fillId="0" borderId="0" applyNumberFormat="0" applyFill="0" applyBorder="0" applyAlignment="0" applyProtection="0"/>
    <xf numFmtId="0" fontId="3" fillId="8" borderId="8" applyNumberFormat="0" applyFont="0" applyAlignment="0" applyProtection="0"/>
    <xf numFmtId="0" fontId="17" fillId="0" borderId="9" applyNumberFormat="0" applyFill="0" applyAlignment="0" applyProtection="0"/>
    <xf numFmtId="0" fontId="18" fillId="0" borderId="0" applyNumberFormat="0" applyFill="0" applyBorder="0" applyAlignment="0" applyProtection="0"/>
    <xf numFmtId="0" fontId="19" fillId="6" borderId="0" applyNumberFormat="0" applyBorder="0" applyAlignment="0" applyProtection="0"/>
  </cellStyleXfs>
  <cellXfs count="402">
    <xf numFmtId="0" fontId="0" fillId="0" borderId="0" xfId="0"/>
    <xf numFmtId="0" fontId="0" fillId="0" borderId="0" xfId="0" applyFont="1" applyBorder="1" applyAlignment="1" applyProtection="1">
      <alignment horizontal="left"/>
      <protection hidden="1"/>
    </xf>
    <xf numFmtId="0" fontId="0" fillId="0" borderId="0" xfId="0" applyFont="1" applyProtection="1">
      <protection hidden="1"/>
    </xf>
    <xf numFmtId="0" fontId="0" fillId="0" borderId="0" xfId="0" applyFont="1" applyBorder="1" applyProtection="1">
      <protection hidden="1"/>
    </xf>
    <xf numFmtId="0" fontId="0" fillId="0" borderId="0" xfId="0" applyFont="1" applyBorder="1" applyAlignment="1" applyProtection="1">
      <alignment horizontal="center"/>
      <protection hidden="1"/>
    </xf>
    <xf numFmtId="0" fontId="0" fillId="25" borderId="93" xfId="0" applyFont="1" applyFill="1" applyBorder="1" applyAlignment="1" applyProtection="1">
      <alignment horizontal="center" vertical="center" textRotation="90" wrapText="1"/>
      <protection hidden="1"/>
    </xf>
    <xf numFmtId="0" fontId="0" fillId="25" borderId="94" xfId="0" applyFont="1" applyFill="1" applyBorder="1" applyAlignment="1" applyProtection="1">
      <alignment horizontal="center" vertical="center" textRotation="90" wrapText="1"/>
      <protection hidden="1"/>
    </xf>
    <xf numFmtId="0" fontId="0" fillId="25" borderId="95" xfId="0" applyFont="1" applyFill="1" applyBorder="1" applyAlignment="1" applyProtection="1">
      <alignment horizontal="center" vertical="center" textRotation="90" wrapText="1"/>
      <protection hidden="1"/>
    </xf>
    <xf numFmtId="0" fontId="0" fillId="25" borderId="96" xfId="0" applyFont="1" applyFill="1" applyBorder="1" applyAlignment="1" applyProtection="1">
      <alignment horizontal="center" vertical="center" textRotation="90" wrapText="1"/>
      <protection hidden="1"/>
    </xf>
    <xf numFmtId="0" fontId="0" fillId="25" borderId="97" xfId="0" applyFont="1" applyFill="1" applyBorder="1" applyAlignment="1" applyProtection="1">
      <alignment horizontal="center" vertical="center" textRotation="90" wrapText="1"/>
      <protection hidden="1"/>
    </xf>
    <xf numFmtId="0" fontId="0" fillId="0" borderId="0" xfId="0" applyFont="1" applyFill="1" applyBorder="1" applyAlignment="1" applyProtection="1">
      <alignment horizontal="center" vertical="center" wrapText="1"/>
      <protection hidden="1"/>
    </xf>
    <xf numFmtId="0" fontId="0" fillId="25" borderId="98" xfId="0" applyFont="1" applyFill="1" applyBorder="1" applyAlignment="1" applyProtection="1">
      <alignment horizontal="center" vertical="center"/>
      <protection hidden="1"/>
    </xf>
    <xf numFmtId="0" fontId="0" fillId="25" borderId="99" xfId="0" applyFont="1" applyFill="1" applyBorder="1" applyAlignment="1" applyProtection="1">
      <alignment horizontal="center" vertical="center"/>
      <protection hidden="1"/>
    </xf>
    <xf numFmtId="0" fontId="0" fillId="25" borderId="100" xfId="0" applyFont="1" applyFill="1" applyBorder="1" applyAlignment="1" applyProtection="1">
      <alignment horizontal="center" vertical="center"/>
      <protection hidden="1"/>
    </xf>
    <xf numFmtId="0" fontId="0" fillId="25" borderId="70" xfId="0" applyFont="1" applyFill="1" applyBorder="1" applyAlignment="1" applyProtection="1">
      <alignment horizontal="center" vertical="center"/>
      <protection hidden="1"/>
    </xf>
    <xf numFmtId="166" fontId="0" fillId="25" borderId="103" xfId="0" applyNumberFormat="1" applyFont="1" applyFill="1" applyBorder="1" applyAlignment="1" applyProtection="1">
      <alignment horizontal="center" vertical="center" shrinkToFit="1"/>
      <protection hidden="1"/>
    </xf>
    <xf numFmtId="166" fontId="0" fillId="25" borderId="39" xfId="0" applyNumberFormat="1" applyFont="1" applyFill="1" applyBorder="1" applyAlignment="1" applyProtection="1">
      <alignment horizontal="center" vertical="center" shrinkToFit="1"/>
      <protection hidden="1"/>
    </xf>
    <xf numFmtId="166" fontId="0" fillId="25" borderId="21" xfId="0" applyNumberFormat="1" applyFont="1" applyFill="1" applyBorder="1" applyAlignment="1" applyProtection="1">
      <alignment horizontal="center" vertical="center" shrinkToFit="1"/>
      <protection hidden="1"/>
    </xf>
    <xf numFmtId="0" fontId="0" fillId="25" borderId="104" xfId="0" applyFont="1" applyFill="1" applyBorder="1" applyAlignment="1" applyProtection="1">
      <alignment horizontal="center" vertical="center" textRotation="90" wrapText="1"/>
      <protection hidden="1"/>
    </xf>
    <xf numFmtId="0" fontId="0" fillId="0" borderId="0" xfId="0" applyFont="1" applyAlignment="1">
      <alignment vertical="top" wrapText="1"/>
    </xf>
    <xf numFmtId="176" fontId="0" fillId="0" borderId="82" xfId="0" applyNumberFormat="1" applyFont="1" applyBorder="1" applyAlignment="1" applyProtection="1">
      <alignment horizontal="center" vertical="center" shrinkToFit="1"/>
      <protection hidden="1"/>
    </xf>
    <xf numFmtId="176" fontId="0" fillId="0" borderId="83" xfId="0" applyNumberFormat="1" applyFont="1" applyBorder="1" applyAlignment="1" applyProtection="1">
      <alignment horizontal="center" vertical="center" shrinkToFit="1"/>
      <protection hidden="1"/>
    </xf>
    <xf numFmtId="176" fontId="0" fillId="0" borderId="84" xfId="0" applyNumberFormat="1" applyFont="1" applyBorder="1" applyAlignment="1" applyProtection="1">
      <alignment horizontal="center" vertical="center" shrinkToFit="1"/>
      <protection hidden="1"/>
    </xf>
    <xf numFmtId="176" fontId="0" fillId="0" borderId="85" xfId="0" applyNumberFormat="1" applyFont="1" applyBorder="1" applyAlignment="1" applyProtection="1">
      <alignment horizontal="center" vertical="center" shrinkToFit="1"/>
      <protection hidden="1"/>
    </xf>
    <xf numFmtId="176" fontId="0" fillId="0" borderId="86" xfId="0" applyNumberFormat="1" applyFont="1" applyBorder="1" applyAlignment="1" applyProtection="1">
      <alignment horizontal="center" vertical="center" shrinkToFit="1"/>
      <protection hidden="1"/>
    </xf>
    <xf numFmtId="176" fontId="0" fillId="0" borderId="82" xfId="0" applyNumberFormat="1" applyFont="1" applyFill="1" applyBorder="1" applyAlignment="1" applyProtection="1">
      <alignment horizontal="center" vertical="center" shrinkToFit="1"/>
      <protection hidden="1"/>
    </xf>
    <xf numFmtId="176" fontId="0" fillId="0" borderId="83" xfId="0" applyNumberFormat="1" applyFont="1" applyFill="1" applyBorder="1" applyAlignment="1" applyProtection="1">
      <alignment horizontal="center" vertical="center" shrinkToFit="1"/>
      <protection hidden="1"/>
    </xf>
    <xf numFmtId="176" fontId="0" fillId="0" borderId="84" xfId="0" applyNumberFormat="1" applyFont="1" applyFill="1" applyBorder="1" applyAlignment="1" applyProtection="1">
      <alignment horizontal="center" vertical="center" shrinkToFit="1"/>
      <protection hidden="1"/>
    </xf>
    <xf numFmtId="176" fontId="0" fillId="0" borderId="86" xfId="0" applyNumberFormat="1" applyFont="1" applyFill="1" applyBorder="1" applyAlignment="1" applyProtection="1">
      <alignment horizontal="center" vertical="center" shrinkToFit="1"/>
      <protection hidden="1"/>
    </xf>
    <xf numFmtId="176" fontId="0" fillId="0" borderId="87" xfId="0" applyNumberFormat="1" applyFont="1" applyFill="1" applyBorder="1" applyAlignment="1" applyProtection="1">
      <alignment horizontal="center" vertical="center" shrinkToFit="1"/>
      <protection hidden="1"/>
    </xf>
    <xf numFmtId="176" fontId="0" fillId="27" borderId="87" xfId="0" applyNumberFormat="1" applyFont="1" applyFill="1" applyBorder="1" applyAlignment="1" applyProtection="1">
      <alignment horizontal="center" vertical="center" shrinkToFit="1"/>
      <protection hidden="1"/>
    </xf>
    <xf numFmtId="176" fontId="0" fillId="0" borderId="29" xfId="0" applyNumberFormat="1" applyFont="1" applyBorder="1" applyAlignment="1" applyProtection="1">
      <alignment horizontal="center" vertical="center" shrinkToFit="1"/>
      <protection hidden="1"/>
    </xf>
    <xf numFmtId="176" fontId="0" fillId="0" borderId="31" xfId="0" applyNumberFormat="1" applyFont="1" applyBorder="1" applyAlignment="1" applyProtection="1">
      <alignment horizontal="center" vertical="center" shrinkToFit="1"/>
      <protection hidden="1"/>
    </xf>
    <xf numFmtId="176" fontId="0" fillId="0" borderId="25" xfId="0" applyNumberFormat="1" applyFont="1" applyBorder="1" applyAlignment="1" applyProtection="1">
      <alignment horizontal="center" vertical="center" shrinkToFit="1"/>
      <protection hidden="1"/>
    </xf>
    <xf numFmtId="176" fontId="0" fillId="0" borderId="33" xfId="0" applyNumberFormat="1" applyFont="1" applyBorder="1" applyAlignment="1" applyProtection="1">
      <alignment horizontal="center" vertical="center" shrinkToFit="1"/>
      <protection hidden="1"/>
    </xf>
    <xf numFmtId="176" fontId="0" fillId="0" borderId="32" xfId="0" applyNumberFormat="1" applyFont="1" applyBorder="1" applyAlignment="1" applyProtection="1">
      <alignment horizontal="center" vertical="center" shrinkToFit="1"/>
      <protection hidden="1"/>
    </xf>
    <xf numFmtId="176" fontId="0" fillId="0" borderId="29" xfId="0" applyNumberFormat="1" applyFont="1" applyFill="1" applyBorder="1" applyAlignment="1" applyProtection="1">
      <alignment horizontal="center" vertical="center" shrinkToFit="1"/>
      <protection hidden="1"/>
    </xf>
    <xf numFmtId="176" fontId="0" fillId="0" borderId="31" xfId="0" applyNumberFormat="1" applyFont="1" applyFill="1" applyBorder="1" applyAlignment="1" applyProtection="1">
      <alignment horizontal="center" vertical="center" shrinkToFit="1"/>
      <protection hidden="1"/>
    </xf>
    <xf numFmtId="176" fontId="0" fillId="0" borderId="25" xfId="0" applyNumberFormat="1" applyFont="1" applyFill="1" applyBorder="1" applyAlignment="1" applyProtection="1">
      <alignment horizontal="center" vertical="center" shrinkToFit="1"/>
      <protection hidden="1"/>
    </xf>
    <xf numFmtId="176" fontId="0" fillId="0" borderId="32" xfId="0" applyNumberFormat="1" applyFont="1" applyFill="1" applyBorder="1" applyAlignment="1" applyProtection="1">
      <alignment horizontal="center" vertical="center" shrinkToFit="1"/>
      <protection hidden="1"/>
    </xf>
    <xf numFmtId="176" fontId="0" fillId="0" borderId="24" xfId="0" applyNumberFormat="1" applyFont="1" applyFill="1" applyBorder="1" applyAlignment="1" applyProtection="1">
      <alignment horizontal="center" vertical="center" shrinkToFit="1"/>
      <protection hidden="1"/>
    </xf>
    <xf numFmtId="176" fontId="0" fillId="27" borderId="24" xfId="0" applyNumberFormat="1" applyFont="1" applyFill="1" applyBorder="1" applyAlignment="1" applyProtection="1">
      <alignment horizontal="center" vertical="center" shrinkToFit="1"/>
      <protection hidden="1"/>
    </xf>
    <xf numFmtId="176" fontId="0" fillId="0" borderId="27" xfId="0" applyNumberFormat="1" applyFont="1" applyBorder="1" applyAlignment="1" applyProtection="1">
      <alignment horizontal="center" vertical="center" shrinkToFit="1"/>
      <protection hidden="1"/>
    </xf>
    <xf numFmtId="176" fontId="0" fillId="0" borderId="101" xfId="0" applyNumberFormat="1" applyFont="1" applyBorder="1" applyAlignment="1" applyProtection="1">
      <alignment horizontal="center" vertical="center" shrinkToFit="1"/>
      <protection hidden="1"/>
    </xf>
    <xf numFmtId="176" fontId="0" fillId="0" borderId="28" xfId="0" applyNumberFormat="1" applyFont="1" applyBorder="1" applyAlignment="1" applyProtection="1">
      <alignment horizontal="center" vertical="center" shrinkToFit="1"/>
      <protection hidden="1"/>
    </xf>
    <xf numFmtId="176" fontId="0" fillId="0" borderId="51" xfId="0" applyNumberFormat="1" applyFont="1" applyBorder="1" applyAlignment="1" applyProtection="1">
      <alignment horizontal="center" vertical="center" shrinkToFit="1"/>
      <protection hidden="1"/>
    </xf>
    <xf numFmtId="176" fontId="0" fillId="0" borderId="102" xfId="0" applyNumberFormat="1" applyFont="1" applyBorder="1" applyAlignment="1" applyProtection="1">
      <alignment horizontal="center" vertical="center" shrinkToFit="1"/>
      <protection hidden="1"/>
    </xf>
    <xf numFmtId="176" fontId="0" fillId="0" borderId="27" xfId="0" applyNumberFormat="1" applyFont="1" applyFill="1" applyBorder="1" applyAlignment="1" applyProtection="1">
      <alignment horizontal="center" vertical="center" shrinkToFit="1"/>
      <protection hidden="1"/>
    </xf>
    <xf numFmtId="176" fontId="0" fillId="0" borderId="101" xfId="0" applyNumberFormat="1" applyFont="1" applyFill="1" applyBorder="1" applyAlignment="1" applyProtection="1">
      <alignment horizontal="center" vertical="center" shrinkToFit="1"/>
      <protection hidden="1"/>
    </xf>
    <xf numFmtId="176" fontId="0" fillId="0" borderId="28" xfId="0" applyNumberFormat="1" applyFont="1" applyFill="1" applyBorder="1" applyAlignment="1" applyProtection="1">
      <alignment horizontal="center" vertical="center" shrinkToFit="1"/>
      <protection hidden="1"/>
    </xf>
    <xf numFmtId="176" fontId="0" fillId="0" borderId="102" xfId="0" applyNumberFormat="1" applyFont="1" applyFill="1" applyBorder="1" applyAlignment="1" applyProtection="1">
      <alignment horizontal="center" vertical="center" shrinkToFit="1"/>
      <protection hidden="1"/>
    </xf>
    <xf numFmtId="176" fontId="0" fillId="0" borderId="16" xfId="0" applyNumberFormat="1" applyFont="1" applyFill="1" applyBorder="1" applyAlignment="1" applyProtection="1">
      <alignment horizontal="center" vertical="center" shrinkToFit="1"/>
      <protection hidden="1"/>
    </xf>
    <xf numFmtId="176" fontId="0" fillId="27" borderId="16" xfId="0" applyNumberFormat="1" applyFont="1" applyFill="1" applyBorder="1" applyAlignment="1" applyProtection="1">
      <alignment horizontal="center" vertical="center" shrinkToFit="1"/>
      <protection hidden="1"/>
    </xf>
    <xf numFmtId="176" fontId="0" fillId="27" borderId="82" xfId="0" applyNumberFormat="1" applyFont="1" applyFill="1" applyBorder="1" applyAlignment="1" applyProtection="1">
      <alignment horizontal="center" vertical="center" shrinkToFit="1"/>
      <protection hidden="1"/>
    </xf>
    <xf numFmtId="176" fontId="0" fillId="27" borderId="83" xfId="0" applyNumberFormat="1" applyFont="1" applyFill="1" applyBorder="1" applyAlignment="1" applyProtection="1">
      <alignment horizontal="center" vertical="center" shrinkToFit="1"/>
      <protection hidden="1"/>
    </xf>
    <xf numFmtId="176" fontId="0" fillId="27" borderId="84" xfId="0" applyNumberFormat="1" applyFont="1" applyFill="1" applyBorder="1" applyAlignment="1" applyProtection="1">
      <alignment horizontal="center" vertical="center" shrinkToFit="1"/>
      <protection hidden="1"/>
    </xf>
    <xf numFmtId="176" fontId="0" fillId="27" borderId="85" xfId="0" applyNumberFormat="1" applyFont="1" applyFill="1" applyBorder="1" applyAlignment="1" applyProtection="1">
      <alignment horizontal="center" vertical="center" shrinkToFit="1"/>
      <protection hidden="1"/>
    </xf>
    <xf numFmtId="176" fontId="0" fillId="27" borderId="86" xfId="0" applyNumberFormat="1" applyFont="1" applyFill="1" applyBorder="1" applyAlignment="1" applyProtection="1">
      <alignment horizontal="center" vertical="center" shrinkToFit="1"/>
      <protection hidden="1"/>
    </xf>
    <xf numFmtId="176" fontId="0" fillId="27" borderId="29" xfId="0" applyNumberFormat="1" applyFont="1" applyFill="1" applyBorder="1" applyAlignment="1" applyProtection="1">
      <alignment horizontal="center" vertical="center" shrinkToFit="1"/>
      <protection hidden="1"/>
    </xf>
    <xf numFmtId="176" fontId="0" fillId="27" borderId="31" xfId="0" applyNumberFormat="1" applyFont="1" applyFill="1" applyBorder="1" applyAlignment="1" applyProtection="1">
      <alignment horizontal="center" vertical="center" shrinkToFit="1"/>
      <protection hidden="1"/>
    </xf>
    <xf numFmtId="176" fontId="0" fillId="27" borderId="25" xfId="0" applyNumberFormat="1" applyFont="1" applyFill="1" applyBorder="1" applyAlignment="1" applyProtection="1">
      <alignment horizontal="center" vertical="center" shrinkToFit="1"/>
      <protection hidden="1"/>
    </xf>
    <xf numFmtId="176" fontId="0" fillId="27" borderId="33" xfId="0" applyNumberFormat="1" applyFont="1" applyFill="1" applyBorder="1" applyAlignment="1" applyProtection="1">
      <alignment horizontal="center" vertical="center" shrinkToFit="1"/>
      <protection hidden="1"/>
    </xf>
    <xf numFmtId="176" fontId="0" fillId="27" borderId="32" xfId="0" applyNumberFormat="1" applyFont="1" applyFill="1" applyBorder="1" applyAlignment="1" applyProtection="1">
      <alignment horizontal="center" vertical="center" shrinkToFit="1"/>
      <protection hidden="1"/>
    </xf>
    <xf numFmtId="176" fontId="0" fillId="27" borderId="71" xfId="0" applyNumberFormat="1" applyFont="1" applyFill="1" applyBorder="1" applyAlignment="1" applyProtection="1">
      <alignment horizontal="center" vertical="center" shrinkToFit="1"/>
      <protection hidden="1"/>
    </xf>
    <xf numFmtId="176" fontId="0" fillId="27" borderId="88" xfId="0" applyNumberFormat="1" applyFont="1" applyFill="1" applyBorder="1" applyAlignment="1" applyProtection="1">
      <alignment horizontal="center" vertical="center" shrinkToFit="1"/>
      <protection hidden="1"/>
    </xf>
    <xf numFmtId="176" fontId="0" fillId="27" borderId="89" xfId="0" applyNumberFormat="1" applyFont="1" applyFill="1" applyBorder="1" applyAlignment="1" applyProtection="1">
      <alignment horizontal="center" vertical="center" shrinkToFit="1"/>
      <protection hidden="1"/>
    </xf>
    <xf numFmtId="176" fontId="0" fillId="27" borderId="90" xfId="0" applyNumberFormat="1" applyFont="1" applyFill="1" applyBorder="1" applyAlignment="1" applyProtection="1">
      <alignment horizontal="center" vertical="center" shrinkToFit="1"/>
      <protection hidden="1"/>
    </xf>
    <xf numFmtId="176" fontId="0" fillId="27" borderId="91" xfId="0" applyNumberFormat="1" applyFont="1" applyFill="1" applyBorder="1" applyAlignment="1" applyProtection="1">
      <alignment horizontal="center" vertical="center" shrinkToFit="1"/>
      <protection hidden="1"/>
    </xf>
    <xf numFmtId="176" fontId="0" fillId="27" borderId="92" xfId="0" applyNumberFormat="1" applyFont="1" applyFill="1" applyBorder="1" applyAlignment="1" applyProtection="1">
      <alignment horizontal="center" vertical="center" shrinkToFit="1"/>
      <protection hidden="1"/>
    </xf>
    <xf numFmtId="176" fontId="0" fillId="27" borderId="67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Font="1" applyAlignment="1">
      <alignment horizontal="left" vertical="top" wrapText="1"/>
    </xf>
    <xf numFmtId="0" fontId="0" fillId="0" borderId="0" xfId="0" applyFont="1"/>
    <xf numFmtId="0" fontId="0" fillId="0" borderId="34" xfId="0" applyFont="1" applyBorder="1" applyProtection="1">
      <protection hidden="1"/>
    </xf>
    <xf numFmtId="0" fontId="0" fillId="0" borderId="38" xfId="0" applyFont="1" applyBorder="1" applyProtection="1">
      <protection hidden="1"/>
    </xf>
    <xf numFmtId="0" fontId="0" fillId="28" borderId="0" xfId="0" applyFont="1" applyFill="1" applyProtection="1">
      <protection hidden="1"/>
    </xf>
    <xf numFmtId="0" fontId="0" fillId="27" borderId="0" xfId="0" applyFont="1" applyFill="1" applyProtection="1">
      <protection hidden="1"/>
    </xf>
    <xf numFmtId="0" fontId="0" fillId="24" borderId="0" xfId="0" applyFont="1" applyFill="1" applyProtection="1">
      <protection hidden="1"/>
    </xf>
    <xf numFmtId="0" fontId="0" fillId="24" borderId="50" xfId="0" applyFont="1" applyFill="1" applyBorder="1" applyProtection="1">
      <protection hidden="1"/>
    </xf>
    <xf numFmtId="0" fontId="0" fillId="30" borderId="50" xfId="0" applyFont="1" applyFill="1" applyBorder="1" applyProtection="1">
      <protection hidden="1"/>
    </xf>
    <xf numFmtId="0" fontId="0" fillId="0" borderId="0" xfId="0" applyFont="1" applyAlignment="1" applyProtection="1">
      <alignment vertical="top"/>
      <protection hidden="1"/>
    </xf>
    <xf numFmtId="0" fontId="0" fillId="0" borderId="0" xfId="0" applyFont="1" applyFill="1" applyAlignment="1" applyProtection="1">
      <alignment vertical="top"/>
      <protection hidden="1"/>
    </xf>
    <xf numFmtId="0" fontId="0" fillId="24" borderId="0" xfId="0" applyFont="1" applyFill="1" applyAlignment="1" applyProtection="1">
      <alignment vertical="top"/>
      <protection hidden="1"/>
    </xf>
    <xf numFmtId="0" fontId="0" fillId="0" borderId="17" xfId="0" applyFont="1" applyBorder="1" applyAlignment="1" applyProtection="1">
      <alignment vertical="top"/>
      <protection hidden="1"/>
    </xf>
    <xf numFmtId="0" fontId="0" fillId="0" borderId="14" xfId="0" applyFont="1" applyBorder="1" applyAlignment="1" applyProtection="1">
      <alignment vertical="top"/>
      <protection hidden="1"/>
    </xf>
    <xf numFmtId="0" fontId="0" fillId="0" borderId="20" xfId="0" applyFont="1" applyBorder="1" applyAlignment="1" applyProtection="1">
      <alignment vertical="top"/>
      <protection hidden="1"/>
    </xf>
    <xf numFmtId="0" fontId="0" fillId="25" borderId="17" xfId="0" applyFont="1" applyFill="1" applyBorder="1" applyAlignment="1" applyProtection="1">
      <alignment vertical="top"/>
      <protection hidden="1"/>
    </xf>
    <xf numFmtId="0" fontId="0" fillId="25" borderId="37" xfId="0" applyFont="1" applyFill="1" applyBorder="1" applyAlignment="1" applyProtection="1">
      <alignment vertical="top"/>
      <protection hidden="1"/>
    </xf>
    <xf numFmtId="0" fontId="0" fillId="0" borderId="34" xfId="0" applyFont="1" applyBorder="1" applyAlignment="1" applyProtection="1">
      <alignment vertical="top"/>
      <protection hidden="1"/>
    </xf>
    <xf numFmtId="0" fontId="0" fillId="0" borderId="35" xfId="0" applyFont="1" applyBorder="1" applyAlignment="1" applyProtection="1">
      <alignment vertical="top"/>
      <protection hidden="1"/>
    </xf>
    <xf numFmtId="0" fontId="0" fillId="0" borderId="21" xfId="0" applyFont="1" applyBorder="1" applyAlignment="1" applyProtection="1">
      <alignment vertical="top"/>
      <protection hidden="1"/>
    </xf>
    <xf numFmtId="0" fontId="0" fillId="25" borderId="34" xfId="0" applyFont="1" applyFill="1" applyBorder="1" applyAlignment="1" applyProtection="1">
      <alignment vertical="top"/>
      <protection hidden="1"/>
    </xf>
    <xf numFmtId="0" fontId="0" fillId="25" borderId="36" xfId="0" applyFont="1" applyFill="1" applyBorder="1" applyAlignment="1" applyProtection="1">
      <alignment vertical="top"/>
      <protection hidden="1"/>
    </xf>
    <xf numFmtId="0" fontId="0" fillId="0" borderId="36" xfId="0" applyFont="1" applyFill="1" applyBorder="1" applyAlignment="1" applyProtection="1">
      <alignment vertical="top" wrapText="1"/>
      <protection hidden="1"/>
    </xf>
    <xf numFmtId="0" fontId="0" fillId="0" borderId="38" xfId="0" applyFont="1" applyBorder="1" applyAlignment="1" applyProtection="1">
      <alignment vertical="top"/>
      <protection hidden="1"/>
    </xf>
    <xf numFmtId="0" fontId="0" fillId="0" borderId="0" xfId="0" applyFont="1" applyBorder="1" applyAlignment="1" applyProtection="1">
      <alignment vertical="top"/>
      <protection hidden="1"/>
    </xf>
    <xf numFmtId="0" fontId="0" fillId="0" borderId="39" xfId="0" applyFont="1" applyBorder="1" applyAlignment="1" applyProtection="1">
      <alignment vertical="top"/>
      <protection hidden="1"/>
    </xf>
    <xf numFmtId="0" fontId="0" fillId="25" borderId="38" xfId="0" applyFont="1" applyFill="1" applyBorder="1" applyAlignment="1" applyProtection="1">
      <alignment vertical="top"/>
      <protection hidden="1"/>
    </xf>
    <xf numFmtId="0" fontId="0" fillId="25" borderId="40" xfId="0" applyFont="1" applyFill="1" applyBorder="1" applyAlignment="1" applyProtection="1">
      <alignment vertical="top"/>
      <protection hidden="1"/>
    </xf>
    <xf numFmtId="0" fontId="0" fillId="0" borderId="40" xfId="0" applyFont="1" applyFill="1" applyBorder="1" applyAlignment="1" applyProtection="1">
      <alignment vertical="top" wrapText="1"/>
      <protection hidden="1"/>
    </xf>
    <xf numFmtId="0" fontId="0" fillId="0" borderId="41" xfId="0" applyFont="1" applyBorder="1" applyAlignment="1" applyProtection="1">
      <alignment vertical="top"/>
      <protection hidden="1"/>
    </xf>
    <xf numFmtId="0" fontId="0" fillId="0" borderId="10" xfId="0" applyFont="1" applyBorder="1" applyAlignment="1" applyProtection="1">
      <alignment vertical="top"/>
      <protection hidden="1"/>
    </xf>
    <xf numFmtId="0" fontId="0" fillId="0" borderId="22" xfId="0" applyFont="1" applyBorder="1" applyAlignment="1" applyProtection="1">
      <alignment vertical="top"/>
      <protection hidden="1"/>
    </xf>
    <xf numFmtId="0" fontId="0" fillId="25" borderId="41" xfId="0" applyFont="1" applyFill="1" applyBorder="1" applyAlignment="1" applyProtection="1">
      <alignment vertical="top"/>
      <protection hidden="1"/>
    </xf>
    <xf numFmtId="0" fontId="0" fillId="25" borderId="42" xfId="0" applyFont="1" applyFill="1" applyBorder="1" applyAlignment="1" applyProtection="1">
      <alignment vertical="top"/>
      <protection hidden="1"/>
    </xf>
    <xf numFmtId="0" fontId="0" fillId="0" borderId="42" xfId="0" applyFont="1" applyFill="1" applyBorder="1" applyAlignment="1" applyProtection="1">
      <alignment vertical="top" wrapText="1"/>
      <protection hidden="1"/>
    </xf>
    <xf numFmtId="0" fontId="0" fillId="28" borderId="50" xfId="0" applyFont="1" applyFill="1" applyBorder="1" applyAlignment="1" applyProtection="1">
      <alignment vertical="top"/>
      <protection hidden="1"/>
    </xf>
    <xf numFmtId="0" fontId="0" fillId="28" borderId="43" xfId="0" applyFont="1" applyFill="1" applyBorder="1" applyAlignment="1" applyProtection="1">
      <alignment vertical="top"/>
      <protection hidden="1"/>
    </xf>
    <xf numFmtId="0" fontId="0" fillId="28" borderId="44" xfId="0" applyFont="1" applyFill="1" applyBorder="1" applyAlignment="1" applyProtection="1">
      <alignment vertical="top"/>
      <protection hidden="1"/>
    </xf>
    <xf numFmtId="0" fontId="0" fillId="28" borderId="45" xfId="0" applyFont="1" applyFill="1" applyBorder="1" applyAlignment="1" applyProtection="1">
      <alignment vertical="top"/>
      <protection hidden="1"/>
    </xf>
    <xf numFmtId="0" fontId="0" fillId="28" borderId="46" xfId="0" applyFont="1" applyFill="1" applyBorder="1" applyAlignment="1" applyProtection="1">
      <alignment vertical="top"/>
      <protection hidden="1"/>
    </xf>
    <xf numFmtId="0" fontId="0" fillId="28" borderId="49" xfId="0" applyFont="1" applyFill="1" applyBorder="1" applyAlignment="1" applyProtection="1">
      <alignment vertical="top"/>
      <protection hidden="1"/>
    </xf>
    <xf numFmtId="0" fontId="0" fillId="25" borderId="21" xfId="0" applyFont="1" applyFill="1" applyBorder="1" applyAlignment="1" applyProtection="1">
      <alignment vertical="top"/>
      <protection hidden="1"/>
    </xf>
    <xf numFmtId="0" fontId="0" fillId="25" borderId="35" xfId="0" applyFont="1" applyFill="1" applyBorder="1" applyAlignment="1" applyProtection="1">
      <alignment vertical="top"/>
      <protection hidden="1"/>
    </xf>
    <xf numFmtId="0" fontId="0" fillId="25" borderId="39" xfId="0" applyFont="1" applyFill="1" applyBorder="1" applyAlignment="1" applyProtection="1">
      <alignment vertical="top"/>
      <protection hidden="1"/>
    </xf>
    <xf numFmtId="0" fontId="0" fillId="25" borderId="0" xfId="0" applyFont="1" applyFill="1" applyBorder="1" applyAlignment="1" applyProtection="1">
      <alignment vertical="top"/>
      <protection hidden="1"/>
    </xf>
    <xf numFmtId="0" fontId="0" fillId="25" borderId="10" xfId="0" applyFont="1" applyFill="1" applyBorder="1" applyAlignment="1" applyProtection="1">
      <alignment vertical="top"/>
      <protection hidden="1"/>
    </xf>
    <xf numFmtId="0" fontId="0" fillId="25" borderId="22" xfId="0" applyFont="1" applyFill="1" applyBorder="1" applyAlignment="1" applyProtection="1">
      <alignment vertical="top"/>
      <protection hidden="1"/>
    </xf>
    <xf numFmtId="0" fontId="0" fillId="25" borderId="20" xfId="0" applyFont="1" applyFill="1" applyBorder="1" applyAlignment="1" applyProtection="1">
      <alignment vertical="top"/>
      <protection hidden="1"/>
    </xf>
    <xf numFmtId="0" fontId="0" fillId="0" borderId="0" xfId="0" applyFont="1" applyFill="1" applyBorder="1" applyAlignment="1" applyProtection="1">
      <alignment vertical="top"/>
      <protection hidden="1"/>
    </xf>
    <xf numFmtId="0" fontId="0" fillId="0" borderId="0" xfId="0" applyFont="1" applyAlignment="1"/>
    <xf numFmtId="0" fontId="0" fillId="0" borderId="40" xfId="0" applyFont="1" applyBorder="1" applyAlignment="1" applyProtection="1">
      <alignment vertical="top"/>
      <protection hidden="1"/>
    </xf>
    <xf numFmtId="0" fontId="0" fillId="0" borderId="42" xfId="0" applyFont="1" applyBorder="1" applyAlignment="1" applyProtection="1">
      <alignment vertical="top"/>
      <protection hidden="1"/>
    </xf>
    <xf numFmtId="0" fontId="0" fillId="0" borderId="36" xfId="0" applyFont="1" applyBorder="1" applyAlignment="1" applyProtection="1">
      <alignment vertical="top"/>
      <protection hidden="1"/>
    </xf>
    <xf numFmtId="0" fontId="0" fillId="25" borderId="20" xfId="0" applyFont="1" applyFill="1" applyBorder="1" applyAlignment="1" applyProtection="1">
      <alignment horizontal="right" vertical="top"/>
      <protection hidden="1"/>
    </xf>
    <xf numFmtId="0" fontId="23" fillId="25" borderId="34" xfId="0" applyFont="1" applyFill="1" applyBorder="1" applyAlignment="1" applyProtection="1">
      <alignment vertical="top"/>
      <protection hidden="1"/>
    </xf>
    <xf numFmtId="0" fontId="23" fillId="25" borderId="35" xfId="0" applyFont="1" applyFill="1" applyBorder="1" applyAlignment="1" applyProtection="1">
      <alignment vertical="top"/>
      <protection hidden="1"/>
    </xf>
    <xf numFmtId="0" fontId="23" fillId="25" borderId="21" xfId="0" applyFont="1" applyFill="1" applyBorder="1" applyAlignment="1" applyProtection="1">
      <alignment vertical="top"/>
      <protection hidden="1"/>
    </xf>
    <xf numFmtId="0" fontId="23" fillId="25" borderId="36" xfId="0" applyFont="1" applyFill="1" applyBorder="1" applyAlignment="1" applyProtection="1">
      <alignment vertical="top"/>
      <protection hidden="1"/>
    </xf>
    <xf numFmtId="0" fontId="24" fillId="24" borderId="0" xfId="0" applyFont="1" applyFill="1" applyAlignment="1" applyProtection="1">
      <alignment vertical="top"/>
      <protection hidden="1"/>
    </xf>
    <xf numFmtId="0" fontId="25" fillId="24" borderId="37" xfId="0" applyFont="1" applyFill="1" applyBorder="1" applyAlignment="1" applyProtection="1">
      <alignment vertical="top" wrapText="1"/>
      <protection hidden="1"/>
    </xf>
    <xf numFmtId="0" fontId="23" fillId="24" borderId="0" xfId="0" applyFont="1" applyFill="1" applyBorder="1" applyAlignment="1" applyProtection="1">
      <alignment horizontal="left" vertical="top" indent="1"/>
      <protection hidden="1"/>
    </xf>
    <xf numFmtId="0" fontId="26" fillId="29" borderId="47" xfId="0" applyFont="1" applyFill="1" applyBorder="1" applyAlignment="1" applyProtection="1">
      <alignment horizontal="center" vertical="top"/>
      <protection hidden="1"/>
    </xf>
    <xf numFmtId="0" fontId="27" fillId="24" borderId="48" xfId="0" applyFont="1" applyFill="1" applyBorder="1" applyAlignment="1" applyProtection="1">
      <alignment horizontal="center" vertical="top"/>
      <protection hidden="1"/>
    </xf>
    <xf numFmtId="0" fontId="27" fillId="24" borderId="49" xfId="0" applyFont="1" applyFill="1" applyBorder="1" applyAlignment="1" applyProtection="1">
      <alignment horizontal="center" vertical="top"/>
      <protection hidden="1"/>
    </xf>
    <xf numFmtId="0" fontId="28" fillId="0" borderId="0" xfId="0" quotePrefix="1" applyFont="1" applyAlignment="1" applyProtection="1">
      <alignment vertical="top"/>
      <protection hidden="1"/>
    </xf>
    <xf numFmtId="0" fontId="0" fillId="0" borderId="21" xfId="0" applyFont="1" applyFill="1" applyBorder="1" applyAlignment="1" applyProtection="1">
      <alignment vertical="top"/>
      <protection hidden="1"/>
    </xf>
    <xf numFmtId="0" fontId="0" fillId="0" borderId="39" xfId="0" applyFont="1" applyFill="1" applyBorder="1" applyAlignment="1" applyProtection="1">
      <alignment vertical="top"/>
      <protection hidden="1"/>
    </xf>
    <xf numFmtId="0" fontId="0" fillId="0" borderId="0" xfId="0" applyFont="1" applyAlignment="1">
      <alignment horizontal="center" vertical="top"/>
    </xf>
    <xf numFmtId="0" fontId="0" fillId="0" borderId="0" xfId="0" applyFont="1" applyAlignment="1">
      <alignment horizontal="left" vertical="top"/>
    </xf>
    <xf numFmtId="0" fontId="0" fillId="31" borderId="0" xfId="0" applyFont="1" applyFill="1" applyAlignment="1">
      <alignment horizontal="left" vertical="top"/>
    </xf>
    <xf numFmtId="0" fontId="0" fillId="0" borderId="0" xfId="0" applyFont="1" applyAlignment="1">
      <alignment vertical="top"/>
    </xf>
    <xf numFmtId="0" fontId="23" fillId="31" borderId="0" xfId="0" applyFont="1" applyFill="1" applyAlignment="1">
      <alignment vertical="top" wrapText="1"/>
    </xf>
    <xf numFmtId="0" fontId="36" fillId="0" borderId="0" xfId="0" applyFont="1" applyAlignment="1" applyProtection="1">
      <alignment horizontal="right"/>
      <protection hidden="1"/>
    </xf>
    <xf numFmtId="0" fontId="0" fillId="0" borderId="0" xfId="0" applyFont="1" applyAlignment="1">
      <alignment vertical="center"/>
    </xf>
    <xf numFmtId="0" fontId="36" fillId="0" borderId="0" xfId="0" applyFont="1" applyAlignment="1" applyProtection="1">
      <alignment horizontal="right" vertical="top"/>
      <protection hidden="1"/>
    </xf>
    <xf numFmtId="0" fontId="0" fillId="0" borderId="10" xfId="0" applyFont="1" applyBorder="1"/>
    <xf numFmtId="0" fontId="0" fillId="0" borderId="0" xfId="0" applyFont="1" applyProtection="1">
      <protection locked="0"/>
    </xf>
    <xf numFmtId="0" fontId="0" fillId="0" borderId="0" xfId="0" applyFont="1" applyBorder="1"/>
    <xf numFmtId="0" fontId="0" fillId="0" borderId="40" xfId="0" applyFont="1" applyBorder="1" applyAlignment="1">
      <alignment horizontal="center"/>
    </xf>
    <xf numFmtId="0" fontId="0" fillId="0" borderId="0" xfId="0" applyFont="1" applyBorder="1" applyAlignment="1">
      <alignment horizontal="center"/>
    </xf>
    <xf numFmtId="167" fontId="0" fillId="0" borderId="0" xfId="0" applyNumberFormat="1" applyFont="1" applyBorder="1" applyAlignment="1" applyProtection="1">
      <alignment horizontal="right"/>
      <protection locked="0"/>
    </xf>
    <xf numFmtId="0" fontId="0" fillId="0" borderId="0" xfId="0" applyFont="1" applyBorder="1" applyAlignment="1">
      <alignment horizontal="right" indent="1"/>
    </xf>
    <xf numFmtId="176" fontId="0" fillId="0" borderId="36" xfId="0" applyNumberFormat="1" applyFont="1" applyBorder="1" applyAlignment="1" applyProtection="1">
      <alignment horizontal="center" shrinkToFit="1"/>
      <protection hidden="1"/>
    </xf>
    <xf numFmtId="176" fontId="0" fillId="0" borderId="34" xfId="0" applyNumberFormat="1" applyFont="1" applyBorder="1" applyAlignment="1" applyProtection="1">
      <alignment horizontal="center" shrinkToFit="1"/>
      <protection locked="0"/>
    </xf>
    <xf numFmtId="178" fontId="0" fillId="0" borderId="0" xfId="0" applyNumberFormat="1" applyFont="1" applyBorder="1" applyAlignment="1" applyProtection="1">
      <alignment horizontal="right"/>
      <protection hidden="1"/>
    </xf>
    <xf numFmtId="176" fontId="0" fillId="0" borderId="40" xfId="0" applyNumberFormat="1" applyFont="1" applyBorder="1" applyAlignment="1" applyProtection="1">
      <alignment horizontal="center" shrinkToFit="1"/>
      <protection hidden="1"/>
    </xf>
    <xf numFmtId="176" fontId="0" fillId="0" borderId="38" xfId="0" applyNumberFormat="1" applyFont="1" applyBorder="1" applyAlignment="1" applyProtection="1">
      <alignment horizontal="center" shrinkToFit="1"/>
      <protection locked="0"/>
    </xf>
    <xf numFmtId="168" fontId="0" fillId="0" borderId="0" xfId="0" applyNumberFormat="1" applyFont="1" applyBorder="1" applyAlignment="1" applyProtection="1">
      <alignment horizontal="right"/>
      <protection hidden="1"/>
    </xf>
    <xf numFmtId="176" fontId="0" fillId="0" borderId="42" xfId="0" applyNumberFormat="1" applyFont="1" applyBorder="1" applyAlignment="1" applyProtection="1">
      <alignment horizontal="center" shrinkToFit="1"/>
      <protection hidden="1"/>
    </xf>
    <xf numFmtId="176" fontId="0" fillId="0" borderId="41" xfId="0" applyNumberFormat="1" applyFont="1" applyBorder="1" applyAlignment="1" applyProtection="1">
      <alignment horizontal="center" shrinkToFit="1"/>
      <protection locked="0"/>
    </xf>
    <xf numFmtId="176" fontId="0" fillId="0" borderId="0" xfId="0" applyNumberFormat="1" applyFont="1" applyBorder="1" applyAlignment="1" applyProtection="1">
      <alignment horizontal="center" shrinkToFit="1"/>
      <protection hidden="1"/>
    </xf>
    <xf numFmtId="176" fontId="0" fillId="0" borderId="34" xfId="0" applyNumberFormat="1" applyFont="1" applyBorder="1" applyAlignment="1" applyProtection="1">
      <alignment horizontal="center" shrinkToFit="1"/>
      <protection hidden="1"/>
    </xf>
    <xf numFmtId="49" fontId="0" fillId="0" borderId="0" xfId="0" applyNumberFormat="1" applyFont="1" applyBorder="1" applyAlignment="1" applyProtection="1">
      <alignment horizontal="right" indent="1"/>
      <protection locked="0"/>
    </xf>
    <xf numFmtId="166" fontId="0" fillId="0" borderId="0" xfId="0" applyNumberFormat="1" applyFont="1" applyBorder="1" applyAlignment="1" applyProtection="1">
      <alignment horizontal="center" shrinkToFit="1"/>
      <protection hidden="1"/>
    </xf>
    <xf numFmtId="0" fontId="0" fillId="0" borderId="0" xfId="0" applyFont="1" applyBorder="1" applyAlignment="1">
      <alignment horizontal="left" indent="1"/>
    </xf>
    <xf numFmtId="175" fontId="36" fillId="0" borderId="0" xfId="0" applyNumberFormat="1" applyFont="1" applyAlignment="1" applyProtection="1">
      <alignment horizontal="right"/>
      <protection hidden="1"/>
    </xf>
    <xf numFmtId="14" fontId="36" fillId="0" borderId="0" xfId="0" applyNumberFormat="1" applyFont="1" applyAlignment="1" applyProtection="1">
      <alignment horizontal="right"/>
      <protection hidden="1"/>
    </xf>
    <xf numFmtId="0" fontId="0" fillId="0" borderId="0" xfId="0" applyFont="1" applyAlignment="1" applyProtection="1">
      <alignment horizontal="center" vertical="center"/>
      <protection hidden="1"/>
    </xf>
    <xf numFmtId="0" fontId="0" fillId="0" borderId="0" xfId="0" applyFont="1" applyAlignment="1" applyProtection="1">
      <alignment horizontal="center" vertical="center" wrapText="1"/>
      <protection hidden="1"/>
    </xf>
    <xf numFmtId="0" fontId="0" fillId="26" borderId="0" xfId="0" applyFont="1" applyFill="1" applyBorder="1" applyAlignment="1" applyProtection="1">
      <alignment horizontal="center" vertical="center" textRotation="90" wrapText="1"/>
      <protection hidden="1"/>
    </xf>
    <xf numFmtId="0" fontId="0" fillId="26" borderId="40" xfId="0" applyFont="1" applyFill="1" applyBorder="1" applyAlignment="1" applyProtection="1">
      <alignment horizontal="center" vertical="center" wrapText="1"/>
      <protection hidden="1"/>
    </xf>
    <xf numFmtId="0" fontId="0" fillId="25" borderId="54" xfId="0" applyFont="1" applyFill="1" applyBorder="1" applyAlignment="1" applyProtection="1">
      <alignment horizontal="center" vertical="center" textRotation="90" wrapText="1"/>
      <protection hidden="1"/>
    </xf>
    <xf numFmtId="0" fontId="0" fillId="0" borderId="0" xfId="0" applyFont="1" applyFill="1" applyAlignment="1" applyProtection="1">
      <alignment horizontal="center" vertical="center"/>
      <protection hidden="1"/>
    </xf>
    <xf numFmtId="0" fontId="0" fillId="0" borderId="0" xfId="0" applyFont="1" applyFill="1" applyAlignment="1" applyProtection="1">
      <alignment horizontal="center" vertical="center" wrapText="1"/>
      <protection hidden="1"/>
    </xf>
    <xf numFmtId="0" fontId="0" fillId="25" borderId="52" xfId="0" quotePrefix="1" applyFont="1" applyFill="1" applyBorder="1" applyAlignment="1" applyProtection="1">
      <alignment horizontal="center" vertical="center" wrapText="1"/>
      <protection hidden="1"/>
    </xf>
    <xf numFmtId="169" fontId="0" fillId="25" borderId="21" xfId="0" applyNumberFormat="1" applyFont="1" applyFill="1" applyBorder="1" applyAlignment="1" applyProtection="1">
      <alignment horizontal="center" vertical="center" wrapText="1"/>
      <protection hidden="1"/>
    </xf>
    <xf numFmtId="0" fontId="0" fillId="25" borderId="57" xfId="0" quotePrefix="1" applyFont="1" applyFill="1" applyBorder="1" applyAlignment="1" applyProtection="1">
      <alignment horizontal="center" vertical="center" wrapText="1"/>
      <protection hidden="1"/>
    </xf>
    <xf numFmtId="170" fontId="0" fillId="25" borderId="22" xfId="0" applyNumberFormat="1" applyFont="1" applyFill="1" applyBorder="1" applyAlignment="1" applyProtection="1">
      <alignment horizontal="center" vertical="center" wrapText="1"/>
      <protection hidden="1"/>
    </xf>
    <xf numFmtId="0" fontId="0" fillId="26" borderId="0" xfId="0" applyFont="1" applyFill="1" applyAlignment="1" applyProtection="1">
      <alignment horizontal="center" vertical="center" shrinkToFit="1"/>
      <protection hidden="1"/>
    </xf>
    <xf numFmtId="0" fontId="0" fillId="26" borderId="0" xfId="0" applyFont="1" applyFill="1" applyAlignment="1" applyProtection="1">
      <alignment horizontal="left" vertical="center"/>
      <protection hidden="1"/>
    </xf>
    <xf numFmtId="0" fontId="0" fillId="25" borderId="16" xfId="0" applyFont="1" applyFill="1" applyBorder="1" applyAlignment="1" applyProtection="1">
      <alignment horizontal="center" vertical="center" wrapText="1"/>
      <protection hidden="1"/>
    </xf>
    <xf numFmtId="0" fontId="0" fillId="27" borderId="27" xfId="0" applyFont="1" applyFill="1" applyBorder="1" applyAlignment="1" applyProtection="1">
      <alignment horizontal="center" vertical="center" shrinkToFit="1"/>
      <protection locked="0"/>
    </xf>
    <xf numFmtId="0" fontId="0" fillId="27" borderId="102" xfId="0" applyFont="1" applyFill="1" applyBorder="1" applyAlignment="1" applyProtection="1">
      <alignment horizontal="center" vertical="center" shrinkToFit="1"/>
      <protection locked="0"/>
    </xf>
    <xf numFmtId="176" fontId="0" fillId="0" borderId="27" xfId="0" applyNumberFormat="1" applyFont="1" applyBorder="1" applyAlignment="1" applyProtection="1">
      <alignment horizontal="center" vertical="center" shrinkToFit="1"/>
      <protection locked="0"/>
    </xf>
    <xf numFmtId="176" fontId="0" fillId="0" borderId="101" xfId="0" applyNumberFormat="1" applyFont="1" applyBorder="1" applyAlignment="1" applyProtection="1">
      <alignment horizontal="center" vertical="center" shrinkToFit="1"/>
      <protection locked="0"/>
    </xf>
    <xf numFmtId="176" fontId="0" fillId="0" borderId="28" xfId="0" applyNumberFormat="1" applyFont="1" applyBorder="1" applyAlignment="1" applyProtection="1">
      <alignment horizontal="center" vertical="center" shrinkToFit="1"/>
      <protection locked="0"/>
    </xf>
    <xf numFmtId="176" fontId="0" fillId="0" borderId="28" xfId="0" applyNumberFormat="1" applyFont="1" applyFill="1" applyBorder="1" applyAlignment="1" applyProtection="1">
      <alignment horizontal="center" vertical="center" shrinkToFit="1"/>
      <protection locked="0"/>
    </xf>
    <xf numFmtId="176" fontId="0" fillId="0" borderId="102" xfId="0" applyNumberFormat="1" applyFont="1" applyFill="1" applyBorder="1" applyAlignment="1" applyProtection="1">
      <alignment horizontal="center" vertical="center" shrinkToFit="1"/>
      <protection locked="0"/>
    </xf>
    <xf numFmtId="0" fontId="0" fillId="26" borderId="0" xfId="0" applyFont="1" applyFill="1" applyAlignment="1" applyProtection="1">
      <alignment horizontal="center" vertical="center" wrapText="1"/>
      <protection hidden="1"/>
    </xf>
    <xf numFmtId="0" fontId="0" fillId="25" borderId="11" xfId="0" applyFont="1" applyFill="1" applyBorder="1" applyAlignment="1" applyProtection="1">
      <alignment horizontal="center" vertical="center" wrapText="1"/>
      <protection hidden="1"/>
    </xf>
    <xf numFmtId="0" fontId="0" fillId="27" borderId="30" xfId="0" applyFont="1" applyFill="1" applyBorder="1" applyAlignment="1" applyProtection="1">
      <alignment horizontal="center" vertical="center" shrinkToFit="1"/>
      <protection locked="0"/>
    </xf>
    <xf numFmtId="0" fontId="0" fillId="26" borderId="0" xfId="0" applyFont="1" applyFill="1" applyBorder="1" applyAlignment="1" applyProtection="1">
      <alignment horizontal="center" vertical="center" wrapText="1"/>
      <protection hidden="1"/>
    </xf>
    <xf numFmtId="0" fontId="0" fillId="25" borderId="17" xfId="0" applyFont="1" applyFill="1" applyBorder="1" applyAlignment="1" applyProtection="1">
      <alignment horizontal="center" vertical="center" textRotation="90"/>
      <protection hidden="1"/>
    </xf>
    <xf numFmtId="0" fontId="0" fillId="25" borderId="12" xfId="0" applyFont="1" applyFill="1" applyBorder="1" applyAlignment="1" applyProtection="1">
      <alignment horizontal="center" vertical="center" wrapText="1"/>
      <protection hidden="1"/>
    </xf>
    <xf numFmtId="0" fontId="0" fillId="25" borderId="13" xfId="0" applyFont="1" applyFill="1" applyBorder="1" applyAlignment="1" applyProtection="1">
      <alignment horizontal="center" vertical="center" wrapText="1"/>
      <protection hidden="1"/>
    </xf>
    <xf numFmtId="0" fontId="0" fillId="25" borderId="15" xfId="0" applyFont="1" applyFill="1" applyBorder="1" applyAlignment="1" applyProtection="1">
      <alignment horizontal="center" vertical="center" textRotation="90" wrapText="1"/>
      <protection hidden="1"/>
    </xf>
    <xf numFmtId="0" fontId="0" fillId="25" borderId="14" xfId="0" applyFont="1" applyFill="1" applyBorder="1" applyAlignment="1" applyProtection="1">
      <alignment horizontal="center" vertical="center" textRotation="90" wrapText="1"/>
      <protection hidden="1"/>
    </xf>
    <xf numFmtId="49" fontId="0" fillId="25" borderId="18" xfId="0" applyNumberFormat="1" applyFont="1" applyFill="1" applyBorder="1" applyAlignment="1" applyProtection="1">
      <alignment horizontal="center" vertical="center" textRotation="90" wrapText="1"/>
      <protection hidden="1"/>
    </xf>
    <xf numFmtId="49" fontId="0" fillId="25" borderId="23" xfId="0" applyNumberFormat="1" applyFont="1" applyFill="1" applyBorder="1" applyAlignment="1" applyProtection="1">
      <alignment horizontal="right" vertical="center" wrapText="1" indent="1"/>
      <protection hidden="1"/>
    </xf>
    <xf numFmtId="0" fontId="0" fillId="25" borderId="13" xfId="0" applyFont="1" applyFill="1" applyBorder="1" applyAlignment="1" applyProtection="1">
      <alignment horizontal="center" vertical="center" textRotation="90" wrapText="1"/>
      <protection hidden="1"/>
    </xf>
    <xf numFmtId="0" fontId="0" fillId="25" borderId="18" xfId="0" applyFont="1" applyFill="1" applyBorder="1" applyAlignment="1" applyProtection="1">
      <alignment horizontal="center" vertical="center" textRotation="90" wrapText="1"/>
      <protection hidden="1"/>
    </xf>
    <xf numFmtId="0" fontId="0" fillId="25" borderId="12" xfId="0" applyFont="1" applyFill="1" applyBorder="1" applyAlignment="1" applyProtection="1">
      <alignment horizontal="center" vertical="center" textRotation="90" wrapText="1"/>
      <protection hidden="1"/>
    </xf>
    <xf numFmtId="0" fontId="0" fillId="25" borderId="19" xfId="0" applyFont="1" applyFill="1" applyBorder="1" applyAlignment="1" applyProtection="1">
      <alignment horizontal="center" vertical="center" textRotation="90" wrapText="1"/>
      <protection hidden="1"/>
    </xf>
    <xf numFmtId="0" fontId="0" fillId="25" borderId="20" xfId="0" applyFont="1" applyFill="1" applyBorder="1" applyAlignment="1" applyProtection="1">
      <alignment horizontal="center" vertical="center"/>
      <protection hidden="1"/>
    </xf>
    <xf numFmtId="0" fontId="0" fillId="26" borderId="0" xfId="0" applyFont="1" applyFill="1" applyBorder="1" applyAlignment="1" applyProtection="1">
      <alignment horizontal="center"/>
      <protection hidden="1"/>
    </xf>
    <xf numFmtId="0" fontId="0" fillId="26" borderId="40" xfId="0" applyNumberFormat="1" applyFont="1" applyFill="1" applyBorder="1" applyAlignment="1" applyProtection="1">
      <alignment horizontal="left" vertical="center"/>
      <protection hidden="1"/>
    </xf>
    <xf numFmtId="0" fontId="0" fillId="25" borderId="21" xfId="0" applyFont="1" applyFill="1" applyBorder="1" applyProtection="1">
      <protection hidden="1"/>
    </xf>
    <xf numFmtId="0" fontId="0" fillId="25" borderId="24" xfId="0" applyFont="1" applyFill="1" applyBorder="1" applyAlignment="1" applyProtection="1">
      <alignment horizontal="left" vertical="center"/>
      <protection hidden="1"/>
    </xf>
    <xf numFmtId="0" fontId="0" fillId="25" borderId="39" xfId="0" applyFont="1" applyFill="1" applyBorder="1" applyProtection="1">
      <protection hidden="1"/>
    </xf>
    <xf numFmtId="176" fontId="0" fillId="27" borderId="62" xfId="0" applyNumberFormat="1" applyFont="1" applyFill="1" applyBorder="1" applyAlignment="1" applyProtection="1">
      <alignment horizontal="center" vertical="center" shrinkToFit="1"/>
      <protection hidden="1"/>
    </xf>
    <xf numFmtId="176" fontId="0" fillId="27" borderId="63" xfId="0" applyNumberFormat="1" applyFont="1" applyFill="1" applyBorder="1" applyAlignment="1" applyProtection="1">
      <alignment horizontal="center" vertical="center" shrinkToFit="1"/>
      <protection hidden="1"/>
    </xf>
    <xf numFmtId="176" fontId="0" fillId="27" borderId="64" xfId="0" applyNumberFormat="1" applyFont="1" applyFill="1" applyBorder="1" applyAlignment="1" applyProtection="1">
      <alignment horizontal="center" vertical="center" shrinkToFit="1"/>
      <protection hidden="1"/>
    </xf>
    <xf numFmtId="176" fontId="0" fillId="27" borderId="65" xfId="0" applyNumberFormat="1" applyFont="1" applyFill="1" applyBorder="1" applyAlignment="1" applyProtection="1">
      <alignment horizontal="center" vertical="center" shrinkToFit="1"/>
      <protection hidden="1"/>
    </xf>
    <xf numFmtId="176" fontId="0" fillId="27" borderId="66" xfId="0" applyNumberFormat="1" applyFont="1" applyFill="1" applyBorder="1" applyAlignment="1" applyProtection="1">
      <alignment horizontal="center" vertical="center" shrinkToFit="1"/>
      <protection hidden="1"/>
    </xf>
    <xf numFmtId="170" fontId="0" fillId="25" borderId="24" xfId="0" applyNumberFormat="1" applyFont="1" applyFill="1" applyBorder="1" applyAlignment="1" applyProtection="1">
      <alignment horizontal="left" vertical="center"/>
      <protection hidden="1"/>
    </xf>
    <xf numFmtId="0" fontId="0" fillId="25" borderId="22" xfId="0" applyFont="1" applyFill="1" applyBorder="1" applyProtection="1">
      <protection hidden="1"/>
    </xf>
    <xf numFmtId="176" fontId="0" fillId="25" borderId="58" xfId="0" applyNumberFormat="1" applyFont="1" applyFill="1" applyBorder="1" applyAlignment="1" applyProtection="1">
      <alignment horizontal="center" vertical="center" shrinkToFit="1"/>
      <protection hidden="1"/>
    </xf>
    <xf numFmtId="176" fontId="0" fillId="25" borderId="68" xfId="0" applyNumberFormat="1" applyFont="1" applyFill="1" applyBorder="1" applyAlignment="1" applyProtection="1">
      <alignment horizontal="center" vertical="center" shrinkToFit="1"/>
      <protection hidden="1"/>
    </xf>
    <xf numFmtId="176" fontId="0" fillId="25" borderId="59" xfId="0" applyNumberFormat="1" applyFont="1" applyFill="1" applyBorder="1" applyAlignment="1" applyProtection="1">
      <alignment horizontal="center" vertical="center" shrinkToFit="1"/>
      <protection hidden="1"/>
    </xf>
    <xf numFmtId="176" fontId="0" fillId="25" borderId="57" xfId="0" applyNumberFormat="1" applyFont="1" applyFill="1" applyBorder="1" applyAlignment="1" applyProtection="1">
      <alignment horizontal="center" vertical="center" shrinkToFit="1"/>
      <protection hidden="1"/>
    </xf>
    <xf numFmtId="176" fontId="0" fillId="25" borderId="69" xfId="0" applyNumberFormat="1" applyFont="1" applyFill="1" applyBorder="1" applyAlignment="1" applyProtection="1">
      <alignment horizontal="center" vertical="center" shrinkToFit="1"/>
      <protection hidden="1"/>
    </xf>
    <xf numFmtId="0" fontId="0" fillId="25" borderId="11" xfId="0" applyFont="1" applyFill="1" applyBorder="1" applyAlignment="1" applyProtection="1">
      <alignment horizontal="left" vertical="center"/>
      <protection hidden="1"/>
    </xf>
    <xf numFmtId="0" fontId="0" fillId="26" borderId="0" xfId="0" applyFont="1" applyFill="1" applyBorder="1" applyAlignment="1" applyProtection="1">
      <alignment horizontal="center" vertical="center"/>
      <protection hidden="1"/>
    </xf>
    <xf numFmtId="0" fontId="0" fillId="26" borderId="0" xfId="0" applyFont="1" applyFill="1" applyBorder="1" applyAlignment="1" applyProtection="1">
      <alignment horizontal="center" vertical="center" shrinkToFit="1"/>
      <protection hidden="1"/>
    </xf>
    <xf numFmtId="0" fontId="0" fillId="0" borderId="20" xfId="0" applyFont="1" applyBorder="1" applyAlignment="1" applyProtection="1">
      <alignment horizontal="center" vertical="center"/>
      <protection locked="0"/>
    </xf>
    <xf numFmtId="49" fontId="0" fillId="0" borderId="12" xfId="0" applyNumberFormat="1" applyFont="1" applyBorder="1" applyAlignment="1" applyProtection="1">
      <alignment horizontal="left" vertical="center" wrapText="1"/>
      <protection locked="0"/>
    </xf>
    <xf numFmtId="49" fontId="0" fillId="0" borderId="18" xfId="0" applyNumberFormat="1" applyFont="1" applyBorder="1" applyAlignment="1" applyProtection="1">
      <alignment horizontal="center" vertical="center"/>
      <protection locked="0"/>
    </xf>
    <xf numFmtId="49" fontId="0" fillId="0" borderId="15" xfId="0" applyNumberFormat="1" applyFont="1" applyBorder="1" applyAlignment="1" applyProtection="1">
      <alignment horizontal="center" vertical="center" shrinkToFit="1"/>
      <protection locked="0"/>
    </xf>
    <xf numFmtId="0" fontId="0" fillId="0" borderId="13" xfId="0" applyNumberFormat="1" applyFont="1" applyBorder="1" applyAlignment="1" applyProtection="1">
      <alignment horizontal="center" vertical="center"/>
      <protection locked="0"/>
    </xf>
    <xf numFmtId="49" fontId="0" fillId="0" borderId="20" xfId="0" applyNumberFormat="1" applyFont="1" applyBorder="1" applyAlignment="1" applyProtection="1">
      <alignment horizontal="left" vertical="center" wrapText="1"/>
      <protection locked="0"/>
    </xf>
    <xf numFmtId="176" fontId="0" fillId="0" borderId="12" xfId="0" applyNumberFormat="1" applyFont="1" applyBorder="1" applyAlignment="1" applyProtection="1">
      <alignment horizontal="center" vertical="center" shrinkToFit="1"/>
      <protection locked="0"/>
    </xf>
    <xf numFmtId="176" fontId="0" fillId="0" borderId="18" xfId="0" applyNumberFormat="1" applyFont="1" applyBorder="1" applyAlignment="1" applyProtection="1">
      <alignment horizontal="center" vertical="center" shrinkToFit="1"/>
      <protection locked="0"/>
    </xf>
    <xf numFmtId="176" fontId="0" fillId="0" borderId="15" xfId="0" applyNumberFormat="1" applyFont="1" applyBorder="1" applyAlignment="1" applyProtection="1">
      <alignment horizontal="center" vertical="center" shrinkToFit="1"/>
      <protection locked="0"/>
    </xf>
    <xf numFmtId="176" fontId="0" fillId="0" borderId="12" xfId="0" applyNumberFormat="1" applyFont="1" applyFill="1" applyBorder="1" applyAlignment="1" applyProtection="1">
      <alignment horizontal="center" vertical="center" shrinkToFit="1"/>
      <protection locked="0"/>
    </xf>
    <xf numFmtId="176" fontId="0" fillId="0" borderId="19" xfId="0" applyNumberFormat="1" applyFont="1" applyFill="1" applyBorder="1" applyAlignment="1" applyProtection="1">
      <alignment horizontal="center" vertical="center" shrinkToFit="1"/>
      <protection locked="0"/>
    </xf>
    <xf numFmtId="176" fontId="0" fillId="0" borderId="15" xfId="0" applyNumberFormat="1" applyFont="1" applyFill="1" applyBorder="1" applyAlignment="1" applyProtection="1">
      <alignment horizontal="center" vertical="center" shrinkToFit="1"/>
      <protection locked="0"/>
    </xf>
    <xf numFmtId="176" fontId="0" fillId="0" borderId="13" xfId="0" applyNumberFormat="1" applyFont="1" applyFill="1" applyBorder="1" applyAlignment="1" applyProtection="1">
      <alignment horizontal="center" vertical="center" shrinkToFit="1"/>
      <protection locked="0"/>
    </xf>
    <xf numFmtId="176" fontId="0" fillId="0" borderId="20" xfId="0" applyNumberFormat="1" applyFont="1" applyFill="1" applyBorder="1" applyAlignment="1" applyProtection="1">
      <alignment horizontal="center" vertical="center" shrinkToFit="1"/>
      <protection locked="0"/>
    </xf>
    <xf numFmtId="0" fontId="0" fillId="0" borderId="20" xfId="0" applyFont="1" applyBorder="1" applyAlignment="1" applyProtection="1">
      <alignment horizontal="left" vertical="center" wrapText="1"/>
      <protection locked="0"/>
    </xf>
    <xf numFmtId="0" fontId="0" fillId="0" borderId="0" xfId="0" applyFont="1" applyAlignment="1" applyProtection="1">
      <alignment vertical="center"/>
      <protection hidden="1"/>
    </xf>
    <xf numFmtId="49" fontId="0" fillId="0" borderId="0" xfId="0" applyNumberFormat="1" applyFont="1" applyBorder="1" applyAlignment="1" applyProtection="1">
      <alignment horizontal="left" vertical="center"/>
      <protection hidden="1"/>
    </xf>
    <xf numFmtId="49" fontId="0" fillId="0" borderId="0" xfId="0" applyNumberFormat="1" applyFont="1" applyAlignment="1" applyProtection="1">
      <alignment horizontal="center" vertical="center"/>
      <protection hidden="1"/>
    </xf>
    <xf numFmtId="49" fontId="0" fillId="0" borderId="0" xfId="0" applyNumberFormat="1" applyFont="1" applyBorder="1" applyAlignment="1" applyProtection="1">
      <alignment horizontal="center" vertical="center"/>
      <protection hidden="1"/>
    </xf>
    <xf numFmtId="0" fontId="0" fillId="24" borderId="0" xfId="0" applyFont="1" applyFill="1" applyBorder="1" applyAlignment="1" applyProtection="1">
      <alignment horizontal="center"/>
      <protection hidden="1"/>
    </xf>
    <xf numFmtId="0" fontId="23" fillId="0" borderId="0" xfId="0" applyFont="1" applyProtection="1">
      <protection hidden="1"/>
    </xf>
    <xf numFmtId="0" fontId="0" fillId="25" borderId="20" xfId="0" applyFont="1" applyFill="1" applyBorder="1" applyAlignment="1" applyProtection="1">
      <alignment horizontal="center" vertical="center" wrapText="1"/>
      <protection hidden="1"/>
    </xf>
    <xf numFmtId="0" fontId="23" fillId="24" borderId="0" xfId="0" applyFont="1" applyFill="1" applyAlignment="1" applyProtection="1">
      <alignment horizontal="left"/>
      <protection hidden="1"/>
    </xf>
    <xf numFmtId="0" fontId="23" fillId="0" borderId="0" xfId="0" applyFont="1" applyBorder="1" applyAlignment="1" applyProtection="1">
      <alignment horizontal="center"/>
      <protection hidden="1"/>
    </xf>
    <xf numFmtId="0" fontId="23" fillId="25" borderId="80" xfId="0" applyFont="1" applyFill="1" applyBorder="1" applyAlignment="1" applyProtection="1">
      <alignment horizontal="center" vertical="center"/>
      <protection hidden="1"/>
    </xf>
    <xf numFmtId="176" fontId="23" fillId="27" borderId="30" xfId="0" applyNumberFormat="1" applyFont="1" applyFill="1" applyBorder="1" applyAlignment="1" applyProtection="1">
      <alignment horizontal="center" vertical="center" shrinkToFit="1"/>
      <protection hidden="1"/>
    </xf>
    <xf numFmtId="176" fontId="23" fillId="27" borderId="72" xfId="0" applyNumberFormat="1" applyFont="1" applyFill="1" applyBorder="1" applyAlignment="1" applyProtection="1">
      <alignment horizontal="center" vertical="center" shrinkToFit="1"/>
      <protection hidden="1"/>
    </xf>
    <xf numFmtId="176" fontId="23" fillId="27" borderId="26" xfId="0" applyNumberFormat="1" applyFont="1" applyFill="1" applyBorder="1" applyAlignment="1" applyProtection="1">
      <alignment horizontal="center" vertical="center" shrinkToFit="1"/>
      <protection hidden="1"/>
    </xf>
    <xf numFmtId="176" fontId="23" fillId="27" borderId="56" xfId="0" applyNumberFormat="1" applyFont="1" applyFill="1" applyBorder="1" applyAlignment="1" applyProtection="1">
      <alignment horizontal="center" vertical="center" shrinkToFit="1"/>
      <protection hidden="1"/>
    </xf>
    <xf numFmtId="176" fontId="23" fillId="27" borderId="73" xfId="0" applyNumberFormat="1" applyFont="1" applyFill="1" applyBorder="1" applyAlignment="1" applyProtection="1">
      <alignment horizontal="center" vertical="center" shrinkToFit="1"/>
      <protection hidden="1"/>
    </xf>
    <xf numFmtId="176" fontId="23" fillId="27" borderId="11" xfId="0" applyNumberFormat="1" applyFont="1" applyFill="1" applyBorder="1" applyAlignment="1" applyProtection="1">
      <alignment horizontal="center" vertical="center" shrinkToFit="1"/>
      <protection hidden="1"/>
    </xf>
    <xf numFmtId="0" fontId="23" fillId="25" borderId="81" xfId="0" applyFont="1" applyFill="1" applyBorder="1" applyAlignment="1" applyProtection="1">
      <alignment horizontal="center" vertical="center"/>
      <protection hidden="1"/>
    </xf>
    <xf numFmtId="176" fontId="23" fillId="27" borderId="74" xfId="0" applyNumberFormat="1" applyFont="1" applyFill="1" applyBorder="1" applyAlignment="1" applyProtection="1">
      <alignment horizontal="center" vertical="center" shrinkToFit="1"/>
      <protection hidden="1"/>
    </xf>
    <xf numFmtId="176" fontId="23" fillId="27" borderId="75" xfId="0" applyNumberFormat="1" applyFont="1" applyFill="1" applyBorder="1" applyAlignment="1" applyProtection="1">
      <alignment horizontal="center" vertical="center" shrinkToFit="1"/>
      <protection hidden="1"/>
    </xf>
    <xf numFmtId="176" fontId="23" fillId="27" borderId="76" xfId="0" applyNumberFormat="1" applyFont="1" applyFill="1" applyBorder="1" applyAlignment="1" applyProtection="1">
      <alignment horizontal="center" vertical="center" shrinkToFit="1"/>
      <protection hidden="1"/>
    </xf>
    <xf numFmtId="176" fontId="23" fillId="27" borderId="77" xfId="0" applyNumberFormat="1" applyFont="1" applyFill="1" applyBorder="1" applyAlignment="1" applyProtection="1">
      <alignment horizontal="center" vertical="center" shrinkToFit="1"/>
      <protection hidden="1"/>
    </xf>
    <xf numFmtId="176" fontId="23" fillId="27" borderId="78" xfId="0" applyNumberFormat="1" applyFont="1" applyFill="1" applyBorder="1" applyAlignment="1" applyProtection="1">
      <alignment horizontal="center" vertical="center" shrinkToFit="1"/>
      <protection hidden="1"/>
    </xf>
    <xf numFmtId="176" fontId="23" fillId="27" borderId="79" xfId="0" applyNumberFormat="1" applyFont="1" applyFill="1" applyBorder="1" applyAlignment="1" applyProtection="1">
      <alignment horizontal="center" vertical="center" shrinkToFit="1"/>
      <protection hidden="1"/>
    </xf>
    <xf numFmtId="166" fontId="23" fillId="25" borderId="41" xfId="0" applyNumberFormat="1" applyFont="1" applyFill="1" applyBorder="1" applyAlignment="1" applyProtection="1">
      <alignment horizontal="center" vertical="center" shrinkToFit="1"/>
      <protection hidden="1"/>
    </xf>
    <xf numFmtId="176" fontId="23" fillId="27" borderId="50" xfId="0" applyNumberFormat="1" applyFont="1" applyFill="1" applyBorder="1" applyAlignment="1" applyProtection="1">
      <alignment horizontal="center" vertical="center" shrinkToFit="1"/>
      <protection hidden="1"/>
    </xf>
    <xf numFmtId="166" fontId="23" fillId="25" borderId="110" xfId="0" applyNumberFormat="1" applyFont="1" applyFill="1" applyBorder="1" applyAlignment="1" applyProtection="1">
      <alignment horizontal="center" vertical="center" shrinkToFit="1"/>
      <protection hidden="1"/>
    </xf>
    <xf numFmtId="0" fontId="23" fillId="25" borderId="16" xfId="0" applyFont="1" applyFill="1" applyBorder="1" applyAlignment="1" applyProtection="1">
      <alignment horizontal="center" vertical="center" wrapText="1"/>
      <protection hidden="1"/>
    </xf>
    <xf numFmtId="0" fontId="23" fillId="25" borderId="53" xfId="0" applyFont="1" applyFill="1" applyBorder="1" applyAlignment="1" applyProtection="1">
      <alignment horizontal="center" vertical="center" wrapText="1"/>
      <protection hidden="1"/>
    </xf>
    <xf numFmtId="176" fontId="23" fillId="25" borderId="27" xfId="0" applyNumberFormat="1" applyFont="1" applyFill="1" applyBorder="1" applyAlignment="1" applyProtection="1">
      <alignment horizontal="center" vertical="center" shrinkToFit="1"/>
      <protection hidden="1"/>
    </xf>
    <xf numFmtId="176" fontId="23" fillId="25" borderId="101" xfId="0" applyNumberFormat="1" applyFont="1" applyFill="1" applyBorder="1" applyAlignment="1" applyProtection="1">
      <alignment horizontal="center" vertical="center" shrinkToFit="1"/>
      <protection hidden="1"/>
    </xf>
    <xf numFmtId="176" fontId="23" fillId="25" borderId="28" xfId="0" applyNumberFormat="1" applyFont="1" applyFill="1" applyBorder="1" applyAlignment="1" applyProtection="1">
      <alignment horizontal="center" vertical="center" shrinkToFit="1"/>
      <protection hidden="1"/>
    </xf>
    <xf numFmtId="176" fontId="23" fillId="25" borderId="102" xfId="0" applyNumberFormat="1" applyFont="1" applyFill="1" applyBorder="1" applyAlignment="1" applyProtection="1">
      <alignment horizontal="center" vertical="center" shrinkToFit="1"/>
      <protection hidden="1"/>
    </xf>
    <xf numFmtId="176" fontId="23" fillId="25" borderId="100" xfId="0" applyNumberFormat="1" applyFont="1" applyFill="1" applyBorder="1" applyAlignment="1" applyProtection="1">
      <alignment horizontal="center" vertical="center" shrinkToFit="1"/>
      <protection hidden="1"/>
    </xf>
    <xf numFmtId="0" fontId="23" fillId="25" borderId="11" xfId="0" applyFont="1" applyFill="1" applyBorder="1" applyAlignment="1" applyProtection="1">
      <alignment horizontal="center" vertical="center" wrapText="1"/>
      <protection hidden="1"/>
    </xf>
    <xf numFmtId="0" fontId="23" fillId="25" borderId="58" xfId="0" applyFont="1" applyFill="1" applyBorder="1" applyAlignment="1" applyProtection="1">
      <alignment horizontal="center" vertical="center" wrapText="1"/>
      <protection hidden="1"/>
    </xf>
    <xf numFmtId="176" fontId="27" fillId="25" borderId="30" xfId="0" applyNumberFormat="1" applyFont="1" applyFill="1" applyBorder="1" applyAlignment="1" applyProtection="1">
      <alignment horizontal="center" vertical="center" shrinkToFit="1"/>
      <protection hidden="1"/>
    </xf>
    <xf numFmtId="176" fontId="27" fillId="25" borderId="72" xfId="0" applyNumberFormat="1" applyFont="1" applyFill="1" applyBorder="1" applyAlignment="1" applyProtection="1">
      <alignment horizontal="center" vertical="center" shrinkToFit="1"/>
      <protection hidden="1"/>
    </xf>
    <xf numFmtId="176" fontId="27" fillId="25" borderId="26" xfId="0" applyNumberFormat="1" applyFont="1" applyFill="1" applyBorder="1" applyAlignment="1" applyProtection="1">
      <alignment horizontal="center" vertical="center" shrinkToFit="1"/>
      <protection hidden="1"/>
    </xf>
    <xf numFmtId="176" fontId="27" fillId="25" borderId="73" xfId="0" applyNumberFormat="1" applyFont="1" applyFill="1" applyBorder="1" applyAlignment="1" applyProtection="1">
      <alignment horizontal="center" vertical="center" shrinkToFit="1"/>
      <protection hidden="1"/>
    </xf>
    <xf numFmtId="176" fontId="27" fillId="25" borderId="80" xfId="0" applyNumberFormat="1" applyFont="1" applyFill="1" applyBorder="1" applyAlignment="1" applyProtection="1">
      <alignment horizontal="center" vertical="center" shrinkToFit="1"/>
      <protection hidden="1"/>
    </xf>
    <xf numFmtId="176" fontId="23" fillId="27" borderId="100" xfId="0" applyNumberFormat="1" applyFont="1" applyFill="1" applyBorder="1" applyAlignment="1" applyProtection="1">
      <alignment horizontal="center" vertical="center" shrinkToFit="1"/>
      <protection hidden="1"/>
    </xf>
    <xf numFmtId="0" fontId="28" fillId="27" borderId="73" xfId="0" applyFont="1" applyFill="1" applyBorder="1" applyAlignment="1" applyProtection="1">
      <alignment horizontal="center" vertical="center" shrinkToFit="1"/>
      <protection locked="0"/>
    </xf>
    <xf numFmtId="176" fontId="28" fillId="0" borderId="30" xfId="0" applyNumberFormat="1" applyFont="1" applyBorder="1" applyAlignment="1" applyProtection="1">
      <alignment horizontal="center" vertical="center" shrinkToFit="1"/>
      <protection hidden="1"/>
    </xf>
    <xf numFmtId="176" fontId="28" fillId="0" borderId="72" xfId="0" applyNumberFormat="1" applyFont="1" applyBorder="1" applyAlignment="1" applyProtection="1">
      <alignment horizontal="center" vertical="center" shrinkToFit="1"/>
      <protection hidden="1"/>
    </xf>
    <xf numFmtId="176" fontId="28" fillId="0" borderId="26" xfId="0" applyNumberFormat="1" applyFont="1" applyBorder="1" applyAlignment="1" applyProtection="1">
      <alignment horizontal="center" vertical="center" shrinkToFit="1"/>
      <protection hidden="1"/>
    </xf>
    <xf numFmtId="176" fontId="28" fillId="0" borderId="26" xfId="0" applyNumberFormat="1" applyFont="1" applyFill="1" applyBorder="1" applyAlignment="1" applyProtection="1">
      <alignment horizontal="center" vertical="center" shrinkToFit="1"/>
      <protection hidden="1"/>
    </xf>
    <xf numFmtId="176" fontId="28" fillId="0" borderId="73" xfId="0" applyNumberFormat="1" applyFont="1" applyFill="1" applyBorder="1" applyAlignment="1" applyProtection="1">
      <alignment horizontal="center" vertical="center" shrinkToFit="1"/>
      <protection hidden="1"/>
    </xf>
    <xf numFmtId="176" fontId="27" fillId="27" borderId="80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0" xfId="0" applyFont="1"/>
    <xf numFmtId="165" fontId="0" fillId="25" borderId="27" xfId="0" applyNumberFormat="1" applyFont="1" applyFill="1" applyBorder="1" applyAlignment="1" applyProtection="1">
      <alignment horizontal="center" vertical="center"/>
      <protection hidden="1"/>
    </xf>
    <xf numFmtId="0" fontId="0" fillId="25" borderId="16" xfId="0" applyNumberFormat="1" applyFont="1" applyFill="1" applyBorder="1" applyAlignment="1" applyProtection="1">
      <alignment horizontal="center" vertical="center"/>
      <protection hidden="1"/>
    </xf>
    <xf numFmtId="165" fontId="0" fillId="25" borderId="71" xfId="0" applyNumberFormat="1" applyFont="1" applyFill="1" applyBorder="1" applyAlignment="1" applyProtection="1">
      <alignment horizontal="center" vertical="center"/>
      <protection hidden="1"/>
    </xf>
    <xf numFmtId="0" fontId="0" fillId="25" borderId="24" xfId="0" applyNumberFormat="1" applyFont="1" applyFill="1" applyBorder="1" applyAlignment="1" applyProtection="1">
      <alignment horizontal="center" vertical="center"/>
      <protection hidden="1"/>
    </xf>
    <xf numFmtId="165" fontId="0" fillId="25" borderId="58" xfId="0" applyNumberFormat="1" applyFont="1" applyFill="1" applyBorder="1" applyAlignment="1" applyProtection="1">
      <alignment horizontal="center" vertical="center"/>
      <protection hidden="1"/>
    </xf>
    <xf numFmtId="0" fontId="0" fillId="25" borderId="11" xfId="0" applyNumberFormat="1" applyFont="1" applyFill="1" applyBorder="1" applyAlignment="1" applyProtection="1">
      <alignment horizontal="center" vertical="center"/>
      <protection hidden="1"/>
    </xf>
    <xf numFmtId="165" fontId="23" fillId="25" borderId="37" xfId="0" applyNumberFormat="1" applyFont="1" applyFill="1" applyBorder="1" applyAlignment="1" applyProtection="1">
      <alignment horizontal="center" vertical="center"/>
      <protection hidden="1"/>
    </xf>
    <xf numFmtId="49" fontId="23" fillId="25" borderId="12" xfId="0" applyNumberFormat="1" applyFont="1" applyFill="1" applyBorder="1" applyAlignment="1" applyProtection="1">
      <alignment horizontal="center" vertical="center"/>
      <protection hidden="1"/>
    </xf>
    <xf numFmtId="49" fontId="23" fillId="25" borderId="13" xfId="0" applyNumberFormat="1" applyFont="1" applyFill="1" applyBorder="1" applyAlignment="1" applyProtection="1">
      <alignment horizontal="center" vertical="center"/>
      <protection hidden="1"/>
    </xf>
    <xf numFmtId="0" fontId="0" fillId="25" borderId="20" xfId="0" applyNumberFormat="1" applyFont="1" applyFill="1" applyBorder="1" applyAlignment="1" applyProtection="1">
      <alignment horizontal="center" vertical="center"/>
      <protection hidden="1"/>
    </xf>
    <xf numFmtId="176" fontId="23" fillId="27" borderId="12" xfId="0" applyNumberFormat="1" applyFont="1" applyFill="1" applyBorder="1" applyAlignment="1" applyProtection="1">
      <alignment horizontal="center" vertical="center" shrinkToFit="1"/>
      <protection hidden="1"/>
    </xf>
    <xf numFmtId="176" fontId="23" fillId="27" borderId="18" xfId="0" applyNumberFormat="1" applyFont="1" applyFill="1" applyBorder="1" applyAlignment="1" applyProtection="1">
      <alignment horizontal="center" vertical="center" shrinkToFit="1"/>
      <protection hidden="1"/>
    </xf>
    <xf numFmtId="176" fontId="23" fillId="27" borderId="15" xfId="0" applyNumberFormat="1" applyFont="1" applyFill="1" applyBorder="1" applyAlignment="1" applyProtection="1">
      <alignment horizontal="center" vertical="center" shrinkToFit="1"/>
      <protection hidden="1"/>
    </xf>
    <xf numFmtId="176" fontId="23" fillId="27" borderId="19" xfId="0" applyNumberFormat="1" applyFont="1" applyFill="1" applyBorder="1" applyAlignment="1" applyProtection="1">
      <alignment horizontal="center" vertical="center" shrinkToFit="1"/>
      <protection hidden="1"/>
    </xf>
    <xf numFmtId="176" fontId="23" fillId="27" borderId="13" xfId="0" applyNumberFormat="1" applyFont="1" applyFill="1" applyBorder="1" applyAlignment="1" applyProtection="1">
      <alignment horizontal="center" vertical="center" shrinkToFit="1"/>
      <protection hidden="1"/>
    </xf>
    <xf numFmtId="176" fontId="23" fillId="27" borderId="20" xfId="0" applyNumberFormat="1" applyFont="1" applyFill="1" applyBorder="1" applyAlignment="1" applyProtection="1">
      <alignment horizontal="center" vertical="center" shrinkToFit="1"/>
      <protection hidden="1"/>
    </xf>
    <xf numFmtId="0" fontId="0" fillId="25" borderId="41" xfId="0" applyNumberFormat="1" applyFont="1" applyFill="1" applyBorder="1" applyAlignment="1" applyProtection="1">
      <alignment horizontal="right" vertical="center" indent="1"/>
      <protection hidden="1"/>
    </xf>
    <xf numFmtId="179" fontId="0" fillId="25" borderId="69" xfId="0" applyNumberFormat="1" applyFont="1" applyFill="1" applyBorder="1" applyAlignment="1" applyProtection="1">
      <alignment horizontal="left" vertical="center"/>
      <protection hidden="1"/>
    </xf>
    <xf numFmtId="164" fontId="0" fillId="25" borderId="59" xfId="0" applyNumberFormat="1" applyFont="1" applyFill="1" applyBorder="1" applyAlignment="1" applyProtection="1">
      <alignment horizontal="left" vertical="center"/>
      <protection hidden="1"/>
    </xf>
    <xf numFmtId="0" fontId="0" fillId="25" borderId="12" xfId="0" applyFont="1" applyFill="1" applyBorder="1" applyAlignment="1" applyProtection="1">
      <alignment horizontal="center" vertical="center"/>
      <protection hidden="1"/>
    </xf>
    <xf numFmtId="0" fontId="0" fillId="25" borderId="13" xfId="0" applyFont="1" applyFill="1" applyBorder="1" applyAlignment="1" applyProtection="1">
      <alignment horizontal="center" vertical="center"/>
      <protection hidden="1"/>
    </xf>
    <xf numFmtId="165" fontId="0" fillId="25" borderId="70" xfId="0" applyNumberFormat="1" applyFont="1" applyFill="1" applyBorder="1" applyAlignment="1" applyProtection="1">
      <alignment horizontal="center" vertical="center"/>
      <protection hidden="1"/>
    </xf>
    <xf numFmtId="165" fontId="0" fillId="25" borderId="40" xfId="0" applyNumberFormat="1" applyFont="1" applyFill="1" applyBorder="1" applyAlignment="1" applyProtection="1">
      <alignment horizontal="center" vertical="center"/>
      <protection hidden="1"/>
    </xf>
    <xf numFmtId="0" fontId="23" fillId="25" borderId="0" xfId="0" applyFont="1" applyFill="1" applyProtection="1">
      <protection hidden="1"/>
    </xf>
    <xf numFmtId="0" fontId="24" fillId="24" borderId="0" xfId="0" applyFont="1" applyFill="1" applyProtection="1">
      <protection hidden="1"/>
    </xf>
    <xf numFmtId="0" fontId="0" fillId="25" borderId="20" xfId="0" applyFont="1" applyFill="1" applyBorder="1" applyAlignment="1" applyProtection="1">
      <alignment horizontal="center" vertical="center" textRotation="90" wrapText="1"/>
      <protection hidden="1"/>
    </xf>
    <xf numFmtId="0" fontId="0" fillId="25" borderId="37" xfId="0" applyFont="1" applyFill="1" applyBorder="1" applyAlignment="1" applyProtection="1">
      <alignment horizontal="center" vertical="center" textRotation="90" wrapText="1"/>
      <protection hidden="1"/>
    </xf>
    <xf numFmtId="0" fontId="23" fillId="25" borderId="37" xfId="0" applyFont="1" applyFill="1" applyBorder="1" applyAlignment="1" applyProtection="1">
      <alignment horizontal="center" vertical="center" textRotation="90" wrapText="1"/>
      <protection hidden="1"/>
    </xf>
    <xf numFmtId="0" fontId="23" fillId="0" borderId="120" xfId="0" applyFont="1" applyBorder="1" applyAlignment="1" applyProtection="1">
      <alignment horizontal="center" vertical="top"/>
      <protection hidden="1"/>
    </xf>
    <xf numFmtId="0" fontId="23" fillId="0" borderId="121" xfId="0" applyFont="1" applyBorder="1" applyAlignment="1" applyProtection="1">
      <alignment horizontal="center" vertical="top"/>
      <protection hidden="1"/>
    </xf>
    <xf numFmtId="0" fontId="0" fillId="31" borderId="119" xfId="0" applyFont="1" applyFill="1" applyBorder="1" applyAlignment="1" applyProtection="1">
      <alignment horizontal="center" vertical="top"/>
      <protection hidden="1"/>
    </xf>
    <xf numFmtId="0" fontId="0" fillId="31" borderId="122" xfId="0" applyFont="1" applyFill="1" applyBorder="1" applyAlignment="1" applyProtection="1">
      <alignment horizontal="center" vertical="top"/>
      <protection hidden="1"/>
    </xf>
    <xf numFmtId="0" fontId="0" fillId="31" borderId="123" xfId="0" applyFont="1" applyFill="1" applyBorder="1" applyAlignment="1" applyProtection="1">
      <alignment horizontal="center" vertical="top"/>
      <protection hidden="1"/>
    </xf>
    <xf numFmtId="0" fontId="0" fillId="31" borderId="124" xfId="0" applyFont="1" applyFill="1" applyBorder="1" applyAlignment="1" applyProtection="1">
      <alignment horizontal="center" vertical="top"/>
      <protection hidden="1"/>
    </xf>
    <xf numFmtId="0" fontId="29" fillId="32" borderId="0" xfId="0" applyFont="1" applyFill="1" applyAlignment="1">
      <alignment horizontal="center" vertical="top" wrapText="1"/>
    </xf>
    <xf numFmtId="0" fontId="30" fillId="32" borderId="0" xfId="0" applyFont="1" applyFill="1" applyAlignment="1">
      <alignment horizontal="center" vertical="top" wrapText="1"/>
    </xf>
    <xf numFmtId="0" fontId="0" fillId="0" borderId="0" xfId="0" applyFont="1" applyAlignment="1">
      <alignment horizontal="left" vertical="top" wrapText="1"/>
    </xf>
    <xf numFmtId="0" fontId="0" fillId="31" borderId="0" xfId="28" applyFont="1" applyFill="1" applyAlignment="1" applyProtection="1">
      <alignment horizontal="left" vertical="top" wrapText="1"/>
    </xf>
    <xf numFmtId="171" fontId="0" fillId="0" borderId="0" xfId="0" applyNumberFormat="1" applyFont="1" applyAlignment="1" applyProtection="1">
      <alignment horizontal="left" indent="3"/>
      <protection hidden="1"/>
    </xf>
    <xf numFmtId="173" fontId="0" fillId="0" borderId="0" xfId="0" applyNumberFormat="1" applyFont="1" applyAlignment="1" applyProtection="1">
      <alignment horizontal="left" indent="3"/>
      <protection hidden="1"/>
    </xf>
    <xf numFmtId="172" fontId="0" fillId="0" borderId="0" xfId="0" applyNumberFormat="1" applyFont="1" applyAlignment="1" applyProtection="1">
      <alignment horizontal="left" indent="3"/>
      <protection hidden="1"/>
    </xf>
    <xf numFmtId="0" fontId="38" fillId="0" borderId="0" xfId="0" applyFont="1" applyAlignment="1" applyProtection="1">
      <alignment horizontal="center"/>
      <protection hidden="1"/>
    </xf>
    <xf numFmtId="0" fontId="0" fillId="0" borderId="0" xfId="0" applyFont="1" applyProtection="1">
      <protection locked="0"/>
    </xf>
    <xf numFmtId="0" fontId="0" fillId="0" borderId="0" xfId="0" applyFont="1"/>
    <xf numFmtId="0" fontId="38" fillId="0" borderId="0" xfId="0" applyFont="1" applyAlignment="1">
      <alignment horizontal="center"/>
    </xf>
    <xf numFmtId="0" fontId="39" fillId="0" borderId="0" xfId="0" applyFont="1" applyAlignment="1">
      <alignment horizontal="center" wrapText="1"/>
    </xf>
    <xf numFmtId="0" fontId="39" fillId="0" borderId="0" xfId="0" applyFont="1" applyAlignment="1">
      <alignment horizontal="center"/>
    </xf>
    <xf numFmtId="0" fontId="29" fillId="0" borderId="0" xfId="0" applyFont="1" applyAlignment="1">
      <alignment horizontal="center" vertical="center" wrapText="1"/>
    </xf>
    <xf numFmtId="0" fontId="37" fillId="0" borderId="0" xfId="0" applyFont="1" applyAlignment="1">
      <alignment horizontal="center" vertical="center" wrapText="1"/>
    </xf>
    <xf numFmtId="174" fontId="0" fillId="0" borderId="0" xfId="0" applyNumberFormat="1" applyFont="1" applyAlignment="1" applyProtection="1">
      <alignment horizontal="right" indent="1"/>
      <protection hidden="1"/>
    </xf>
    <xf numFmtId="0" fontId="0" fillId="0" borderId="61" xfId="0" applyFont="1" applyBorder="1" applyAlignment="1" applyProtection="1">
      <alignment horizontal="center" vertical="center" wrapText="1"/>
      <protection locked="0"/>
    </xf>
    <xf numFmtId="0" fontId="0" fillId="0" borderId="68" xfId="0" applyFont="1" applyBorder="1" applyAlignment="1" applyProtection="1">
      <alignment horizontal="center" vertical="center" wrapText="1"/>
      <protection locked="0"/>
    </xf>
    <xf numFmtId="0" fontId="0" fillId="0" borderId="53" xfId="0" applyFont="1" applyBorder="1" applyAlignment="1" applyProtection="1">
      <alignment horizontal="left" vertical="center" wrapText="1"/>
      <protection locked="0"/>
    </xf>
    <xf numFmtId="0" fontId="0" fillId="0" borderId="58" xfId="0" applyFont="1" applyBorder="1" applyAlignment="1" applyProtection="1">
      <alignment horizontal="left" vertical="center" wrapText="1"/>
      <protection locked="0"/>
    </xf>
    <xf numFmtId="0" fontId="0" fillId="0" borderId="54" xfId="0" applyFont="1" applyBorder="1" applyAlignment="1" applyProtection="1">
      <alignment horizontal="center" vertical="center" shrinkToFit="1"/>
      <protection locked="0"/>
    </xf>
    <xf numFmtId="0" fontId="0" fillId="0" borderId="59" xfId="0" applyFont="1" applyBorder="1" applyAlignment="1" applyProtection="1">
      <alignment horizontal="center" vertical="center" shrinkToFit="1"/>
      <protection locked="0"/>
    </xf>
    <xf numFmtId="177" fontId="25" fillId="27" borderId="21" xfId="0" applyNumberFormat="1" applyFont="1" applyFill="1" applyBorder="1" applyAlignment="1" applyProtection="1">
      <alignment horizontal="center" vertical="center" shrinkToFit="1"/>
      <protection hidden="1"/>
    </xf>
    <xf numFmtId="177" fontId="25" fillId="27" borderId="22" xfId="0" applyNumberFormat="1" applyFont="1" applyFill="1" applyBorder="1" applyAlignment="1" applyProtection="1">
      <alignment horizontal="center" vertical="center" shrinkToFit="1"/>
      <protection hidden="1"/>
    </xf>
    <xf numFmtId="0" fontId="0" fillId="0" borderId="21" xfId="0" applyFont="1" applyBorder="1" applyAlignment="1" applyProtection="1">
      <alignment horizontal="left" vertical="center" wrapText="1"/>
      <protection locked="0"/>
    </xf>
    <xf numFmtId="0" fontId="0" fillId="0" borderId="22" xfId="0" applyFont="1" applyBorder="1" applyAlignment="1" applyProtection="1">
      <alignment horizontal="left" vertical="center" wrapText="1"/>
      <protection locked="0"/>
    </xf>
    <xf numFmtId="0" fontId="23" fillId="28" borderId="17" xfId="0" applyFont="1" applyFill="1" applyBorder="1" applyAlignment="1" applyProtection="1">
      <alignment horizontal="center" vertical="center" wrapText="1"/>
      <protection hidden="1"/>
    </xf>
    <xf numFmtId="0" fontId="0" fillId="28" borderId="14" xfId="0" applyFont="1" applyFill="1" applyBorder="1" applyAlignment="1" applyProtection="1">
      <alignment horizontal="center" vertical="center" wrapText="1"/>
      <protection hidden="1"/>
    </xf>
    <xf numFmtId="0" fontId="0" fillId="28" borderId="37" xfId="0" applyFont="1" applyFill="1" applyBorder="1" applyAlignment="1" applyProtection="1">
      <alignment horizontal="center" vertical="center" wrapText="1"/>
      <protection hidden="1"/>
    </xf>
    <xf numFmtId="0" fontId="23" fillId="27" borderId="17" xfId="0" applyFont="1" applyFill="1" applyBorder="1" applyAlignment="1" applyProtection="1">
      <alignment horizontal="center" vertical="center" wrapText="1"/>
      <protection hidden="1"/>
    </xf>
    <xf numFmtId="0" fontId="23" fillId="27" borderId="14" xfId="0" applyFont="1" applyFill="1" applyBorder="1" applyAlignment="1" applyProtection="1">
      <alignment horizontal="center" vertical="center" wrapText="1"/>
      <protection hidden="1"/>
    </xf>
    <xf numFmtId="177" fontId="25" fillId="25" borderId="20" xfId="0" applyNumberFormat="1" applyFont="1" applyFill="1" applyBorder="1" applyAlignment="1" applyProtection="1">
      <alignment horizontal="center" vertical="center" shrinkToFit="1"/>
      <protection hidden="1"/>
    </xf>
    <xf numFmtId="0" fontId="23" fillId="25" borderId="34" xfId="0" applyFont="1" applyFill="1" applyBorder="1" applyAlignment="1" applyProtection="1">
      <alignment horizontal="center" vertical="center" wrapText="1"/>
      <protection hidden="1"/>
    </xf>
    <xf numFmtId="0" fontId="23" fillId="25" borderId="35" xfId="0" applyFont="1" applyFill="1" applyBorder="1" applyAlignment="1" applyProtection="1">
      <alignment horizontal="center" vertical="center" wrapText="1"/>
      <protection hidden="1"/>
    </xf>
    <xf numFmtId="0" fontId="23" fillId="25" borderId="36" xfId="0" applyFont="1" applyFill="1" applyBorder="1" applyAlignment="1" applyProtection="1">
      <alignment horizontal="center" vertical="center" wrapText="1"/>
      <protection hidden="1"/>
    </xf>
    <xf numFmtId="0" fontId="23" fillId="25" borderId="41" xfId="0" applyFont="1" applyFill="1" applyBorder="1" applyAlignment="1" applyProtection="1">
      <alignment horizontal="center" vertical="center" wrapText="1"/>
      <protection hidden="1"/>
    </xf>
    <xf numFmtId="0" fontId="23" fillId="25" borderId="10" xfId="0" applyFont="1" applyFill="1" applyBorder="1" applyAlignment="1" applyProtection="1">
      <alignment horizontal="center" vertical="center" wrapText="1"/>
      <protection hidden="1"/>
    </xf>
    <xf numFmtId="0" fontId="23" fillId="25" borderId="42" xfId="0" applyFont="1" applyFill="1" applyBorder="1" applyAlignment="1" applyProtection="1">
      <alignment horizontal="center" vertical="center" wrapText="1"/>
      <protection hidden="1"/>
    </xf>
    <xf numFmtId="0" fontId="0" fillId="0" borderId="10" xfId="0" applyFont="1" applyBorder="1" applyAlignment="1" applyProtection="1">
      <alignment shrinkToFit="1"/>
      <protection hidden="1"/>
    </xf>
    <xf numFmtId="0" fontId="23" fillId="0" borderId="14" xfId="0" applyFont="1" applyBorder="1" applyAlignment="1" applyProtection="1">
      <alignment horizontal="left" shrinkToFit="1"/>
      <protection hidden="1"/>
    </xf>
    <xf numFmtId="0" fontId="0" fillId="25" borderId="106" xfId="0" applyFont="1" applyFill="1" applyBorder="1" applyAlignment="1" applyProtection="1">
      <alignment horizontal="center" vertical="center" wrapText="1"/>
      <protection hidden="1"/>
    </xf>
    <xf numFmtId="0" fontId="0" fillId="25" borderId="107" xfId="0" applyFont="1" applyFill="1" applyBorder="1" applyAlignment="1" applyProtection="1">
      <alignment horizontal="center" vertical="center" wrapText="1"/>
      <protection hidden="1"/>
    </xf>
    <xf numFmtId="0" fontId="0" fillId="25" borderId="108" xfId="0" applyFont="1" applyFill="1" applyBorder="1" applyAlignment="1" applyProtection="1">
      <alignment horizontal="left" vertical="center" wrapText="1" indent="1"/>
      <protection hidden="1"/>
    </xf>
    <xf numFmtId="0" fontId="0" fillId="25" borderId="109" xfId="0" applyFont="1" applyFill="1" applyBorder="1" applyAlignment="1" applyProtection="1">
      <alignment horizontal="left" vertical="center" wrapText="1" indent="1"/>
      <protection hidden="1"/>
    </xf>
    <xf numFmtId="0" fontId="0" fillId="25" borderId="38" xfId="0" applyFont="1" applyFill="1" applyBorder="1" applyAlignment="1" applyProtection="1">
      <alignment horizontal="left" vertical="center" wrapText="1" indent="1"/>
      <protection hidden="1"/>
    </xf>
    <xf numFmtId="0" fontId="0" fillId="25" borderId="105" xfId="0" applyFont="1" applyFill="1" applyBorder="1" applyAlignment="1" applyProtection="1">
      <alignment horizontal="left" vertical="center" wrapText="1" indent="1"/>
      <protection hidden="1"/>
    </xf>
    <xf numFmtId="0" fontId="0" fillId="25" borderId="41" xfId="0" applyFont="1" applyFill="1" applyBorder="1" applyAlignment="1" applyProtection="1">
      <alignment horizontal="left" vertical="center" wrapText="1" indent="1"/>
      <protection hidden="1"/>
    </xf>
    <xf numFmtId="0" fontId="0" fillId="25" borderId="69" xfId="0" applyFont="1" applyFill="1" applyBorder="1" applyAlignment="1" applyProtection="1">
      <alignment horizontal="left" vertical="center" wrapText="1" indent="1"/>
      <protection hidden="1"/>
    </xf>
    <xf numFmtId="0" fontId="0" fillId="0" borderId="14" xfId="0" applyFont="1" applyBorder="1" applyAlignment="1" applyProtection="1">
      <alignment shrinkToFit="1"/>
      <protection hidden="1"/>
    </xf>
    <xf numFmtId="0" fontId="0" fillId="25" borderId="34" xfId="0" applyFont="1" applyFill="1" applyBorder="1" applyAlignment="1" applyProtection="1">
      <alignment horizontal="left" vertical="center" wrapText="1" indent="1"/>
      <protection hidden="1"/>
    </xf>
    <xf numFmtId="0" fontId="0" fillId="25" borderId="60" xfId="0" applyFont="1" applyFill="1" applyBorder="1" applyAlignment="1" applyProtection="1">
      <alignment horizontal="left" vertical="center" wrapText="1" indent="1"/>
      <protection hidden="1"/>
    </xf>
    <xf numFmtId="0" fontId="0" fillId="25" borderId="110" xfId="0" applyFont="1" applyFill="1" applyBorder="1" applyAlignment="1" applyProtection="1">
      <alignment horizontal="left" vertical="center" wrapText="1" indent="1"/>
      <protection hidden="1"/>
    </xf>
    <xf numFmtId="0" fontId="0" fillId="25" borderId="111" xfId="0" applyFont="1" applyFill="1" applyBorder="1" applyAlignment="1" applyProtection="1">
      <alignment horizontal="left" vertical="center" wrapText="1" indent="1"/>
      <protection hidden="1"/>
    </xf>
    <xf numFmtId="0" fontId="23" fillId="25" borderId="114" xfId="0" applyFont="1" applyFill="1" applyBorder="1" applyAlignment="1" applyProtection="1">
      <alignment horizontal="center" vertical="center" textRotation="90"/>
      <protection hidden="1"/>
    </xf>
    <xf numFmtId="0" fontId="23" fillId="25" borderId="12" xfId="0" applyFont="1" applyFill="1" applyBorder="1" applyAlignment="1" applyProtection="1">
      <alignment horizontal="center" vertical="center" textRotation="90"/>
      <protection hidden="1"/>
    </xf>
    <xf numFmtId="169" fontId="23" fillId="25" borderId="103" xfId="0" applyNumberFormat="1" applyFont="1" applyFill="1" applyBorder="1" applyAlignment="1" applyProtection="1">
      <alignment horizontal="center" vertical="center" wrapText="1" shrinkToFit="1"/>
      <protection hidden="1"/>
    </xf>
    <xf numFmtId="169" fontId="23" fillId="25" borderId="39" xfId="0" applyNumberFormat="1" applyFont="1" applyFill="1" applyBorder="1" applyAlignment="1" applyProtection="1">
      <alignment horizontal="center" vertical="center" wrapText="1" shrinkToFit="1"/>
      <protection hidden="1"/>
    </xf>
    <xf numFmtId="169" fontId="23" fillId="25" borderId="22" xfId="0" applyNumberFormat="1" applyFont="1" applyFill="1" applyBorder="1" applyAlignment="1" applyProtection="1">
      <alignment horizontal="center" vertical="center" wrapText="1" shrinkToFit="1"/>
      <protection hidden="1"/>
    </xf>
    <xf numFmtId="170" fontId="23" fillId="25" borderId="21" xfId="0" applyNumberFormat="1" applyFont="1" applyFill="1" applyBorder="1" applyAlignment="1" applyProtection="1">
      <alignment horizontal="center" vertical="center" wrapText="1" shrinkToFit="1"/>
      <protection hidden="1"/>
    </xf>
    <xf numFmtId="170" fontId="23" fillId="25" borderId="39" xfId="0" applyNumberFormat="1" applyFont="1" applyFill="1" applyBorder="1" applyAlignment="1" applyProtection="1">
      <alignment horizontal="center" vertical="center" wrapText="1" shrinkToFit="1"/>
      <protection hidden="1"/>
    </xf>
    <xf numFmtId="170" fontId="23" fillId="25" borderId="115" xfId="0" applyNumberFormat="1" applyFont="1" applyFill="1" applyBorder="1" applyAlignment="1" applyProtection="1">
      <alignment horizontal="center" vertical="center" wrapText="1" shrinkToFit="1"/>
      <protection hidden="1"/>
    </xf>
    <xf numFmtId="0" fontId="23" fillId="25" borderId="112" xfId="0" applyFont="1" applyFill="1" applyBorder="1" applyAlignment="1" applyProtection="1">
      <alignment horizontal="center" vertical="center" wrapText="1"/>
      <protection hidden="1"/>
    </xf>
    <xf numFmtId="0" fontId="23" fillId="25" borderId="55" xfId="0" applyFont="1" applyFill="1" applyBorder="1" applyAlignment="1" applyProtection="1">
      <alignment horizontal="center" vertical="center" wrapText="1"/>
      <protection hidden="1"/>
    </xf>
    <xf numFmtId="0" fontId="23" fillId="25" borderId="113" xfId="0" applyFont="1" applyFill="1" applyBorder="1" applyAlignment="1" applyProtection="1">
      <alignment horizontal="center" vertical="center" wrapText="1"/>
      <protection hidden="1"/>
    </xf>
    <xf numFmtId="0" fontId="23" fillId="25" borderId="97" xfId="0" applyFont="1" applyFill="1" applyBorder="1" applyAlignment="1" applyProtection="1">
      <alignment horizontal="center" vertical="center" textRotation="90"/>
      <protection hidden="1"/>
    </xf>
    <xf numFmtId="0" fontId="23" fillId="25" borderId="108" xfId="0" applyFont="1" applyFill="1" applyBorder="1" applyAlignment="1" applyProtection="1">
      <alignment horizontal="center" vertical="center" wrapText="1"/>
      <protection hidden="1"/>
    </xf>
    <xf numFmtId="0" fontId="23" fillId="25" borderId="38" xfId="0" applyFont="1" applyFill="1" applyBorder="1" applyAlignment="1" applyProtection="1">
      <alignment horizontal="center" vertical="center" wrapText="1"/>
      <protection hidden="1"/>
    </xf>
    <xf numFmtId="0" fontId="23" fillId="25" borderId="110" xfId="0" applyFont="1" applyFill="1" applyBorder="1" applyAlignment="1" applyProtection="1">
      <alignment horizontal="center" vertical="center" wrapText="1"/>
      <protection hidden="1"/>
    </xf>
    <xf numFmtId="0" fontId="23" fillId="27" borderId="34" xfId="0" applyNumberFormat="1" applyFont="1" applyFill="1" applyBorder="1" applyAlignment="1" applyProtection="1">
      <alignment horizontal="right" vertical="center" indent="1"/>
      <protection hidden="1"/>
    </xf>
    <xf numFmtId="0" fontId="23" fillId="27" borderId="38" xfId="0" applyNumberFormat="1" applyFont="1" applyFill="1" applyBorder="1" applyAlignment="1" applyProtection="1">
      <alignment horizontal="right" vertical="center" indent="1"/>
      <protection hidden="1"/>
    </xf>
    <xf numFmtId="0" fontId="23" fillId="27" borderId="41" xfId="0" applyNumberFormat="1" applyFont="1" applyFill="1" applyBorder="1" applyAlignment="1" applyProtection="1">
      <alignment horizontal="right" vertical="center" indent="1"/>
      <protection hidden="1"/>
    </xf>
    <xf numFmtId="176" fontId="23" fillId="27" borderId="36" xfId="0" applyNumberFormat="1" applyFont="1" applyFill="1" applyBorder="1" applyAlignment="1" applyProtection="1">
      <alignment horizontal="left" vertical="center"/>
      <protection hidden="1"/>
    </xf>
    <xf numFmtId="176" fontId="23" fillId="27" borderId="40" xfId="0" applyNumberFormat="1" applyFont="1" applyFill="1" applyBorder="1" applyAlignment="1" applyProtection="1">
      <alignment horizontal="left" vertical="center"/>
      <protection hidden="1"/>
    </xf>
    <xf numFmtId="176" fontId="23" fillId="27" borderId="42" xfId="0" applyNumberFormat="1" applyFont="1" applyFill="1" applyBorder="1" applyAlignment="1" applyProtection="1">
      <alignment horizontal="left" vertical="center"/>
      <protection hidden="1"/>
    </xf>
    <xf numFmtId="176" fontId="0" fillId="25" borderId="116" xfId="0" applyNumberFormat="1" applyFont="1" applyFill="1" applyBorder="1" applyAlignment="1" applyProtection="1">
      <alignment horizontal="center" vertical="center" shrinkToFit="1"/>
      <protection hidden="1"/>
    </xf>
    <xf numFmtId="176" fontId="0" fillId="25" borderId="100" xfId="0" applyNumberFormat="1" applyFont="1" applyFill="1" applyBorder="1" applyAlignment="1" applyProtection="1">
      <alignment horizontal="center" vertical="center" shrinkToFit="1"/>
      <protection hidden="1"/>
    </xf>
    <xf numFmtId="176" fontId="0" fillId="25" borderId="117" xfId="0" applyNumberFormat="1" applyFont="1" applyFill="1" applyBorder="1" applyAlignment="1" applyProtection="1">
      <alignment horizontal="center" vertical="center" shrinkToFit="1"/>
      <protection hidden="1"/>
    </xf>
    <xf numFmtId="176" fontId="0" fillId="25" borderId="99" xfId="0" applyNumberFormat="1" applyFont="1" applyFill="1" applyBorder="1" applyAlignment="1" applyProtection="1">
      <alignment horizontal="center" vertical="center" shrinkToFit="1"/>
      <protection hidden="1"/>
    </xf>
    <xf numFmtId="176" fontId="0" fillId="25" borderId="118" xfId="0" applyNumberFormat="1" applyFont="1" applyFill="1" applyBorder="1" applyAlignment="1" applyProtection="1">
      <alignment horizontal="center" vertical="center" shrinkToFit="1"/>
      <protection hidden="1"/>
    </xf>
    <xf numFmtId="176" fontId="0" fillId="25" borderId="80" xfId="0" applyNumberFormat="1" applyFont="1" applyFill="1" applyBorder="1" applyAlignment="1" applyProtection="1">
      <alignment horizontal="center" vertical="center" shrinkToFit="1"/>
      <protection hidden="1"/>
    </xf>
  </cellXfs>
  <cellStyles count="44">
    <cellStyle name="20% - Акцент1" xfId="1"/>
    <cellStyle name="20% - Акцент2" xfId="2"/>
    <cellStyle name="20% - Акцент3" xfId="3"/>
    <cellStyle name="20% - Акцент4" xfId="4"/>
    <cellStyle name="20% - Акцент5" xfId="5"/>
    <cellStyle name="20% - Акцент6" xfId="6"/>
    <cellStyle name="40% - Акцент1" xfId="7"/>
    <cellStyle name="40% - Акцент2" xfId="8"/>
    <cellStyle name="40% - Акцент3" xfId="9"/>
    <cellStyle name="40% - Акцент4" xfId="10"/>
    <cellStyle name="40% - Акцент5" xfId="11"/>
    <cellStyle name="40% - Акцент6" xfId="12"/>
    <cellStyle name="60% - Акцент1" xfId="13"/>
    <cellStyle name="60% - Акцент2" xfId="14"/>
    <cellStyle name="60% - Акцент3" xfId="15"/>
    <cellStyle name="60% - Акцент4" xfId="16"/>
    <cellStyle name="60% - Акцент5" xfId="17"/>
    <cellStyle name="60% - Акцент6" xfId="18"/>
    <cellStyle name="Акцент1" xfId="19" builtinId="29" customBuiltin="1"/>
    <cellStyle name="Акцент2" xfId="20" builtinId="33" customBuiltin="1"/>
    <cellStyle name="Акцент3" xfId="21" builtinId="37" customBuiltin="1"/>
    <cellStyle name="Акцент4" xfId="22" builtinId="41" customBuiltin="1"/>
    <cellStyle name="Акцент5" xfId="23" builtinId="45" customBuiltin="1"/>
    <cellStyle name="Акцент6" xfId="24" builtinId="49" customBuiltin="1"/>
    <cellStyle name="Ввод " xfId="25" builtinId="20" customBuiltin="1"/>
    <cellStyle name="Вывод" xfId="26" builtinId="21" customBuiltin="1"/>
    <cellStyle name="Вычисление" xfId="27" builtinId="22" customBuiltin="1"/>
    <cellStyle name="Гиперссылка" xfId="28" builtinId="8"/>
    <cellStyle name="Заголовок 1" xfId="29" builtinId="16" customBuiltin="1"/>
    <cellStyle name="Заголовок 2" xfId="30" builtinId="17" customBuiltin="1"/>
    <cellStyle name="Заголовок 3" xfId="31" builtinId="18" customBuiltin="1"/>
    <cellStyle name="Заголовок 4" xfId="32" builtinId="19" customBuiltin="1"/>
    <cellStyle name="Итог" xfId="33" builtinId="25" customBuiltin="1"/>
    <cellStyle name="Контрольная ячейка" xfId="34" builtinId="23" customBuiltin="1"/>
    <cellStyle name="Название" xfId="35" builtinId="15" customBuiltin="1"/>
    <cellStyle name="Нейтральный" xfId="36" builtinId="28" customBuiltin="1"/>
    <cellStyle name="Обычный" xfId="0" builtinId="0" customBuiltin="1"/>
    <cellStyle name="Обычный 2" xfId="37"/>
    <cellStyle name="Плохой" xfId="38" builtinId="27" customBuiltin="1"/>
    <cellStyle name="Пояснение" xfId="39" builtinId="53" customBuiltin="1"/>
    <cellStyle name="Примечание" xfId="40" builtinId="10" customBuiltin="1"/>
    <cellStyle name="Связанная ячейка" xfId="41" builtinId="24" customBuiltin="1"/>
    <cellStyle name="Текст предупреждения" xfId="42" builtinId="11" customBuiltin="1"/>
    <cellStyle name="Хороший" xfId="43" builtinId="26" customBuiltin="1"/>
  </cellStyles>
  <dxfs count="86"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  <dxf>
      <fill>
        <patternFill>
          <bgColor indexed="41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b/>
        <i val="0"/>
        <condense val="0"/>
        <extend val="0"/>
        <color indexed="13"/>
      </font>
      <fill>
        <patternFill>
          <bgColor indexed="10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  <dxf>
      <fill>
        <patternFill>
          <bgColor indexed="41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  <dxf>
      <font>
        <color rgb="FFFFFF00"/>
      </font>
      <fill>
        <patternFill>
          <bgColor rgb="FFFF0000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ont>
        <color rgb="FFFFFF00"/>
      </font>
      <fill>
        <patternFill>
          <bgColor rgb="FFFF0000"/>
        </patternFill>
      </fill>
    </dxf>
    <dxf>
      <font>
        <condense val="0"/>
        <extend val="0"/>
        <color indexed="10"/>
      </font>
      <fill>
        <patternFill>
          <bgColor indexed="43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ill>
        <patternFill>
          <bgColor indexed="41"/>
        </patternFill>
      </fill>
    </dxf>
    <dxf>
      <font>
        <color theme="0"/>
      </font>
    </dxf>
    <dxf>
      <fill>
        <patternFill>
          <bgColor rgb="FFFFFF99"/>
        </patternFill>
      </fill>
    </dxf>
    <dxf>
      <fill>
        <patternFill>
          <bgColor indexed="43"/>
        </patternFill>
      </fill>
    </dxf>
    <dxf>
      <fill>
        <patternFill>
          <bgColor indexed="43"/>
        </patternFill>
      </fill>
    </dxf>
  </dxfs>
  <tableStyles count="0" defaultTableStyle="TableStyleMedium2" defaultPivotStyle="PivotStyleLight16"/>
  <colors>
    <mruColors>
      <color rgb="FFFFFF66"/>
      <color rgb="FF00CC99"/>
      <color rgb="FF00FF99"/>
      <color rgb="FF00CCFF"/>
      <color rgb="FF33CCCC"/>
      <color rgb="FF0099CC"/>
      <color rgb="FFCCFFCC"/>
      <color rgb="FFFFFF99"/>
      <color rgb="FF0000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jpe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14289</xdr:colOff>
      <xdr:row>0</xdr:row>
      <xdr:rowOff>14290</xdr:rowOff>
    </xdr:from>
    <xdr:to>
      <xdr:col>5</xdr:col>
      <xdr:colOff>1495426</xdr:colOff>
      <xdr:row>0</xdr:row>
      <xdr:rowOff>779061</xdr:rowOff>
    </xdr:to>
    <xdr:pic>
      <xdr:nvPicPr>
        <xdr:cNvPr id="2" name="Рисунок 1"/>
        <xdr:cNvPicPr>
          <a:picLocks noChangeAspect="1"/>
        </xdr:cNvPicPr>
      </xdr:nvPicPr>
      <xdr:blipFill rotWithShape="1"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r="1385"/>
        <a:stretch/>
      </xdr:blipFill>
      <xdr:spPr>
        <a:xfrm>
          <a:off x="14289" y="14290"/>
          <a:ext cx="5853112" cy="764771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hyperlink" Target="mailto:grishmanovskiy_pv@surgu.ru?subject=&#1058;&#1077;&#1090;&#1088;&#1072;&#1076;&#1100;%20&#1055;&#1055;&#1057;" TargetMode="Externa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4.bin"/><Relationship Id="rId4" Type="http://schemas.openxmlformats.org/officeDocument/2006/relationships/comments" Target="../comments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2">
    <tabColor indexed="8"/>
  </sheetPr>
  <dimension ref="A1:S177"/>
  <sheetViews>
    <sheetView topLeftCell="R1" workbookViewId="0">
      <selection activeCell="R2" sqref="R2"/>
    </sheetView>
  </sheetViews>
  <sheetFormatPr defaultRowHeight="14.25" x14ac:dyDescent="0.3"/>
  <cols>
    <col min="1" max="1" width="15.7109375" style="2" hidden="1" customWidth="1"/>
    <col min="2" max="3" width="5.7109375" style="2" hidden="1" customWidth="1"/>
    <col min="4" max="5" width="15.7109375" style="2" hidden="1" customWidth="1"/>
    <col min="6" max="7" width="5.7109375" style="2" hidden="1" customWidth="1"/>
    <col min="8" max="9" width="15.7109375" style="2" hidden="1" customWidth="1"/>
    <col min="10" max="11" width="5.7109375" style="2" hidden="1" customWidth="1"/>
    <col min="12" max="13" width="15.7109375" style="2" hidden="1" customWidth="1"/>
    <col min="14" max="15" width="5.7109375" style="2" hidden="1" customWidth="1"/>
    <col min="16" max="16" width="15.7109375" style="2" hidden="1" customWidth="1"/>
    <col min="17" max="17" width="9.140625" style="2" hidden="1" customWidth="1"/>
    <col min="18" max="16384" width="9.140625" style="2"/>
  </cols>
  <sheetData>
    <row r="1" spans="1:19" x14ac:dyDescent="0.3">
      <c r="A1" s="311" t="s">
        <v>103</v>
      </c>
      <c r="B1" s="311"/>
      <c r="C1" s="311"/>
      <c r="D1" s="311"/>
      <c r="E1" s="311" t="s">
        <v>104</v>
      </c>
      <c r="F1" s="311"/>
      <c r="G1" s="311"/>
      <c r="H1" s="311"/>
      <c r="I1" s="311" t="s">
        <v>105</v>
      </c>
      <c r="J1" s="311"/>
      <c r="K1" s="311"/>
      <c r="L1" s="311"/>
      <c r="M1" s="311" t="s">
        <v>106</v>
      </c>
      <c r="N1" s="311"/>
      <c r="O1" s="311"/>
      <c r="P1" s="311"/>
      <c r="R1" s="312" t="s">
        <v>108</v>
      </c>
      <c r="S1" s="312"/>
    </row>
    <row r="2" spans="1:19" x14ac:dyDescent="0.3">
      <c r="A2" s="72" t="str">
        <f t="shared" ref="A2:A33" si="0">TRIM(CLEAN(INDEX(ЗаданияОсень,ROW(A2)-1,1)))</f>
        <v/>
      </c>
      <c r="B2" s="73">
        <f>IF(OR(A2="",COUNTIF(A$2:A2,A2)&gt;1),B3+1,0)</f>
        <v>174</v>
      </c>
      <c r="C2" s="74">
        <f>INDEX(B$2:B$177,B2+1,1)+B2+1</f>
        <v>175</v>
      </c>
      <c r="D2" s="75">
        <f t="shared" ref="D2:D33" si="1">INDEX(ЗаданияОсень,C2,1)</f>
        <v>0</v>
      </c>
      <c r="E2" s="72" t="str">
        <f t="shared" ref="E2:E33" si="2">TRIM(CLEAN(INDEX(ЗаданияОсень,ROW(E2)-1,2)))</f>
        <v/>
      </c>
      <c r="F2" s="73">
        <f>IF(OR(E2="",COUNTIF(E$2:E2,E2)&gt;1),F3+1,0)</f>
        <v>174</v>
      </c>
      <c r="G2" s="74">
        <f>INDEX(F$2:F$177,F2+1,1)+F2+1</f>
        <v>175</v>
      </c>
      <c r="H2" s="75">
        <f t="shared" ref="H2:H33" si="3">INDEX(ЗаданияОсень,G2,2)</f>
        <v>0</v>
      </c>
      <c r="I2" s="72" t="str">
        <f t="shared" ref="I2:I33" si="4">TRIM(CLEAN(INDEX(ЗаданияВесна,ROW(I2)-1,1)))</f>
        <v/>
      </c>
      <c r="J2" s="73">
        <f>IF(OR(I2="",COUNTIF(I$2:I2,I2)&gt;1),J3+1,0)</f>
        <v>174</v>
      </c>
      <c r="K2" s="74">
        <f>INDEX(J$2:J$177,J2+1,1)+J2+1</f>
        <v>175</v>
      </c>
      <c r="L2" s="75">
        <f t="shared" ref="L2:L33" si="5">INDEX(ЗаданияВесна,K2,1)</f>
        <v>0</v>
      </c>
      <c r="M2" s="72" t="str">
        <f t="shared" ref="M2:M33" si="6">TRIM(CLEAN(INDEX(ЗаданияВесна,ROW(M2)-1,2)))</f>
        <v/>
      </c>
      <c r="N2" s="73">
        <f>IF(OR(M2="",COUNTIF(M$2:M2,M2)&gt;1),N3+1,0)</f>
        <v>174</v>
      </c>
      <c r="O2" s="74">
        <f>INDEX(N$2:N$177,N2+1,1)+N2+1</f>
        <v>175</v>
      </c>
      <c r="P2" s="75">
        <f t="shared" ref="P2:P33" si="7">INDEX(ЗаданияВесна,O2,2)</f>
        <v>0</v>
      </c>
    </row>
    <row r="3" spans="1:19" x14ac:dyDescent="0.3">
      <c r="A3" s="72" t="str">
        <f t="shared" si="0"/>
        <v/>
      </c>
      <c r="B3" s="73">
        <f>IF(OR(A3="",COUNTIF(A$2:A3,A3)&gt;1),B4+1,0)</f>
        <v>173</v>
      </c>
      <c r="C3" s="2">
        <f t="shared" ref="C3" si="8">INDEX(B$2:B$177,C2+1,1)+C2+1</f>
        <v>175</v>
      </c>
      <c r="D3" s="75">
        <f t="shared" si="1"/>
        <v>0</v>
      </c>
      <c r="E3" s="72" t="str">
        <f t="shared" si="2"/>
        <v/>
      </c>
      <c r="F3" s="73">
        <f>IF(OR(E3="",COUNTIF(E$2:E3,E3)&gt;1),F4+1,0)</f>
        <v>173</v>
      </c>
      <c r="G3" s="2">
        <f t="shared" ref="G3" si="9">INDEX(F$2:F$177,G2+1,1)+G2+1</f>
        <v>175</v>
      </c>
      <c r="H3" s="75">
        <f t="shared" si="3"/>
        <v>0</v>
      </c>
      <c r="I3" s="72" t="str">
        <f t="shared" si="4"/>
        <v/>
      </c>
      <c r="J3" s="73">
        <f>IF(OR(I3="",COUNTIF(I$2:I3,I3)&gt;1),J4+1,0)</f>
        <v>173</v>
      </c>
      <c r="K3" s="2">
        <f t="shared" ref="K3" si="10">INDEX(J$2:J$177,K2+1,1)+K2+1</f>
        <v>175</v>
      </c>
      <c r="L3" s="75">
        <f t="shared" si="5"/>
        <v>0</v>
      </c>
      <c r="M3" s="72" t="str">
        <f t="shared" si="6"/>
        <v/>
      </c>
      <c r="N3" s="73">
        <f>IF(OR(M3="",COUNTIF(M$2:M3,M3)&gt;1),N4+1,0)</f>
        <v>173</v>
      </c>
      <c r="O3" s="2">
        <f t="shared" ref="O3" si="11">INDEX(N$2:N$177,O2+1,1)+O2+1</f>
        <v>175</v>
      </c>
      <c r="P3" s="75">
        <f t="shared" si="7"/>
        <v>0</v>
      </c>
    </row>
    <row r="4" spans="1:19" x14ac:dyDescent="0.3">
      <c r="A4" s="72" t="str">
        <f t="shared" si="0"/>
        <v/>
      </c>
      <c r="B4" s="73">
        <f>IF(OR(A4="",COUNTIF(A$2:A4,A4)&gt;1),B5+1,0)</f>
        <v>172</v>
      </c>
      <c r="C4" s="2">
        <f t="shared" ref="C4:C67" si="12">INDEX(B$2:B$177,C3+1,1)+C3+1</f>
        <v>175</v>
      </c>
      <c r="D4" s="75">
        <f t="shared" si="1"/>
        <v>0</v>
      </c>
      <c r="E4" s="72" t="str">
        <f t="shared" si="2"/>
        <v/>
      </c>
      <c r="F4" s="73">
        <f>IF(OR(E4="",COUNTIF(E$2:E4,E4)&gt;1),F5+1,0)</f>
        <v>172</v>
      </c>
      <c r="G4" s="2">
        <f t="shared" ref="G4:G67" si="13">INDEX(F$2:F$177,G3+1,1)+G3+1</f>
        <v>175</v>
      </c>
      <c r="H4" s="75">
        <f t="shared" si="3"/>
        <v>0</v>
      </c>
      <c r="I4" s="72" t="str">
        <f t="shared" si="4"/>
        <v/>
      </c>
      <c r="J4" s="73">
        <f>IF(OR(I4="",COUNTIF(I$2:I4,I4)&gt;1),J5+1,0)</f>
        <v>172</v>
      </c>
      <c r="K4" s="2">
        <f t="shared" ref="K4:K67" si="14">INDEX(J$2:J$177,K3+1,1)+K3+1</f>
        <v>175</v>
      </c>
      <c r="L4" s="75">
        <f t="shared" si="5"/>
        <v>0</v>
      </c>
      <c r="M4" s="72" t="str">
        <f t="shared" si="6"/>
        <v/>
      </c>
      <c r="N4" s="73">
        <f>IF(OR(M4="",COUNTIF(M$2:M4,M4)&gt;1),N5+1,0)</f>
        <v>172</v>
      </c>
      <c r="O4" s="2">
        <f t="shared" ref="O4:O67" si="15">INDEX(N$2:N$177,O3+1,1)+O3+1</f>
        <v>175</v>
      </c>
      <c r="P4" s="75">
        <f t="shared" si="7"/>
        <v>0</v>
      </c>
    </row>
    <row r="5" spans="1:19" x14ac:dyDescent="0.3">
      <c r="A5" s="72" t="str">
        <f t="shared" si="0"/>
        <v/>
      </c>
      <c r="B5" s="73">
        <f>IF(OR(A5="",COUNTIF(A$2:A5,A5)&gt;1),B6+1,0)</f>
        <v>171</v>
      </c>
      <c r="C5" s="2">
        <f t="shared" si="12"/>
        <v>175</v>
      </c>
      <c r="D5" s="75">
        <f t="shared" si="1"/>
        <v>0</v>
      </c>
      <c r="E5" s="72" t="str">
        <f t="shared" si="2"/>
        <v/>
      </c>
      <c r="F5" s="73">
        <f>IF(OR(E5="",COUNTIF(E$2:E5,E5)&gt;1),F6+1,0)</f>
        <v>171</v>
      </c>
      <c r="G5" s="2">
        <f t="shared" si="13"/>
        <v>175</v>
      </c>
      <c r="H5" s="75">
        <f t="shared" si="3"/>
        <v>0</v>
      </c>
      <c r="I5" s="72" t="str">
        <f t="shared" si="4"/>
        <v/>
      </c>
      <c r="J5" s="73">
        <f>IF(OR(I5="",COUNTIF(I$2:I5,I5)&gt;1),J6+1,0)</f>
        <v>171</v>
      </c>
      <c r="K5" s="2">
        <f t="shared" si="14"/>
        <v>175</v>
      </c>
      <c r="L5" s="75">
        <f t="shared" si="5"/>
        <v>0</v>
      </c>
      <c r="M5" s="72" t="str">
        <f t="shared" si="6"/>
        <v/>
      </c>
      <c r="N5" s="73">
        <f>IF(OR(M5="",COUNTIF(M$2:M5,M5)&gt;1),N6+1,0)</f>
        <v>171</v>
      </c>
      <c r="O5" s="2">
        <f t="shared" si="15"/>
        <v>175</v>
      </c>
      <c r="P5" s="75">
        <f t="shared" si="7"/>
        <v>0</v>
      </c>
    </row>
    <row r="6" spans="1:19" x14ac:dyDescent="0.3">
      <c r="A6" s="72" t="str">
        <f t="shared" si="0"/>
        <v/>
      </c>
      <c r="B6" s="73">
        <f>IF(OR(A6="",COUNTIF(A$2:A6,A6)&gt;1),B7+1,0)</f>
        <v>170</v>
      </c>
      <c r="C6" s="2">
        <f t="shared" si="12"/>
        <v>175</v>
      </c>
      <c r="D6" s="75">
        <f t="shared" si="1"/>
        <v>0</v>
      </c>
      <c r="E6" s="72" t="str">
        <f t="shared" si="2"/>
        <v/>
      </c>
      <c r="F6" s="73">
        <f>IF(OR(E6="",COUNTIF(E$2:E6,E6)&gt;1),F7+1,0)</f>
        <v>170</v>
      </c>
      <c r="G6" s="2">
        <f t="shared" si="13"/>
        <v>175</v>
      </c>
      <c r="H6" s="75">
        <f t="shared" si="3"/>
        <v>0</v>
      </c>
      <c r="I6" s="72" t="str">
        <f t="shared" si="4"/>
        <v/>
      </c>
      <c r="J6" s="73">
        <f>IF(OR(I6="",COUNTIF(I$2:I6,I6)&gt;1),J7+1,0)</f>
        <v>170</v>
      </c>
      <c r="K6" s="2">
        <f t="shared" si="14"/>
        <v>175</v>
      </c>
      <c r="L6" s="75">
        <f t="shared" si="5"/>
        <v>0</v>
      </c>
      <c r="M6" s="72" t="str">
        <f t="shared" si="6"/>
        <v/>
      </c>
      <c r="N6" s="73">
        <f>IF(OR(M6="",COUNTIF(M$2:M6,M6)&gt;1),N7+1,0)</f>
        <v>170</v>
      </c>
      <c r="O6" s="2">
        <f t="shared" si="15"/>
        <v>175</v>
      </c>
      <c r="P6" s="75">
        <f t="shared" si="7"/>
        <v>0</v>
      </c>
    </row>
    <row r="7" spans="1:19" x14ac:dyDescent="0.3">
      <c r="A7" s="72" t="str">
        <f t="shared" si="0"/>
        <v/>
      </c>
      <c r="B7" s="73">
        <f>IF(OR(A7="",COUNTIF(A$2:A7,A7)&gt;1),B8+1,0)</f>
        <v>169</v>
      </c>
      <c r="C7" s="2">
        <f t="shared" si="12"/>
        <v>175</v>
      </c>
      <c r="D7" s="75">
        <f t="shared" si="1"/>
        <v>0</v>
      </c>
      <c r="E7" s="72" t="str">
        <f t="shared" si="2"/>
        <v/>
      </c>
      <c r="F7" s="73">
        <f>IF(OR(E7="",COUNTIF(E$2:E7,E7)&gt;1),F8+1,0)</f>
        <v>169</v>
      </c>
      <c r="G7" s="2">
        <f t="shared" si="13"/>
        <v>175</v>
      </c>
      <c r="H7" s="75">
        <f t="shared" si="3"/>
        <v>0</v>
      </c>
      <c r="I7" s="72" t="str">
        <f t="shared" si="4"/>
        <v/>
      </c>
      <c r="J7" s="73">
        <f>IF(OR(I7="",COUNTIF(I$2:I7,I7)&gt;1),J8+1,0)</f>
        <v>169</v>
      </c>
      <c r="K7" s="2">
        <f t="shared" si="14"/>
        <v>175</v>
      </c>
      <c r="L7" s="75">
        <f t="shared" si="5"/>
        <v>0</v>
      </c>
      <c r="M7" s="72" t="str">
        <f t="shared" si="6"/>
        <v/>
      </c>
      <c r="N7" s="73">
        <f>IF(OR(M7="",COUNTIF(M$2:M7,M7)&gt;1),N8+1,0)</f>
        <v>169</v>
      </c>
      <c r="O7" s="2">
        <f t="shared" si="15"/>
        <v>175</v>
      </c>
      <c r="P7" s="75">
        <f t="shared" si="7"/>
        <v>0</v>
      </c>
    </row>
    <row r="8" spans="1:19" x14ac:dyDescent="0.3">
      <c r="A8" s="72" t="str">
        <f t="shared" si="0"/>
        <v/>
      </c>
      <c r="B8" s="73">
        <f>IF(OR(A8="",COUNTIF(A$2:A8,A8)&gt;1),B9+1,0)</f>
        <v>168</v>
      </c>
      <c r="C8" s="2">
        <f t="shared" si="12"/>
        <v>175</v>
      </c>
      <c r="D8" s="75">
        <f t="shared" si="1"/>
        <v>0</v>
      </c>
      <c r="E8" s="72" t="str">
        <f t="shared" si="2"/>
        <v/>
      </c>
      <c r="F8" s="73">
        <f>IF(OR(E8="",COUNTIF(E$2:E8,E8)&gt;1),F9+1,0)</f>
        <v>168</v>
      </c>
      <c r="G8" s="2">
        <f t="shared" si="13"/>
        <v>175</v>
      </c>
      <c r="H8" s="75">
        <f t="shared" si="3"/>
        <v>0</v>
      </c>
      <c r="I8" s="72" t="str">
        <f t="shared" si="4"/>
        <v/>
      </c>
      <c r="J8" s="73">
        <f>IF(OR(I8="",COUNTIF(I$2:I8,I8)&gt;1),J9+1,0)</f>
        <v>168</v>
      </c>
      <c r="K8" s="2">
        <f t="shared" si="14"/>
        <v>175</v>
      </c>
      <c r="L8" s="75">
        <f t="shared" si="5"/>
        <v>0</v>
      </c>
      <c r="M8" s="72" t="str">
        <f t="shared" si="6"/>
        <v/>
      </c>
      <c r="N8" s="73">
        <f>IF(OR(M8="",COUNTIF(M$2:M8,M8)&gt;1),N9+1,0)</f>
        <v>168</v>
      </c>
      <c r="O8" s="2">
        <f t="shared" si="15"/>
        <v>175</v>
      </c>
      <c r="P8" s="75">
        <f t="shared" si="7"/>
        <v>0</v>
      </c>
    </row>
    <row r="9" spans="1:19" x14ac:dyDescent="0.3">
      <c r="A9" s="72" t="str">
        <f t="shared" si="0"/>
        <v/>
      </c>
      <c r="B9" s="73">
        <f>IF(OR(A9="",COUNTIF(A$2:A9,A9)&gt;1),B10+1,0)</f>
        <v>167</v>
      </c>
      <c r="C9" s="2">
        <f t="shared" si="12"/>
        <v>175</v>
      </c>
      <c r="D9" s="75">
        <f t="shared" si="1"/>
        <v>0</v>
      </c>
      <c r="E9" s="72" t="str">
        <f t="shared" si="2"/>
        <v/>
      </c>
      <c r="F9" s="73">
        <f>IF(OR(E9="",COUNTIF(E$2:E9,E9)&gt;1),F10+1,0)</f>
        <v>167</v>
      </c>
      <c r="G9" s="2">
        <f t="shared" si="13"/>
        <v>175</v>
      </c>
      <c r="H9" s="75">
        <f t="shared" si="3"/>
        <v>0</v>
      </c>
      <c r="I9" s="72" t="str">
        <f t="shared" si="4"/>
        <v/>
      </c>
      <c r="J9" s="73">
        <f>IF(OR(I9="",COUNTIF(I$2:I9,I9)&gt;1),J10+1,0)</f>
        <v>167</v>
      </c>
      <c r="K9" s="2">
        <f t="shared" si="14"/>
        <v>175</v>
      </c>
      <c r="L9" s="75">
        <f t="shared" si="5"/>
        <v>0</v>
      </c>
      <c r="M9" s="72" t="str">
        <f t="shared" si="6"/>
        <v/>
      </c>
      <c r="N9" s="73">
        <f>IF(OR(M9="",COUNTIF(M$2:M9,M9)&gt;1),N10+1,0)</f>
        <v>167</v>
      </c>
      <c r="O9" s="2">
        <f t="shared" si="15"/>
        <v>175</v>
      </c>
      <c r="P9" s="75">
        <f t="shared" si="7"/>
        <v>0</v>
      </c>
    </row>
    <row r="10" spans="1:19" x14ac:dyDescent="0.3">
      <c r="A10" s="72" t="str">
        <f t="shared" si="0"/>
        <v/>
      </c>
      <c r="B10" s="73">
        <f>IF(OR(A10="",COUNTIF(A$2:A10,A10)&gt;1),B11+1,0)</f>
        <v>166</v>
      </c>
      <c r="C10" s="2">
        <f t="shared" si="12"/>
        <v>175</v>
      </c>
      <c r="D10" s="75">
        <f t="shared" si="1"/>
        <v>0</v>
      </c>
      <c r="E10" s="72" t="str">
        <f t="shared" si="2"/>
        <v/>
      </c>
      <c r="F10" s="73">
        <f>IF(OR(E10="",COUNTIF(E$2:E10,E10)&gt;1),F11+1,0)</f>
        <v>166</v>
      </c>
      <c r="G10" s="2">
        <f t="shared" si="13"/>
        <v>175</v>
      </c>
      <c r="H10" s="75">
        <f t="shared" si="3"/>
        <v>0</v>
      </c>
      <c r="I10" s="72" t="str">
        <f t="shared" si="4"/>
        <v/>
      </c>
      <c r="J10" s="73">
        <f>IF(OR(I10="",COUNTIF(I$2:I10,I10)&gt;1),J11+1,0)</f>
        <v>166</v>
      </c>
      <c r="K10" s="2">
        <f t="shared" si="14"/>
        <v>175</v>
      </c>
      <c r="L10" s="75">
        <f t="shared" si="5"/>
        <v>0</v>
      </c>
      <c r="M10" s="72" t="str">
        <f t="shared" si="6"/>
        <v/>
      </c>
      <c r="N10" s="73">
        <f>IF(OR(M10="",COUNTIF(M$2:M10,M10)&gt;1),N11+1,0)</f>
        <v>166</v>
      </c>
      <c r="O10" s="2">
        <f t="shared" si="15"/>
        <v>175</v>
      </c>
      <c r="P10" s="75">
        <f t="shared" si="7"/>
        <v>0</v>
      </c>
    </row>
    <row r="11" spans="1:19" x14ac:dyDescent="0.3">
      <c r="A11" s="72" t="str">
        <f t="shared" si="0"/>
        <v/>
      </c>
      <c r="B11" s="73">
        <f>IF(OR(A11="",COUNTIF(A$2:A11,A11)&gt;1),B12+1,0)</f>
        <v>165</v>
      </c>
      <c r="C11" s="2">
        <f t="shared" si="12"/>
        <v>175</v>
      </c>
      <c r="D11" s="75">
        <f t="shared" si="1"/>
        <v>0</v>
      </c>
      <c r="E11" s="72" t="str">
        <f t="shared" si="2"/>
        <v/>
      </c>
      <c r="F11" s="73">
        <f>IF(OR(E11="",COUNTIF(E$2:E11,E11)&gt;1),F12+1,0)</f>
        <v>165</v>
      </c>
      <c r="G11" s="2">
        <f t="shared" si="13"/>
        <v>175</v>
      </c>
      <c r="H11" s="75">
        <f t="shared" si="3"/>
        <v>0</v>
      </c>
      <c r="I11" s="72" t="str">
        <f t="shared" si="4"/>
        <v/>
      </c>
      <c r="J11" s="73">
        <f>IF(OR(I11="",COUNTIF(I$2:I11,I11)&gt;1),J12+1,0)</f>
        <v>165</v>
      </c>
      <c r="K11" s="2">
        <f t="shared" si="14"/>
        <v>175</v>
      </c>
      <c r="L11" s="75">
        <f t="shared" si="5"/>
        <v>0</v>
      </c>
      <c r="M11" s="72" t="str">
        <f t="shared" si="6"/>
        <v/>
      </c>
      <c r="N11" s="73">
        <f>IF(OR(M11="",COUNTIF(M$2:M11,M11)&gt;1),N12+1,0)</f>
        <v>165</v>
      </c>
      <c r="O11" s="2">
        <f t="shared" si="15"/>
        <v>175</v>
      </c>
      <c r="P11" s="75">
        <f t="shared" si="7"/>
        <v>0</v>
      </c>
    </row>
    <row r="12" spans="1:19" x14ac:dyDescent="0.3">
      <c r="A12" s="72" t="str">
        <f t="shared" si="0"/>
        <v/>
      </c>
      <c r="B12" s="73">
        <f>IF(OR(A12="",COUNTIF(A$2:A12,A12)&gt;1),B13+1,0)</f>
        <v>164</v>
      </c>
      <c r="C12" s="2">
        <f t="shared" si="12"/>
        <v>175</v>
      </c>
      <c r="D12" s="75">
        <f t="shared" si="1"/>
        <v>0</v>
      </c>
      <c r="E12" s="72" t="str">
        <f t="shared" si="2"/>
        <v/>
      </c>
      <c r="F12" s="73">
        <f>IF(OR(E12="",COUNTIF(E$2:E12,E12)&gt;1),F13+1,0)</f>
        <v>164</v>
      </c>
      <c r="G12" s="2">
        <f t="shared" si="13"/>
        <v>175</v>
      </c>
      <c r="H12" s="75">
        <f t="shared" si="3"/>
        <v>0</v>
      </c>
      <c r="I12" s="72" t="str">
        <f t="shared" si="4"/>
        <v/>
      </c>
      <c r="J12" s="73">
        <f>IF(OR(I12="",COUNTIF(I$2:I12,I12)&gt;1),J13+1,0)</f>
        <v>164</v>
      </c>
      <c r="K12" s="2">
        <f t="shared" si="14"/>
        <v>175</v>
      </c>
      <c r="L12" s="75">
        <f t="shared" si="5"/>
        <v>0</v>
      </c>
      <c r="M12" s="72" t="str">
        <f t="shared" si="6"/>
        <v/>
      </c>
      <c r="N12" s="73">
        <f>IF(OR(M12="",COUNTIF(M$2:M12,M12)&gt;1),N13+1,0)</f>
        <v>164</v>
      </c>
      <c r="O12" s="2">
        <f t="shared" si="15"/>
        <v>175</v>
      </c>
      <c r="P12" s="75">
        <f t="shared" si="7"/>
        <v>0</v>
      </c>
    </row>
    <row r="13" spans="1:19" x14ac:dyDescent="0.3">
      <c r="A13" s="72" t="str">
        <f t="shared" si="0"/>
        <v/>
      </c>
      <c r="B13" s="73">
        <f>IF(OR(A13="",COUNTIF(A$2:A13,A13)&gt;1),B14+1,0)</f>
        <v>163</v>
      </c>
      <c r="C13" s="2">
        <f t="shared" si="12"/>
        <v>175</v>
      </c>
      <c r="D13" s="75">
        <f t="shared" si="1"/>
        <v>0</v>
      </c>
      <c r="E13" s="72" t="str">
        <f t="shared" si="2"/>
        <v/>
      </c>
      <c r="F13" s="73">
        <f>IF(OR(E13="",COUNTIF(E$2:E13,E13)&gt;1),F14+1,0)</f>
        <v>163</v>
      </c>
      <c r="G13" s="2">
        <f t="shared" si="13"/>
        <v>175</v>
      </c>
      <c r="H13" s="75">
        <f t="shared" si="3"/>
        <v>0</v>
      </c>
      <c r="I13" s="72" t="str">
        <f t="shared" si="4"/>
        <v/>
      </c>
      <c r="J13" s="73">
        <f>IF(OR(I13="",COUNTIF(I$2:I13,I13)&gt;1),J14+1,0)</f>
        <v>163</v>
      </c>
      <c r="K13" s="2">
        <f t="shared" si="14"/>
        <v>175</v>
      </c>
      <c r="L13" s="75">
        <f t="shared" si="5"/>
        <v>0</v>
      </c>
      <c r="M13" s="72" t="str">
        <f t="shared" si="6"/>
        <v/>
      </c>
      <c r="N13" s="73">
        <f>IF(OR(M13="",COUNTIF(M$2:M13,M13)&gt;1),N14+1,0)</f>
        <v>163</v>
      </c>
      <c r="O13" s="2">
        <f t="shared" si="15"/>
        <v>175</v>
      </c>
      <c r="P13" s="75">
        <f t="shared" si="7"/>
        <v>0</v>
      </c>
    </row>
    <row r="14" spans="1:19" x14ac:dyDescent="0.3">
      <c r="A14" s="72" t="str">
        <f t="shared" si="0"/>
        <v/>
      </c>
      <c r="B14" s="73">
        <f>IF(OR(A14="",COUNTIF(A$2:A14,A14)&gt;1),B15+1,0)</f>
        <v>162</v>
      </c>
      <c r="C14" s="2">
        <f t="shared" si="12"/>
        <v>175</v>
      </c>
      <c r="D14" s="75">
        <f t="shared" si="1"/>
        <v>0</v>
      </c>
      <c r="E14" s="72" t="str">
        <f t="shared" si="2"/>
        <v/>
      </c>
      <c r="F14" s="73">
        <f>IF(OR(E14="",COUNTIF(E$2:E14,E14)&gt;1),F15+1,0)</f>
        <v>162</v>
      </c>
      <c r="G14" s="2">
        <f t="shared" si="13"/>
        <v>175</v>
      </c>
      <c r="H14" s="75">
        <f t="shared" si="3"/>
        <v>0</v>
      </c>
      <c r="I14" s="72" t="str">
        <f t="shared" si="4"/>
        <v/>
      </c>
      <c r="J14" s="73">
        <f>IF(OR(I14="",COUNTIF(I$2:I14,I14)&gt;1),J15+1,0)</f>
        <v>162</v>
      </c>
      <c r="K14" s="2">
        <f t="shared" si="14"/>
        <v>175</v>
      </c>
      <c r="L14" s="75">
        <f t="shared" si="5"/>
        <v>0</v>
      </c>
      <c r="M14" s="72" t="str">
        <f t="shared" si="6"/>
        <v/>
      </c>
      <c r="N14" s="73">
        <f>IF(OR(M14="",COUNTIF(M$2:M14,M14)&gt;1),N15+1,0)</f>
        <v>162</v>
      </c>
      <c r="O14" s="2">
        <f t="shared" si="15"/>
        <v>175</v>
      </c>
      <c r="P14" s="75">
        <f t="shared" si="7"/>
        <v>0</v>
      </c>
    </row>
    <row r="15" spans="1:19" x14ac:dyDescent="0.3">
      <c r="A15" s="72" t="str">
        <f t="shared" si="0"/>
        <v/>
      </c>
      <c r="B15" s="73">
        <f>IF(OR(A15="",COUNTIF(A$2:A15,A15)&gt;1),B16+1,0)</f>
        <v>161</v>
      </c>
      <c r="C15" s="2">
        <f t="shared" si="12"/>
        <v>175</v>
      </c>
      <c r="D15" s="75">
        <f t="shared" si="1"/>
        <v>0</v>
      </c>
      <c r="E15" s="72" t="str">
        <f t="shared" si="2"/>
        <v/>
      </c>
      <c r="F15" s="73">
        <f>IF(OR(E15="",COUNTIF(E$2:E15,E15)&gt;1),F16+1,0)</f>
        <v>161</v>
      </c>
      <c r="G15" s="2">
        <f t="shared" si="13"/>
        <v>175</v>
      </c>
      <c r="H15" s="75">
        <f t="shared" si="3"/>
        <v>0</v>
      </c>
      <c r="I15" s="72" t="str">
        <f t="shared" si="4"/>
        <v/>
      </c>
      <c r="J15" s="73">
        <f>IF(OR(I15="",COUNTIF(I$2:I15,I15)&gt;1),J16+1,0)</f>
        <v>161</v>
      </c>
      <c r="K15" s="2">
        <f t="shared" si="14"/>
        <v>175</v>
      </c>
      <c r="L15" s="75">
        <f t="shared" si="5"/>
        <v>0</v>
      </c>
      <c r="M15" s="72" t="str">
        <f t="shared" si="6"/>
        <v/>
      </c>
      <c r="N15" s="73">
        <f>IF(OR(M15="",COUNTIF(M$2:M15,M15)&gt;1),N16+1,0)</f>
        <v>161</v>
      </c>
      <c r="O15" s="2">
        <f t="shared" si="15"/>
        <v>175</v>
      </c>
      <c r="P15" s="75">
        <f t="shared" si="7"/>
        <v>0</v>
      </c>
    </row>
    <row r="16" spans="1:19" x14ac:dyDescent="0.3">
      <c r="A16" s="72" t="str">
        <f t="shared" si="0"/>
        <v/>
      </c>
      <c r="B16" s="73">
        <f>IF(OR(A16="",COUNTIF(A$2:A16,A16)&gt;1),B17+1,0)</f>
        <v>160</v>
      </c>
      <c r="C16" s="2">
        <f t="shared" si="12"/>
        <v>175</v>
      </c>
      <c r="D16" s="75">
        <f t="shared" si="1"/>
        <v>0</v>
      </c>
      <c r="E16" s="72" t="str">
        <f t="shared" si="2"/>
        <v/>
      </c>
      <c r="F16" s="73">
        <f>IF(OR(E16="",COUNTIF(E$2:E16,E16)&gt;1),F17+1,0)</f>
        <v>160</v>
      </c>
      <c r="G16" s="2">
        <f t="shared" si="13"/>
        <v>175</v>
      </c>
      <c r="H16" s="75">
        <f t="shared" si="3"/>
        <v>0</v>
      </c>
      <c r="I16" s="72" t="str">
        <f t="shared" si="4"/>
        <v/>
      </c>
      <c r="J16" s="73">
        <f>IF(OR(I16="",COUNTIF(I$2:I16,I16)&gt;1),J17+1,0)</f>
        <v>160</v>
      </c>
      <c r="K16" s="2">
        <f t="shared" si="14"/>
        <v>175</v>
      </c>
      <c r="L16" s="75">
        <f t="shared" si="5"/>
        <v>0</v>
      </c>
      <c r="M16" s="72" t="str">
        <f t="shared" si="6"/>
        <v/>
      </c>
      <c r="N16" s="73">
        <f>IF(OR(M16="",COUNTIF(M$2:M16,M16)&gt;1),N17+1,0)</f>
        <v>160</v>
      </c>
      <c r="O16" s="2">
        <f t="shared" si="15"/>
        <v>175</v>
      </c>
      <c r="P16" s="75">
        <f t="shared" si="7"/>
        <v>0</v>
      </c>
    </row>
    <row r="17" spans="1:16" x14ac:dyDescent="0.3">
      <c r="A17" s="72" t="str">
        <f t="shared" si="0"/>
        <v/>
      </c>
      <c r="B17" s="73">
        <f>IF(OR(A17="",COUNTIF(A$2:A17,A17)&gt;1),B18+1,0)</f>
        <v>159</v>
      </c>
      <c r="C17" s="2">
        <f t="shared" si="12"/>
        <v>175</v>
      </c>
      <c r="D17" s="75">
        <f t="shared" si="1"/>
        <v>0</v>
      </c>
      <c r="E17" s="72" t="str">
        <f t="shared" si="2"/>
        <v/>
      </c>
      <c r="F17" s="73">
        <f>IF(OR(E17="",COUNTIF(E$2:E17,E17)&gt;1),F18+1,0)</f>
        <v>159</v>
      </c>
      <c r="G17" s="2">
        <f t="shared" si="13"/>
        <v>175</v>
      </c>
      <c r="H17" s="75">
        <f t="shared" si="3"/>
        <v>0</v>
      </c>
      <c r="I17" s="72" t="str">
        <f t="shared" si="4"/>
        <v/>
      </c>
      <c r="J17" s="73">
        <f>IF(OR(I17="",COUNTIF(I$2:I17,I17)&gt;1),J18+1,0)</f>
        <v>159</v>
      </c>
      <c r="K17" s="2">
        <f t="shared" si="14"/>
        <v>175</v>
      </c>
      <c r="L17" s="75">
        <f t="shared" si="5"/>
        <v>0</v>
      </c>
      <c r="M17" s="72" t="str">
        <f t="shared" si="6"/>
        <v/>
      </c>
      <c r="N17" s="73">
        <f>IF(OR(M17="",COUNTIF(M$2:M17,M17)&gt;1),N18+1,0)</f>
        <v>159</v>
      </c>
      <c r="O17" s="2">
        <f t="shared" si="15"/>
        <v>175</v>
      </c>
      <c r="P17" s="75">
        <f t="shared" si="7"/>
        <v>0</v>
      </c>
    </row>
    <row r="18" spans="1:16" x14ac:dyDescent="0.3">
      <c r="A18" s="72" t="str">
        <f t="shared" si="0"/>
        <v/>
      </c>
      <c r="B18" s="73">
        <f>IF(OR(A18="",COUNTIF(A$2:A18,A18)&gt;1),B19+1,0)</f>
        <v>158</v>
      </c>
      <c r="C18" s="2">
        <f t="shared" si="12"/>
        <v>175</v>
      </c>
      <c r="D18" s="75">
        <f t="shared" si="1"/>
        <v>0</v>
      </c>
      <c r="E18" s="72" t="str">
        <f t="shared" si="2"/>
        <v/>
      </c>
      <c r="F18" s="73">
        <f>IF(OR(E18="",COUNTIF(E$2:E18,E18)&gt;1),F19+1,0)</f>
        <v>158</v>
      </c>
      <c r="G18" s="2">
        <f t="shared" si="13"/>
        <v>175</v>
      </c>
      <c r="H18" s="75">
        <f t="shared" si="3"/>
        <v>0</v>
      </c>
      <c r="I18" s="72" t="str">
        <f t="shared" si="4"/>
        <v/>
      </c>
      <c r="J18" s="73">
        <f>IF(OR(I18="",COUNTIF(I$2:I18,I18)&gt;1),J19+1,0)</f>
        <v>158</v>
      </c>
      <c r="K18" s="2">
        <f t="shared" si="14"/>
        <v>175</v>
      </c>
      <c r="L18" s="75">
        <f t="shared" si="5"/>
        <v>0</v>
      </c>
      <c r="M18" s="72" t="str">
        <f t="shared" si="6"/>
        <v/>
      </c>
      <c r="N18" s="73">
        <f>IF(OR(M18="",COUNTIF(M$2:M18,M18)&gt;1),N19+1,0)</f>
        <v>158</v>
      </c>
      <c r="O18" s="2">
        <f t="shared" si="15"/>
        <v>175</v>
      </c>
      <c r="P18" s="75">
        <f t="shared" si="7"/>
        <v>0</v>
      </c>
    </row>
    <row r="19" spans="1:16" x14ac:dyDescent="0.3">
      <c r="A19" s="72" t="str">
        <f t="shared" si="0"/>
        <v/>
      </c>
      <c r="B19" s="73">
        <f>IF(OR(A19="",COUNTIF(A$2:A19,A19)&gt;1),B20+1,0)</f>
        <v>157</v>
      </c>
      <c r="C19" s="2">
        <f t="shared" si="12"/>
        <v>175</v>
      </c>
      <c r="D19" s="75">
        <f t="shared" si="1"/>
        <v>0</v>
      </c>
      <c r="E19" s="72" t="str">
        <f t="shared" si="2"/>
        <v/>
      </c>
      <c r="F19" s="73">
        <f>IF(OR(E19="",COUNTIF(E$2:E19,E19)&gt;1),F20+1,0)</f>
        <v>157</v>
      </c>
      <c r="G19" s="2">
        <f t="shared" si="13"/>
        <v>175</v>
      </c>
      <c r="H19" s="75">
        <f t="shared" si="3"/>
        <v>0</v>
      </c>
      <c r="I19" s="72" t="str">
        <f t="shared" si="4"/>
        <v/>
      </c>
      <c r="J19" s="73">
        <f>IF(OR(I19="",COUNTIF(I$2:I19,I19)&gt;1),J20+1,0)</f>
        <v>157</v>
      </c>
      <c r="K19" s="2">
        <f t="shared" si="14"/>
        <v>175</v>
      </c>
      <c r="L19" s="75">
        <f t="shared" si="5"/>
        <v>0</v>
      </c>
      <c r="M19" s="72" t="str">
        <f t="shared" si="6"/>
        <v/>
      </c>
      <c r="N19" s="73">
        <f>IF(OR(M19="",COUNTIF(M$2:M19,M19)&gt;1),N20+1,0)</f>
        <v>157</v>
      </c>
      <c r="O19" s="2">
        <f t="shared" si="15"/>
        <v>175</v>
      </c>
      <c r="P19" s="75">
        <f t="shared" si="7"/>
        <v>0</v>
      </c>
    </row>
    <row r="20" spans="1:16" x14ac:dyDescent="0.3">
      <c r="A20" s="72" t="str">
        <f t="shared" si="0"/>
        <v/>
      </c>
      <c r="B20" s="73">
        <f>IF(OR(A20="",COUNTIF(A$2:A20,A20)&gt;1),B21+1,0)</f>
        <v>156</v>
      </c>
      <c r="C20" s="2">
        <f t="shared" si="12"/>
        <v>175</v>
      </c>
      <c r="D20" s="75">
        <f t="shared" si="1"/>
        <v>0</v>
      </c>
      <c r="E20" s="72" t="str">
        <f t="shared" si="2"/>
        <v/>
      </c>
      <c r="F20" s="73">
        <f>IF(OR(E20="",COUNTIF(E$2:E20,E20)&gt;1),F21+1,0)</f>
        <v>156</v>
      </c>
      <c r="G20" s="2">
        <f t="shared" si="13"/>
        <v>175</v>
      </c>
      <c r="H20" s="75">
        <f t="shared" si="3"/>
        <v>0</v>
      </c>
      <c r="I20" s="72" t="str">
        <f t="shared" si="4"/>
        <v/>
      </c>
      <c r="J20" s="73">
        <f>IF(OR(I20="",COUNTIF(I$2:I20,I20)&gt;1),J21+1,0)</f>
        <v>156</v>
      </c>
      <c r="K20" s="2">
        <f t="shared" si="14"/>
        <v>175</v>
      </c>
      <c r="L20" s="75">
        <f t="shared" si="5"/>
        <v>0</v>
      </c>
      <c r="M20" s="72" t="str">
        <f t="shared" si="6"/>
        <v/>
      </c>
      <c r="N20" s="73">
        <f>IF(OR(M20="",COUNTIF(M$2:M20,M20)&gt;1),N21+1,0)</f>
        <v>156</v>
      </c>
      <c r="O20" s="2">
        <f t="shared" si="15"/>
        <v>175</v>
      </c>
      <c r="P20" s="75">
        <f t="shared" si="7"/>
        <v>0</v>
      </c>
    </row>
    <row r="21" spans="1:16" x14ac:dyDescent="0.3">
      <c r="A21" s="72" t="str">
        <f t="shared" si="0"/>
        <v/>
      </c>
      <c r="B21" s="73">
        <f>IF(OR(A21="",COUNTIF(A$2:A21,A21)&gt;1),B22+1,0)</f>
        <v>155</v>
      </c>
      <c r="C21" s="2">
        <f t="shared" si="12"/>
        <v>175</v>
      </c>
      <c r="D21" s="75">
        <f t="shared" si="1"/>
        <v>0</v>
      </c>
      <c r="E21" s="72" t="str">
        <f t="shared" si="2"/>
        <v/>
      </c>
      <c r="F21" s="73">
        <f>IF(OR(E21="",COUNTIF(E$2:E21,E21)&gt;1),F22+1,0)</f>
        <v>155</v>
      </c>
      <c r="G21" s="2">
        <f t="shared" si="13"/>
        <v>175</v>
      </c>
      <c r="H21" s="75">
        <f t="shared" si="3"/>
        <v>0</v>
      </c>
      <c r="I21" s="72" t="str">
        <f t="shared" si="4"/>
        <v/>
      </c>
      <c r="J21" s="73">
        <f>IF(OR(I21="",COUNTIF(I$2:I21,I21)&gt;1),J22+1,0)</f>
        <v>155</v>
      </c>
      <c r="K21" s="2">
        <f t="shared" si="14"/>
        <v>175</v>
      </c>
      <c r="L21" s="75">
        <f t="shared" si="5"/>
        <v>0</v>
      </c>
      <c r="M21" s="72" t="str">
        <f t="shared" si="6"/>
        <v/>
      </c>
      <c r="N21" s="73">
        <f>IF(OR(M21="",COUNTIF(M$2:M21,M21)&gt;1),N22+1,0)</f>
        <v>155</v>
      </c>
      <c r="O21" s="2">
        <f t="shared" si="15"/>
        <v>175</v>
      </c>
      <c r="P21" s="75">
        <f t="shared" si="7"/>
        <v>0</v>
      </c>
    </row>
    <row r="22" spans="1:16" x14ac:dyDescent="0.3">
      <c r="A22" s="72" t="str">
        <f t="shared" si="0"/>
        <v/>
      </c>
      <c r="B22" s="73">
        <f>IF(OR(A22="",COUNTIF(A$2:A22,A22)&gt;1),B23+1,0)</f>
        <v>154</v>
      </c>
      <c r="C22" s="2">
        <f t="shared" si="12"/>
        <v>175</v>
      </c>
      <c r="D22" s="75">
        <f t="shared" si="1"/>
        <v>0</v>
      </c>
      <c r="E22" s="72" t="str">
        <f t="shared" si="2"/>
        <v/>
      </c>
      <c r="F22" s="73">
        <f>IF(OR(E22="",COUNTIF(E$2:E22,E22)&gt;1),F23+1,0)</f>
        <v>154</v>
      </c>
      <c r="G22" s="2">
        <f t="shared" si="13"/>
        <v>175</v>
      </c>
      <c r="H22" s="75">
        <f t="shared" si="3"/>
        <v>0</v>
      </c>
      <c r="I22" s="72" t="str">
        <f t="shared" si="4"/>
        <v/>
      </c>
      <c r="J22" s="73">
        <f>IF(OR(I22="",COUNTIF(I$2:I22,I22)&gt;1),J23+1,0)</f>
        <v>154</v>
      </c>
      <c r="K22" s="2">
        <f t="shared" si="14"/>
        <v>175</v>
      </c>
      <c r="L22" s="75">
        <f t="shared" si="5"/>
        <v>0</v>
      </c>
      <c r="M22" s="72" t="str">
        <f t="shared" si="6"/>
        <v/>
      </c>
      <c r="N22" s="73">
        <f>IF(OR(M22="",COUNTIF(M$2:M22,M22)&gt;1),N23+1,0)</f>
        <v>154</v>
      </c>
      <c r="O22" s="2">
        <f t="shared" si="15"/>
        <v>175</v>
      </c>
      <c r="P22" s="75">
        <f t="shared" si="7"/>
        <v>0</v>
      </c>
    </row>
    <row r="23" spans="1:16" x14ac:dyDescent="0.3">
      <c r="A23" s="72" t="str">
        <f t="shared" si="0"/>
        <v/>
      </c>
      <c r="B23" s="73">
        <f>IF(OR(A23="",COUNTIF(A$2:A23,A23)&gt;1),B24+1,0)</f>
        <v>153</v>
      </c>
      <c r="C23" s="2">
        <f t="shared" si="12"/>
        <v>175</v>
      </c>
      <c r="D23" s="75">
        <f t="shared" si="1"/>
        <v>0</v>
      </c>
      <c r="E23" s="72" t="str">
        <f t="shared" si="2"/>
        <v/>
      </c>
      <c r="F23" s="73">
        <f>IF(OR(E23="",COUNTIF(E$2:E23,E23)&gt;1),F24+1,0)</f>
        <v>153</v>
      </c>
      <c r="G23" s="2">
        <f t="shared" si="13"/>
        <v>175</v>
      </c>
      <c r="H23" s="75">
        <f t="shared" si="3"/>
        <v>0</v>
      </c>
      <c r="I23" s="72" t="str">
        <f t="shared" si="4"/>
        <v/>
      </c>
      <c r="J23" s="73">
        <f>IF(OR(I23="",COUNTIF(I$2:I23,I23)&gt;1),J24+1,0)</f>
        <v>153</v>
      </c>
      <c r="K23" s="2">
        <f t="shared" si="14"/>
        <v>175</v>
      </c>
      <c r="L23" s="75">
        <f t="shared" si="5"/>
        <v>0</v>
      </c>
      <c r="M23" s="72" t="str">
        <f t="shared" si="6"/>
        <v/>
      </c>
      <c r="N23" s="73">
        <f>IF(OR(M23="",COUNTIF(M$2:M23,M23)&gt;1),N24+1,0)</f>
        <v>153</v>
      </c>
      <c r="O23" s="2">
        <f t="shared" si="15"/>
        <v>175</v>
      </c>
      <c r="P23" s="75">
        <f t="shared" si="7"/>
        <v>0</v>
      </c>
    </row>
    <row r="24" spans="1:16" x14ac:dyDescent="0.3">
      <c r="A24" s="72" t="str">
        <f t="shared" si="0"/>
        <v/>
      </c>
      <c r="B24" s="73">
        <f>IF(OR(A24="",COUNTIF(A$2:A24,A24)&gt;1),B25+1,0)</f>
        <v>152</v>
      </c>
      <c r="C24" s="2">
        <f t="shared" si="12"/>
        <v>175</v>
      </c>
      <c r="D24" s="75">
        <f t="shared" si="1"/>
        <v>0</v>
      </c>
      <c r="E24" s="72" t="str">
        <f t="shared" si="2"/>
        <v/>
      </c>
      <c r="F24" s="73">
        <f>IF(OR(E24="",COUNTIF(E$2:E24,E24)&gt;1),F25+1,0)</f>
        <v>152</v>
      </c>
      <c r="G24" s="2">
        <f t="shared" si="13"/>
        <v>175</v>
      </c>
      <c r="H24" s="75">
        <f t="shared" si="3"/>
        <v>0</v>
      </c>
      <c r="I24" s="72" t="str">
        <f t="shared" si="4"/>
        <v/>
      </c>
      <c r="J24" s="73">
        <f>IF(OR(I24="",COUNTIF(I$2:I24,I24)&gt;1),J25+1,0)</f>
        <v>152</v>
      </c>
      <c r="K24" s="2">
        <f t="shared" si="14"/>
        <v>175</v>
      </c>
      <c r="L24" s="75">
        <f t="shared" si="5"/>
        <v>0</v>
      </c>
      <c r="M24" s="72" t="str">
        <f t="shared" si="6"/>
        <v/>
      </c>
      <c r="N24" s="73">
        <f>IF(OR(M24="",COUNTIF(M$2:M24,M24)&gt;1),N25+1,0)</f>
        <v>152</v>
      </c>
      <c r="O24" s="2">
        <f t="shared" si="15"/>
        <v>175</v>
      </c>
      <c r="P24" s="75">
        <f t="shared" si="7"/>
        <v>0</v>
      </c>
    </row>
    <row r="25" spans="1:16" x14ac:dyDescent="0.3">
      <c r="A25" s="72" t="str">
        <f t="shared" si="0"/>
        <v/>
      </c>
      <c r="B25" s="73">
        <f>IF(OR(A25="",COUNTIF(A$2:A25,A25)&gt;1),B26+1,0)</f>
        <v>151</v>
      </c>
      <c r="C25" s="2">
        <f t="shared" si="12"/>
        <v>175</v>
      </c>
      <c r="D25" s="75">
        <f t="shared" si="1"/>
        <v>0</v>
      </c>
      <c r="E25" s="72" t="str">
        <f t="shared" si="2"/>
        <v/>
      </c>
      <c r="F25" s="73">
        <f>IF(OR(E25="",COUNTIF(E$2:E25,E25)&gt;1),F26+1,0)</f>
        <v>151</v>
      </c>
      <c r="G25" s="2">
        <f t="shared" si="13"/>
        <v>175</v>
      </c>
      <c r="H25" s="75">
        <f t="shared" si="3"/>
        <v>0</v>
      </c>
      <c r="I25" s="72" t="str">
        <f t="shared" si="4"/>
        <v/>
      </c>
      <c r="J25" s="73">
        <f>IF(OR(I25="",COUNTIF(I$2:I25,I25)&gt;1),J26+1,0)</f>
        <v>151</v>
      </c>
      <c r="K25" s="2">
        <f t="shared" si="14"/>
        <v>175</v>
      </c>
      <c r="L25" s="75">
        <f t="shared" si="5"/>
        <v>0</v>
      </c>
      <c r="M25" s="72" t="str">
        <f t="shared" si="6"/>
        <v/>
      </c>
      <c r="N25" s="73">
        <f>IF(OR(M25="",COUNTIF(M$2:M25,M25)&gt;1),N26+1,0)</f>
        <v>151</v>
      </c>
      <c r="O25" s="2">
        <f t="shared" si="15"/>
        <v>175</v>
      </c>
      <c r="P25" s="75">
        <f t="shared" si="7"/>
        <v>0</v>
      </c>
    </row>
    <row r="26" spans="1:16" x14ac:dyDescent="0.3">
      <c r="A26" s="72" t="str">
        <f t="shared" si="0"/>
        <v/>
      </c>
      <c r="B26" s="73">
        <f>IF(OR(A26="",COUNTIF(A$2:A26,A26)&gt;1),B27+1,0)</f>
        <v>150</v>
      </c>
      <c r="C26" s="2">
        <f t="shared" si="12"/>
        <v>175</v>
      </c>
      <c r="D26" s="75">
        <f t="shared" si="1"/>
        <v>0</v>
      </c>
      <c r="E26" s="72" t="str">
        <f t="shared" si="2"/>
        <v/>
      </c>
      <c r="F26" s="73">
        <f>IF(OR(E26="",COUNTIF(E$2:E26,E26)&gt;1),F27+1,0)</f>
        <v>150</v>
      </c>
      <c r="G26" s="2">
        <f t="shared" si="13"/>
        <v>175</v>
      </c>
      <c r="H26" s="75">
        <f t="shared" si="3"/>
        <v>0</v>
      </c>
      <c r="I26" s="72" t="str">
        <f t="shared" si="4"/>
        <v/>
      </c>
      <c r="J26" s="73">
        <f>IF(OR(I26="",COUNTIF(I$2:I26,I26)&gt;1),J27+1,0)</f>
        <v>150</v>
      </c>
      <c r="K26" s="2">
        <f t="shared" si="14"/>
        <v>175</v>
      </c>
      <c r="L26" s="75">
        <f t="shared" si="5"/>
        <v>0</v>
      </c>
      <c r="M26" s="72" t="str">
        <f t="shared" si="6"/>
        <v/>
      </c>
      <c r="N26" s="73">
        <f>IF(OR(M26="",COUNTIF(M$2:M26,M26)&gt;1),N27+1,0)</f>
        <v>150</v>
      </c>
      <c r="O26" s="2">
        <f t="shared" si="15"/>
        <v>175</v>
      </c>
      <c r="P26" s="75">
        <f t="shared" si="7"/>
        <v>0</v>
      </c>
    </row>
    <row r="27" spans="1:16" x14ac:dyDescent="0.3">
      <c r="A27" s="72" t="str">
        <f t="shared" si="0"/>
        <v/>
      </c>
      <c r="B27" s="73">
        <f>IF(OR(A27="",COUNTIF(A$2:A27,A27)&gt;1),B28+1,0)</f>
        <v>149</v>
      </c>
      <c r="C27" s="2">
        <f t="shared" si="12"/>
        <v>175</v>
      </c>
      <c r="D27" s="75">
        <f t="shared" si="1"/>
        <v>0</v>
      </c>
      <c r="E27" s="72" t="str">
        <f t="shared" si="2"/>
        <v/>
      </c>
      <c r="F27" s="73">
        <f>IF(OR(E27="",COUNTIF(E$2:E27,E27)&gt;1),F28+1,0)</f>
        <v>149</v>
      </c>
      <c r="G27" s="2">
        <f t="shared" si="13"/>
        <v>175</v>
      </c>
      <c r="H27" s="75">
        <f t="shared" si="3"/>
        <v>0</v>
      </c>
      <c r="I27" s="72" t="str">
        <f t="shared" si="4"/>
        <v/>
      </c>
      <c r="J27" s="73">
        <f>IF(OR(I27="",COUNTIF(I$2:I27,I27)&gt;1),J28+1,0)</f>
        <v>149</v>
      </c>
      <c r="K27" s="2">
        <f t="shared" si="14"/>
        <v>175</v>
      </c>
      <c r="L27" s="75">
        <f t="shared" si="5"/>
        <v>0</v>
      </c>
      <c r="M27" s="72" t="str">
        <f t="shared" si="6"/>
        <v/>
      </c>
      <c r="N27" s="73">
        <f>IF(OR(M27="",COUNTIF(M$2:M27,M27)&gt;1),N28+1,0)</f>
        <v>149</v>
      </c>
      <c r="O27" s="2">
        <f t="shared" si="15"/>
        <v>175</v>
      </c>
      <c r="P27" s="75">
        <f t="shared" si="7"/>
        <v>0</v>
      </c>
    </row>
    <row r="28" spans="1:16" x14ac:dyDescent="0.3">
      <c r="A28" s="72" t="str">
        <f t="shared" si="0"/>
        <v/>
      </c>
      <c r="B28" s="73">
        <f>IF(OR(A28="",COUNTIF(A$2:A28,A28)&gt;1),B29+1,0)</f>
        <v>148</v>
      </c>
      <c r="C28" s="2">
        <f t="shared" si="12"/>
        <v>175</v>
      </c>
      <c r="D28" s="75">
        <f t="shared" si="1"/>
        <v>0</v>
      </c>
      <c r="E28" s="72" t="str">
        <f t="shared" si="2"/>
        <v/>
      </c>
      <c r="F28" s="73">
        <f>IF(OR(E28="",COUNTIF(E$2:E28,E28)&gt;1),F29+1,0)</f>
        <v>148</v>
      </c>
      <c r="G28" s="2">
        <f t="shared" si="13"/>
        <v>175</v>
      </c>
      <c r="H28" s="75">
        <f t="shared" si="3"/>
        <v>0</v>
      </c>
      <c r="I28" s="72" t="str">
        <f t="shared" si="4"/>
        <v/>
      </c>
      <c r="J28" s="73">
        <f>IF(OR(I28="",COUNTIF(I$2:I28,I28)&gt;1),J29+1,0)</f>
        <v>148</v>
      </c>
      <c r="K28" s="2">
        <f t="shared" si="14"/>
        <v>175</v>
      </c>
      <c r="L28" s="75">
        <f t="shared" si="5"/>
        <v>0</v>
      </c>
      <c r="M28" s="72" t="str">
        <f t="shared" si="6"/>
        <v/>
      </c>
      <c r="N28" s="73">
        <f>IF(OR(M28="",COUNTIF(M$2:M28,M28)&gt;1),N29+1,0)</f>
        <v>148</v>
      </c>
      <c r="O28" s="2">
        <f t="shared" si="15"/>
        <v>175</v>
      </c>
      <c r="P28" s="75">
        <f t="shared" si="7"/>
        <v>0</v>
      </c>
    </row>
    <row r="29" spans="1:16" x14ac:dyDescent="0.3">
      <c r="A29" s="72" t="str">
        <f t="shared" si="0"/>
        <v/>
      </c>
      <c r="B29" s="73">
        <f>IF(OR(A29="",COUNTIF(A$2:A29,A29)&gt;1),B30+1,0)</f>
        <v>147</v>
      </c>
      <c r="C29" s="2">
        <f t="shared" si="12"/>
        <v>175</v>
      </c>
      <c r="D29" s="75">
        <f t="shared" si="1"/>
        <v>0</v>
      </c>
      <c r="E29" s="72" t="str">
        <f t="shared" si="2"/>
        <v/>
      </c>
      <c r="F29" s="73">
        <f>IF(OR(E29="",COUNTIF(E$2:E29,E29)&gt;1),F30+1,0)</f>
        <v>147</v>
      </c>
      <c r="G29" s="2">
        <f t="shared" si="13"/>
        <v>175</v>
      </c>
      <c r="H29" s="75">
        <f t="shared" si="3"/>
        <v>0</v>
      </c>
      <c r="I29" s="72" t="str">
        <f t="shared" si="4"/>
        <v/>
      </c>
      <c r="J29" s="73">
        <f>IF(OR(I29="",COUNTIF(I$2:I29,I29)&gt;1),J30+1,0)</f>
        <v>147</v>
      </c>
      <c r="K29" s="2">
        <f t="shared" si="14"/>
        <v>175</v>
      </c>
      <c r="L29" s="75">
        <f t="shared" si="5"/>
        <v>0</v>
      </c>
      <c r="M29" s="72" t="str">
        <f t="shared" si="6"/>
        <v/>
      </c>
      <c r="N29" s="73">
        <f>IF(OR(M29="",COUNTIF(M$2:M29,M29)&gt;1),N30+1,0)</f>
        <v>147</v>
      </c>
      <c r="O29" s="2">
        <f t="shared" si="15"/>
        <v>175</v>
      </c>
      <c r="P29" s="75">
        <f t="shared" si="7"/>
        <v>0</v>
      </c>
    </row>
    <row r="30" spans="1:16" x14ac:dyDescent="0.3">
      <c r="A30" s="72" t="str">
        <f t="shared" si="0"/>
        <v/>
      </c>
      <c r="B30" s="73">
        <f>IF(OR(A30="",COUNTIF(A$2:A30,A30)&gt;1),B31+1,0)</f>
        <v>146</v>
      </c>
      <c r="C30" s="2">
        <f t="shared" si="12"/>
        <v>175</v>
      </c>
      <c r="D30" s="75">
        <f t="shared" si="1"/>
        <v>0</v>
      </c>
      <c r="E30" s="72" t="str">
        <f t="shared" si="2"/>
        <v/>
      </c>
      <c r="F30" s="73">
        <f>IF(OR(E30="",COUNTIF(E$2:E30,E30)&gt;1),F31+1,0)</f>
        <v>146</v>
      </c>
      <c r="G30" s="2">
        <f t="shared" si="13"/>
        <v>175</v>
      </c>
      <c r="H30" s="75">
        <f t="shared" si="3"/>
        <v>0</v>
      </c>
      <c r="I30" s="72" t="str">
        <f t="shared" si="4"/>
        <v/>
      </c>
      <c r="J30" s="73">
        <f>IF(OR(I30="",COUNTIF(I$2:I30,I30)&gt;1),J31+1,0)</f>
        <v>146</v>
      </c>
      <c r="K30" s="2">
        <f t="shared" si="14"/>
        <v>175</v>
      </c>
      <c r="L30" s="75">
        <f t="shared" si="5"/>
        <v>0</v>
      </c>
      <c r="M30" s="72" t="str">
        <f t="shared" si="6"/>
        <v/>
      </c>
      <c r="N30" s="73">
        <f>IF(OR(M30="",COUNTIF(M$2:M30,M30)&gt;1),N31+1,0)</f>
        <v>146</v>
      </c>
      <c r="O30" s="2">
        <f t="shared" si="15"/>
        <v>175</v>
      </c>
      <c r="P30" s="75">
        <f t="shared" si="7"/>
        <v>0</v>
      </c>
    </row>
    <row r="31" spans="1:16" x14ac:dyDescent="0.3">
      <c r="A31" s="72" t="str">
        <f t="shared" si="0"/>
        <v/>
      </c>
      <c r="B31" s="73">
        <f>IF(OR(A31="",COUNTIF(A$2:A31,A31)&gt;1),B32+1,0)</f>
        <v>145</v>
      </c>
      <c r="C31" s="2">
        <f t="shared" si="12"/>
        <v>175</v>
      </c>
      <c r="D31" s="75">
        <f t="shared" si="1"/>
        <v>0</v>
      </c>
      <c r="E31" s="72" t="str">
        <f t="shared" si="2"/>
        <v/>
      </c>
      <c r="F31" s="73">
        <f>IF(OR(E31="",COUNTIF(E$2:E31,E31)&gt;1),F32+1,0)</f>
        <v>145</v>
      </c>
      <c r="G31" s="2">
        <f t="shared" si="13"/>
        <v>175</v>
      </c>
      <c r="H31" s="75">
        <f t="shared" si="3"/>
        <v>0</v>
      </c>
      <c r="I31" s="72" t="str">
        <f t="shared" si="4"/>
        <v/>
      </c>
      <c r="J31" s="73">
        <f>IF(OR(I31="",COUNTIF(I$2:I31,I31)&gt;1),J32+1,0)</f>
        <v>145</v>
      </c>
      <c r="K31" s="2">
        <f t="shared" si="14"/>
        <v>175</v>
      </c>
      <c r="L31" s="75">
        <f t="shared" si="5"/>
        <v>0</v>
      </c>
      <c r="M31" s="72" t="str">
        <f t="shared" si="6"/>
        <v/>
      </c>
      <c r="N31" s="73">
        <f>IF(OR(M31="",COUNTIF(M$2:M31,M31)&gt;1),N32+1,0)</f>
        <v>145</v>
      </c>
      <c r="O31" s="2">
        <f t="shared" si="15"/>
        <v>175</v>
      </c>
      <c r="P31" s="75">
        <f t="shared" si="7"/>
        <v>0</v>
      </c>
    </row>
    <row r="32" spans="1:16" x14ac:dyDescent="0.3">
      <c r="A32" s="72" t="str">
        <f t="shared" si="0"/>
        <v/>
      </c>
      <c r="B32" s="73">
        <f>IF(OR(A32="",COUNTIF(A$2:A32,A32)&gt;1),B33+1,0)</f>
        <v>144</v>
      </c>
      <c r="C32" s="2">
        <f t="shared" si="12"/>
        <v>175</v>
      </c>
      <c r="D32" s="75">
        <f t="shared" si="1"/>
        <v>0</v>
      </c>
      <c r="E32" s="72" t="str">
        <f t="shared" si="2"/>
        <v/>
      </c>
      <c r="F32" s="73">
        <f>IF(OR(E32="",COUNTIF(E$2:E32,E32)&gt;1),F33+1,0)</f>
        <v>144</v>
      </c>
      <c r="G32" s="2">
        <f t="shared" si="13"/>
        <v>175</v>
      </c>
      <c r="H32" s="75">
        <f t="shared" si="3"/>
        <v>0</v>
      </c>
      <c r="I32" s="72" t="str">
        <f t="shared" si="4"/>
        <v/>
      </c>
      <c r="J32" s="73">
        <f>IF(OR(I32="",COUNTIF(I$2:I32,I32)&gt;1),J33+1,0)</f>
        <v>144</v>
      </c>
      <c r="K32" s="2">
        <f t="shared" si="14"/>
        <v>175</v>
      </c>
      <c r="L32" s="75">
        <f t="shared" si="5"/>
        <v>0</v>
      </c>
      <c r="M32" s="72" t="str">
        <f t="shared" si="6"/>
        <v/>
      </c>
      <c r="N32" s="73">
        <f>IF(OR(M32="",COUNTIF(M$2:M32,M32)&gt;1),N33+1,0)</f>
        <v>144</v>
      </c>
      <c r="O32" s="2">
        <f t="shared" si="15"/>
        <v>175</v>
      </c>
      <c r="P32" s="75">
        <f t="shared" si="7"/>
        <v>0</v>
      </c>
    </row>
    <row r="33" spans="1:16" x14ac:dyDescent="0.3">
      <c r="A33" s="72" t="str">
        <f t="shared" si="0"/>
        <v/>
      </c>
      <c r="B33" s="73">
        <f>IF(OR(A33="",COUNTIF(A$2:A33,A33)&gt;1),B34+1,0)</f>
        <v>143</v>
      </c>
      <c r="C33" s="2">
        <f t="shared" si="12"/>
        <v>175</v>
      </c>
      <c r="D33" s="75">
        <f t="shared" si="1"/>
        <v>0</v>
      </c>
      <c r="E33" s="72" t="str">
        <f t="shared" si="2"/>
        <v/>
      </c>
      <c r="F33" s="73">
        <f>IF(OR(E33="",COUNTIF(E$2:E33,E33)&gt;1),F34+1,0)</f>
        <v>143</v>
      </c>
      <c r="G33" s="2">
        <f t="shared" si="13"/>
        <v>175</v>
      </c>
      <c r="H33" s="75">
        <f t="shared" si="3"/>
        <v>0</v>
      </c>
      <c r="I33" s="72" t="str">
        <f t="shared" si="4"/>
        <v/>
      </c>
      <c r="J33" s="73">
        <f>IF(OR(I33="",COUNTIF(I$2:I33,I33)&gt;1),J34+1,0)</f>
        <v>143</v>
      </c>
      <c r="K33" s="2">
        <f t="shared" si="14"/>
        <v>175</v>
      </c>
      <c r="L33" s="75">
        <f t="shared" si="5"/>
        <v>0</v>
      </c>
      <c r="M33" s="72" t="str">
        <f t="shared" si="6"/>
        <v/>
      </c>
      <c r="N33" s="73">
        <f>IF(OR(M33="",COUNTIF(M$2:M33,M33)&gt;1),N34+1,0)</f>
        <v>143</v>
      </c>
      <c r="O33" s="2">
        <f t="shared" si="15"/>
        <v>175</v>
      </c>
      <c r="P33" s="75">
        <f t="shared" si="7"/>
        <v>0</v>
      </c>
    </row>
    <row r="34" spans="1:16" x14ac:dyDescent="0.3">
      <c r="A34" s="72" t="str">
        <f t="shared" ref="A34:A65" si="16">TRIM(CLEAN(INDEX(ЗаданияОсень,ROW(A34)-1,1)))</f>
        <v/>
      </c>
      <c r="B34" s="73">
        <f>IF(OR(A34="",COUNTIF(A$2:A34,A34)&gt;1),B35+1,0)</f>
        <v>142</v>
      </c>
      <c r="C34" s="2">
        <f t="shared" si="12"/>
        <v>175</v>
      </c>
      <c r="D34" s="75">
        <f t="shared" ref="D34:D65" si="17">INDEX(ЗаданияОсень,C34,1)</f>
        <v>0</v>
      </c>
      <c r="E34" s="72" t="str">
        <f t="shared" ref="E34:E65" si="18">TRIM(CLEAN(INDEX(ЗаданияОсень,ROW(E34)-1,2)))</f>
        <v/>
      </c>
      <c r="F34" s="73">
        <f>IF(OR(E34="",COUNTIF(E$2:E34,E34)&gt;1),F35+1,0)</f>
        <v>142</v>
      </c>
      <c r="G34" s="2">
        <f t="shared" si="13"/>
        <v>175</v>
      </c>
      <c r="H34" s="75">
        <f t="shared" ref="H34:H65" si="19">INDEX(ЗаданияОсень,G34,2)</f>
        <v>0</v>
      </c>
      <c r="I34" s="72" t="str">
        <f t="shared" ref="I34:I65" si="20">TRIM(CLEAN(INDEX(ЗаданияВесна,ROW(I34)-1,1)))</f>
        <v/>
      </c>
      <c r="J34" s="73">
        <f>IF(OR(I34="",COUNTIF(I$2:I34,I34)&gt;1),J35+1,0)</f>
        <v>142</v>
      </c>
      <c r="K34" s="2">
        <f t="shared" si="14"/>
        <v>175</v>
      </c>
      <c r="L34" s="75">
        <f t="shared" ref="L34:L65" si="21">INDEX(ЗаданияВесна,K34,1)</f>
        <v>0</v>
      </c>
      <c r="M34" s="72" t="str">
        <f t="shared" ref="M34:M65" si="22">TRIM(CLEAN(INDEX(ЗаданияВесна,ROW(M34)-1,2)))</f>
        <v/>
      </c>
      <c r="N34" s="73">
        <f>IF(OR(M34="",COUNTIF(M$2:M34,M34)&gt;1),N35+1,0)</f>
        <v>142</v>
      </c>
      <c r="O34" s="2">
        <f t="shared" si="15"/>
        <v>175</v>
      </c>
      <c r="P34" s="75">
        <f t="shared" ref="P34:P65" si="23">INDEX(ЗаданияВесна,O34,2)</f>
        <v>0</v>
      </c>
    </row>
    <row r="35" spans="1:16" x14ac:dyDescent="0.3">
      <c r="A35" s="72" t="str">
        <f t="shared" si="16"/>
        <v/>
      </c>
      <c r="B35" s="73">
        <f>IF(OR(A35="",COUNTIF(A$2:A35,A35)&gt;1),B36+1,0)</f>
        <v>141</v>
      </c>
      <c r="C35" s="2">
        <f t="shared" si="12"/>
        <v>175</v>
      </c>
      <c r="D35" s="75">
        <f t="shared" si="17"/>
        <v>0</v>
      </c>
      <c r="E35" s="72" t="str">
        <f t="shared" si="18"/>
        <v/>
      </c>
      <c r="F35" s="73">
        <f>IF(OR(E35="",COUNTIF(E$2:E35,E35)&gt;1),F36+1,0)</f>
        <v>141</v>
      </c>
      <c r="G35" s="2">
        <f t="shared" si="13"/>
        <v>175</v>
      </c>
      <c r="H35" s="75">
        <f t="shared" si="19"/>
        <v>0</v>
      </c>
      <c r="I35" s="72" t="str">
        <f t="shared" si="20"/>
        <v/>
      </c>
      <c r="J35" s="73">
        <f>IF(OR(I35="",COUNTIF(I$2:I35,I35)&gt;1),J36+1,0)</f>
        <v>141</v>
      </c>
      <c r="K35" s="2">
        <f t="shared" si="14"/>
        <v>175</v>
      </c>
      <c r="L35" s="75">
        <f t="shared" si="21"/>
        <v>0</v>
      </c>
      <c r="M35" s="72" t="str">
        <f t="shared" si="22"/>
        <v/>
      </c>
      <c r="N35" s="73">
        <f>IF(OR(M35="",COUNTIF(M$2:M35,M35)&gt;1),N36+1,0)</f>
        <v>141</v>
      </c>
      <c r="O35" s="2">
        <f t="shared" si="15"/>
        <v>175</v>
      </c>
      <c r="P35" s="75">
        <f t="shared" si="23"/>
        <v>0</v>
      </c>
    </row>
    <row r="36" spans="1:16" x14ac:dyDescent="0.3">
      <c r="A36" s="72" t="str">
        <f t="shared" si="16"/>
        <v/>
      </c>
      <c r="B36" s="73">
        <f>IF(OR(A36="",COUNTIF(A$2:A36,A36)&gt;1),B37+1,0)</f>
        <v>140</v>
      </c>
      <c r="C36" s="2">
        <f t="shared" si="12"/>
        <v>175</v>
      </c>
      <c r="D36" s="75">
        <f t="shared" si="17"/>
        <v>0</v>
      </c>
      <c r="E36" s="72" t="str">
        <f t="shared" si="18"/>
        <v/>
      </c>
      <c r="F36" s="73">
        <f>IF(OR(E36="",COUNTIF(E$2:E36,E36)&gt;1),F37+1,0)</f>
        <v>140</v>
      </c>
      <c r="G36" s="2">
        <f t="shared" si="13"/>
        <v>175</v>
      </c>
      <c r="H36" s="75">
        <f t="shared" si="19"/>
        <v>0</v>
      </c>
      <c r="I36" s="72" t="str">
        <f t="shared" si="20"/>
        <v/>
      </c>
      <c r="J36" s="73">
        <f>IF(OR(I36="",COUNTIF(I$2:I36,I36)&gt;1),J37+1,0)</f>
        <v>140</v>
      </c>
      <c r="K36" s="2">
        <f t="shared" si="14"/>
        <v>175</v>
      </c>
      <c r="L36" s="75">
        <f t="shared" si="21"/>
        <v>0</v>
      </c>
      <c r="M36" s="72" t="str">
        <f t="shared" si="22"/>
        <v/>
      </c>
      <c r="N36" s="73">
        <f>IF(OR(M36="",COUNTIF(M$2:M36,M36)&gt;1),N37+1,0)</f>
        <v>140</v>
      </c>
      <c r="O36" s="2">
        <f t="shared" si="15"/>
        <v>175</v>
      </c>
      <c r="P36" s="75">
        <f t="shared" si="23"/>
        <v>0</v>
      </c>
    </row>
    <row r="37" spans="1:16" x14ac:dyDescent="0.3">
      <c r="A37" s="72" t="str">
        <f t="shared" si="16"/>
        <v/>
      </c>
      <c r="B37" s="73">
        <f>IF(OR(A37="",COUNTIF(A$2:A37,A37)&gt;1),B38+1,0)</f>
        <v>139</v>
      </c>
      <c r="C37" s="2">
        <f t="shared" si="12"/>
        <v>175</v>
      </c>
      <c r="D37" s="75">
        <f t="shared" si="17"/>
        <v>0</v>
      </c>
      <c r="E37" s="72" t="str">
        <f t="shared" si="18"/>
        <v/>
      </c>
      <c r="F37" s="73">
        <f>IF(OR(E37="",COUNTIF(E$2:E37,E37)&gt;1),F38+1,0)</f>
        <v>139</v>
      </c>
      <c r="G37" s="2">
        <f t="shared" si="13"/>
        <v>175</v>
      </c>
      <c r="H37" s="75">
        <f t="shared" si="19"/>
        <v>0</v>
      </c>
      <c r="I37" s="72" t="str">
        <f t="shared" si="20"/>
        <v/>
      </c>
      <c r="J37" s="73">
        <f>IF(OR(I37="",COUNTIF(I$2:I37,I37)&gt;1),J38+1,0)</f>
        <v>139</v>
      </c>
      <c r="K37" s="2">
        <f t="shared" si="14"/>
        <v>175</v>
      </c>
      <c r="L37" s="75">
        <f t="shared" si="21"/>
        <v>0</v>
      </c>
      <c r="M37" s="72" t="str">
        <f t="shared" si="22"/>
        <v/>
      </c>
      <c r="N37" s="73">
        <f>IF(OR(M37="",COUNTIF(M$2:M37,M37)&gt;1),N38+1,0)</f>
        <v>139</v>
      </c>
      <c r="O37" s="2">
        <f t="shared" si="15"/>
        <v>175</v>
      </c>
      <c r="P37" s="75">
        <f t="shared" si="23"/>
        <v>0</v>
      </c>
    </row>
    <row r="38" spans="1:16" x14ac:dyDescent="0.3">
      <c r="A38" s="72" t="str">
        <f t="shared" si="16"/>
        <v/>
      </c>
      <c r="B38" s="73">
        <f>IF(OR(A38="",COUNTIF(A$2:A38,A38)&gt;1),B39+1,0)</f>
        <v>138</v>
      </c>
      <c r="C38" s="2">
        <f t="shared" si="12"/>
        <v>175</v>
      </c>
      <c r="D38" s="75">
        <f t="shared" si="17"/>
        <v>0</v>
      </c>
      <c r="E38" s="72" t="str">
        <f t="shared" si="18"/>
        <v/>
      </c>
      <c r="F38" s="73">
        <f>IF(OR(E38="",COUNTIF(E$2:E38,E38)&gt;1),F39+1,0)</f>
        <v>138</v>
      </c>
      <c r="G38" s="2">
        <f t="shared" si="13"/>
        <v>175</v>
      </c>
      <c r="H38" s="75">
        <f t="shared" si="19"/>
        <v>0</v>
      </c>
      <c r="I38" s="72" t="str">
        <f t="shared" si="20"/>
        <v/>
      </c>
      <c r="J38" s="73">
        <f>IF(OR(I38="",COUNTIF(I$2:I38,I38)&gt;1),J39+1,0)</f>
        <v>138</v>
      </c>
      <c r="K38" s="2">
        <f t="shared" si="14"/>
        <v>175</v>
      </c>
      <c r="L38" s="75">
        <f t="shared" si="21"/>
        <v>0</v>
      </c>
      <c r="M38" s="72" t="str">
        <f t="shared" si="22"/>
        <v/>
      </c>
      <c r="N38" s="73">
        <f>IF(OR(M38="",COUNTIF(M$2:M38,M38)&gt;1),N39+1,0)</f>
        <v>138</v>
      </c>
      <c r="O38" s="2">
        <f t="shared" si="15"/>
        <v>175</v>
      </c>
      <c r="P38" s="75">
        <f t="shared" si="23"/>
        <v>0</v>
      </c>
    </row>
    <row r="39" spans="1:16" x14ac:dyDescent="0.3">
      <c r="A39" s="72" t="str">
        <f t="shared" si="16"/>
        <v/>
      </c>
      <c r="B39" s="73">
        <f>IF(OR(A39="",COUNTIF(A$2:A39,A39)&gt;1),B40+1,0)</f>
        <v>137</v>
      </c>
      <c r="C39" s="2">
        <f t="shared" si="12"/>
        <v>175</v>
      </c>
      <c r="D39" s="75">
        <f t="shared" si="17"/>
        <v>0</v>
      </c>
      <c r="E39" s="72" t="str">
        <f t="shared" si="18"/>
        <v/>
      </c>
      <c r="F39" s="73">
        <f>IF(OR(E39="",COUNTIF(E$2:E39,E39)&gt;1),F40+1,0)</f>
        <v>137</v>
      </c>
      <c r="G39" s="2">
        <f t="shared" si="13"/>
        <v>175</v>
      </c>
      <c r="H39" s="75">
        <f t="shared" si="19"/>
        <v>0</v>
      </c>
      <c r="I39" s="72" t="str">
        <f t="shared" si="20"/>
        <v/>
      </c>
      <c r="J39" s="73">
        <f>IF(OR(I39="",COUNTIF(I$2:I39,I39)&gt;1),J40+1,0)</f>
        <v>137</v>
      </c>
      <c r="K39" s="2">
        <f t="shared" si="14"/>
        <v>175</v>
      </c>
      <c r="L39" s="75">
        <f t="shared" si="21"/>
        <v>0</v>
      </c>
      <c r="M39" s="72" t="str">
        <f t="shared" si="22"/>
        <v/>
      </c>
      <c r="N39" s="73">
        <f>IF(OR(M39="",COUNTIF(M$2:M39,M39)&gt;1),N40+1,0)</f>
        <v>137</v>
      </c>
      <c r="O39" s="2">
        <f t="shared" si="15"/>
        <v>175</v>
      </c>
      <c r="P39" s="75">
        <f t="shared" si="23"/>
        <v>0</v>
      </c>
    </row>
    <row r="40" spans="1:16" x14ac:dyDescent="0.3">
      <c r="A40" s="72" t="str">
        <f t="shared" si="16"/>
        <v/>
      </c>
      <c r="B40" s="73">
        <f>IF(OR(A40="",COUNTIF(A$2:A40,A40)&gt;1),B41+1,0)</f>
        <v>136</v>
      </c>
      <c r="C40" s="2">
        <f t="shared" si="12"/>
        <v>175</v>
      </c>
      <c r="D40" s="75">
        <f t="shared" si="17"/>
        <v>0</v>
      </c>
      <c r="E40" s="72" t="str">
        <f t="shared" si="18"/>
        <v/>
      </c>
      <c r="F40" s="73">
        <f>IF(OR(E40="",COUNTIF(E$2:E40,E40)&gt;1),F41+1,0)</f>
        <v>136</v>
      </c>
      <c r="G40" s="2">
        <f t="shared" si="13"/>
        <v>175</v>
      </c>
      <c r="H40" s="75">
        <f t="shared" si="19"/>
        <v>0</v>
      </c>
      <c r="I40" s="72" t="str">
        <f t="shared" si="20"/>
        <v/>
      </c>
      <c r="J40" s="73">
        <f>IF(OR(I40="",COUNTIF(I$2:I40,I40)&gt;1),J41+1,0)</f>
        <v>136</v>
      </c>
      <c r="K40" s="2">
        <f t="shared" si="14"/>
        <v>175</v>
      </c>
      <c r="L40" s="75">
        <f t="shared" si="21"/>
        <v>0</v>
      </c>
      <c r="M40" s="72" t="str">
        <f t="shared" si="22"/>
        <v/>
      </c>
      <c r="N40" s="73">
        <f>IF(OR(M40="",COUNTIF(M$2:M40,M40)&gt;1),N41+1,0)</f>
        <v>136</v>
      </c>
      <c r="O40" s="2">
        <f t="shared" si="15"/>
        <v>175</v>
      </c>
      <c r="P40" s="75">
        <f t="shared" si="23"/>
        <v>0</v>
      </c>
    </row>
    <row r="41" spans="1:16" x14ac:dyDescent="0.3">
      <c r="A41" s="72" t="str">
        <f t="shared" si="16"/>
        <v/>
      </c>
      <c r="B41" s="73">
        <f>IF(OR(A41="",COUNTIF(A$2:A41,A41)&gt;1),B42+1,0)</f>
        <v>135</v>
      </c>
      <c r="C41" s="2">
        <f t="shared" si="12"/>
        <v>175</v>
      </c>
      <c r="D41" s="75">
        <f t="shared" si="17"/>
        <v>0</v>
      </c>
      <c r="E41" s="72" t="str">
        <f t="shared" si="18"/>
        <v/>
      </c>
      <c r="F41" s="73">
        <f>IF(OR(E41="",COUNTIF(E$2:E41,E41)&gt;1),F42+1,0)</f>
        <v>135</v>
      </c>
      <c r="G41" s="2">
        <f t="shared" si="13"/>
        <v>175</v>
      </c>
      <c r="H41" s="75">
        <f t="shared" si="19"/>
        <v>0</v>
      </c>
      <c r="I41" s="72" t="str">
        <f t="shared" si="20"/>
        <v/>
      </c>
      <c r="J41" s="73">
        <f>IF(OR(I41="",COUNTIF(I$2:I41,I41)&gt;1),J42+1,0)</f>
        <v>135</v>
      </c>
      <c r="K41" s="2">
        <f t="shared" si="14"/>
        <v>175</v>
      </c>
      <c r="L41" s="75">
        <f t="shared" si="21"/>
        <v>0</v>
      </c>
      <c r="M41" s="72" t="str">
        <f t="shared" si="22"/>
        <v/>
      </c>
      <c r="N41" s="73">
        <f>IF(OR(M41="",COUNTIF(M$2:M41,M41)&gt;1),N42+1,0)</f>
        <v>135</v>
      </c>
      <c r="O41" s="2">
        <f t="shared" si="15"/>
        <v>175</v>
      </c>
      <c r="P41" s="75">
        <f t="shared" si="23"/>
        <v>0</v>
      </c>
    </row>
    <row r="42" spans="1:16" x14ac:dyDescent="0.3">
      <c r="A42" s="72" t="str">
        <f t="shared" si="16"/>
        <v/>
      </c>
      <c r="B42" s="73">
        <f>IF(OR(A42="",COUNTIF(A$2:A42,A42)&gt;1),B43+1,0)</f>
        <v>134</v>
      </c>
      <c r="C42" s="2">
        <f t="shared" si="12"/>
        <v>175</v>
      </c>
      <c r="D42" s="75">
        <f t="shared" si="17"/>
        <v>0</v>
      </c>
      <c r="E42" s="72" t="str">
        <f t="shared" si="18"/>
        <v/>
      </c>
      <c r="F42" s="73">
        <f>IF(OR(E42="",COUNTIF(E$2:E42,E42)&gt;1),F43+1,0)</f>
        <v>134</v>
      </c>
      <c r="G42" s="2">
        <f t="shared" si="13"/>
        <v>175</v>
      </c>
      <c r="H42" s="75">
        <f t="shared" si="19"/>
        <v>0</v>
      </c>
      <c r="I42" s="72" t="str">
        <f t="shared" si="20"/>
        <v/>
      </c>
      <c r="J42" s="73">
        <f>IF(OR(I42="",COUNTIF(I$2:I42,I42)&gt;1),J43+1,0)</f>
        <v>134</v>
      </c>
      <c r="K42" s="2">
        <f t="shared" si="14"/>
        <v>175</v>
      </c>
      <c r="L42" s="75">
        <f t="shared" si="21"/>
        <v>0</v>
      </c>
      <c r="M42" s="72" t="str">
        <f t="shared" si="22"/>
        <v/>
      </c>
      <c r="N42" s="73">
        <f>IF(OR(M42="",COUNTIF(M$2:M42,M42)&gt;1),N43+1,0)</f>
        <v>134</v>
      </c>
      <c r="O42" s="2">
        <f t="shared" si="15"/>
        <v>175</v>
      </c>
      <c r="P42" s="75">
        <f t="shared" si="23"/>
        <v>0</v>
      </c>
    </row>
    <row r="43" spans="1:16" x14ac:dyDescent="0.3">
      <c r="A43" s="72" t="str">
        <f t="shared" si="16"/>
        <v/>
      </c>
      <c r="B43" s="73">
        <f>IF(OR(A43="",COUNTIF(A$2:A43,A43)&gt;1),B44+1,0)</f>
        <v>133</v>
      </c>
      <c r="C43" s="2">
        <f t="shared" si="12"/>
        <v>175</v>
      </c>
      <c r="D43" s="75">
        <f t="shared" si="17"/>
        <v>0</v>
      </c>
      <c r="E43" s="72" t="str">
        <f t="shared" si="18"/>
        <v/>
      </c>
      <c r="F43" s="73">
        <f>IF(OR(E43="",COUNTIF(E$2:E43,E43)&gt;1),F44+1,0)</f>
        <v>133</v>
      </c>
      <c r="G43" s="2">
        <f t="shared" si="13"/>
        <v>175</v>
      </c>
      <c r="H43" s="75">
        <f t="shared" si="19"/>
        <v>0</v>
      </c>
      <c r="I43" s="72" t="str">
        <f t="shared" si="20"/>
        <v/>
      </c>
      <c r="J43" s="73">
        <f>IF(OR(I43="",COUNTIF(I$2:I43,I43)&gt;1),J44+1,0)</f>
        <v>133</v>
      </c>
      <c r="K43" s="2">
        <f t="shared" si="14"/>
        <v>175</v>
      </c>
      <c r="L43" s="75">
        <f t="shared" si="21"/>
        <v>0</v>
      </c>
      <c r="M43" s="72" t="str">
        <f t="shared" si="22"/>
        <v/>
      </c>
      <c r="N43" s="73">
        <f>IF(OR(M43="",COUNTIF(M$2:M43,M43)&gt;1),N44+1,0)</f>
        <v>133</v>
      </c>
      <c r="O43" s="2">
        <f t="shared" si="15"/>
        <v>175</v>
      </c>
      <c r="P43" s="75">
        <f t="shared" si="23"/>
        <v>0</v>
      </c>
    </row>
    <row r="44" spans="1:16" x14ac:dyDescent="0.3">
      <c r="A44" s="72" t="str">
        <f t="shared" si="16"/>
        <v/>
      </c>
      <c r="B44" s="73">
        <f>IF(OR(A44="",COUNTIF(A$2:A44,A44)&gt;1),B45+1,0)</f>
        <v>132</v>
      </c>
      <c r="C44" s="2">
        <f t="shared" si="12"/>
        <v>175</v>
      </c>
      <c r="D44" s="75">
        <f t="shared" si="17"/>
        <v>0</v>
      </c>
      <c r="E44" s="72" t="str">
        <f t="shared" si="18"/>
        <v/>
      </c>
      <c r="F44" s="73">
        <f>IF(OR(E44="",COUNTIF(E$2:E44,E44)&gt;1),F45+1,0)</f>
        <v>132</v>
      </c>
      <c r="G44" s="2">
        <f t="shared" si="13"/>
        <v>175</v>
      </c>
      <c r="H44" s="75">
        <f t="shared" si="19"/>
        <v>0</v>
      </c>
      <c r="I44" s="72" t="str">
        <f t="shared" si="20"/>
        <v/>
      </c>
      <c r="J44" s="73">
        <f>IF(OR(I44="",COUNTIF(I$2:I44,I44)&gt;1),J45+1,0)</f>
        <v>132</v>
      </c>
      <c r="K44" s="2">
        <f t="shared" si="14"/>
        <v>175</v>
      </c>
      <c r="L44" s="75">
        <f t="shared" si="21"/>
        <v>0</v>
      </c>
      <c r="M44" s="72" t="str">
        <f t="shared" si="22"/>
        <v/>
      </c>
      <c r="N44" s="73">
        <f>IF(OR(M44="",COUNTIF(M$2:M44,M44)&gt;1),N45+1,0)</f>
        <v>132</v>
      </c>
      <c r="O44" s="2">
        <f t="shared" si="15"/>
        <v>175</v>
      </c>
      <c r="P44" s="75">
        <f t="shared" si="23"/>
        <v>0</v>
      </c>
    </row>
    <row r="45" spans="1:16" x14ac:dyDescent="0.3">
      <c r="A45" s="72" t="str">
        <f t="shared" si="16"/>
        <v/>
      </c>
      <c r="B45" s="73">
        <f>IF(OR(A45="",COUNTIF(A$2:A45,A45)&gt;1),B46+1,0)</f>
        <v>131</v>
      </c>
      <c r="C45" s="2">
        <f t="shared" si="12"/>
        <v>175</v>
      </c>
      <c r="D45" s="75">
        <f t="shared" si="17"/>
        <v>0</v>
      </c>
      <c r="E45" s="72" t="str">
        <f t="shared" si="18"/>
        <v/>
      </c>
      <c r="F45" s="73">
        <f>IF(OR(E45="",COUNTIF(E$2:E45,E45)&gt;1),F46+1,0)</f>
        <v>131</v>
      </c>
      <c r="G45" s="2">
        <f t="shared" si="13"/>
        <v>175</v>
      </c>
      <c r="H45" s="75">
        <f t="shared" si="19"/>
        <v>0</v>
      </c>
      <c r="I45" s="72" t="str">
        <f t="shared" si="20"/>
        <v/>
      </c>
      <c r="J45" s="73">
        <f>IF(OR(I45="",COUNTIF(I$2:I45,I45)&gt;1),J46+1,0)</f>
        <v>131</v>
      </c>
      <c r="K45" s="2">
        <f t="shared" si="14"/>
        <v>175</v>
      </c>
      <c r="L45" s="75">
        <f t="shared" si="21"/>
        <v>0</v>
      </c>
      <c r="M45" s="72" t="str">
        <f t="shared" si="22"/>
        <v/>
      </c>
      <c r="N45" s="73">
        <f>IF(OR(M45="",COUNTIF(M$2:M45,M45)&gt;1),N46+1,0)</f>
        <v>131</v>
      </c>
      <c r="O45" s="2">
        <f t="shared" si="15"/>
        <v>175</v>
      </c>
      <c r="P45" s="75">
        <f t="shared" si="23"/>
        <v>0</v>
      </c>
    </row>
    <row r="46" spans="1:16" x14ac:dyDescent="0.3">
      <c r="A46" s="72" t="str">
        <f t="shared" si="16"/>
        <v/>
      </c>
      <c r="B46" s="73">
        <f>IF(OR(A46="",COUNTIF(A$2:A46,A46)&gt;1),B47+1,0)</f>
        <v>130</v>
      </c>
      <c r="C46" s="2">
        <f t="shared" si="12"/>
        <v>175</v>
      </c>
      <c r="D46" s="75">
        <f t="shared" si="17"/>
        <v>0</v>
      </c>
      <c r="E46" s="72" t="str">
        <f t="shared" si="18"/>
        <v/>
      </c>
      <c r="F46" s="73">
        <f>IF(OR(E46="",COUNTIF(E$2:E46,E46)&gt;1),F47+1,0)</f>
        <v>130</v>
      </c>
      <c r="G46" s="2">
        <f t="shared" si="13"/>
        <v>175</v>
      </c>
      <c r="H46" s="75">
        <f t="shared" si="19"/>
        <v>0</v>
      </c>
      <c r="I46" s="72" t="str">
        <f t="shared" si="20"/>
        <v/>
      </c>
      <c r="J46" s="73">
        <f>IF(OR(I46="",COUNTIF(I$2:I46,I46)&gt;1),J47+1,0)</f>
        <v>130</v>
      </c>
      <c r="K46" s="2">
        <f t="shared" si="14"/>
        <v>175</v>
      </c>
      <c r="L46" s="75">
        <f t="shared" si="21"/>
        <v>0</v>
      </c>
      <c r="M46" s="72" t="str">
        <f t="shared" si="22"/>
        <v/>
      </c>
      <c r="N46" s="73">
        <f>IF(OR(M46="",COUNTIF(M$2:M46,M46)&gt;1),N47+1,0)</f>
        <v>130</v>
      </c>
      <c r="O46" s="2">
        <f t="shared" si="15"/>
        <v>175</v>
      </c>
      <c r="P46" s="75">
        <f t="shared" si="23"/>
        <v>0</v>
      </c>
    </row>
    <row r="47" spans="1:16" x14ac:dyDescent="0.3">
      <c r="A47" s="72" t="str">
        <f t="shared" si="16"/>
        <v/>
      </c>
      <c r="B47" s="73">
        <f>IF(OR(A47="",COUNTIF(A$2:A47,A47)&gt;1),B48+1,0)</f>
        <v>129</v>
      </c>
      <c r="C47" s="2">
        <f t="shared" si="12"/>
        <v>175</v>
      </c>
      <c r="D47" s="75">
        <f t="shared" si="17"/>
        <v>0</v>
      </c>
      <c r="E47" s="72" t="str">
        <f t="shared" si="18"/>
        <v/>
      </c>
      <c r="F47" s="73">
        <f>IF(OR(E47="",COUNTIF(E$2:E47,E47)&gt;1),F48+1,0)</f>
        <v>129</v>
      </c>
      <c r="G47" s="2">
        <f t="shared" si="13"/>
        <v>175</v>
      </c>
      <c r="H47" s="75">
        <f t="shared" si="19"/>
        <v>0</v>
      </c>
      <c r="I47" s="72" t="str">
        <f t="shared" si="20"/>
        <v/>
      </c>
      <c r="J47" s="73">
        <f>IF(OR(I47="",COUNTIF(I$2:I47,I47)&gt;1),J48+1,0)</f>
        <v>129</v>
      </c>
      <c r="K47" s="2">
        <f t="shared" si="14"/>
        <v>175</v>
      </c>
      <c r="L47" s="75">
        <f t="shared" si="21"/>
        <v>0</v>
      </c>
      <c r="M47" s="72" t="str">
        <f t="shared" si="22"/>
        <v/>
      </c>
      <c r="N47" s="73">
        <f>IF(OR(M47="",COUNTIF(M$2:M47,M47)&gt;1),N48+1,0)</f>
        <v>129</v>
      </c>
      <c r="O47" s="2">
        <f t="shared" si="15"/>
        <v>175</v>
      </c>
      <c r="P47" s="75">
        <f t="shared" si="23"/>
        <v>0</v>
      </c>
    </row>
    <row r="48" spans="1:16" x14ac:dyDescent="0.3">
      <c r="A48" s="72" t="str">
        <f t="shared" si="16"/>
        <v/>
      </c>
      <c r="B48" s="73">
        <f>IF(OR(A48="",COUNTIF(A$2:A48,A48)&gt;1),B49+1,0)</f>
        <v>128</v>
      </c>
      <c r="C48" s="2">
        <f t="shared" si="12"/>
        <v>175</v>
      </c>
      <c r="D48" s="75">
        <f t="shared" si="17"/>
        <v>0</v>
      </c>
      <c r="E48" s="72" t="str">
        <f t="shared" si="18"/>
        <v/>
      </c>
      <c r="F48" s="73">
        <f>IF(OR(E48="",COUNTIF(E$2:E48,E48)&gt;1),F49+1,0)</f>
        <v>128</v>
      </c>
      <c r="G48" s="2">
        <f t="shared" si="13"/>
        <v>175</v>
      </c>
      <c r="H48" s="75">
        <f t="shared" si="19"/>
        <v>0</v>
      </c>
      <c r="I48" s="72" t="str">
        <f t="shared" si="20"/>
        <v/>
      </c>
      <c r="J48" s="73">
        <f>IF(OR(I48="",COUNTIF(I$2:I48,I48)&gt;1),J49+1,0)</f>
        <v>128</v>
      </c>
      <c r="K48" s="2">
        <f t="shared" si="14"/>
        <v>175</v>
      </c>
      <c r="L48" s="75">
        <f t="shared" si="21"/>
        <v>0</v>
      </c>
      <c r="M48" s="72" t="str">
        <f t="shared" si="22"/>
        <v/>
      </c>
      <c r="N48" s="73">
        <f>IF(OR(M48="",COUNTIF(M$2:M48,M48)&gt;1),N49+1,0)</f>
        <v>128</v>
      </c>
      <c r="O48" s="2">
        <f t="shared" si="15"/>
        <v>175</v>
      </c>
      <c r="P48" s="75">
        <f t="shared" si="23"/>
        <v>0</v>
      </c>
    </row>
    <row r="49" spans="1:16" x14ac:dyDescent="0.3">
      <c r="A49" s="72" t="str">
        <f t="shared" si="16"/>
        <v/>
      </c>
      <c r="B49" s="73">
        <f>IF(OR(A49="",COUNTIF(A$2:A49,A49)&gt;1),B50+1,0)</f>
        <v>127</v>
      </c>
      <c r="C49" s="2">
        <f t="shared" si="12"/>
        <v>175</v>
      </c>
      <c r="D49" s="75">
        <f t="shared" si="17"/>
        <v>0</v>
      </c>
      <c r="E49" s="72" t="str">
        <f t="shared" si="18"/>
        <v/>
      </c>
      <c r="F49" s="73">
        <f>IF(OR(E49="",COUNTIF(E$2:E49,E49)&gt;1),F50+1,0)</f>
        <v>127</v>
      </c>
      <c r="G49" s="2">
        <f t="shared" si="13"/>
        <v>175</v>
      </c>
      <c r="H49" s="75">
        <f t="shared" si="19"/>
        <v>0</v>
      </c>
      <c r="I49" s="72" t="str">
        <f t="shared" si="20"/>
        <v/>
      </c>
      <c r="J49" s="73">
        <f>IF(OR(I49="",COUNTIF(I$2:I49,I49)&gt;1),J50+1,0)</f>
        <v>127</v>
      </c>
      <c r="K49" s="2">
        <f t="shared" si="14"/>
        <v>175</v>
      </c>
      <c r="L49" s="75">
        <f t="shared" si="21"/>
        <v>0</v>
      </c>
      <c r="M49" s="72" t="str">
        <f t="shared" si="22"/>
        <v/>
      </c>
      <c r="N49" s="73">
        <f>IF(OR(M49="",COUNTIF(M$2:M49,M49)&gt;1),N50+1,0)</f>
        <v>127</v>
      </c>
      <c r="O49" s="2">
        <f t="shared" si="15"/>
        <v>175</v>
      </c>
      <c r="P49" s="75">
        <f t="shared" si="23"/>
        <v>0</v>
      </c>
    </row>
    <row r="50" spans="1:16" x14ac:dyDescent="0.3">
      <c r="A50" s="72" t="str">
        <f t="shared" si="16"/>
        <v/>
      </c>
      <c r="B50" s="73">
        <f>IF(OR(A50="",COUNTIF(A$2:A50,A50)&gt;1),B51+1,0)</f>
        <v>126</v>
      </c>
      <c r="C50" s="2">
        <f t="shared" si="12"/>
        <v>175</v>
      </c>
      <c r="D50" s="75">
        <f t="shared" si="17"/>
        <v>0</v>
      </c>
      <c r="E50" s="72" t="str">
        <f t="shared" si="18"/>
        <v/>
      </c>
      <c r="F50" s="73">
        <f>IF(OR(E50="",COUNTIF(E$2:E50,E50)&gt;1),F51+1,0)</f>
        <v>126</v>
      </c>
      <c r="G50" s="2">
        <f t="shared" si="13"/>
        <v>175</v>
      </c>
      <c r="H50" s="75">
        <f t="shared" si="19"/>
        <v>0</v>
      </c>
      <c r="I50" s="72" t="str">
        <f t="shared" si="20"/>
        <v/>
      </c>
      <c r="J50" s="73">
        <f>IF(OR(I50="",COUNTIF(I$2:I50,I50)&gt;1),J51+1,0)</f>
        <v>126</v>
      </c>
      <c r="K50" s="2">
        <f t="shared" si="14"/>
        <v>175</v>
      </c>
      <c r="L50" s="75">
        <f t="shared" si="21"/>
        <v>0</v>
      </c>
      <c r="M50" s="72" t="str">
        <f t="shared" si="22"/>
        <v/>
      </c>
      <c r="N50" s="73">
        <f>IF(OR(M50="",COUNTIF(M$2:M50,M50)&gt;1),N51+1,0)</f>
        <v>126</v>
      </c>
      <c r="O50" s="2">
        <f t="shared" si="15"/>
        <v>175</v>
      </c>
      <c r="P50" s="75">
        <f t="shared" si="23"/>
        <v>0</v>
      </c>
    </row>
    <row r="51" spans="1:16" x14ac:dyDescent="0.3">
      <c r="A51" s="72" t="str">
        <f t="shared" si="16"/>
        <v/>
      </c>
      <c r="B51" s="73">
        <f>IF(OR(A51="",COUNTIF(A$2:A51,A51)&gt;1),B52+1,0)</f>
        <v>125</v>
      </c>
      <c r="C51" s="2">
        <f t="shared" si="12"/>
        <v>175</v>
      </c>
      <c r="D51" s="75">
        <f t="shared" si="17"/>
        <v>0</v>
      </c>
      <c r="E51" s="72" t="str">
        <f t="shared" si="18"/>
        <v/>
      </c>
      <c r="F51" s="73">
        <f>IF(OR(E51="",COUNTIF(E$2:E51,E51)&gt;1),F52+1,0)</f>
        <v>125</v>
      </c>
      <c r="G51" s="2">
        <f t="shared" si="13"/>
        <v>175</v>
      </c>
      <c r="H51" s="75">
        <f t="shared" si="19"/>
        <v>0</v>
      </c>
      <c r="I51" s="72" t="str">
        <f t="shared" si="20"/>
        <v/>
      </c>
      <c r="J51" s="73">
        <f>IF(OR(I51="",COUNTIF(I$2:I51,I51)&gt;1),J52+1,0)</f>
        <v>125</v>
      </c>
      <c r="K51" s="2">
        <f t="shared" si="14"/>
        <v>175</v>
      </c>
      <c r="L51" s="75">
        <f t="shared" si="21"/>
        <v>0</v>
      </c>
      <c r="M51" s="72" t="str">
        <f t="shared" si="22"/>
        <v/>
      </c>
      <c r="N51" s="73">
        <f>IF(OR(M51="",COUNTIF(M$2:M51,M51)&gt;1),N52+1,0)</f>
        <v>125</v>
      </c>
      <c r="O51" s="2">
        <f t="shared" si="15"/>
        <v>175</v>
      </c>
      <c r="P51" s="75">
        <f t="shared" si="23"/>
        <v>0</v>
      </c>
    </row>
    <row r="52" spans="1:16" x14ac:dyDescent="0.3">
      <c r="A52" s="72" t="str">
        <f t="shared" si="16"/>
        <v/>
      </c>
      <c r="B52" s="73">
        <f>IF(OR(A52="",COUNTIF(A$2:A52,A52)&gt;1),B53+1,0)</f>
        <v>124</v>
      </c>
      <c r="C52" s="2">
        <f t="shared" si="12"/>
        <v>175</v>
      </c>
      <c r="D52" s="75">
        <f t="shared" si="17"/>
        <v>0</v>
      </c>
      <c r="E52" s="72" t="str">
        <f t="shared" si="18"/>
        <v/>
      </c>
      <c r="F52" s="73">
        <f>IF(OR(E52="",COUNTIF(E$2:E52,E52)&gt;1),F53+1,0)</f>
        <v>124</v>
      </c>
      <c r="G52" s="2">
        <f t="shared" si="13"/>
        <v>175</v>
      </c>
      <c r="H52" s="75">
        <f t="shared" si="19"/>
        <v>0</v>
      </c>
      <c r="I52" s="72" t="str">
        <f t="shared" si="20"/>
        <v/>
      </c>
      <c r="J52" s="73">
        <f>IF(OR(I52="",COUNTIF(I$2:I52,I52)&gt;1),J53+1,0)</f>
        <v>124</v>
      </c>
      <c r="K52" s="2">
        <f t="shared" si="14"/>
        <v>175</v>
      </c>
      <c r="L52" s="75">
        <f t="shared" si="21"/>
        <v>0</v>
      </c>
      <c r="M52" s="72" t="str">
        <f t="shared" si="22"/>
        <v/>
      </c>
      <c r="N52" s="73">
        <f>IF(OR(M52="",COUNTIF(M$2:M52,M52)&gt;1),N53+1,0)</f>
        <v>124</v>
      </c>
      <c r="O52" s="2">
        <f t="shared" si="15"/>
        <v>175</v>
      </c>
      <c r="P52" s="75">
        <f t="shared" si="23"/>
        <v>0</v>
      </c>
    </row>
    <row r="53" spans="1:16" x14ac:dyDescent="0.3">
      <c r="A53" s="72" t="str">
        <f t="shared" si="16"/>
        <v/>
      </c>
      <c r="B53" s="73">
        <f>IF(OR(A53="",COUNTIF(A$2:A53,A53)&gt;1),B54+1,0)</f>
        <v>123</v>
      </c>
      <c r="C53" s="2">
        <f t="shared" si="12"/>
        <v>175</v>
      </c>
      <c r="D53" s="75">
        <f t="shared" si="17"/>
        <v>0</v>
      </c>
      <c r="E53" s="72" t="str">
        <f t="shared" si="18"/>
        <v/>
      </c>
      <c r="F53" s="73">
        <f>IF(OR(E53="",COUNTIF(E$2:E53,E53)&gt;1),F54+1,0)</f>
        <v>123</v>
      </c>
      <c r="G53" s="2">
        <f t="shared" si="13"/>
        <v>175</v>
      </c>
      <c r="H53" s="75">
        <f t="shared" si="19"/>
        <v>0</v>
      </c>
      <c r="I53" s="72" t="str">
        <f t="shared" si="20"/>
        <v/>
      </c>
      <c r="J53" s="73">
        <f>IF(OR(I53="",COUNTIF(I$2:I53,I53)&gt;1),J54+1,0)</f>
        <v>123</v>
      </c>
      <c r="K53" s="2">
        <f t="shared" si="14"/>
        <v>175</v>
      </c>
      <c r="L53" s="75">
        <f t="shared" si="21"/>
        <v>0</v>
      </c>
      <c r="M53" s="72" t="str">
        <f t="shared" si="22"/>
        <v/>
      </c>
      <c r="N53" s="73">
        <f>IF(OR(M53="",COUNTIF(M$2:M53,M53)&gt;1),N54+1,0)</f>
        <v>123</v>
      </c>
      <c r="O53" s="2">
        <f t="shared" si="15"/>
        <v>175</v>
      </c>
      <c r="P53" s="75">
        <f t="shared" si="23"/>
        <v>0</v>
      </c>
    </row>
    <row r="54" spans="1:16" x14ac:dyDescent="0.3">
      <c r="A54" s="72" t="str">
        <f t="shared" si="16"/>
        <v/>
      </c>
      <c r="B54" s="73">
        <f>IF(OR(A54="",COUNTIF(A$2:A54,A54)&gt;1),B55+1,0)</f>
        <v>122</v>
      </c>
      <c r="C54" s="2">
        <f t="shared" si="12"/>
        <v>175</v>
      </c>
      <c r="D54" s="75">
        <f t="shared" si="17"/>
        <v>0</v>
      </c>
      <c r="E54" s="72" t="str">
        <f t="shared" si="18"/>
        <v/>
      </c>
      <c r="F54" s="73">
        <f>IF(OR(E54="",COUNTIF(E$2:E54,E54)&gt;1),F55+1,0)</f>
        <v>122</v>
      </c>
      <c r="G54" s="2">
        <f t="shared" si="13"/>
        <v>175</v>
      </c>
      <c r="H54" s="75">
        <f t="shared" si="19"/>
        <v>0</v>
      </c>
      <c r="I54" s="72" t="str">
        <f t="shared" si="20"/>
        <v/>
      </c>
      <c r="J54" s="73">
        <f>IF(OR(I54="",COUNTIF(I$2:I54,I54)&gt;1),J55+1,0)</f>
        <v>122</v>
      </c>
      <c r="K54" s="2">
        <f t="shared" si="14"/>
        <v>175</v>
      </c>
      <c r="L54" s="75">
        <f t="shared" si="21"/>
        <v>0</v>
      </c>
      <c r="M54" s="72" t="str">
        <f t="shared" si="22"/>
        <v/>
      </c>
      <c r="N54" s="73">
        <f>IF(OR(M54="",COUNTIF(M$2:M54,M54)&gt;1),N55+1,0)</f>
        <v>122</v>
      </c>
      <c r="O54" s="2">
        <f t="shared" si="15"/>
        <v>175</v>
      </c>
      <c r="P54" s="75">
        <f t="shared" si="23"/>
        <v>0</v>
      </c>
    </row>
    <row r="55" spans="1:16" x14ac:dyDescent="0.3">
      <c r="A55" s="72" t="str">
        <f t="shared" si="16"/>
        <v/>
      </c>
      <c r="B55" s="73">
        <f>IF(OR(A55="",COUNTIF(A$2:A55,A55)&gt;1),B56+1,0)</f>
        <v>121</v>
      </c>
      <c r="C55" s="2">
        <f t="shared" si="12"/>
        <v>175</v>
      </c>
      <c r="D55" s="75">
        <f t="shared" si="17"/>
        <v>0</v>
      </c>
      <c r="E55" s="72" t="str">
        <f t="shared" si="18"/>
        <v/>
      </c>
      <c r="F55" s="73">
        <f>IF(OR(E55="",COUNTIF(E$2:E55,E55)&gt;1),F56+1,0)</f>
        <v>121</v>
      </c>
      <c r="G55" s="2">
        <f t="shared" si="13"/>
        <v>175</v>
      </c>
      <c r="H55" s="75">
        <f t="shared" si="19"/>
        <v>0</v>
      </c>
      <c r="I55" s="72" t="str">
        <f t="shared" si="20"/>
        <v/>
      </c>
      <c r="J55" s="73">
        <f>IF(OR(I55="",COUNTIF(I$2:I55,I55)&gt;1),J56+1,0)</f>
        <v>121</v>
      </c>
      <c r="K55" s="2">
        <f t="shared" si="14"/>
        <v>175</v>
      </c>
      <c r="L55" s="75">
        <f t="shared" si="21"/>
        <v>0</v>
      </c>
      <c r="M55" s="72" t="str">
        <f t="shared" si="22"/>
        <v/>
      </c>
      <c r="N55" s="73">
        <f>IF(OR(M55="",COUNTIF(M$2:M55,M55)&gt;1),N56+1,0)</f>
        <v>121</v>
      </c>
      <c r="O55" s="2">
        <f t="shared" si="15"/>
        <v>175</v>
      </c>
      <c r="P55" s="75">
        <f t="shared" si="23"/>
        <v>0</v>
      </c>
    </row>
    <row r="56" spans="1:16" x14ac:dyDescent="0.3">
      <c r="A56" s="72" t="str">
        <f t="shared" si="16"/>
        <v/>
      </c>
      <c r="B56" s="73">
        <f>IF(OR(A56="",COUNTIF(A$2:A56,A56)&gt;1),B57+1,0)</f>
        <v>120</v>
      </c>
      <c r="C56" s="2">
        <f t="shared" si="12"/>
        <v>175</v>
      </c>
      <c r="D56" s="75">
        <f t="shared" si="17"/>
        <v>0</v>
      </c>
      <c r="E56" s="72" t="str">
        <f t="shared" si="18"/>
        <v/>
      </c>
      <c r="F56" s="73">
        <f>IF(OR(E56="",COUNTIF(E$2:E56,E56)&gt;1),F57+1,0)</f>
        <v>120</v>
      </c>
      <c r="G56" s="2">
        <f t="shared" si="13"/>
        <v>175</v>
      </c>
      <c r="H56" s="75">
        <f t="shared" si="19"/>
        <v>0</v>
      </c>
      <c r="I56" s="72" t="str">
        <f t="shared" si="20"/>
        <v/>
      </c>
      <c r="J56" s="73">
        <f>IF(OR(I56="",COUNTIF(I$2:I56,I56)&gt;1),J57+1,0)</f>
        <v>120</v>
      </c>
      <c r="K56" s="2">
        <f t="shared" si="14"/>
        <v>175</v>
      </c>
      <c r="L56" s="75">
        <f t="shared" si="21"/>
        <v>0</v>
      </c>
      <c r="M56" s="72" t="str">
        <f t="shared" si="22"/>
        <v/>
      </c>
      <c r="N56" s="73">
        <f>IF(OR(M56="",COUNTIF(M$2:M56,M56)&gt;1),N57+1,0)</f>
        <v>120</v>
      </c>
      <c r="O56" s="2">
        <f t="shared" si="15"/>
        <v>175</v>
      </c>
      <c r="P56" s="75">
        <f t="shared" si="23"/>
        <v>0</v>
      </c>
    </row>
    <row r="57" spans="1:16" x14ac:dyDescent="0.3">
      <c r="A57" s="72" t="str">
        <f t="shared" si="16"/>
        <v/>
      </c>
      <c r="B57" s="73">
        <f>IF(OR(A57="",COUNTIF(A$2:A57,A57)&gt;1),B58+1,0)</f>
        <v>119</v>
      </c>
      <c r="C57" s="2">
        <f t="shared" si="12"/>
        <v>175</v>
      </c>
      <c r="D57" s="75">
        <f t="shared" si="17"/>
        <v>0</v>
      </c>
      <c r="E57" s="72" t="str">
        <f t="shared" si="18"/>
        <v/>
      </c>
      <c r="F57" s="73">
        <f>IF(OR(E57="",COUNTIF(E$2:E57,E57)&gt;1),F58+1,0)</f>
        <v>119</v>
      </c>
      <c r="G57" s="2">
        <f t="shared" si="13"/>
        <v>175</v>
      </c>
      <c r="H57" s="75">
        <f t="shared" si="19"/>
        <v>0</v>
      </c>
      <c r="I57" s="72" t="str">
        <f t="shared" si="20"/>
        <v/>
      </c>
      <c r="J57" s="73">
        <f>IF(OR(I57="",COUNTIF(I$2:I57,I57)&gt;1),J58+1,0)</f>
        <v>119</v>
      </c>
      <c r="K57" s="2">
        <f t="shared" si="14"/>
        <v>175</v>
      </c>
      <c r="L57" s="75">
        <f t="shared" si="21"/>
        <v>0</v>
      </c>
      <c r="M57" s="72" t="str">
        <f t="shared" si="22"/>
        <v/>
      </c>
      <c r="N57" s="73">
        <f>IF(OR(M57="",COUNTIF(M$2:M57,M57)&gt;1),N58+1,0)</f>
        <v>119</v>
      </c>
      <c r="O57" s="2">
        <f t="shared" si="15"/>
        <v>175</v>
      </c>
      <c r="P57" s="75">
        <f t="shared" si="23"/>
        <v>0</v>
      </c>
    </row>
    <row r="58" spans="1:16" x14ac:dyDescent="0.3">
      <c r="A58" s="72" t="str">
        <f t="shared" si="16"/>
        <v/>
      </c>
      <c r="B58" s="73">
        <f>IF(OR(A58="",COUNTIF(A$2:A58,A58)&gt;1),B59+1,0)</f>
        <v>118</v>
      </c>
      <c r="C58" s="2">
        <f t="shared" si="12"/>
        <v>175</v>
      </c>
      <c r="D58" s="75">
        <f t="shared" si="17"/>
        <v>0</v>
      </c>
      <c r="E58" s="72" t="str">
        <f t="shared" si="18"/>
        <v/>
      </c>
      <c r="F58" s="73">
        <f>IF(OR(E58="",COUNTIF(E$2:E58,E58)&gt;1),F59+1,0)</f>
        <v>118</v>
      </c>
      <c r="G58" s="2">
        <f t="shared" si="13"/>
        <v>175</v>
      </c>
      <c r="H58" s="75">
        <f t="shared" si="19"/>
        <v>0</v>
      </c>
      <c r="I58" s="72" t="str">
        <f t="shared" si="20"/>
        <v/>
      </c>
      <c r="J58" s="73">
        <f>IF(OR(I58="",COUNTIF(I$2:I58,I58)&gt;1),J59+1,0)</f>
        <v>118</v>
      </c>
      <c r="K58" s="2">
        <f t="shared" si="14"/>
        <v>175</v>
      </c>
      <c r="L58" s="75">
        <f t="shared" si="21"/>
        <v>0</v>
      </c>
      <c r="M58" s="72" t="str">
        <f t="shared" si="22"/>
        <v/>
      </c>
      <c r="N58" s="73">
        <f>IF(OR(M58="",COUNTIF(M$2:M58,M58)&gt;1),N59+1,0)</f>
        <v>118</v>
      </c>
      <c r="O58" s="2">
        <f t="shared" si="15"/>
        <v>175</v>
      </c>
      <c r="P58" s="75">
        <f t="shared" si="23"/>
        <v>0</v>
      </c>
    </row>
    <row r="59" spans="1:16" x14ac:dyDescent="0.3">
      <c r="A59" s="72" t="str">
        <f t="shared" si="16"/>
        <v/>
      </c>
      <c r="B59" s="73">
        <f>IF(OR(A59="",COUNTIF(A$2:A59,A59)&gt;1),B60+1,0)</f>
        <v>117</v>
      </c>
      <c r="C59" s="2">
        <f t="shared" si="12"/>
        <v>175</v>
      </c>
      <c r="D59" s="75">
        <f t="shared" si="17"/>
        <v>0</v>
      </c>
      <c r="E59" s="72" t="str">
        <f t="shared" si="18"/>
        <v/>
      </c>
      <c r="F59" s="73">
        <f>IF(OR(E59="",COUNTIF(E$2:E59,E59)&gt;1),F60+1,0)</f>
        <v>117</v>
      </c>
      <c r="G59" s="2">
        <f t="shared" si="13"/>
        <v>175</v>
      </c>
      <c r="H59" s="75">
        <f t="shared" si="19"/>
        <v>0</v>
      </c>
      <c r="I59" s="72" t="str">
        <f t="shared" si="20"/>
        <v/>
      </c>
      <c r="J59" s="73">
        <f>IF(OR(I59="",COUNTIF(I$2:I59,I59)&gt;1),J60+1,0)</f>
        <v>117</v>
      </c>
      <c r="K59" s="2">
        <f t="shared" si="14"/>
        <v>175</v>
      </c>
      <c r="L59" s="75">
        <f t="shared" si="21"/>
        <v>0</v>
      </c>
      <c r="M59" s="72" t="str">
        <f t="shared" si="22"/>
        <v/>
      </c>
      <c r="N59" s="73">
        <f>IF(OR(M59="",COUNTIF(M$2:M59,M59)&gt;1),N60+1,0)</f>
        <v>117</v>
      </c>
      <c r="O59" s="2">
        <f t="shared" si="15"/>
        <v>175</v>
      </c>
      <c r="P59" s="75">
        <f t="shared" si="23"/>
        <v>0</v>
      </c>
    </row>
    <row r="60" spans="1:16" x14ac:dyDescent="0.3">
      <c r="A60" s="72" t="str">
        <f t="shared" si="16"/>
        <v/>
      </c>
      <c r="B60" s="73">
        <f>IF(OR(A60="",COUNTIF(A$2:A60,A60)&gt;1),B61+1,0)</f>
        <v>116</v>
      </c>
      <c r="C60" s="2">
        <f t="shared" si="12"/>
        <v>175</v>
      </c>
      <c r="D60" s="75">
        <f t="shared" si="17"/>
        <v>0</v>
      </c>
      <c r="E60" s="72" t="str">
        <f t="shared" si="18"/>
        <v/>
      </c>
      <c r="F60" s="73">
        <f>IF(OR(E60="",COUNTIF(E$2:E60,E60)&gt;1),F61+1,0)</f>
        <v>116</v>
      </c>
      <c r="G60" s="2">
        <f t="shared" si="13"/>
        <v>175</v>
      </c>
      <c r="H60" s="75">
        <f t="shared" si="19"/>
        <v>0</v>
      </c>
      <c r="I60" s="72" t="str">
        <f t="shared" si="20"/>
        <v/>
      </c>
      <c r="J60" s="73">
        <f>IF(OR(I60="",COUNTIF(I$2:I60,I60)&gt;1),J61+1,0)</f>
        <v>116</v>
      </c>
      <c r="K60" s="2">
        <f t="shared" si="14"/>
        <v>175</v>
      </c>
      <c r="L60" s="75">
        <f t="shared" si="21"/>
        <v>0</v>
      </c>
      <c r="M60" s="72" t="str">
        <f t="shared" si="22"/>
        <v/>
      </c>
      <c r="N60" s="73">
        <f>IF(OR(M60="",COUNTIF(M$2:M60,M60)&gt;1),N61+1,0)</f>
        <v>116</v>
      </c>
      <c r="O60" s="2">
        <f t="shared" si="15"/>
        <v>175</v>
      </c>
      <c r="P60" s="75">
        <f t="shared" si="23"/>
        <v>0</v>
      </c>
    </row>
    <row r="61" spans="1:16" x14ac:dyDescent="0.3">
      <c r="A61" s="72" t="str">
        <f t="shared" si="16"/>
        <v/>
      </c>
      <c r="B61" s="73">
        <f>IF(OR(A61="",COUNTIF(A$2:A61,A61)&gt;1),B62+1,0)</f>
        <v>115</v>
      </c>
      <c r="C61" s="2">
        <f t="shared" si="12"/>
        <v>175</v>
      </c>
      <c r="D61" s="75">
        <f t="shared" si="17"/>
        <v>0</v>
      </c>
      <c r="E61" s="72" t="str">
        <f t="shared" si="18"/>
        <v/>
      </c>
      <c r="F61" s="73">
        <f>IF(OR(E61="",COUNTIF(E$2:E61,E61)&gt;1),F62+1,0)</f>
        <v>115</v>
      </c>
      <c r="G61" s="2">
        <f t="shared" si="13"/>
        <v>175</v>
      </c>
      <c r="H61" s="75">
        <f t="shared" si="19"/>
        <v>0</v>
      </c>
      <c r="I61" s="72" t="str">
        <f t="shared" si="20"/>
        <v/>
      </c>
      <c r="J61" s="73">
        <f>IF(OR(I61="",COUNTIF(I$2:I61,I61)&gt;1),J62+1,0)</f>
        <v>115</v>
      </c>
      <c r="K61" s="2">
        <f t="shared" si="14"/>
        <v>175</v>
      </c>
      <c r="L61" s="75">
        <f t="shared" si="21"/>
        <v>0</v>
      </c>
      <c r="M61" s="72" t="str">
        <f t="shared" si="22"/>
        <v/>
      </c>
      <c r="N61" s="73">
        <f>IF(OR(M61="",COUNTIF(M$2:M61,M61)&gt;1),N62+1,0)</f>
        <v>115</v>
      </c>
      <c r="O61" s="2">
        <f t="shared" si="15"/>
        <v>175</v>
      </c>
      <c r="P61" s="75">
        <f t="shared" si="23"/>
        <v>0</v>
      </c>
    </row>
    <row r="62" spans="1:16" x14ac:dyDescent="0.3">
      <c r="A62" s="72" t="str">
        <f t="shared" si="16"/>
        <v/>
      </c>
      <c r="B62" s="73">
        <f>IF(OR(A62="",COUNTIF(A$2:A62,A62)&gt;1),B63+1,0)</f>
        <v>114</v>
      </c>
      <c r="C62" s="2">
        <f t="shared" si="12"/>
        <v>175</v>
      </c>
      <c r="D62" s="75">
        <f t="shared" si="17"/>
        <v>0</v>
      </c>
      <c r="E62" s="72" t="str">
        <f t="shared" si="18"/>
        <v/>
      </c>
      <c r="F62" s="73">
        <f>IF(OR(E62="",COUNTIF(E$2:E62,E62)&gt;1),F63+1,0)</f>
        <v>114</v>
      </c>
      <c r="G62" s="2">
        <f t="shared" si="13"/>
        <v>175</v>
      </c>
      <c r="H62" s="75">
        <f t="shared" si="19"/>
        <v>0</v>
      </c>
      <c r="I62" s="72" t="str">
        <f t="shared" si="20"/>
        <v/>
      </c>
      <c r="J62" s="73">
        <f>IF(OR(I62="",COUNTIF(I$2:I62,I62)&gt;1),J63+1,0)</f>
        <v>114</v>
      </c>
      <c r="K62" s="2">
        <f t="shared" si="14"/>
        <v>175</v>
      </c>
      <c r="L62" s="75">
        <f t="shared" si="21"/>
        <v>0</v>
      </c>
      <c r="M62" s="72" t="str">
        <f t="shared" si="22"/>
        <v/>
      </c>
      <c r="N62" s="73">
        <f>IF(OR(M62="",COUNTIF(M$2:M62,M62)&gt;1),N63+1,0)</f>
        <v>114</v>
      </c>
      <c r="O62" s="2">
        <f t="shared" si="15"/>
        <v>175</v>
      </c>
      <c r="P62" s="75">
        <f t="shared" si="23"/>
        <v>0</v>
      </c>
    </row>
    <row r="63" spans="1:16" x14ac:dyDescent="0.3">
      <c r="A63" s="72" t="str">
        <f t="shared" si="16"/>
        <v/>
      </c>
      <c r="B63" s="73">
        <f>IF(OR(A63="",COUNTIF(A$2:A63,A63)&gt;1),B64+1,0)</f>
        <v>113</v>
      </c>
      <c r="C63" s="2">
        <f t="shared" si="12"/>
        <v>175</v>
      </c>
      <c r="D63" s="75">
        <f t="shared" si="17"/>
        <v>0</v>
      </c>
      <c r="E63" s="72" t="str">
        <f t="shared" si="18"/>
        <v/>
      </c>
      <c r="F63" s="73">
        <f>IF(OR(E63="",COUNTIF(E$2:E63,E63)&gt;1),F64+1,0)</f>
        <v>113</v>
      </c>
      <c r="G63" s="2">
        <f t="shared" si="13"/>
        <v>175</v>
      </c>
      <c r="H63" s="75">
        <f t="shared" si="19"/>
        <v>0</v>
      </c>
      <c r="I63" s="72" t="str">
        <f t="shared" si="20"/>
        <v/>
      </c>
      <c r="J63" s="73">
        <f>IF(OR(I63="",COUNTIF(I$2:I63,I63)&gt;1),J64+1,0)</f>
        <v>113</v>
      </c>
      <c r="K63" s="2">
        <f t="shared" si="14"/>
        <v>175</v>
      </c>
      <c r="L63" s="75">
        <f t="shared" si="21"/>
        <v>0</v>
      </c>
      <c r="M63" s="72" t="str">
        <f t="shared" si="22"/>
        <v/>
      </c>
      <c r="N63" s="73">
        <f>IF(OR(M63="",COUNTIF(M$2:M63,M63)&gt;1),N64+1,0)</f>
        <v>113</v>
      </c>
      <c r="O63" s="2">
        <f t="shared" si="15"/>
        <v>175</v>
      </c>
      <c r="P63" s="75">
        <f t="shared" si="23"/>
        <v>0</v>
      </c>
    </row>
    <row r="64" spans="1:16" x14ac:dyDescent="0.3">
      <c r="A64" s="72" t="str">
        <f t="shared" si="16"/>
        <v/>
      </c>
      <c r="B64" s="73">
        <f>IF(OR(A64="",COUNTIF(A$2:A64,A64)&gt;1),B65+1,0)</f>
        <v>112</v>
      </c>
      <c r="C64" s="2">
        <f t="shared" si="12"/>
        <v>175</v>
      </c>
      <c r="D64" s="75">
        <f t="shared" si="17"/>
        <v>0</v>
      </c>
      <c r="E64" s="72" t="str">
        <f t="shared" si="18"/>
        <v/>
      </c>
      <c r="F64" s="73">
        <f>IF(OR(E64="",COUNTIF(E$2:E64,E64)&gt;1),F65+1,0)</f>
        <v>112</v>
      </c>
      <c r="G64" s="2">
        <f t="shared" si="13"/>
        <v>175</v>
      </c>
      <c r="H64" s="75">
        <f t="shared" si="19"/>
        <v>0</v>
      </c>
      <c r="I64" s="72" t="str">
        <f t="shared" si="20"/>
        <v/>
      </c>
      <c r="J64" s="73">
        <f>IF(OR(I64="",COUNTIF(I$2:I64,I64)&gt;1),J65+1,0)</f>
        <v>112</v>
      </c>
      <c r="K64" s="2">
        <f t="shared" si="14"/>
        <v>175</v>
      </c>
      <c r="L64" s="75">
        <f t="shared" si="21"/>
        <v>0</v>
      </c>
      <c r="M64" s="72" t="str">
        <f t="shared" si="22"/>
        <v/>
      </c>
      <c r="N64" s="73">
        <f>IF(OR(M64="",COUNTIF(M$2:M64,M64)&gt;1),N65+1,0)</f>
        <v>112</v>
      </c>
      <c r="O64" s="2">
        <f t="shared" si="15"/>
        <v>175</v>
      </c>
      <c r="P64" s="75">
        <f t="shared" si="23"/>
        <v>0</v>
      </c>
    </row>
    <row r="65" spans="1:16" x14ac:dyDescent="0.3">
      <c r="A65" s="72" t="str">
        <f t="shared" si="16"/>
        <v/>
      </c>
      <c r="B65" s="73">
        <f>IF(OR(A65="",COUNTIF(A$2:A65,A65)&gt;1),B66+1,0)</f>
        <v>111</v>
      </c>
      <c r="C65" s="2">
        <f t="shared" si="12"/>
        <v>175</v>
      </c>
      <c r="D65" s="75">
        <f t="shared" si="17"/>
        <v>0</v>
      </c>
      <c r="E65" s="72" t="str">
        <f t="shared" si="18"/>
        <v/>
      </c>
      <c r="F65" s="73">
        <f>IF(OR(E65="",COUNTIF(E$2:E65,E65)&gt;1),F66+1,0)</f>
        <v>111</v>
      </c>
      <c r="G65" s="2">
        <f t="shared" si="13"/>
        <v>175</v>
      </c>
      <c r="H65" s="75">
        <f t="shared" si="19"/>
        <v>0</v>
      </c>
      <c r="I65" s="72" t="str">
        <f t="shared" si="20"/>
        <v/>
      </c>
      <c r="J65" s="73">
        <f>IF(OR(I65="",COUNTIF(I$2:I65,I65)&gt;1),J66+1,0)</f>
        <v>111</v>
      </c>
      <c r="K65" s="2">
        <f t="shared" si="14"/>
        <v>175</v>
      </c>
      <c r="L65" s="75">
        <f t="shared" si="21"/>
        <v>0</v>
      </c>
      <c r="M65" s="72" t="str">
        <f t="shared" si="22"/>
        <v/>
      </c>
      <c r="N65" s="73">
        <f>IF(OR(M65="",COUNTIF(M$2:M65,M65)&gt;1),N66+1,0)</f>
        <v>111</v>
      </c>
      <c r="O65" s="2">
        <f t="shared" si="15"/>
        <v>175</v>
      </c>
      <c r="P65" s="75">
        <f t="shared" si="23"/>
        <v>0</v>
      </c>
    </row>
    <row r="66" spans="1:16" x14ac:dyDescent="0.3">
      <c r="A66" s="72" t="str">
        <f t="shared" ref="A66:A97" si="24">TRIM(CLEAN(INDEX(ЗаданияОсень,ROW(A66)-1,1)))</f>
        <v/>
      </c>
      <c r="B66" s="73">
        <f>IF(OR(A66="",COUNTIF(A$2:A66,A66)&gt;1),B67+1,0)</f>
        <v>110</v>
      </c>
      <c r="C66" s="2">
        <f t="shared" si="12"/>
        <v>175</v>
      </c>
      <c r="D66" s="75">
        <f t="shared" ref="D66:D97" si="25">INDEX(ЗаданияОсень,C66,1)</f>
        <v>0</v>
      </c>
      <c r="E66" s="72" t="str">
        <f t="shared" ref="E66:E97" si="26">TRIM(CLEAN(INDEX(ЗаданияОсень,ROW(E66)-1,2)))</f>
        <v/>
      </c>
      <c r="F66" s="73">
        <f>IF(OR(E66="",COUNTIF(E$2:E66,E66)&gt;1),F67+1,0)</f>
        <v>110</v>
      </c>
      <c r="G66" s="2">
        <f t="shared" si="13"/>
        <v>175</v>
      </c>
      <c r="H66" s="75">
        <f t="shared" ref="H66:H97" si="27">INDEX(ЗаданияОсень,G66,2)</f>
        <v>0</v>
      </c>
      <c r="I66" s="72" t="str">
        <f t="shared" ref="I66:I97" si="28">TRIM(CLEAN(INDEX(ЗаданияВесна,ROW(I66)-1,1)))</f>
        <v/>
      </c>
      <c r="J66" s="73">
        <f>IF(OR(I66="",COUNTIF(I$2:I66,I66)&gt;1),J67+1,0)</f>
        <v>110</v>
      </c>
      <c r="K66" s="2">
        <f t="shared" si="14"/>
        <v>175</v>
      </c>
      <c r="L66" s="75">
        <f t="shared" ref="L66:L97" si="29">INDEX(ЗаданияВесна,K66,1)</f>
        <v>0</v>
      </c>
      <c r="M66" s="72" t="str">
        <f t="shared" ref="M66:M97" si="30">TRIM(CLEAN(INDEX(ЗаданияВесна,ROW(M66)-1,2)))</f>
        <v/>
      </c>
      <c r="N66" s="73">
        <f>IF(OR(M66="",COUNTIF(M$2:M66,M66)&gt;1),N67+1,0)</f>
        <v>110</v>
      </c>
      <c r="O66" s="2">
        <f t="shared" si="15"/>
        <v>175</v>
      </c>
      <c r="P66" s="75">
        <f t="shared" ref="P66:P97" si="31">INDEX(ЗаданияВесна,O66,2)</f>
        <v>0</v>
      </c>
    </row>
    <row r="67" spans="1:16" x14ac:dyDescent="0.3">
      <c r="A67" s="72" t="str">
        <f t="shared" si="24"/>
        <v/>
      </c>
      <c r="B67" s="73">
        <f>IF(OR(A67="",COUNTIF(A$2:A67,A67)&gt;1),B68+1,0)</f>
        <v>109</v>
      </c>
      <c r="C67" s="2">
        <f t="shared" si="12"/>
        <v>175</v>
      </c>
      <c r="D67" s="75">
        <f t="shared" si="25"/>
        <v>0</v>
      </c>
      <c r="E67" s="72" t="str">
        <f t="shared" si="26"/>
        <v/>
      </c>
      <c r="F67" s="73">
        <f>IF(OR(E67="",COUNTIF(E$2:E67,E67)&gt;1),F68+1,0)</f>
        <v>109</v>
      </c>
      <c r="G67" s="2">
        <f t="shared" si="13"/>
        <v>175</v>
      </c>
      <c r="H67" s="75">
        <f t="shared" si="27"/>
        <v>0</v>
      </c>
      <c r="I67" s="72" t="str">
        <f t="shared" si="28"/>
        <v/>
      </c>
      <c r="J67" s="73">
        <f>IF(OR(I67="",COUNTIF(I$2:I67,I67)&gt;1),J68+1,0)</f>
        <v>109</v>
      </c>
      <c r="K67" s="2">
        <f t="shared" si="14"/>
        <v>175</v>
      </c>
      <c r="L67" s="75">
        <f t="shared" si="29"/>
        <v>0</v>
      </c>
      <c r="M67" s="72" t="str">
        <f t="shared" si="30"/>
        <v/>
      </c>
      <c r="N67" s="73">
        <f>IF(OR(M67="",COUNTIF(M$2:M67,M67)&gt;1),N68+1,0)</f>
        <v>109</v>
      </c>
      <c r="O67" s="2">
        <f t="shared" si="15"/>
        <v>175</v>
      </c>
      <c r="P67" s="75">
        <f t="shared" si="31"/>
        <v>0</v>
      </c>
    </row>
    <row r="68" spans="1:16" x14ac:dyDescent="0.3">
      <c r="A68" s="72" t="str">
        <f t="shared" si="24"/>
        <v/>
      </c>
      <c r="B68" s="73">
        <f>IF(OR(A68="",COUNTIF(A$2:A68,A68)&gt;1),B69+1,0)</f>
        <v>108</v>
      </c>
      <c r="C68" s="2">
        <f t="shared" ref="C68:C131" si="32">INDEX(B$2:B$177,C67+1,1)+C67+1</f>
        <v>175</v>
      </c>
      <c r="D68" s="75">
        <f t="shared" si="25"/>
        <v>0</v>
      </c>
      <c r="E68" s="72" t="str">
        <f t="shared" si="26"/>
        <v/>
      </c>
      <c r="F68" s="73">
        <f>IF(OR(E68="",COUNTIF(E$2:E68,E68)&gt;1),F69+1,0)</f>
        <v>108</v>
      </c>
      <c r="G68" s="2">
        <f t="shared" ref="G68:G131" si="33">INDEX(F$2:F$177,G67+1,1)+G67+1</f>
        <v>175</v>
      </c>
      <c r="H68" s="75">
        <f t="shared" si="27"/>
        <v>0</v>
      </c>
      <c r="I68" s="72" t="str">
        <f t="shared" si="28"/>
        <v/>
      </c>
      <c r="J68" s="73">
        <f>IF(OR(I68="",COUNTIF(I$2:I68,I68)&gt;1),J69+1,0)</f>
        <v>108</v>
      </c>
      <c r="K68" s="2">
        <f t="shared" ref="K68:K131" si="34">INDEX(J$2:J$177,K67+1,1)+K67+1</f>
        <v>175</v>
      </c>
      <c r="L68" s="75">
        <f t="shared" si="29"/>
        <v>0</v>
      </c>
      <c r="M68" s="72" t="str">
        <f t="shared" si="30"/>
        <v/>
      </c>
      <c r="N68" s="73">
        <f>IF(OR(M68="",COUNTIF(M$2:M68,M68)&gt;1),N69+1,0)</f>
        <v>108</v>
      </c>
      <c r="O68" s="2">
        <f t="shared" ref="O68:O131" si="35">INDEX(N$2:N$177,O67+1,1)+O67+1</f>
        <v>175</v>
      </c>
      <c r="P68" s="75">
        <f t="shared" si="31"/>
        <v>0</v>
      </c>
    </row>
    <row r="69" spans="1:16" x14ac:dyDescent="0.3">
      <c r="A69" s="72" t="str">
        <f t="shared" si="24"/>
        <v/>
      </c>
      <c r="B69" s="73">
        <f>IF(OR(A69="",COUNTIF(A$2:A69,A69)&gt;1),B70+1,0)</f>
        <v>107</v>
      </c>
      <c r="C69" s="2">
        <f t="shared" si="32"/>
        <v>175</v>
      </c>
      <c r="D69" s="75">
        <f t="shared" si="25"/>
        <v>0</v>
      </c>
      <c r="E69" s="72" t="str">
        <f t="shared" si="26"/>
        <v/>
      </c>
      <c r="F69" s="73">
        <f>IF(OR(E69="",COUNTIF(E$2:E69,E69)&gt;1),F70+1,0)</f>
        <v>107</v>
      </c>
      <c r="G69" s="2">
        <f t="shared" si="33"/>
        <v>175</v>
      </c>
      <c r="H69" s="75">
        <f t="shared" si="27"/>
        <v>0</v>
      </c>
      <c r="I69" s="72" t="str">
        <f t="shared" si="28"/>
        <v/>
      </c>
      <c r="J69" s="73">
        <f>IF(OR(I69="",COUNTIF(I$2:I69,I69)&gt;1),J70+1,0)</f>
        <v>107</v>
      </c>
      <c r="K69" s="2">
        <f t="shared" si="34"/>
        <v>175</v>
      </c>
      <c r="L69" s="75">
        <f t="shared" si="29"/>
        <v>0</v>
      </c>
      <c r="M69" s="72" t="str">
        <f t="shared" si="30"/>
        <v/>
      </c>
      <c r="N69" s="73">
        <f>IF(OR(M69="",COUNTIF(M$2:M69,M69)&gt;1),N70+1,0)</f>
        <v>107</v>
      </c>
      <c r="O69" s="2">
        <f t="shared" si="35"/>
        <v>175</v>
      </c>
      <c r="P69" s="75">
        <f t="shared" si="31"/>
        <v>0</v>
      </c>
    </row>
    <row r="70" spans="1:16" x14ac:dyDescent="0.3">
      <c r="A70" s="72" t="str">
        <f t="shared" si="24"/>
        <v/>
      </c>
      <c r="B70" s="73">
        <f>IF(OR(A70="",COUNTIF(A$2:A70,A70)&gt;1),B71+1,0)</f>
        <v>106</v>
      </c>
      <c r="C70" s="2">
        <f t="shared" si="32"/>
        <v>175</v>
      </c>
      <c r="D70" s="75">
        <f t="shared" si="25"/>
        <v>0</v>
      </c>
      <c r="E70" s="72" t="str">
        <f t="shared" si="26"/>
        <v/>
      </c>
      <c r="F70" s="73">
        <f>IF(OR(E70="",COUNTIF(E$2:E70,E70)&gt;1),F71+1,0)</f>
        <v>106</v>
      </c>
      <c r="G70" s="2">
        <f t="shared" si="33"/>
        <v>175</v>
      </c>
      <c r="H70" s="75">
        <f t="shared" si="27"/>
        <v>0</v>
      </c>
      <c r="I70" s="72" t="str">
        <f t="shared" si="28"/>
        <v/>
      </c>
      <c r="J70" s="73">
        <f>IF(OR(I70="",COUNTIF(I$2:I70,I70)&gt;1),J71+1,0)</f>
        <v>106</v>
      </c>
      <c r="K70" s="2">
        <f t="shared" si="34"/>
        <v>175</v>
      </c>
      <c r="L70" s="75">
        <f t="shared" si="29"/>
        <v>0</v>
      </c>
      <c r="M70" s="72" t="str">
        <f t="shared" si="30"/>
        <v/>
      </c>
      <c r="N70" s="73">
        <f>IF(OR(M70="",COUNTIF(M$2:M70,M70)&gt;1),N71+1,0)</f>
        <v>106</v>
      </c>
      <c r="O70" s="2">
        <f t="shared" si="35"/>
        <v>175</v>
      </c>
      <c r="P70" s="75">
        <f t="shared" si="31"/>
        <v>0</v>
      </c>
    </row>
    <row r="71" spans="1:16" x14ac:dyDescent="0.3">
      <c r="A71" s="72" t="str">
        <f t="shared" si="24"/>
        <v/>
      </c>
      <c r="B71" s="73">
        <f>IF(OR(A71="",COUNTIF(A$2:A71,A71)&gt;1),B72+1,0)</f>
        <v>105</v>
      </c>
      <c r="C71" s="2">
        <f t="shared" si="32"/>
        <v>175</v>
      </c>
      <c r="D71" s="75">
        <f t="shared" si="25"/>
        <v>0</v>
      </c>
      <c r="E71" s="72" t="str">
        <f t="shared" si="26"/>
        <v/>
      </c>
      <c r="F71" s="73">
        <f>IF(OR(E71="",COUNTIF(E$2:E71,E71)&gt;1),F72+1,0)</f>
        <v>105</v>
      </c>
      <c r="G71" s="2">
        <f t="shared" si="33"/>
        <v>175</v>
      </c>
      <c r="H71" s="75">
        <f t="shared" si="27"/>
        <v>0</v>
      </c>
      <c r="I71" s="72" t="str">
        <f t="shared" si="28"/>
        <v/>
      </c>
      <c r="J71" s="73">
        <f>IF(OR(I71="",COUNTIF(I$2:I71,I71)&gt;1),J72+1,0)</f>
        <v>105</v>
      </c>
      <c r="K71" s="2">
        <f t="shared" si="34"/>
        <v>175</v>
      </c>
      <c r="L71" s="75">
        <f t="shared" si="29"/>
        <v>0</v>
      </c>
      <c r="M71" s="72" t="str">
        <f t="shared" si="30"/>
        <v/>
      </c>
      <c r="N71" s="73">
        <f>IF(OR(M71="",COUNTIF(M$2:M71,M71)&gt;1),N72+1,0)</f>
        <v>105</v>
      </c>
      <c r="O71" s="2">
        <f t="shared" si="35"/>
        <v>175</v>
      </c>
      <c r="P71" s="75">
        <f t="shared" si="31"/>
        <v>0</v>
      </c>
    </row>
    <row r="72" spans="1:16" x14ac:dyDescent="0.3">
      <c r="A72" s="72" t="str">
        <f t="shared" si="24"/>
        <v/>
      </c>
      <c r="B72" s="73">
        <f>IF(OR(A72="",COUNTIF(A$2:A72,A72)&gt;1),B73+1,0)</f>
        <v>104</v>
      </c>
      <c r="C72" s="2">
        <f t="shared" si="32"/>
        <v>175</v>
      </c>
      <c r="D72" s="75">
        <f t="shared" si="25"/>
        <v>0</v>
      </c>
      <c r="E72" s="72" t="str">
        <f t="shared" si="26"/>
        <v/>
      </c>
      <c r="F72" s="73">
        <f>IF(OR(E72="",COUNTIF(E$2:E72,E72)&gt;1),F73+1,0)</f>
        <v>104</v>
      </c>
      <c r="G72" s="2">
        <f t="shared" si="33"/>
        <v>175</v>
      </c>
      <c r="H72" s="75">
        <f t="shared" si="27"/>
        <v>0</v>
      </c>
      <c r="I72" s="72" t="str">
        <f t="shared" si="28"/>
        <v/>
      </c>
      <c r="J72" s="73">
        <f>IF(OR(I72="",COUNTIF(I$2:I72,I72)&gt;1),J73+1,0)</f>
        <v>104</v>
      </c>
      <c r="K72" s="2">
        <f t="shared" si="34"/>
        <v>175</v>
      </c>
      <c r="L72" s="75">
        <f t="shared" si="29"/>
        <v>0</v>
      </c>
      <c r="M72" s="72" t="str">
        <f t="shared" si="30"/>
        <v/>
      </c>
      <c r="N72" s="73">
        <f>IF(OR(M72="",COUNTIF(M$2:M72,M72)&gt;1),N73+1,0)</f>
        <v>104</v>
      </c>
      <c r="O72" s="2">
        <f t="shared" si="35"/>
        <v>175</v>
      </c>
      <c r="P72" s="75">
        <f t="shared" si="31"/>
        <v>0</v>
      </c>
    </row>
    <row r="73" spans="1:16" x14ac:dyDescent="0.3">
      <c r="A73" s="72" t="str">
        <f t="shared" si="24"/>
        <v/>
      </c>
      <c r="B73" s="73">
        <f>IF(OR(A73="",COUNTIF(A$2:A73,A73)&gt;1),B74+1,0)</f>
        <v>103</v>
      </c>
      <c r="C73" s="2">
        <f t="shared" si="32"/>
        <v>175</v>
      </c>
      <c r="D73" s="75">
        <f t="shared" si="25"/>
        <v>0</v>
      </c>
      <c r="E73" s="72" t="str">
        <f t="shared" si="26"/>
        <v/>
      </c>
      <c r="F73" s="73">
        <f>IF(OR(E73="",COUNTIF(E$2:E73,E73)&gt;1),F74+1,0)</f>
        <v>103</v>
      </c>
      <c r="G73" s="2">
        <f t="shared" si="33"/>
        <v>175</v>
      </c>
      <c r="H73" s="75">
        <f t="shared" si="27"/>
        <v>0</v>
      </c>
      <c r="I73" s="72" t="str">
        <f t="shared" si="28"/>
        <v/>
      </c>
      <c r="J73" s="73">
        <f>IF(OR(I73="",COUNTIF(I$2:I73,I73)&gt;1),J74+1,0)</f>
        <v>103</v>
      </c>
      <c r="K73" s="2">
        <f t="shared" si="34"/>
        <v>175</v>
      </c>
      <c r="L73" s="75">
        <f t="shared" si="29"/>
        <v>0</v>
      </c>
      <c r="M73" s="72" t="str">
        <f t="shared" si="30"/>
        <v/>
      </c>
      <c r="N73" s="73">
        <f>IF(OR(M73="",COUNTIF(M$2:M73,M73)&gt;1),N74+1,0)</f>
        <v>103</v>
      </c>
      <c r="O73" s="2">
        <f t="shared" si="35"/>
        <v>175</v>
      </c>
      <c r="P73" s="75">
        <f t="shared" si="31"/>
        <v>0</v>
      </c>
    </row>
    <row r="74" spans="1:16" x14ac:dyDescent="0.3">
      <c r="A74" s="72" t="str">
        <f t="shared" si="24"/>
        <v/>
      </c>
      <c r="B74" s="73">
        <f>IF(OR(A74="",COUNTIF(A$2:A74,A74)&gt;1),B75+1,0)</f>
        <v>102</v>
      </c>
      <c r="C74" s="2">
        <f t="shared" si="32"/>
        <v>175</v>
      </c>
      <c r="D74" s="75">
        <f t="shared" si="25"/>
        <v>0</v>
      </c>
      <c r="E74" s="72" t="str">
        <f t="shared" si="26"/>
        <v/>
      </c>
      <c r="F74" s="73">
        <f>IF(OR(E74="",COUNTIF(E$2:E74,E74)&gt;1),F75+1,0)</f>
        <v>102</v>
      </c>
      <c r="G74" s="2">
        <f t="shared" si="33"/>
        <v>175</v>
      </c>
      <c r="H74" s="75">
        <f t="shared" si="27"/>
        <v>0</v>
      </c>
      <c r="I74" s="72" t="str">
        <f t="shared" si="28"/>
        <v/>
      </c>
      <c r="J74" s="73">
        <f>IF(OR(I74="",COUNTIF(I$2:I74,I74)&gt;1),J75+1,0)</f>
        <v>102</v>
      </c>
      <c r="K74" s="2">
        <f t="shared" si="34"/>
        <v>175</v>
      </c>
      <c r="L74" s="75">
        <f t="shared" si="29"/>
        <v>0</v>
      </c>
      <c r="M74" s="72" t="str">
        <f t="shared" si="30"/>
        <v/>
      </c>
      <c r="N74" s="73">
        <f>IF(OR(M74="",COUNTIF(M$2:M74,M74)&gt;1),N75+1,0)</f>
        <v>102</v>
      </c>
      <c r="O74" s="2">
        <f t="shared" si="35"/>
        <v>175</v>
      </c>
      <c r="P74" s="75">
        <f t="shared" si="31"/>
        <v>0</v>
      </c>
    </row>
    <row r="75" spans="1:16" x14ac:dyDescent="0.3">
      <c r="A75" s="72" t="str">
        <f t="shared" si="24"/>
        <v/>
      </c>
      <c r="B75" s="73">
        <f>IF(OR(A75="",COUNTIF(A$2:A75,A75)&gt;1),B76+1,0)</f>
        <v>101</v>
      </c>
      <c r="C75" s="2">
        <f t="shared" si="32"/>
        <v>175</v>
      </c>
      <c r="D75" s="75">
        <f t="shared" si="25"/>
        <v>0</v>
      </c>
      <c r="E75" s="72" t="str">
        <f t="shared" si="26"/>
        <v/>
      </c>
      <c r="F75" s="73">
        <f>IF(OR(E75="",COUNTIF(E$2:E75,E75)&gt;1),F76+1,0)</f>
        <v>101</v>
      </c>
      <c r="G75" s="2">
        <f t="shared" si="33"/>
        <v>175</v>
      </c>
      <c r="H75" s="75">
        <f t="shared" si="27"/>
        <v>0</v>
      </c>
      <c r="I75" s="72" t="str">
        <f t="shared" si="28"/>
        <v/>
      </c>
      <c r="J75" s="73">
        <f>IF(OR(I75="",COUNTIF(I$2:I75,I75)&gt;1),J76+1,0)</f>
        <v>101</v>
      </c>
      <c r="K75" s="2">
        <f t="shared" si="34"/>
        <v>175</v>
      </c>
      <c r="L75" s="75">
        <f t="shared" si="29"/>
        <v>0</v>
      </c>
      <c r="M75" s="72" t="str">
        <f t="shared" si="30"/>
        <v/>
      </c>
      <c r="N75" s="73">
        <f>IF(OR(M75="",COUNTIF(M$2:M75,M75)&gt;1),N76+1,0)</f>
        <v>101</v>
      </c>
      <c r="O75" s="2">
        <f t="shared" si="35"/>
        <v>175</v>
      </c>
      <c r="P75" s="75">
        <f t="shared" si="31"/>
        <v>0</v>
      </c>
    </row>
    <row r="76" spans="1:16" x14ac:dyDescent="0.3">
      <c r="A76" s="72" t="str">
        <f t="shared" si="24"/>
        <v/>
      </c>
      <c r="B76" s="73">
        <f>IF(OR(A76="",COUNTIF(A$2:A76,A76)&gt;1),B77+1,0)</f>
        <v>100</v>
      </c>
      <c r="C76" s="2">
        <f t="shared" si="32"/>
        <v>175</v>
      </c>
      <c r="D76" s="75">
        <f t="shared" si="25"/>
        <v>0</v>
      </c>
      <c r="E76" s="72" t="str">
        <f t="shared" si="26"/>
        <v/>
      </c>
      <c r="F76" s="73">
        <f>IF(OR(E76="",COUNTIF(E$2:E76,E76)&gt;1),F77+1,0)</f>
        <v>100</v>
      </c>
      <c r="G76" s="2">
        <f t="shared" si="33"/>
        <v>175</v>
      </c>
      <c r="H76" s="75">
        <f t="shared" si="27"/>
        <v>0</v>
      </c>
      <c r="I76" s="72" t="str">
        <f t="shared" si="28"/>
        <v/>
      </c>
      <c r="J76" s="73">
        <f>IF(OR(I76="",COUNTIF(I$2:I76,I76)&gt;1),J77+1,0)</f>
        <v>100</v>
      </c>
      <c r="K76" s="2">
        <f t="shared" si="34"/>
        <v>175</v>
      </c>
      <c r="L76" s="75">
        <f t="shared" si="29"/>
        <v>0</v>
      </c>
      <c r="M76" s="72" t="str">
        <f t="shared" si="30"/>
        <v/>
      </c>
      <c r="N76" s="73">
        <f>IF(OR(M76="",COUNTIF(M$2:M76,M76)&gt;1),N77+1,0)</f>
        <v>100</v>
      </c>
      <c r="O76" s="2">
        <f t="shared" si="35"/>
        <v>175</v>
      </c>
      <c r="P76" s="75">
        <f t="shared" si="31"/>
        <v>0</v>
      </c>
    </row>
    <row r="77" spans="1:16" x14ac:dyDescent="0.3">
      <c r="A77" s="72" t="str">
        <f t="shared" si="24"/>
        <v/>
      </c>
      <c r="B77" s="73">
        <f>IF(OR(A77="",COUNTIF(A$2:A77,A77)&gt;1),B78+1,0)</f>
        <v>99</v>
      </c>
      <c r="C77" s="2">
        <f t="shared" si="32"/>
        <v>175</v>
      </c>
      <c r="D77" s="75">
        <f t="shared" si="25"/>
        <v>0</v>
      </c>
      <c r="E77" s="72" t="str">
        <f t="shared" si="26"/>
        <v/>
      </c>
      <c r="F77" s="73">
        <f>IF(OR(E77="",COUNTIF(E$2:E77,E77)&gt;1),F78+1,0)</f>
        <v>99</v>
      </c>
      <c r="G77" s="2">
        <f t="shared" si="33"/>
        <v>175</v>
      </c>
      <c r="H77" s="75">
        <f t="shared" si="27"/>
        <v>0</v>
      </c>
      <c r="I77" s="72" t="str">
        <f t="shared" si="28"/>
        <v/>
      </c>
      <c r="J77" s="73">
        <f>IF(OR(I77="",COUNTIF(I$2:I77,I77)&gt;1),J78+1,0)</f>
        <v>99</v>
      </c>
      <c r="K77" s="2">
        <f t="shared" si="34"/>
        <v>175</v>
      </c>
      <c r="L77" s="75">
        <f t="shared" si="29"/>
        <v>0</v>
      </c>
      <c r="M77" s="72" t="str">
        <f t="shared" si="30"/>
        <v/>
      </c>
      <c r="N77" s="73">
        <f>IF(OR(M77="",COUNTIF(M$2:M77,M77)&gt;1),N78+1,0)</f>
        <v>99</v>
      </c>
      <c r="O77" s="2">
        <f t="shared" si="35"/>
        <v>175</v>
      </c>
      <c r="P77" s="75">
        <f t="shared" si="31"/>
        <v>0</v>
      </c>
    </row>
    <row r="78" spans="1:16" x14ac:dyDescent="0.3">
      <c r="A78" s="72" t="str">
        <f t="shared" si="24"/>
        <v/>
      </c>
      <c r="B78" s="73">
        <f>IF(OR(A78="",COUNTIF(A$2:A78,A78)&gt;1),B79+1,0)</f>
        <v>98</v>
      </c>
      <c r="C78" s="2">
        <f t="shared" si="32"/>
        <v>175</v>
      </c>
      <c r="D78" s="75">
        <f t="shared" si="25"/>
        <v>0</v>
      </c>
      <c r="E78" s="72" t="str">
        <f t="shared" si="26"/>
        <v/>
      </c>
      <c r="F78" s="73">
        <f>IF(OR(E78="",COUNTIF(E$2:E78,E78)&gt;1),F79+1,0)</f>
        <v>98</v>
      </c>
      <c r="G78" s="2">
        <f t="shared" si="33"/>
        <v>175</v>
      </c>
      <c r="H78" s="75">
        <f t="shared" si="27"/>
        <v>0</v>
      </c>
      <c r="I78" s="72" t="str">
        <f t="shared" si="28"/>
        <v/>
      </c>
      <c r="J78" s="73">
        <f>IF(OR(I78="",COUNTIF(I$2:I78,I78)&gt;1),J79+1,0)</f>
        <v>98</v>
      </c>
      <c r="K78" s="2">
        <f t="shared" si="34"/>
        <v>175</v>
      </c>
      <c r="L78" s="75">
        <f t="shared" si="29"/>
        <v>0</v>
      </c>
      <c r="M78" s="72" t="str">
        <f t="shared" si="30"/>
        <v/>
      </c>
      <c r="N78" s="73">
        <f>IF(OR(M78="",COUNTIF(M$2:M78,M78)&gt;1),N79+1,0)</f>
        <v>98</v>
      </c>
      <c r="O78" s="2">
        <f t="shared" si="35"/>
        <v>175</v>
      </c>
      <c r="P78" s="75">
        <f t="shared" si="31"/>
        <v>0</v>
      </c>
    </row>
    <row r="79" spans="1:16" x14ac:dyDescent="0.3">
      <c r="A79" s="72" t="str">
        <f t="shared" si="24"/>
        <v/>
      </c>
      <c r="B79" s="73">
        <f>IF(OR(A79="",COUNTIF(A$2:A79,A79)&gt;1),B80+1,0)</f>
        <v>97</v>
      </c>
      <c r="C79" s="2">
        <f t="shared" si="32"/>
        <v>175</v>
      </c>
      <c r="D79" s="75">
        <f t="shared" si="25"/>
        <v>0</v>
      </c>
      <c r="E79" s="72" t="str">
        <f t="shared" si="26"/>
        <v/>
      </c>
      <c r="F79" s="73">
        <f>IF(OR(E79="",COUNTIF(E$2:E79,E79)&gt;1),F80+1,0)</f>
        <v>97</v>
      </c>
      <c r="G79" s="2">
        <f t="shared" si="33"/>
        <v>175</v>
      </c>
      <c r="H79" s="75">
        <f t="shared" si="27"/>
        <v>0</v>
      </c>
      <c r="I79" s="72" t="str">
        <f t="shared" si="28"/>
        <v/>
      </c>
      <c r="J79" s="73">
        <f>IF(OR(I79="",COUNTIF(I$2:I79,I79)&gt;1),J80+1,0)</f>
        <v>97</v>
      </c>
      <c r="K79" s="2">
        <f t="shared" si="34"/>
        <v>175</v>
      </c>
      <c r="L79" s="75">
        <f t="shared" si="29"/>
        <v>0</v>
      </c>
      <c r="M79" s="72" t="str">
        <f t="shared" si="30"/>
        <v/>
      </c>
      <c r="N79" s="73">
        <f>IF(OR(M79="",COUNTIF(M$2:M79,M79)&gt;1),N80+1,0)</f>
        <v>97</v>
      </c>
      <c r="O79" s="2">
        <f t="shared" si="35"/>
        <v>175</v>
      </c>
      <c r="P79" s="75">
        <f t="shared" si="31"/>
        <v>0</v>
      </c>
    </row>
    <row r="80" spans="1:16" x14ac:dyDescent="0.3">
      <c r="A80" s="72" t="str">
        <f t="shared" si="24"/>
        <v/>
      </c>
      <c r="B80" s="73">
        <f>IF(OR(A80="",COUNTIF(A$2:A80,A80)&gt;1),B81+1,0)</f>
        <v>96</v>
      </c>
      <c r="C80" s="2">
        <f t="shared" si="32"/>
        <v>175</v>
      </c>
      <c r="D80" s="75">
        <f t="shared" si="25"/>
        <v>0</v>
      </c>
      <c r="E80" s="72" t="str">
        <f t="shared" si="26"/>
        <v/>
      </c>
      <c r="F80" s="73">
        <f>IF(OR(E80="",COUNTIF(E$2:E80,E80)&gt;1),F81+1,0)</f>
        <v>96</v>
      </c>
      <c r="G80" s="2">
        <f t="shared" si="33"/>
        <v>175</v>
      </c>
      <c r="H80" s="75">
        <f t="shared" si="27"/>
        <v>0</v>
      </c>
      <c r="I80" s="72" t="str">
        <f t="shared" si="28"/>
        <v/>
      </c>
      <c r="J80" s="73">
        <f>IF(OR(I80="",COUNTIF(I$2:I80,I80)&gt;1),J81+1,0)</f>
        <v>96</v>
      </c>
      <c r="K80" s="2">
        <f t="shared" si="34"/>
        <v>175</v>
      </c>
      <c r="L80" s="75">
        <f t="shared" si="29"/>
        <v>0</v>
      </c>
      <c r="M80" s="72" t="str">
        <f t="shared" si="30"/>
        <v/>
      </c>
      <c r="N80" s="73">
        <f>IF(OR(M80="",COUNTIF(M$2:M80,M80)&gt;1),N81+1,0)</f>
        <v>96</v>
      </c>
      <c r="O80" s="2">
        <f t="shared" si="35"/>
        <v>175</v>
      </c>
      <c r="P80" s="75">
        <f t="shared" si="31"/>
        <v>0</v>
      </c>
    </row>
    <row r="81" spans="1:16" x14ac:dyDescent="0.3">
      <c r="A81" s="72" t="str">
        <f t="shared" si="24"/>
        <v/>
      </c>
      <c r="B81" s="73">
        <f>IF(OR(A81="",COUNTIF(A$2:A81,A81)&gt;1),B82+1,0)</f>
        <v>95</v>
      </c>
      <c r="C81" s="2">
        <f t="shared" si="32"/>
        <v>175</v>
      </c>
      <c r="D81" s="75">
        <f t="shared" si="25"/>
        <v>0</v>
      </c>
      <c r="E81" s="72" t="str">
        <f t="shared" si="26"/>
        <v/>
      </c>
      <c r="F81" s="73">
        <f>IF(OR(E81="",COUNTIF(E$2:E81,E81)&gt;1),F82+1,0)</f>
        <v>95</v>
      </c>
      <c r="G81" s="2">
        <f t="shared" si="33"/>
        <v>175</v>
      </c>
      <c r="H81" s="75">
        <f t="shared" si="27"/>
        <v>0</v>
      </c>
      <c r="I81" s="72" t="str">
        <f t="shared" si="28"/>
        <v/>
      </c>
      <c r="J81" s="73">
        <f>IF(OR(I81="",COUNTIF(I$2:I81,I81)&gt;1),J82+1,0)</f>
        <v>95</v>
      </c>
      <c r="K81" s="2">
        <f t="shared" si="34"/>
        <v>175</v>
      </c>
      <c r="L81" s="75">
        <f t="shared" si="29"/>
        <v>0</v>
      </c>
      <c r="M81" s="72" t="str">
        <f t="shared" si="30"/>
        <v/>
      </c>
      <c r="N81" s="73">
        <f>IF(OR(M81="",COUNTIF(M$2:M81,M81)&gt;1),N82+1,0)</f>
        <v>95</v>
      </c>
      <c r="O81" s="2">
        <f t="shared" si="35"/>
        <v>175</v>
      </c>
      <c r="P81" s="75">
        <f t="shared" si="31"/>
        <v>0</v>
      </c>
    </row>
    <row r="82" spans="1:16" x14ac:dyDescent="0.3">
      <c r="A82" s="72" t="str">
        <f t="shared" si="24"/>
        <v/>
      </c>
      <c r="B82" s="73">
        <f>IF(OR(A82="",COUNTIF(A$2:A82,A82)&gt;1),B83+1,0)</f>
        <v>94</v>
      </c>
      <c r="C82" s="2">
        <f t="shared" si="32"/>
        <v>175</v>
      </c>
      <c r="D82" s="75">
        <f t="shared" si="25"/>
        <v>0</v>
      </c>
      <c r="E82" s="72" t="str">
        <f t="shared" si="26"/>
        <v/>
      </c>
      <c r="F82" s="73">
        <f>IF(OR(E82="",COUNTIF(E$2:E82,E82)&gt;1),F83+1,0)</f>
        <v>94</v>
      </c>
      <c r="G82" s="2">
        <f t="shared" si="33"/>
        <v>175</v>
      </c>
      <c r="H82" s="75">
        <f t="shared" si="27"/>
        <v>0</v>
      </c>
      <c r="I82" s="72" t="str">
        <f t="shared" si="28"/>
        <v/>
      </c>
      <c r="J82" s="73">
        <f>IF(OR(I82="",COUNTIF(I$2:I82,I82)&gt;1),J83+1,0)</f>
        <v>94</v>
      </c>
      <c r="K82" s="2">
        <f t="shared" si="34"/>
        <v>175</v>
      </c>
      <c r="L82" s="75">
        <f t="shared" si="29"/>
        <v>0</v>
      </c>
      <c r="M82" s="72" t="str">
        <f t="shared" si="30"/>
        <v/>
      </c>
      <c r="N82" s="73">
        <f>IF(OR(M82="",COUNTIF(M$2:M82,M82)&gt;1),N83+1,0)</f>
        <v>94</v>
      </c>
      <c r="O82" s="2">
        <f t="shared" si="35"/>
        <v>175</v>
      </c>
      <c r="P82" s="75">
        <f t="shared" si="31"/>
        <v>0</v>
      </c>
    </row>
    <row r="83" spans="1:16" x14ac:dyDescent="0.3">
      <c r="A83" s="72" t="str">
        <f t="shared" si="24"/>
        <v/>
      </c>
      <c r="B83" s="73">
        <f>IF(OR(A83="",COUNTIF(A$2:A83,A83)&gt;1),B84+1,0)</f>
        <v>93</v>
      </c>
      <c r="C83" s="2">
        <f t="shared" si="32"/>
        <v>175</v>
      </c>
      <c r="D83" s="75">
        <f t="shared" si="25"/>
        <v>0</v>
      </c>
      <c r="E83" s="72" t="str">
        <f t="shared" si="26"/>
        <v/>
      </c>
      <c r="F83" s="73">
        <f>IF(OR(E83="",COUNTIF(E$2:E83,E83)&gt;1),F84+1,0)</f>
        <v>93</v>
      </c>
      <c r="G83" s="2">
        <f t="shared" si="33"/>
        <v>175</v>
      </c>
      <c r="H83" s="75">
        <f t="shared" si="27"/>
        <v>0</v>
      </c>
      <c r="I83" s="72" t="str">
        <f t="shared" si="28"/>
        <v/>
      </c>
      <c r="J83" s="73">
        <f>IF(OR(I83="",COUNTIF(I$2:I83,I83)&gt;1),J84+1,0)</f>
        <v>93</v>
      </c>
      <c r="K83" s="2">
        <f t="shared" si="34"/>
        <v>175</v>
      </c>
      <c r="L83" s="75">
        <f t="shared" si="29"/>
        <v>0</v>
      </c>
      <c r="M83" s="72" t="str">
        <f t="shared" si="30"/>
        <v/>
      </c>
      <c r="N83" s="73">
        <f>IF(OR(M83="",COUNTIF(M$2:M83,M83)&gt;1),N84+1,0)</f>
        <v>93</v>
      </c>
      <c r="O83" s="2">
        <f t="shared" si="35"/>
        <v>175</v>
      </c>
      <c r="P83" s="75">
        <f t="shared" si="31"/>
        <v>0</v>
      </c>
    </row>
    <row r="84" spans="1:16" x14ac:dyDescent="0.3">
      <c r="A84" s="72" t="str">
        <f t="shared" si="24"/>
        <v/>
      </c>
      <c r="B84" s="73">
        <f>IF(OR(A84="",COUNTIF(A$2:A84,A84)&gt;1),B85+1,0)</f>
        <v>92</v>
      </c>
      <c r="C84" s="2">
        <f t="shared" si="32"/>
        <v>175</v>
      </c>
      <c r="D84" s="75">
        <f t="shared" si="25"/>
        <v>0</v>
      </c>
      <c r="E84" s="72" t="str">
        <f t="shared" si="26"/>
        <v/>
      </c>
      <c r="F84" s="73">
        <f>IF(OR(E84="",COUNTIF(E$2:E84,E84)&gt;1),F85+1,0)</f>
        <v>92</v>
      </c>
      <c r="G84" s="2">
        <f t="shared" si="33"/>
        <v>175</v>
      </c>
      <c r="H84" s="75">
        <f t="shared" si="27"/>
        <v>0</v>
      </c>
      <c r="I84" s="72" t="str">
        <f t="shared" si="28"/>
        <v/>
      </c>
      <c r="J84" s="73">
        <f>IF(OR(I84="",COUNTIF(I$2:I84,I84)&gt;1),J85+1,0)</f>
        <v>92</v>
      </c>
      <c r="K84" s="2">
        <f t="shared" si="34"/>
        <v>175</v>
      </c>
      <c r="L84" s="75">
        <f t="shared" si="29"/>
        <v>0</v>
      </c>
      <c r="M84" s="72" t="str">
        <f t="shared" si="30"/>
        <v/>
      </c>
      <c r="N84" s="73">
        <f>IF(OR(M84="",COUNTIF(M$2:M84,M84)&gt;1),N85+1,0)</f>
        <v>92</v>
      </c>
      <c r="O84" s="2">
        <f t="shared" si="35"/>
        <v>175</v>
      </c>
      <c r="P84" s="75">
        <f t="shared" si="31"/>
        <v>0</v>
      </c>
    </row>
    <row r="85" spans="1:16" x14ac:dyDescent="0.3">
      <c r="A85" s="72" t="str">
        <f t="shared" si="24"/>
        <v/>
      </c>
      <c r="B85" s="73">
        <f>IF(OR(A85="",COUNTIF(A$2:A85,A85)&gt;1),B86+1,0)</f>
        <v>91</v>
      </c>
      <c r="C85" s="2">
        <f t="shared" si="32"/>
        <v>175</v>
      </c>
      <c r="D85" s="75">
        <f t="shared" si="25"/>
        <v>0</v>
      </c>
      <c r="E85" s="72" t="str">
        <f t="shared" si="26"/>
        <v/>
      </c>
      <c r="F85" s="73">
        <f>IF(OR(E85="",COUNTIF(E$2:E85,E85)&gt;1),F86+1,0)</f>
        <v>91</v>
      </c>
      <c r="G85" s="2">
        <f t="shared" si="33"/>
        <v>175</v>
      </c>
      <c r="H85" s="75">
        <f t="shared" si="27"/>
        <v>0</v>
      </c>
      <c r="I85" s="72" t="str">
        <f t="shared" si="28"/>
        <v/>
      </c>
      <c r="J85" s="73">
        <f>IF(OR(I85="",COUNTIF(I$2:I85,I85)&gt;1),J86+1,0)</f>
        <v>91</v>
      </c>
      <c r="K85" s="2">
        <f t="shared" si="34"/>
        <v>175</v>
      </c>
      <c r="L85" s="75">
        <f t="shared" si="29"/>
        <v>0</v>
      </c>
      <c r="M85" s="72" t="str">
        <f t="shared" si="30"/>
        <v/>
      </c>
      <c r="N85" s="73">
        <f>IF(OR(M85="",COUNTIF(M$2:M85,M85)&gt;1),N86+1,0)</f>
        <v>91</v>
      </c>
      <c r="O85" s="2">
        <f t="shared" si="35"/>
        <v>175</v>
      </c>
      <c r="P85" s="75">
        <f t="shared" si="31"/>
        <v>0</v>
      </c>
    </row>
    <row r="86" spans="1:16" x14ac:dyDescent="0.3">
      <c r="A86" s="72" t="str">
        <f t="shared" si="24"/>
        <v/>
      </c>
      <c r="B86" s="73">
        <f>IF(OR(A86="",COUNTIF(A$2:A86,A86)&gt;1),B87+1,0)</f>
        <v>90</v>
      </c>
      <c r="C86" s="2">
        <f t="shared" si="32"/>
        <v>175</v>
      </c>
      <c r="D86" s="75">
        <f t="shared" si="25"/>
        <v>0</v>
      </c>
      <c r="E86" s="72" t="str">
        <f t="shared" si="26"/>
        <v/>
      </c>
      <c r="F86" s="73">
        <f>IF(OR(E86="",COUNTIF(E$2:E86,E86)&gt;1),F87+1,0)</f>
        <v>90</v>
      </c>
      <c r="G86" s="2">
        <f t="shared" si="33"/>
        <v>175</v>
      </c>
      <c r="H86" s="75">
        <f t="shared" si="27"/>
        <v>0</v>
      </c>
      <c r="I86" s="72" t="str">
        <f t="shared" si="28"/>
        <v/>
      </c>
      <c r="J86" s="73">
        <f>IF(OR(I86="",COUNTIF(I$2:I86,I86)&gt;1),J87+1,0)</f>
        <v>90</v>
      </c>
      <c r="K86" s="2">
        <f t="shared" si="34"/>
        <v>175</v>
      </c>
      <c r="L86" s="75">
        <f t="shared" si="29"/>
        <v>0</v>
      </c>
      <c r="M86" s="72" t="str">
        <f t="shared" si="30"/>
        <v/>
      </c>
      <c r="N86" s="73">
        <f>IF(OR(M86="",COUNTIF(M$2:M86,M86)&gt;1),N87+1,0)</f>
        <v>90</v>
      </c>
      <c r="O86" s="2">
        <f t="shared" si="35"/>
        <v>175</v>
      </c>
      <c r="P86" s="75">
        <f t="shared" si="31"/>
        <v>0</v>
      </c>
    </row>
    <row r="87" spans="1:16" x14ac:dyDescent="0.3">
      <c r="A87" s="72" t="str">
        <f t="shared" si="24"/>
        <v/>
      </c>
      <c r="B87" s="73">
        <f>IF(OR(A87="",COUNTIF(A$2:A87,A87)&gt;1),B88+1,0)</f>
        <v>89</v>
      </c>
      <c r="C87" s="2">
        <f t="shared" si="32"/>
        <v>175</v>
      </c>
      <c r="D87" s="75">
        <f t="shared" si="25"/>
        <v>0</v>
      </c>
      <c r="E87" s="72" t="str">
        <f t="shared" si="26"/>
        <v/>
      </c>
      <c r="F87" s="73">
        <f>IF(OR(E87="",COUNTIF(E$2:E87,E87)&gt;1),F88+1,0)</f>
        <v>89</v>
      </c>
      <c r="G87" s="2">
        <f t="shared" si="33"/>
        <v>175</v>
      </c>
      <c r="H87" s="75">
        <f t="shared" si="27"/>
        <v>0</v>
      </c>
      <c r="I87" s="72" t="str">
        <f t="shared" si="28"/>
        <v/>
      </c>
      <c r="J87" s="73">
        <f>IF(OR(I87="",COUNTIF(I$2:I87,I87)&gt;1),J88+1,0)</f>
        <v>89</v>
      </c>
      <c r="K87" s="2">
        <f t="shared" si="34"/>
        <v>175</v>
      </c>
      <c r="L87" s="75">
        <f t="shared" si="29"/>
        <v>0</v>
      </c>
      <c r="M87" s="72" t="str">
        <f t="shared" si="30"/>
        <v/>
      </c>
      <c r="N87" s="73">
        <f>IF(OR(M87="",COUNTIF(M$2:M87,M87)&gt;1),N88+1,0)</f>
        <v>89</v>
      </c>
      <c r="O87" s="2">
        <f t="shared" si="35"/>
        <v>175</v>
      </c>
      <c r="P87" s="75">
        <f t="shared" si="31"/>
        <v>0</v>
      </c>
    </row>
    <row r="88" spans="1:16" x14ac:dyDescent="0.3">
      <c r="A88" s="72" t="str">
        <f t="shared" si="24"/>
        <v/>
      </c>
      <c r="B88" s="73">
        <f>IF(OR(A88="",COUNTIF(A$2:A88,A88)&gt;1),B89+1,0)</f>
        <v>88</v>
      </c>
      <c r="C88" s="2">
        <f t="shared" si="32"/>
        <v>175</v>
      </c>
      <c r="D88" s="75">
        <f t="shared" si="25"/>
        <v>0</v>
      </c>
      <c r="E88" s="72" t="str">
        <f t="shared" si="26"/>
        <v/>
      </c>
      <c r="F88" s="73">
        <f>IF(OR(E88="",COUNTIF(E$2:E88,E88)&gt;1),F89+1,0)</f>
        <v>88</v>
      </c>
      <c r="G88" s="2">
        <f t="shared" si="33"/>
        <v>175</v>
      </c>
      <c r="H88" s="75">
        <f t="shared" si="27"/>
        <v>0</v>
      </c>
      <c r="I88" s="72" t="str">
        <f t="shared" si="28"/>
        <v/>
      </c>
      <c r="J88" s="73">
        <f>IF(OR(I88="",COUNTIF(I$2:I88,I88)&gt;1),J89+1,0)</f>
        <v>88</v>
      </c>
      <c r="K88" s="2">
        <f t="shared" si="34"/>
        <v>175</v>
      </c>
      <c r="L88" s="75">
        <f t="shared" si="29"/>
        <v>0</v>
      </c>
      <c r="M88" s="72" t="str">
        <f t="shared" si="30"/>
        <v/>
      </c>
      <c r="N88" s="73">
        <f>IF(OR(M88="",COUNTIF(M$2:M88,M88)&gt;1),N89+1,0)</f>
        <v>88</v>
      </c>
      <c r="O88" s="2">
        <f t="shared" si="35"/>
        <v>175</v>
      </c>
      <c r="P88" s="75">
        <f t="shared" si="31"/>
        <v>0</v>
      </c>
    </row>
    <row r="89" spans="1:16" x14ac:dyDescent="0.3">
      <c r="A89" s="72" t="str">
        <f t="shared" si="24"/>
        <v/>
      </c>
      <c r="B89" s="73">
        <f>IF(OR(A89="",COUNTIF(A$2:A89,A89)&gt;1),B90+1,0)</f>
        <v>87</v>
      </c>
      <c r="C89" s="2">
        <f t="shared" si="32"/>
        <v>175</v>
      </c>
      <c r="D89" s="75">
        <f t="shared" si="25"/>
        <v>0</v>
      </c>
      <c r="E89" s="72" t="str">
        <f t="shared" si="26"/>
        <v/>
      </c>
      <c r="F89" s="73">
        <f>IF(OR(E89="",COUNTIF(E$2:E89,E89)&gt;1),F90+1,0)</f>
        <v>87</v>
      </c>
      <c r="G89" s="2">
        <f t="shared" si="33"/>
        <v>175</v>
      </c>
      <c r="H89" s="75">
        <f t="shared" si="27"/>
        <v>0</v>
      </c>
      <c r="I89" s="72" t="str">
        <f t="shared" si="28"/>
        <v/>
      </c>
      <c r="J89" s="73">
        <f>IF(OR(I89="",COUNTIF(I$2:I89,I89)&gt;1),J90+1,0)</f>
        <v>87</v>
      </c>
      <c r="K89" s="2">
        <f t="shared" si="34"/>
        <v>175</v>
      </c>
      <c r="L89" s="75">
        <f t="shared" si="29"/>
        <v>0</v>
      </c>
      <c r="M89" s="72" t="str">
        <f t="shared" si="30"/>
        <v/>
      </c>
      <c r="N89" s="73">
        <f>IF(OR(M89="",COUNTIF(M$2:M89,M89)&gt;1),N90+1,0)</f>
        <v>87</v>
      </c>
      <c r="O89" s="2">
        <f t="shared" si="35"/>
        <v>175</v>
      </c>
      <c r="P89" s="75">
        <f t="shared" si="31"/>
        <v>0</v>
      </c>
    </row>
    <row r="90" spans="1:16" x14ac:dyDescent="0.3">
      <c r="A90" s="72" t="str">
        <f t="shared" si="24"/>
        <v/>
      </c>
      <c r="B90" s="73">
        <f>IF(OR(A90="",COUNTIF(A$2:A90,A90)&gt;1),B91+1,0)</f>
        <v>86</v>
      </c>
      <c r="C90" s="2">
        <f t="shared" si="32"/>
        <v>175</v>
      </c>
      <c r="D90" s="75">
        <f t="shared" si="25"/>
        <v>0</v>
      </c>
      <c r="E90" s="72" t="str">
        <f t="shared" si="26"/>
        <v/>
      </c>
      <c r="F90" s="73">
        <f>IF(OR(E90="",COUNTIF(E$2:E90,E90)&gt;1),F91+1,0)</f>
        <v>86</v>
      </c>
      <c r="G90" s="2">
        <f t="shared" si="33"/>
        <v>175</v>
      </c>
      <c r="H90" s="75">
        <f t="shared" si="27"/>
        <v>0</v>
      </c>
      <c r="I90" s="72" t="str">
        <f t="shared" si="28"/>
        <v/>
      </c>
      <c r="J90" s="73">
        <f>IF(OR(I90="",COUNTIF(I$2:I90,I90)&gt;1),J91+1,0)</f>
        <v>86</v>
      </c>
      <c r="K90" s="2">
        <f t="shared" si="34"/>
        <v>175</v>
      </c>
      <c r="L90" s="75">
        <f t="shared" si="29"/>
        <v>0</v>
      </c>
      <c r="M90" s="72" t="str">
        <f t="shared" si="30"/>
        <v/>
      </c>
      <c r="N90" s="73">
        <f>IF(OR(M90="",COUNTIF(M$2:M90,M90)&gt;1),N91+1,0)</f>
        <v>86</v>
      </c>
      <c r="O90" s="2">
        <f t="shared" si="35"/>
        <v>175</v>
      </c>
      <c r="P90" s="75">
        <f t="shared" si="31"/>
        <v>0</v>
      </c>
    </row>
    <row r="91" spans="1:16" x14ac:dyDescent="0.3">
      <c r="A91" s="72" t="str">
        <f t="shared" si="24"/>
        <v/>
      </c>
      <c r="B91" s="73">
        <f>IF(OR(A91="",COUNTIF(A$2:A91,A91)&gt;1),B92+1,0)</f>
        <v>85</v>
      </c>
      <c r="C91" s="2">
        <f t="shared" si="32"/>
        <v>175</v>
      </c>
      <c r="D91" s="75">
        <f t="shared" si="25"/>
        <v>0</v>
      </c>
      <c r="E91" s="72" t="str">
        <f t="shared" si="26"/>
        <v/>
      </c>
      <c r="F91" s="73">
        <f>IF(OR(E91="",COUNTIF(E$2:E91,E91)&gt;1),F92+1,0)</f>
        <v>85</v>
      </c>
      <c r="G91" s="2">
        <f t="shared" si="33"/>
        <v>175</v>
      </c>
      <c r="H91" s="75">
        <f t="shared" si="27"/>
        <v>0</v>
      </c>
      <c r="I91" s="72" t="str">
        <f t="shared" si="28"/>
        <v/>
      </c>
      <c r="J91" s="73">
        <f>IF(OR(I91="",COUNTIF(I$2:I91,I91)&gt;1),J92+1,0)</f>
        <v>85</v>
      </c>
      <c r="K91" s="2">
        <f t="shared" si="34"/>
        <v>175</v>
      </c>
      <c r="L91" s="75">
        <f t="shared" si="29"/>
        <v>0</v>
      </c>
      <c r="M91" s="72" t="str">
        <f t="shared" si="30"/>
        <v/>
      </c>
      <c r="N91" s="73">
        <f>IF(OR(M91="",COUNTIF(M$2:M91,M91)&gt;1),N92+1,0)</f>
        <v>85</v>
      </c>
      <c r="O91" s="2">
        <f t="shared" si="35"/>
        <v>175</v>
      </c>
      <c r="P91" s="75">
        <f t="shared" si="31"/>
        <v>0</v>
      </c>
    </row>
    <row r="92" spans="1:16" x14ac:dyDescent="0.3">
      <c r="A92" s="72" t="str">
        <f t="shared" si="24"/>
        <v/>
      </c>
      <c r="B92" s="73">
        <f>IF(OR(A92="",COUNTIF(A$2:A92,A92)&gt;1),B93+1,0)</f>
        <v>84</v>
      </c>
      <c r="C92" s="2">
        <f t="shared" si="32"/>
        <v>175</v>
      </c>
      <c r="D92" s="75">
        <f t="shared" si="25"/>
        <v>0</v>
      </c>
      <c r="E92" s="72" t="str">
        <f t="shared" si="26"/>
        <v/>
      </c>
      <c r="F92" s="73">
        <f>IF(OR(E92="",COUNTIF(E$2:E92,E92)&gt;1),F93+1,0)</f>
        <v>84</v>
      </c>
      <c r="G92" s="2">
        <f t="shared" si="33"/>
        <v>175</v>
      </c>
      <c r="H92" s="75">
        <f t="shared" si="27"/>
        <v>0</v>
      </c>
      <c r="I92" s="72" t="str">
        <f t="shared" si="28"/>
        <v/>
      </c>
      <c r="J92" s="73">
        <f>IF(OR(I92="",COUNTIF(I$2:I92,I92)&gt;1),J93+1,0)</f>
        <v>84</v>
      </c>
      <c r="K92" s="2">
        <f t="shared" si="34"/>
        <v>175</v>
      </c>
      <c r="L92" s="75">
        <f t="shared" si="29"/>
        <v>0</v>
      </c>
      <c r="M92" s="72" t="str">
        <f t="shared" si="30"/>
        <v/>
      </c>
      <c r="N92" s="73">
        <f>IF(OR(M92="",COUNTIF(M$2:M92,M92)&gt;1),N93+1,0)</f>
        <v>84</v>
      </c>
      <c r="O92" s="2">
        <f t="shared" si="35"/>
        <v>175</v>
      </c>
      <c r="P92" s="75">
        <f t="shared" si="31"/>
        <v>0</v>
      </c>
    </row>
    <row r="93" spans="1:16" x14ac:dyDescent="0.3">
      <c r="A93" s="72" t="str">
        <f t="shared" si="24"/>
        <v/>
      </c>
      <c r="B93" s="73">
        <f>IF(OR(A93="",COUNTIF(A$2:A93,A93)&gt;1),B94+1,0)</f>
        <v>83</v>
      </c>
      <c r="C93" s="2">
        <f t="shared" si="32"/>
        <v>175</v>
      </c>
      <c r="D93" s="75">
        <f t="shared" si="25"/>
        <v>0</v>
      </c>
      <c r="E93" s="72" t="str">
        <f t="shared" si="26"/>
        <v/>
      </c>
      <c r="F93" s="73">
        <f>IF(OR(E93="",COUNTIF(E$2:E93,E93)&gt;1),F94+1,0)</f>
        <v>83</v>
      </c>
      <c r="G93" s="2">
        <f t="shared" si="33"/>
        <v>175</v>
      </c>
      <c r="H93" s="75">
        <f t="shared" si="27"/>
        <v>0</v>
      </c>
      <c r="I93" s="72" t="str">
        <f t="shared" si="28"/>
        <v/>
      </c>
      <c r="J93" s="73">
        <f>IF(OR(I93="",COUNTIF(I$2:I93,I93)&gt;1),J94+1,0)</f>
        <v>83</v>
      </c>
      <c r="K93" s="2">
        <f t="shared" si="34"/>
        <v>175</v>
      </c>
      <c r="L93" s="75">
        <f t="shared" si="29"/>
        <v>0</v>
      </c>
      <c r="M93" s="72" t="str">
        <f t="shared" si="30"/>
        <v/>
      </c>
      <c r="N93" s="73">
        <f>IF(OR(M93="",COUNTIF(M$2:M93,M93)&gt;1),N94+1,0)</f>
        <v>83</v>
      </c>
      <c r="O93" s="2">
        <f t="shared" si="35"/>
        <v>175</v>
      </c>
      <c r="P93" s="75">
        <f t="shared" si="31"/>
        <v>0</v>
      </c>
    </row>
    <row r="94" spans="1:16" x14ac:dyDescent="0.3">
      <c r="A94" s="72" t="str">
        <f t="shared" si="24"/>
        <v/>
      </c>
      <c r="B94" s="73">
        <f>IF(OR(A94="",COUNTIF(A$2:A94,A94)&gt;1),B95+1,0)</f>
        <v>82</v>
      </c>
      <c r="C94" s="2">
        <f t="shared" si="32"/>
        <v>175</v>
      </c>
      <c r="D94" s="75">
        <f t="shared" si="25"/>
        <v>0</v>
      </c>
      <c r="E94" s="72" t="str">
        <f t="shared" si="26"/>
        <v/>
      </c>
      <c r="F94" s="73">
        <f>IF(OR(E94="",COUNTIF(E$2:E94,E94)&gt;1),F95+1,0)</f>
        <v>82</v>
      </c>
      <c r="G94" s="2">
        <f t="shared" si="33"/>
        <v>175</v>
      </c>
      <c r="H94" s="75">
        <f t="shared" si="27"/>
        <v>0</v>
      </c>
      <c r="I94" s="72" t="str">
        <f t="shared" si="28"/>
        <v/>
      </c>
      <c r="J94" s="73">
        <f>IF(OR(I94="",COUNTIF(I$2:I94,I94)&gt;1),J95+1,0)</f>
        <v>82</v>
      </c>
      <c r="K94" s="2">
        <f t="shared" si="34"/>
        <v>175</v>
      </c>
      <c r="L94" s="75">
        <f t="shared" si="29"/>
        <v>0</v>
      </c>
      <c r="M94" s="72" t="str">
        <f t="shared" si="30"/>
        <v/>
      </c>
      <c r="N94" s="73">
        <f>IF(OR(M94="",COUNTIF(M$2:M94,M94)&gt;1),N95+1,0)</f>
        <v>82</v>
      </c>
      <c r="O94" s="2">
        <f t="shared" si="35"/>
        <v>175</v>
      </c>
      <c r="P94" s="75">
        <f t="shared" si="31"/>
        <v>0</v>
      </c>
    </row>
    <row r="95" spans="1:16" x14ac:dyDescent="0.3">
      <c r="A95" s="72" t="str">
        <f t="shared" si="24"/>
        <v/>
      </c>
      <c r="B95" s="73">
        <f>IF(OR(A95="",COUNTIF(A$2:A95,A95)&gt;1),B96+1,0)</f>
        <v>81</v>
      </c>
      <c r="C95" s="2">
        <f t="shared" si="32"/>
        <v>175</v>
      </c>
      <c r="D95" s="75">
        <f t="shared" si="25"/>
        <v>0</v>
      </c>
      <c r="E95" s="72" t="str">
        <f t="shared" si="26"/>
        <v/>
      </c>
      <c r="F95" s="73">
        <f>IF(OR(E95="",COUNTIF(E$2:E95,E95)&gt;1),F96+1,0)</f>
        <v>81</v>
      </c>
      <c r="G95" s="2">
        <f t="shared" si="33"/>
        <v>175</v>
      </c>
      <c r="H95" s="75">
        <f t="shared" si="27"/>
        <v>0</v>
      </c>
      <c r="I95" s="72" t="str">
        <f t="shared" si="28"/>
        <v/>
      </c>
      <c r="J95" s="73">
        <f>IF(OR(I95="",COUNTIF(I$2:I95,I95)&gt;1),J96+1,0)</f>
        <v>81</v>
      </c>
      <c r="K95" s="2">
        <f t="shared" si="34"/>
        <v>175</v>
      </c>
      <c r="L95" s="75">
        <f t="shared" si="29"/>
        <v>0</v>
      </c>
      <c r="M95" s="72" t="str">
        <f t="shared" si="30"/>
        <v/>
      </c>
      <c r="N95" s="73">
        <f>IF(OR(M95="",COUNTIF(M$2:M95,M95)&gt;1),N96+1,0)</f>
        <v>81</v>
      </c>
      <c r="O95" s="2">
        <f t="shared" si="35"/>
        <v>175</v>
      </c>
      <c r="P95" s="75">
        <f t="shared" si="31"/>
        <v>0</v>
      </c>
    </row>
    <row r="96" spans="1:16" x14ac:dyDescent="0.3">
      <c r="A96" s="72" t="str">
        <f t="shared" si="24"/>
        <v/>
      </c>
      <c r="B96" s="73">
        <f>IF(OR(A96="",COUNTIF(A$2:A96,A96)&gt;1),B97+1,0)</f>
        <v>80</v>
      </c>
      <c r="C96" s="2">
        <f t="shared" si="32"/>
        <v>175</v>
      </c>
      <c r="D96" s="75">
        <f t="shared" si="25"/>
        <v>0</v>
      </c>
      <c r="E96" s="72" t="str">
        <f t="shared" si="26"/>
        <v/>
      </c>
      <c r="F96" s="73">
        <f>IF(OR(E96="",COUNTIF(E$2:E96,E96)&gt;1),F97+1,0)</f>
        <v>80</v>
      </c>
      <c r="G96" s="2">
        <f t="shared" si="33"/>
        <v>175</v>
      </c>
      <c r="H96" s="75">
        <f t="shared" si="27"/>
        <v>0</v>
      </c>
      <c r="I96" s="72" t="str">
        <f t="shared" si="28"/>
        <v/>
      </c>
      <c r="J96" s="73">
        <f>IF(OR(I96="",COUNTIF(I$2:I96,I96)&gt;1),J97+1,0)</f>
        <v>80</v>
      </c>
      <c r="K96" s="2">
        <f t="shared" si="34"/>
        <v>175</v>
      </c>
      <c r="L96" s="75">
        <f t="shared" si="29"/>
        <v>0</v>
      </c>
      <c r="M96" s="72" t="str">
        <f t="shared" si="30"/>
        <v/>
      </c>
      <c r="N96" s="73">
        <f>IF(OR(M96="",COUNTIF(M$2:M96,M96)&gt;1),N97+1,0)</f>
        <v>80</v>
      </c>
      <c r="O96" s="2">
        <f t="shared" si="35"/>
        <v>175</v>
      </c>
      <c r="P96" s="75">
        <f t="shared" si="31"/>
        <v>0</v>
      </c>
    </row>
    <row r="97" spans="1:16" x14ac:dyDescent="0.3">
      <c r="A97" s="72" t="str">
        <f t="shared" si="24"/>
        <v/>
      </c>
      <c r="B97" s="73">
        <f>IF(OR(A97="",COUNTIF(A$2:A97,A97)&gt;1),B98+1,0)</f>
        <v>79</v>
      </c>
      <c r="C97" s="2">
        <f t="shared" si="32"/>
        <v>175</v>
      </c>
      <c r="D97" s="75">
        <f t="shared" si="25"/>
        <v>0</v>
      </c>
      <c r="E97" s="72" t="str">
        <f t="shared" si="26"/>
        <v/>
      </c>
      <c r="F97" s="73">
        <f>IF(OR(E97="",COUNTIF(E$2:E97,E97)&gt;1),F98+1,0)</f>
        <v>79</v>
      </c>
      <c r="G97" s="2">
        <f t="shared" si="33"/>
        <v>175</v>
      </c>
      <c r="H97" s="75">
        <f t="shared" si="27"/>
        <v>0</v>
      </c>
      <c r="I97" s="72" t="str">
        <f t="shared" si="28"/>
        <v/>
      </c>
      <c r="J97" s="73">
        <f>IF(OR(I97="",COUNTIF(I$2:I97,I97)&gt;1),J98+1,0)</f>
        <v>79</v>
      </c>
      <c r="K97" s="2">
        <f t="shared" si="34"/>
        <v>175</v>
      </c>
      <c r="L97" s="75">
        <f t="shared" si="29"/>
        <v>0</v>
      </c>
      <c r="M97" s="72" t="str">
        <f t="shared" si="30"/>
        <v/>
      </c>
      <c r="N97" s="73">
        <f>IF(OR(M97="",COUNTIF(M$2:M97,M97)&gt;1),N98+1,0)</f>
        <v>79</v>
      </c>
      <c r="O97" s="2">
        <f t="shared" si="35"/>
        <v>175</v>
      </c>
      <c r="P97" s="75">
        <f t="shared" si="31"/>
        <v>0</v>
      </c>
    </row>
    <row r="98" spans="1:16" x14ac:dyDescent="0.3">
      <c r="A98" s="72" t="str">
        <f t="shared" ref="A98:A129" si="36">TRIM(CLEAN(INDEX(ЗаданияОсень,ROW(A98)-1,1)))</f>
        <v/>
      </c>
      <c r="B98" s="73">
        <f>IF(OR(A98="",COUNTIF(A$2:A98,A98)&gt;1),B99+1,0)</f>
        <v>78</v>
      </c>
      <c r="C98" s="2">
        <f t="shared" si="32"/>
        <v>175</v>
      </c>
      <c r="D98" s="75">
        <f t="shared" ref="D98:D129" si="37">INDEX(ЗаданияОсень,C98,1)</f>
        <v>0</v>
      </c>
      <c r="E98" s="72" t="str">
        <f t="shared" ref="E98:E129" si="38">TRIM(CLEAN(INDEX(ЗаданияОсень,ROW(E98)-1,2)))</f>
        <v/>
      </c>
      <c r="F98" s="73">
        <f>IF(OR(E98="",COUNTIF(E$2:E98,E98)&gt;1),F99+1,0)</f>
        <v>78</v>
      </c>
      <c r="G98" s="2">
        <f t="shared" si="33"/>
        <v>175</v>
      </c>
      <c r="H98" s="75">
        <f t="shared" ref="H98:H129" si="39">INDEX(ЗаданияОсень,G98,2)</f>
        <v>0</v>
      </c>
      <c r="I98" s="72" t="str">
        <f t="shared" ref="I98:I129" si="40">TRIM(CLEAN(INDEX(ЗаданияВесна,ROW(I98)-1,1)))</f>
        <v/>
      </c>
      <c r="J98" s="73">
        <f>IF(OR(I98="",COUNTIF(I$2:I98,I98)&gt;1),J99+1,0)</f>
        <v>78</v>
      </c>
      <c r="K98" s="2">
        <f t="shared" si="34"/>
        <v>175</v>
      </c>
      <c r="L98" s="75">
        <f t="shared" ref="L98:L129" si="41">INDEX(ЗаданияВесна,K98,1)</f>
        <v>0</v>
      </c>
      <c r="M98" s="72" t="str">
        <f t="shared" ref="M98:M129" si="42">TRIM(CLEAN(INDEX(ЗаданияВесна,ROW(M98)-1,2)))</f>
        <v/>
      </c>
      <c r="N98" s="73">
        <f>IF(OR(M98="",COUNTIF(M$2:M98,M98)&gt;1),N99+1,0)</f>
        <v>78</v>
      </c>
      <c r="O98" s="2">
        <f t="shared" si="35"/>
        <v>175</v>
      </c>
      <c r="P98" s="75">
        <f t="shared" ref="P98:P129" si="43">INDEX(ЗаданияВесна,O98,2)</f>
        <v>0</v>
      </c>
    </row>
    <row r="99" spans="1:16" x14ac:dyDescent="0.3">
      <c r="A99" s="72" t="str">
        <f t="shared" si="36"/>
        <v/>
      </c>
      <c r="B99" s="73">
        <f>IF(OR(A99="",COUNTIF(A$2:A99,A99)&gt;1),B100+1,0)</f>
        <v>77</v>
      </c>
      <c r="C99" s="2">
        <f t="shared" si="32"/>
        <v>175</v>
      </c>
      <c r="D99" s="75">
        <f t="shared" si="37"/>
        <v>0</v>
      </c>
      <c r="E99" s="72" t="str">
        <f t="shared" si="38"/>
        <v/>
      </c>
      <c r="F99" s="73">
        <f>IF(OR(E99="",COUNTIF(E$2:E99,E99)&gt;1),F100+1,0)</f>
        <v>77</v>
      </c>
      <c r="G99" s="2">
        <f t="shared" si="33"/>
        <v>175</v>
      </c>
      <c r="H99" s="75">
        <f t="shared" si="39"/>
        <v>0</v>
      </c>
      <c r="I99" s="72" t="str">
        <f t="shared" si="40"/>
        <v/>
      </c>
      <c r="J99" s="73">
        <f>IF(OR(I99="",COUNTIF(I$2:I99,I99)&gt;1),J100+1,0)</f>
        <v>77</v>
      </c>
      <c r="K99" s="2">
        <f t="shared" si="34"/>
        <v>175</v>
      </c>
      <c r="L99" s="75">
        <f t="shared" si="41"/>
        <v>0</v>
      </c>
      <c r="M99" s="72" t="str">
        <f t="shared" si="42"/>
        <v/>
      </c>
      <c r="N99" s="73">
        <f>IF(OR(M99="",COUNTIF(M$2:M99,M99)&gt;1),N100+1,0)</f>
        <v>77</v>
      </c>
      <c r="O99" s="2">
        <f t="shared" si="35"/>
        <v>175</v>
      </c>
      <c r="P99" s="75">
        <f t="shared" si="43"/>
        <v>0</v>
      </c>
    </row>
    <row r="100" spans="1:16" x14ac:dyDescent="0.3">
      <c r="A100" s="72" t="str">
        <f t="shared" si="36"/>
        <v/>
      </c>
      <c r="B100" s="73">
        <f>IF(OR(A100="",COUNTIF(A$2:A100,A100)&gt;1),B101+1,0)</f>
        <v>76</v>
      </c>
      <c r="C100" s="2">
        <f t="shared" si="32"/>
        <v>175</v>
      </c>
      <c r="D100" s="75">
        <f t="shared" si="37"/>
        <v>0</v>
      </c>
      <c r="E100" s="72" t="str">
        <f t="shared" si="38"/>
        <v/>
      </c>
      <c r="F100" s="73">
        <f>IF(OR(E100="",COUNTIF(E$2:E100,E100)&gt;1),F101+1,0)</f>
        <v>76</v>
      </c>
      <c r="G100" s="2">
        <f t="shared" si="33"/>
        <v>175</v>
      </c>
      <c r="H100" s="75">
        <f t="shared" si="39"/>
        <v>0</v>
      </c>
      <c r="I100" s="72" t="str">
        <f t="shared" si="40"/>
        <v/>
      </c>
      <c r="J100" s="73">
        <f>IF(OR(I100="",COUNTIF(I$2:I100,I100)&gt;1),J101+1,0)</f>
        <v>76</v>
      </c>
      <c r="K100" s="2">
        <f t="shared" si="34"/>
        <v>175</v>
      </c>
      <c r="L100" s="75">
        <f t="shared" si="41"/>
        <v>0</v>
      </c>
      <c r="M100" s="72" t="str">
        <f t="shared" si="42"/>
        <v/>
      </c>
      <c r="N100" s="73">
        <f>IF(OR(M100="",COUNTIF(M$2:M100,M100)&gt;1),N101+1,0)</f>
        <v>76</v>
      </c>
      <c r="O100" s="2">
        <f t="shared" si="35"/>
        <v>175</v>
      </c>
      <c r="P100" s="75">
        <f t="shared" si="43"/>
        <v>0</v>
      </c>
    </row>
    <row r="101" spans="1:16" x14ac:dyDescent="0.3">
      <c r="A101" s="72" t="str">
        <f t="shared" si="36"/>
        <v/>
      </c>
      <c r="B101" s="73">
        <f>IF(OR(A101="",COUNTIF(A$2:A101,A101)&gt;1),B102+1,0)</f>
        <v>75</v>
      </c>
      <c r="C101" s="2">
        <f t="shared" si="32"/>
        <v>175</v>
      </c>
      <c r="D101" s="75">
        <f t="shared" si="37"/>
        <v>0</v>
      </c>
      <c r="E101" s="72" t="str">
        <f t="shared" si="38"/>
        <v/>
      </c>
      <c r="F101" s="73">
        <f>IF(OR(E101="",COUNTIF(E$2:E101,E101)&gt;1),F102+1,0)</f>
        <v>75</v>
      </c>
      <c r="G101" s="2">
        <f t="shared" si="33"/>
        <v>175</v>
      </c>
      <c r="H101" s="75">
        <f t="shared" si="39"/>
        <v>0</v>
      </c>
      <c r="I101" s="72" t="str">
        <f t="shared" si="40"/>
        <v/>
      </c>
      <c r="J101" s="73">
        <f>IF(OR(I101="",COUNTIF(I$2:I101,I101)&gt;1),J102+1,0)</f>
        <v>75</v>
      </c>
      <c r="K101" s="2">
        <f t="shared" si="34"/>
        <v>175</v>
      </c>
      <c r="L101" s="75">
        <f t="shared" si="41"/>
        <v>0</v>
      </c>
      <c r="M101" s="72" t="str">
        <f t="shared" si="42"/>
        <v/>
      </c>
      <c r="N101" s="73">
        <f>IF(OR(M101="",COUNTIF(M$2:M101,M101)&gt;1),N102+1,0)</f>
        <v>75</v>
      </c>
      <c r="O101" s="2">
        <f t="shared" si="35"/>
        <v>175</v>
      </c>
      <c r="P101" s="75">
        <f t="shared" si="43"/>
        <v>0</v>
      </c>
    </row>
    <row r="102" spans="1:16" x14ac:dyDescent="0.3">
      <c r="A102" s="72" t="str">
        <f t="shared" si="36"/>
        <v/>
      </c>
      <c r="B102" s="73">
        <f>IF(OR(A102="",COUNTIF(A$2:A102,A102)&gt;1),B103+1,0)</f>
        <v>74</v>
      </c>
      <c r="C102" s="2">
        <f t="shared" si="32"/>
        <v>175</v>
      </c>
      <c r="D102" s="75">
        <f t="shared" si="37"/>
        <v>0</v>
      </c>
      <c r="E102" s="72" t="str">
        <f t="shared" si="38"/>
        <v/>
      </c>
      <c r="F102" s="73">
        <f>IF(OR(E102="",COUNTIF(E$2:E102,E102)&gt;1),F103+1,0)</f>
        <v>74</v>
      </c>
      <c r="G102" s="2">
        <f t="shared" si="33"/>
        <v>175</v>
      </c>
      <c r="H102" s="75">
        <f t="shared" si="39"/>
        <v>0</v>
      </c>
      <c r="I102" s="72" t="str">
        <f t="shared" si="40"/>
        <v/>
      </c>
      <c r="J102" s="73">
        <f>IF(OR(I102="",COUNTIF(I$2:I102,I102)&gt;1),J103+1,0)</f>
        <v>74</v>
      </c>
      <c r="K102" s="2">
        <f t="shared" si="34"/>
        <v>175</v>
      </c>
      <c r="L102" s="75">
        <f t="shared" si="41"/>
        <v>0</v>
      </c>
      <c r="M102" s="72" t="str">
        <f t="shared" si="42"/>
        <v/>
      </c>
      <c r="N102" s="73">
        <f>IF(OR(M102="",COUNTIF(M$2:M102,M102)&gt;1),N103+1,0)</f>
        <v>74</v>
      </c>
      <c r="O102" s="2">
        <f t="shared" si="35"/>
        <v>175</v>
      </c>
      <c r="P102" s="75">
        <f t="shared" si="43"/>
        <v>0</v>
      </c>
    </row>
    <row r="103" spans="1:16" x14ac:dyDescent="0.3">
      <c r="A103" s="72" t="str">
        <f t="shared" si="36"/>
        <v/>
      </c>
      <c r="B103" s="73">
        <f>IF(OR(A103="",COUNTIF(A$2:A103,A103)&gt;1),B104+1,0)</f>
        <v>73</v>
      </c>
      <c r="C103" s="2">
        <f t="shared" si="32"/>
        <v>175</v>
      </c>
      <c r="D103" s="75">
        <f t="shared" si="37"/>
        <v>0</v>
      </c>
      <c r="E103" s="72" t="str">
        <f t="shared" si="38"/>
        <v/>
      </c>
      <c r="F103" s="73">
        <f>IF(OR(E103="",COUNTIF(E$2:E103,E103)&gt;1),F104+1,0)</f>
        <v>73</v>
      </c>
      <c r="G103" s="2">
        <f t="shared" si="33"/>
        <v>175</v>
      </c>
      <c r="H103" s="75">
        <f t="shared" si="39"/>
        <v>0</v>
      </c>
      <c r="I103" s="72" t="str">
        <f t="shared" si="40"/>
        <v/>
      </c>
      <c r="J103" s="73">
        <f>IF(OR(I103="",COUNTIF(I$2:I103,I103)&gt;1),J104+1,0)</f>
        <v>73</v>
      </c>
      <c r="K103" s="2">
        <f t="shared" si="34"/>
        <v>175</v>
      </c>
      <c r="L103" s="75">
        <f t="shared" si="41"/>
        <v>0</v>
      </c>
      <c r="M103" s="72" t="str">
        <f t="shared" si="42"/>
        <v/>
      </c>
      <c r="N103" s="73">
        <f>IF(OR(M103="",COUNTIF(M$2:M103,M103)&gt;1),N104+1,0)</f>
        <v>73</v>
      </c>
      <c r="O103" s="2">
        <f t="shared" si="35"/>
        <v>175</v>
      </c>
      <c r="P103" s="75">
        <f t="shared" si="43"/>
        <v>0</v>
      </c>
    </row>
    <row r="104" spans="1:16" x14ac:dyDescent="0.3">
      <c r="A104" s="72" t="str">
        <f t="shared" si="36"/>
        <v/>
      </c>
      <c r="B104" s="73">
        <f>IF(OR(A104="",COUNTIF(A$2:A104,A104)&gt;1),B105+1,0)</f>
        <v>72</v>
      </c>
      <c r="C104" s="2">
        <f t="shared" si="32"/>
        <v>175</v>
      </c>
      <c r="D104" s="75">
        <f t="shared" si="37"/>
        <v>0</v>
      </c>
      <c r="E104" s="72" t="str">
        <f t="shared" si="38"/>
        <v/>
      </c>
      <c r="F104" s="73">
        <f>IF(OR(E104="",COUNTIF(E$2:E104,E104)&gt;1),F105+1,0)</f>
        <v>72</v>
      </c>
      <c r="G104" s="2">
        <f t="shared" si="33"/>
        <v>175</v>
      </c>
      <c r="H104" s="75">
        <f t="shared" si="39"/>
        <v>0</v>
      </c>
      <c r="I104" s="72" t="str">
        <f t="shared" si="40"/>
        <v/>
      </c>
      <c r="J104" s="73">
        <f>IF(OR(I104="",COUNTIF(I$2:I104,I104)&gt;1),J105+1,0)</f>
        <v>72</v>
      </c>
      <c r="K104" s="2">
        <f t="shared" si="34"/>
        <v>175</v>
      </c>
      <c r="L104" s="75">
        <f t="shared" si="41"/>
        <v>0</v>
      </c>
      <c r="M104" s="72" t="str">
        <f t="shared" si="42"/>
        <v/>
      </c>
      <c r="N104" s="73">
        <f>IF(OR(M104="",COUNTIF(M$2:M104,M104)&gt;1),N105+1,0)</f>
        <v>72</v>
      </c>
      <c r="O104" s="2">
        <f t="shared" si="35"/>
        <v>175</v>
      </c>
      <c r="P104" s="75">
        <f t="shared" si="43"/>
        <v>0</v>
      </c>
    </row>
    <row r="105" spans="1:16" x14ac:dyDescent="0.3">
      <c r="A105" s="72" t="str">
        <f t="shared" si="36"/>
        <v/>
      </c>
      <c r="B105" s="73">
        <f>IF(OR(A105="",COUNTIF(A$2:A105,A105)&gt;1),B106+1,0)</f>
        <v>71</v>
      </c>
      <c r="C105" s="2">
        <f t="shared" si="32"/>
        <v>175</v>
      </c>
      <c r="D105" s="75">
        <f t="shared" si="37"/>
        <v>0</v>
      </c>
      <c r="E105" s="72" t="str">
        <f t="shared" si="38"/>
        <v/>
      </c>
      <c r="F105" s="73">
        <f>IF(OR(E105="",COUNTIF(E$2:E105,E105)&gt;1),F106+1,0)</f>
        <v>71</v>
      </c>
      <c r="G105" s="2">
        <f t="shared" si="33"/>
        <v>175</v>
      </c>
      <c r="H105" s="75">
        <f t="shared" si="39"/>
        <v>0</v>
      </c>
      <c r="I105" s="72" t="str">
        <f t="shared" si="40"/>
        <v/>
      </c>
      <c r="J105" s="73">
        <f>IF(OR(I105="",COUNTIF(I$2:I105,I105)&gt;1),J106+1,0)</f>
        <v>71</v>
      </c>
      <c r="K105" s="2">
        <f t="shared" si="34"/>
        <v>175</v>
      </c>
      <c r="L105" s="75">
        <f t="shared" si="41"/>
        <v>0</v>
      </c>
      <c r="M105" s="72" t="str">
        <f t="shared" si="42"/>
        <v/>
      </c>
      <c r="N105" s="73">
        <f>IF(OR(M105="",COUNTIF(M$2:M105,M105)&gt;1),N106+1,0)</f>
        <v>71</v>
      </c>
      <c r="O105" s="2">
        <f t="shared" si="35"/>
        <v>175</v>
      </c>
      <c r="P105" s="75">
        <f t="shared" si="43"/>
        <v>0</v>
      </c>
    </row>
    <row r="106" spans="1:16" x14ac:dyDescent="0.3">
      <c r="A106" s="72" t="str">
        <f t="shared" si="36"/>
        <v/>
      </c>
      <c r="B106" s="73">
        <f>IF(OR(A106="",COUNTIF(A$2:A106,A106)&gt;1),B107+1,0)</f>
        <v>70</v>
      </c>
      <c r="C106" s="2">
        <f t="shared" si="32"/>
        <v>175</v>
      </c>
      <c r="D106" s="75">
        <f t="shared" si="37"/>
        <v>0</v>
      </c>
      <c r="E106" s="72" t="str">
        <f t="shared" si="38"/>
        <v/>
      </c>
      <c r="F106" s="73">
        <f>IF(OR(E106="",COUNTIF(E$2:E106,E106)&gt;1),F107+1,0)</f>
        <v>70</v>
      </c>
      <c r="G106" s="2">
        <f t="shared" si="33"/>
        <v>175</v>
      </c>
      <c r="H106" s="75">
        <f t="shared" si="39"/>
        <v>0</v>
      </c>
      <c r="I106" s="72" t="str">
        <f t="shared" si="40"/>
        <v/>
      </c>
      <c r="J106" s="73">
        <f>IF(OR(I106="",COUNTIF(I$2:I106,I106)&gt;1),J107+1,0)</f>
        <v>70</v>
      </c>
      <c r="K106" s="2">
        <f t="shared" si="34"/>
        <v>175</v>
      </c>
      <c r="L106" s="75">
        <f t="shared" si="41"/>
        <v>0</v>
      </c>
      <c r="M106" s="72" t="str">
        <f t="shared" si="42"/>
        <v/>
      </c>
      <c r="N106" s="73">
        <f>IF(OR(M106="",COUNTIF(M$2:M106,M106)&gt;1),N107+1,0)</f>
        <v>70</v>
      </c>
      <c r="O106" s="2">
        <f t="shared" si="35"/>
        <v>175</v>
      </c>
      <c r="P106" s="75">
        <f t="shared" si="43"/>
        <v>0</v>
      </c>
    </row>
    <row r="107" spans="1:16" x14ac:dyDescent="0.3">
      <c r="A107" s="72" t="str">
        <f t="shared" si="36"/>
        <v/>
      </c>
      <c r="B107" s="73">
        <f>IF(OR(A107="",COUNTIF(A$2:A107,A107)&gt;1),B108+1,0)</f>
        <v>69</v>
      </c>
      <c r="C107" s="2">
        <f t="shared" si="32"/>
        <v>175</v>
      </c>
      <c r="D107" s="75">
        <f t="shared" si="37"/>
        <v>0</v>
      </c>
      <c r="E107" s="72" t="str">
        <f t="shared" si="38"/>
        <v/>
      </c>
      <c r="F107" s="73">
        <f>IF(OR(E107="",COUNTIF(E$2:E107,E107)&gt;1),F108+1,0)</f>
        <v>69</v>
      </c>
      <c r="G107" s="2">
        <f t="shared" si="33"/>
        <v>175</v>
      </c>
      <c r="H107" s="75">
        <f t="shared" si="39"/>
        <v>0</v>
      </c>
      <c r="I107" s="72" t="str">
        <f t="shared" si="40"/>
        <v/>
      </c>
      <c r="J107" s="73">
        <f>IF(OR(I107="",COUNTIF(I$2:I107,I107)&gt;1),J108+1,0)</f>
        <v>69</v>
      </c>
      <c r="K107" s="2">
        <f t="shared" si="34"/>
        <v>175</v>
      </c>
      <c r="L107" s="75">
        <f t="shared" si="41"/>
        <v>0</v>
      </c>
      <c r="M107" s="72" t="str">
        <f t="shared" si="42"/>
        <v/>
      </c>
      <c r="N107" s="73">
        <f>IF(OR(M107="",COUNTIF(M$2:M107,M107)&gt;1),N108+1,0)</f>
        <v>69</v>
      </c>
      <c r="O107" s="2">
        <f t="shared" si="35"/>
        <v>175</v>
      </c>
      <c r="P107" s="75">
        <f t="shared" si="43"/>
        <v>0</v>
      </c>
    </row>
    <row r="108" spans="1:16" x14ac:dyDescent="0.3">
      <c r="A108" s="72" t="str">
        <f t="shared" si="36"/>
        <v/>
      </c>
      <c r="B108" s="73">
        <f>IF(OR(A108="",COUNTIF(A$2:A108,A108)&gt;1),B109+1,0)</f>
        <v>68</v>
      </c>
      <c r="C108" s="2">
        <f t="shared" si="32"/>
        <v>175</v>
      </c>
      <c r="D108" s="75">
        <f t="shared" si="37"/>
        <v>0</v>
      </c>
      <c r="E108" s="72" t="str">
        <f t="shared" si="38"/>
        <v/>
      </c>
      <c r="F108" s="73">
        <f>IF(OR(E108="",COUNTIF(E$2:E108,E108)&gt;1),F109+1,0)</f>
        <v>68</v>
      </c>
      <c r="G108" s="2">
        <f t="shared" si="33"/>
        <v>175</v>
      </c>
      <c r="H108" s="75">
        <f t="shared" si="39"/>
        <v>0</v>
      </c>
      <c r="I108" s="72" t="str">
        <f t="shared" si="40"/>
        <v/>
      </c>
      <c r="J108" s="73">
        <f>IF(OR(I108="",COUNTIF(I$2:I108,I108)&gt;1),J109+1,0)</f>
        <v>68</v>
      </c>
      <c r="K108" s="2">
        <f t="shared" si="34"/>
        <v>175</v>
      </c>
      <c r="L108" s="75">
        <f t="shared" si="41"/>
        <v>0</v>
      </c>
      <c r="M108" s="72" t="str">
        <f t="shared" si="42"/>
        <v/>
      </c>
      <c r="N108" s="73">
        <f>IF(OR(M108="",COUNTIF(M$2:M108,M108)&gt;1),N109+1,0)</f>
        <v>68</v>
      </c>
      <c r="O108" s="2">
        <f t="shared" si="35"/>
        <v>175</v>
      </c>
      <c r="P108" s="75">
        <f t="shared" si="43"/>
        <v>0</v>
      </c>
    </row>
    <row r="109" spans="1:16" x14ac:dyDescent="0.3">
      <c r="A109" s="72" t="str">
        <f t="shared" si="36"/>
        <v/>
      </c>
      <c r="B109" s="73">
        <f>IF(OR(A109="",COUNTIF(A$2:A109,A109)&gt;1),B110+1,0)</f>
        <v>67</v>
      </c>
      <c r="C109" s="2">
        <f t="shared" si="32"/>
        <v>175</v>
      </c>
      <c r="D109" s="75">
        <f t="shared" si="37"/>
        <v>0</v>
      </c>
      <c r="E109" s="72" t="str">
        <f t="shared" si="38"/>
        <v/>
      </c>
      <c r="F109" s="73">
        <f>IF(OR(E109="",COUNTIF(E$2:E109,E109)&gt;1),F110+1,0)</f>
        <v>67</v>
      </c>
      <c r="G109" s="2">
        <f t="shared" si="33"/>
        <v>175</v>
      </c>
      <c r="H109" s="75">
        <f t="shared" si="39"/>
        <v>0</v>
      </c>
      <c r="I109" s="72" t="str">
        <f t="shared" si="40"/>
        <v/>
      </c>
      <c r="J109" s="73">
        <f>IF(OR(I109="",COUNTIF(I$2:I109,I109)&gt;1),J110+1,0)</f>
        <v>67</v>
      </c>
      <c r="K109" s="2">
        <f t="shared" si="34"/>
        <v>175</v>
      </c>
      <c r="L109" s="75">
        <f t="shared" si="41"/>
        <v>0</v>
      </c>
      <c r="M109" s="72" t="str">
        <f t="shared" si="42"/>
        <v/>
      </c>
      <c r="N109" s="73">
        <f>IF(OR(M109="",COUNTIF(M$2:M109,M109)&gt;1),N110+1,0)</f>
        <v>67</v>
      </c>
      <c r="O109" s="2">
        <f t="shared" si="35"/>
        <v>175</v>
      </c>
      <c r="P109" s="75">
        <f t="shared" si="43"/>
        <v>0</v>
      </c>
    </row>
    <row r="110" spans="1:16" x14ac:dyDescent="0.3">
      <c r="A110" s="72" t="str">
        <f t="shared" si="36"/>
        <v/>
      </c>
      <c r="B110" s="73">
        <f>IF(OR(A110="",COUNTIF(A$2:A110,A110)&gt;1),B111+1,0)</f>
        <v>66</v>
      </c>
      <c r="C110" s="2">
        <f t="shared" si="32"/>
        <v>175</v>
      </c>
      <c r="D110" s="75">
        <f t="shared" si="37"/>
        <v>0</v>
      </c>
      <c r="E110" s="72" t="str">
        <f t="shared" si="38"/>
        <v/>
      </c>
      <c r="F110" s="73">
        <f>IF(OR(E110="",COUNTIF(E$2:E110,E110)&gt;1),F111+1,0)</f>
        <v>66</v>
      </c>
      <c r="G110" s="2">
        <f t="shared" si="33"/>
        <v>175</v>
      </c>
      <c r="H110" s="75">
        <f t="shared" si="39"/>
        <v>0</v>
      </c>
      <c r="I110" s="72" t="str">
        <f t="shared" si="40"/>
        <v/>
      </c>
      <c r="J110" s="73">
        <f>IF(OR(I110="",COUNTIF(I$2:I110,I110)&gt;1),J111+1,0)</f>
        <v>66</v>
      </c>
      <c r="K110" s="2">
        <f t="shared" si="34"/>
        <v>175</v>
      </c>
      <c r="L110" s="75">
        <f t="shared" si="41"/>
        <v>0</v>
      </c>
      <c r="M110" s="72" t="str">
        <f t="shared" si="42"/>
        <v/>
      </c>
      <c r="N110" s="73">
        <f>IF(OR(M110="",COUNTIF(M$2:M110,M110)&gt;1),N111+1,0)</f>
        <v>66</v>
      </c>
      <c r="O110" s="2">
        <f t="shared" si="35"/>
        <v>175</v>
      </c>
      <c r="P110" s="75">
        <f t="shared" si="43"/>
        <v>0</v>
      </c>
    </row>
    <row r="111" spans="1:16" x14ac:dyDescent="0.3">
      <c r="A111" s="72" t="str">
        <f t="shared" si="36"/>
        <v/>
      </c>
      <c r="B111" s="73">
        <f>IF(OR(A111="",COUNTIF(A$2:A111,A111)&gt;1),B112+1,0)</f>
        <v>65</v>
      </c>
      <c r="C111" s="2">
        <f t="shared" si="32"/>
        <v>175</v>
      </c>
      <c r="D111" s="75">
        <f t="shared" si="37"/>
        <v>0</v>
      </c>
      <c r="E111" s="72" t="str">
        <f t="shared" si="38"/>
        <v/>
      </c>
      <c r="F111" s="73">
        <f>IF(OR(E111="",COUNTIF(E$2:E111,E111)&gt;1),F112+1,0)</f>
        <v>65</v>
      </c>
      <c r="G111" s="2">
        <f t="shared" si="33"/>
        <v>175</v>
      </c>
      <c r="H111" s="75">
        <f t="shared" si="39"/>
        <v>0</v>
      </c>
      <c r="I111" s="72" t="str">
        <f t="shared" si="40"/>
        <v/>
      </c>
      <c r="J111" s="73">
        <f>IF(OR(I111="",COUNTIF(I$2:I111,I111)&gt;1),J112+1,0)</f>
        <v>65</v>
      </c>
      <c r="K111" s="2">
        <f t="shared" si="34"/>
        <v>175</v>
      </c>
      <c r="L111" s="75">
        <f t="shared" si="41"/>
        <v>0</v>
      </c>
      <c r="M111" s="72" t="str">
        <f t="shared" si="42"/>
        <v/>
      </c>
      <c r="N111" s="73">
        <f>IF(OR(M111="",COUNTIF(M$2:M111,M111)&gt;1),N112+1,0)</f>
        <v>65</v>
      </c>
      <c r="O111" s="2">
        <f t="shared" si="35"/>
        <v>175</v>
      </c>
      <c r="P111" s="75">
        <f t="shared" si="43"/>
        <v>0</v>
      </c>
    </row>
    <row r="112" spans="1:16" x14ac:dyDescent="0.3">
      <c r="A112" s="72" t="str">
        <f t="shared" si="36"/>
        <v/>
      </c>
      <c r="B112" s="73">
        <f>IF(OR(A112="",COUNTIF(A$2:A112,A112)&gt;1),B113+1,0)</f>
        <v>64</v>
      </c>
      <c r="C112" s="2">
        <f t="shared" si="32"/>
        <v>175</v>
      </c>
      <c r="D112" s="75">
        <f t="shared" si="37"/>
        <v>0</v>
      </c>
      <c r="E112" s="72" t="str">
        <f t="shared" si="38"/>
        <v/>
      </c>
      <c r="F112" s="73">
        <f>IF(OR(E112="",COUNTIF(E$2:E112,E112)&gt;1),F113+1,0)</f>
        <v>64</v>
      </c>
      <c r="G112" s="2">
        <f t="shared" si="33"/>
        <v>175</v>
      </c>
      <c r="H112" s="75">
        <f t="shared" si="39"/>
        <v>0</v>
      </c>
      <c r="I112" s="72" t="str">
        <f t="shared" si="40"/>
        <v/>
      </c>
      <c r="J112" s="73">
        <f>IF(OR(I112="",COUNTIF(I$2:I112,I112)&gt;1),J113+1,0)</f>
        <v>64</v>
      </c>
      <c r="K112" s="2">
        <f t="shared" si="34"/>
        <v>175</v>
      </c>
      <c r="L112" s="75">
        <f t="shared" si="41"/>
        <v>0</v>
      </c>
      <c r="M112" s="72" t="str">
        <f t="shared" si="42"/>
        <v/>
      </c>
      <c r="N112" s="73">
        <f>IF(OR(M112="",COUNTIF(M$2:M112,M112)&gt;1),N113+1,0)</f>
        <v>64</v>
      </c>
      <c r="O112" s="2">
        <f t="shared" si="35"/>
        <v>175</v>
      </c>
      <c r="P112" s="75">
        <f t="shared" si="43"/>
        <v>0</v>
      </c>
    </row>
    <row r="113" spans="1:16" x14ac:dyDescent="0.3">
      <c r="A113" s="72" t="str">
        <f t="shared" si="36"/>
        <v/>
      </c>
      <c r="B113" s="73">
        <f>IF(OR(A113="",COUNTIF(A$2:A113,A113)&gt;1),B114+1,0)</f>
        <v>63</v>
      </c>
      <c r="C113" s="2">
        <f t="shared" si="32"/>
        <v>175</v>
      </c>
      <c r="D113" s="75">
        <f t="shared" si="37"/>
        <v>0</v>
      </c>
      <c r="E113" s="72" t="str">
        <f t="shared" si="38"/>
        <v/>
      </c>
      <c r="F113" s="73">
        <f>IF(OR(E113="",COUNTIF(E$2:E113,E113)&gt;1),F114+1,0)</f>
        <v>63</v>
      </c>
      <c r="G113" s="2">
        <f t="shared" si="33"/>
        <v>175</v>
      </c>
      <c r="H113" s="75">
        <f t="shared" si="39"/>
        <v>0</v>
      </c>
      <c r="I113" s="72" t="str">
        <f t="shared" si="40"/>
        <v/>
      </c>
      <c r="J113" s="73">
        <f>IF(OR(I113="",COUNTIF(I$2:I113,I113)&gt;1),J114+1,0)</f>
        <v>63</v>
      </c>
      <c r="K113" s="2">
        <f t="shared" si="34"/>
        <v>175</v>
      </c>
      <c r="L113" s="75">
        <f t="shared" si="41"/>
        <v>0</v>
      </c>
      <c r="M113" s="72" t="str">
        <f t="shared" si="42"/>
        <v/>
      </c>
      <c r="N113" s="73">
        <f>IF(OR(M113="",COUNTIF(M$2:M113,M113)&gt;1),N114+1,0)</f>
        <v>63</v>
      </c>
      <c r="O113" s="2">
        <f t="shared" si="35"/>
        <v>175</v>
      </c>
      <c r="P113" s="75">
        <f t="shared" si="43"/>
        <v>0</v>
      </c>
    </row>
    <row r="114" spans="1:16" x14ac:dyDescent="0.3">
      <c r="A114" s="72" t="str">
        <f t="shared" si="36"/>
        <v/>
      </c>
      <c r="B114" s="73">
        <f>IF(OR(A114="",COUNTIF(A$2:A114,A114)&gt;1),B115+1,0)</f>
        <v>62</v>
      </c>
      <c r="C114" s="2">
        <f t="shared" si="32"/>
        <v>175</v>
      </c>
      <c r="D114" s="75">
        <f t="shared" si="37"/>
        <v>0</v>
      </c>
      <c r="E114" s="72" t="str">
        <f t="shared" si="38"/>
        <v/>
      </c>
      <c r="F114" s="73">
        <f>IF(OR(E114="",COUNTIF(E$2:E114,E114)&gt;1),F115+1,0)</f>
        <v>62</v>
      </c>
      <c r="G114" s="2">
        <f t="shared" si="33"/>
        <v>175</v>
      </c>
      <c r="H114" s="75">
        <f t="shared" si="39"/>
        <v>0</v>
      </c>
      <c r="I114" s="72" t="str">
        <f t="shared" si="40"/>
        <v/>
      </c>
      <c r="J114" s="73">
        <f>IF(OR(I114="",COUNTIF(I$2:I114,I114)&gt;1),J115+1,0)</f>
        <v>62</v>
      </c>
      <c r="K114" s="2">
        <f t="shared" si="34"/>
        <v>175</v>
      </c>
      <c r="L114" s="75">
        <f t="shared" si="41"/>
        <v>0</v>
      </c>
      <c r="M114" s="72" t="str">
        <f t="shared" si="42"/>
        <v/>
      </c>
      <c r="N114" s="73">
        <f>IF(OR(M114="",COUNTIF(M$2:M114,M114)&gt;1),N115+1,0)</f>
        <v>62</v>
      </c>
      <c r="O114" s="2">
        <f t="shared" si="35"/>
        <v>175</v>
      </c>
      <c r="P114" s="75">
        <f t="shared" si="43"/>
        <v>0</v>
      </c>
    </row>
    <row r="115" spans="1:16" x14ac:dyDescent="0.3">
      <c r="A115" s="72" t="str">
        <f t="shared" si="36"/>
        <v/>
      </c>
      <c r="B115" s="73">
        <f>IF(OR(A115="",COUNTIF(A$2:A115,A115)&gt;1),B116+1,0)</f>
        <v>61</v>
      </c>
      <c r="C115" s="2">
        <f t="shared" si="32"/>
        <v>175</v>
      </c>
      <c r="D115" s="75">
        <f t="shared" si="37"/>
        <v>0</v>
      </c>
      <c r="E115" s="72" t="str">
        <f t="shared" si="38"/>
        <v/>
      </c>
      <c r="F115" s="73">
        <f>IF(OR(E115="",COUNTIF(E$2:E115,E115)&gt;1),F116+1,0)</f>
        <v>61</v>
      </c>
      <c r="G115" s="2">
        <f t="shared" si="33"/>
        <v>175</v>
      </c>
      <c r="H115" s="75">
        <f t="shared" si="39"/>
        <v>0</v>
      </c>
      <c r="I115" s="72" t="str">
        <f t="shared" si="40"/>
        <v/>
      </c>
      <c r="J115" s="73">
        <f>IF(OR(I115="",COUNTIF(I$2:I115,I115)&gt;1),J116+1,0)</f>
        <v>61</v>
      </c>
      <c r="K115" s="2">
        <f t="shared" si="34"/>
        <v>175</v>
      </c>
      <c r="L115" s="75">
        <f t="shared" si="41"/>
        <v>0</v>
      </c>
      <c r="M115" s="72" t="str">
        <f t="shared" si="42"/>
        <v/>
      </c>
      <c r="N115" s="73">
        <f>IF(OR(M115="",COUNTIF(M$2:M115,M115)&gt;1),N116+1,0)</f>
        <v>61</v>
      </c>
      <c r="O115" s="2">
        <f t="shared" si="35"/>
        <v>175</v>
      </c>
      <c r="P115" s="75">
        <f t="shared" si="43"/>
        <v>0</v>
      </c>
    </row>
    <row r="116" spans="1:16" x14ac:dyDescent="0.3">
      <c r="A116" s="72" t="str">
        <f t="shared" si="36"/>
        <v/>
      </c>
      <c r="B116" s="73">
        <f>IF(OR(A116="",COUNTIF(A$2:A116,A116)&gt;1),B117+1,0)</f>
        <v>60</v>
      </c>
      <c r="C116" s="2">
        <f t="shared" si="32"/>
        <v>175</v>
      </c>
      <c r="D116" s="75">
        <f t="shared" si="37"/>
        <v>0</v>
      </c>
      <c r="E116" s="72" t="str">
        <f t="shared" si="38"/>
        <v/>
      </c>
      <c r="F116" s="73">
        <f>IF(OR(E116="",COUNTIF(E$2:E116,E116)&gt;1),F117+1,0)</f>
        <v>60</v>
      </c>
      <c r="G116" s="2">
        <f t="shared" si="33"/>
        <v>175</v>
      </c>
      <c r="H116" s="75">
        <f t="shared" si="39"/>
        <v>0</v>
      </c>
      <c r="I116" s="72" t="str">
        <f t="shared" si="40"/>
        <v/>
      </c>
      <c r="J116" s="73">
        <f>IF(OR(I116="",COUNTIF(I$2:I116,I116)&gt;1),J117+1,0)</f>
        <v>60</v>
      </c>
      <c r="K116" s="2">
        <f t="shared" si="34"/>
        <v>175</v>
      </c>
      <c r="L116" s="75">
        <f t="shared" si="41"/>
        <v>0</v>
      </c>
      <c r="M116" s="72" t="str">
        <f t="shared" si="42"/>
        <v/>
      </c>
      <c r="N116" s="73">
        <f>IF(OR(M116="",COUNTIF(M$2:M116,M116)&gt;1),N117+1,0)</f>
        <v>60</v>
      </c>
      <c r="O116" s="2">
        <f t="shared" si="35"/>
        <v>175</v>
      </c>
      <c r="P116" s="75">
        <f t="shared" si="43"/>
        <v>0</v>
      </c>
    </row>
    <row r="117" spans="1:16" x14ac:dyDescent="0.3">
      <c r="A117" s="72" t="str">
        <f t="shared" si="36"/>
        <v/>
      </c>
      <c r="B117" s="73">
        <f>IF(OR(A117="",COUNTIF(A$2:A117,A117)&gt;1),B118+1,0)</f>
        <v>59</v>
      </c>
      <c r="C117" s="2">
        <f t="shared" si="32"/>
        <v>175</v>
      </c>
      <c r="D117" s="75">
        <f t="shared" si="37"/>
        <v>0</v>
      </c>
      <c r="E117" s="72" t="str">
        <f t="shared" si="38"/>
        <v/>
      </c>
      <c r="F117" s="73">
        <f>IF(OR(E117="",COUNTIF(E$2:E117,E117)&gt;1),F118+1,0)</f>
        <v>59</v>
      </c>
      <c r="G117" s="2">
        <f t="shared" si="33"/>
        <v>175</v>
      </c>
      <c r="H117" s="75">
        <f t="shared" si="39"/>
        <v>0</v>
      </c>
      <c r="I117" s="72" t="str">
        <f t="shared" si="40"/>
        <v/>
      </c>
      <c r="J117" s="73">
        <f>IF(OR(I117="",COUNTIF(I$2:I117,I117)&gt;1),J118+1,0)</f>
        <v>59</v>
      </c>
      <c r="K117" s="2">
        <f t="shared" si="34"/>
        <v>175</v>
      </c>
      <c r="L117" s="75">
        <f t="shared" si="41"/>
        <v>0</v>
      </c>
      <c r="M117" s="72" t="str">
        <f t="shared" si="42"/>
        <v/>
      </c>
      <c r="N117" s="73">
        <f>IF(OR(M117="",COUNTIF(M$2:M117,M117)&gt;1),N118+1,0)</f>
        <v>59</v>
      </c>
      <c r="O117" s="2">
        <f t="shared" si="35"/>
        <v>175</v>
      </c>
      <c r="P117" s="75">
        <f t="shared" si="43"/>
        <v>0</v>
      </c>
    </row>
    <row r="118" spans="1:16" x14ac:dyDescent="0.3">
      <c r="A118" s="72" t="str">
        <f t="shared" si="36"/>
        <v/>
      </c>
      <c r="B118" s="73">
        <f>IF(OR(A118="",COUNTIF(A$2:A118,A118)&gt;1),B119+1,0)</f>
        <v>58</v>
      </c>
      <c r="C118" s="2">
        <f t="shared" si="32"/>
        <v>175</v>
      </c>
      <c r="D118" s="75">
        <f t="shared" si="37"/>
        <v>0</v>
      </c>
      <c r="E118" s="72" t="str">
        <f t="shared" si="38"/>
        <v/>
      </c>
      <c r="F118" s="73">
        <f>IF(OR(E118="",COUNTIF(E$2:E118,E118)&gt;1),F119+1,0)</f>
        <v>58</v>
      </c>
      <c r="G118" s="2">
        <f t="shared" si="33"/>
        <v>175</v>
      </c>
      <c r="H118" s="75">
        <f t="shared" si="39"/>
        <v>0</v>
      </c>
      <c r="I118" s="72" t="str">
        <f t="shared" si="40"/>
        <v/>
      </c>
      <c r="J118" s="73">
        <f>IF(OR(I118="",COUNTIF(I$2:I118,I118)&gt;1),J119+1,0)</f>
        <v>58</v>
      </c>
      <c r="K118" s="2">
        <f t="shared" si="34"/>
        <v>175</v>
      </c>
      <c r="L118" s="75">
        <f t="shared" si="41"/>
        <v>0</v>
      </c>
      <c r="M118" s="72" t="str">
        <f t="shared" si="42"/>
        <v/>
      </c>
      <c r="N118" s="73">
        <f>IF(OR(M118="",COUNTIF(M$2:M118,M118)&gt;1),N119+1,0)</f>
        <v>58</v>
      </c>
      <c r="O118" s="2">
        <f t="shared" si="35"/>
        <v>175</v>
      </c>
      <c r="P118" s="75">
        <f t="shared" si="43"/>
        <v>0</v>
      </c>
    </row>
    <row r="119" spans="1:16" x14ac:dyDescent="0.3">
      <c r="A119" s="72" t="str">
        <f t="shared" si="36"/>
        <v/>
      </c>
      <c r="B119" s="73">
        <f>IF(OR(A119="",COUNTIF(A$2:A119,A119)&gt;1),B120+1,0)</f>
        <v>57</v>
      </c>
      <c r="C119" s="2">
        <f t="shared" si="32"/>
        <v>175</v>
      </c>
      <c r="D119" s="75">
        <f t="shared" si="37"/>
        <v>0</v>
      </c>
      <c r="E119" s="72" t="str">
        <f t="shared" si="38"/>
        <v/>
      </c>
      <c r="F119" s="73">
        <f>IF(OR(E119="",COUNTIF(E$2:E119,E119)&gt;1),F120+1,0)</f>
        <v>57</v>
      </c>
      <c r="G119" s="2">
        <f t="shared" si="33"/>
        <v>175</v>
      </c>
      <c r="H119" s="75">
        <f t="shared" si="39"/>
        <v>0</v>
      </c>
      <c r="I119" s="72" t="str">
        <f t="shared" si="40"/>
        <v/>
      </c>
      <c r="J119" s="73">
        <f>IF(OR(I119="",COUNTIF(I$2:I119,I119)&gt;1),J120+1,0)</f>
        <v>57</v>
      </c>
      <c r="K119" s="2">
        <f t="shared" si="34"/>
        <v>175</v>
      </c>
      <c r="L119" s="75">
        <f t="shared" si="41"/>
        <v>0</v>
      </c>
      <c r="M119" s="72" t="str">
        <f t="shared" si="42"/>
        <v/>
      </c>
      <c r="N119" s="73">
        <f>IF(OR(M119="",COUNTIF(M$2:M119,M119)&gt;1),N120+1,0)</f>
        <v>57</v>
      </c>
      <c r="O119" s="2">
        <f t="shared" si="35"/>
        <v>175</v>
      </c>
      <c r="P119" s="75">
        <f t="shared" si="43"/>
        <v>0</v>
      </c>
    </row>
    <row r="120" spans="1:16" x14ac:dyDescent="0.3">
      <c r="A120" s="72" t="str">
        <f t="shared" si="36"/>
        <v/>
      </c>
      <c r="B120" s="73">
        <f>IF(OR(A120="",COUNTIF(A$2:A120,A120)&gt;1),B121+1,0)</f>
        <v>56</v>
      </c>
      <c r="C120" s="2">
        <f t="shared" si="32"/>
        <v>175</v>
      </c>
      <c r="D120" s="75">
        <f t="shared" si="37"/>
        <v>0</v>
      </c>
      <c r="E120" s="72" t="str">
        <f t="shared" si="38"/>
        <v/>
      </c>
      <c r="F120" s="73">
        <f>IF(OR(E120="",COUNTIF(E$2:E120,E120)&gt;1),F121+1,0)</f>
        <v>56</v>
      </c>
      <c r="G120" s="2">
        <f t="shared" si="33"/>
        <v>175</v>
      </c>
      <c r="H120" s="75">
        <f t="shared" si="39"/>
        <v>0</v>
      </c>
      <c r="I120" s="72" t="str">
        <f t="shared" si="40"/>
        <v/>
      </c>
      <c r="J120" s="73">
        <f>IF(OR(I120="",COUNTIF(I$2:I120,I120)&gt;1),J121+1,0)</f>
        <v>56</v>
      </c>
      <c r="K120" s="2">
        <f t="shared" si="34"/>
        <v>175</v>
      </c>
      <c r="L120" s="75">
        <f t="shared" si="41"/>
        <v>0</v>
      </c>
      <c r="M120" s="72" t="str">
        <f t="shared" si="42"/>
        <v/>
      </c>
      <c r="N120" s="73">
        <f>IF(OR(M120="",COUNTIF(M$2:M120,M120)&gt;1),N121+1,0)</f>
        <v>56</v>
      </c>
      <c r="O120" s="2">
        <f t="shared" si="35"/>
        <v>175</v>
      </c>
      <c r="P120" s="75">
        <f t="shared" si="43"/>
        <v>0</v>
      </c>
    </row>
    <row r="121" spans="1:16" x14ac:dyDescent="0.3">
      <c r="A121" s="72" t="str">
        <f t="shared" si="36"/>
        <v/>
      </c>
      <c r="B121" s="73">
        <f>IF(OR(A121="",COUNTIF(A$2:A121,A121)&gt;1),B122+1,0)</f>
        <v>55</v>
      </c>
      <c r="C121" s="2">
        <f t="shared" si="32"/>
        <v>175</v>
      </c>
      <c r="D121" s="75">
        <f t="shared" si="37"/>
        <v>0</v>
      </c>
      <c r="E121" s="72" t="str">
        <f t="shared" si="38"/>
        <v/>
      </c>
      <c r="F121" s="73">
        <f>IF(OR(E121="",COUNTIF(E$2:E121,E121)&gt;1),F122+1,0)</f>
        <v>55</v>
      </c>
      <c r="G121" s="2">
        <f t="shared" si="33"/>
        <v>175</v>
      </c>
      <c r="H121" s="75">
        <f t="shared" si="39"/>
        <v>0</v>
      </c>
      <c r="I121" s="72" t="str">
        <f t="shared" si="40"/>
        <v/>
      </c>
      <c r="J121" s="73">
        <f>IF(OR(I121="",COUNTIF(I$2:I121,I121)&gt;1),J122+1,0)</f>
        <v>55</v>
      </c>
      <c r="K121" s="2">
        <f t="shared" si="34"/>
        <v>175</v>
      </c>
      <c r="L121" s="75">
        <f t="shared" si="41"/>
        <v>0</v>
      </c>
      <c r="M121" s="72" t="str">
        <f t="shared" si="42"/>
        <v/>
      </c>
      <c r="N121" s="73">
        <f>IF(OR(M121="",COUNTIF(M$2:M121,M121)&gt;1),N122+1,0)</f>
        <v>55</v>
      </c>
      <c r="O121" s="2">
        <f t="shared" si="35"/>
        <v>175</v>
      </c>
      <c r="P121" s="75">
        <f t="shared" si="43"/>
        <v>0</v>
      </c>
    </row>
    <row r="122" spans="1:16" x14ac:dyDescent="0.3">
      <c r="A122" s="72" t="str">
        <f t="shared" si="36"/>
        <v/>
      </c>
      <c r="B122" s="73">
        <f>IF(OR(A122="",COUNTIF(A$2:A122,A122)&gt;1),B123+1,0)</f>
        <v>54</v>
      </c>
      <c r="C122" s="2">
        <f t="shared" si="32"/>
        <v>175</v>
      </c>
      <c r="D122" s="75">
        <f t="shared" si="37"/>
        <v>0</v>
      </c>
      <c r="E122" s="72" t="str">
        <f t="shared" si="38"/>
        <v/>
      </c>
      <c r="F122" s="73">
        <f>IF(OR(E122="",COUNTIF(E$2:E122,E122)&gt;1),F123+1,0)</f>
        <v>54</v>
      </c>
      <c r="G122" s="2">
        <f t="shared" si="33"/>
        <v>175</v>
      </c>
      <c r="H122" s="75">
        <f t="shared" si="39"/>
        <v>0</v>
      </c>
      <c r="I122" s="72" t="str">
        <f t="shared" si="40"/>
        <v/>
      </c>
      <c r="J122" s="73">
        <f>IF(OR(I122="",COUNTIF(I$2:I122,I122)&gt;1),J123+1,0)</f>
        <v>54</v>
      </c>
      <c r="K122" s="2">
        <f t="shared" si="34"/>
        <v>175</v>
      </c>
      <c r="L122" s="75">
        <f t="shared" si="41"/>
        <v>0</v>
      </c>
      <c r="M122" s="72" t="str">
        <f t="shared" si="42"/>
        <v/>
      </c>
      <c r="N122" s="73">
        <f>IF(OR(M122="",COUNTIF(M$2:M122,M122)&gt;1),N123+1,0)</f>
        <v>54</v>
      </c>
      <c r="O122" s="2">
        <f t="shared" si="35"/>
        <v>175</v>
      </c>
      <c r="P122" s="75">
        <f t="shared" si="43"/>
        <v>0</v>
      </c>
    </row>
    <row r="123" spans="1:16" x14ac:dyDescent="0.3">
      <c r="A123" s="72" t="str">
        <f t="shared" si="36"/>
        <v/>
      </c>
      <c r="B123" s="73">
        <f>IF(OR(A123="",COUNTIF(A$2:A123,A123)&gt;1),B124+1,0)</f>
        <v>53</v>
      </c>
      <c r="C123" s="2">
        <f t="shared" si="32"/>
        <v>175</v>
      </c>
      <c r="D123" s="75">
        <f t="shared" si="37"/>
        <v>0</v>
      </c>
      <c r="E123" s="72" t="str">
        <f t="shared" si="38"/>
        <v/>
      </c>
      <c r="F123" s="73">
        <f>IF(OR(E123="",COUNTIF(E$2:E123,E123)&gt;1),F124+1,0)</f>
        <v>53</v>
      </c>
      <c r="G123" s="2">
        <f t="shared" si="33"/>
        <v>175</v>
      </c>
      <c r="H123" s="75">
        <f t="shared" si="39"/>
        <v>0</v>
      </c>
      <c r="I123" s="72" t="str">
        <f t="shared" si="40"/>
        <v/>
      </c>
      <c r="J123" s="73">
        <f>IF(OR(I123="",COUNTIF(I$2:I123,I123)&gt;1),J124+1,0)</f>
        <v>53</v>
      </c>
      <c r="K123" s="2">
        <f t="shared" si="34"/>
        <v>175</v>
      </c>
      <c r="L123" s="75">
        <f t="shared" si="41"/>
        <v>0</v>
      </c>
      <c r="M123" s="72" t="str">
        <f t="shared" si="42"/>
        <v/>
      </c>
      <c r="N123" s="73">
        <f>IF(OR(M123="",COUNTIF(M$2:M123,M123)&gt;1),N124+1,0)</f>
        <v>53</v>
      </c>
      <c r="O123" s="2">
        <f t="shared" si="35"/>
        <v>175</v>
      </c>
      <c r="P123" s="75">
        <f t="shared" si="43"/>
        <v>0</v>
      </c>
    </row>
    <row r="124" spans="1:16" x14ac:dyDescent="0.3">
      <c r="A124" s="72" t="str">
        <f t="shared" si="36"/>
        <v/>
      </c>
      <c r="B124" s="73">
        <f>IF(OR(A124="",COUNTIF(A$2:A124,A124)&gt;1),B125+1,0)</f>
        <v>52</v>
      </c>
      <c r="C124" s="2">
        <f t="shared" si="32"/>
        <v>175</v>
      </c>
      <c r="D124" s="75">
        <f t="shared" si="37"/>
        <v>0</v>
      </c>
      <c r="E124" s="72" t="str">
        <f t="shared" si="38"/>
        <v/>
      </c>
      <c r="F124" s="73">
        <f>IF(OR(E124="",COUNTIF(E$2:E124,E124)&gt;1),F125+1,0)</f>
        <v>52</v>
      </c>
      <c r="G124" s="2">
        <f t="shared" si="33"/>
        <v>175</v>
      </c>
      <c r="H124" s="75">
        <f t="shared" si="39"/>
        <v>0</v>
      </c>
      <c r="I124" s="72" t="str">
        <f t="shared" si="40"/>
        <v/>
      </c>
      <c r="J124" s="73">
        <f>IF(OR(I124="",COUNTIF(I$2:I124,I124)&gt;1),J125+1,0)</f>
        <v>52</v>
      </c>
      <c r="K124" s="2">
        <f t="shared" si="34"/>
        <v>175</v>
      </c>
      <c r="L124" s="75">
        <f t="shared" si="41"/>
        <v>0</v>
      </c>
      <c r="M124" s="72" t="str">
        <f t="shared" si="42"/>
        <v/>
      </c>
      <c r="N124" s="73">
        <f>IF(OR(M124="",COUNTIF(M$2:M124,M124)&gt;1),N125+1,0)</f>
        <v>52</v>
      </c>
      <c r="O124" s="2">
        <f t="shared" si="35"/>
        <v>175</v>
      </c>
      <c r="P124" s="75">
        <f t="shared" si="43"/>
        <v>0</v>
      </c>
    </row>
    <row r="125" spans="1:16" x14ac:dyDescent="0.3">
      <c r="A125" s="72" t="str">
        <f t="shared" si="36"/>
        <v/>
      </c>
      <c r="B125" s="73">
        <f>IF(OR(A125="",COUNTIF(A$2:A125,A125)&gt;1),B126+1,0)</f>
        <v>51</v>
      </c>
      <c r="C125" s="2">
        <f t="shared" si="32"/>
        <v>175</v>
      </c>
      <c r="D125" s="75">
        <f t="shared" si="37"/>
        <v>0</v>
      </c>
      <c r="E125" s="72" t="str">
        <f t="shared" si="38"/>
        <v/>
      </c>
      <c r="F125" s="73">
        <f>IF(OR(E125="",COUNTIF(E$2:E125,E125)&gt;1),F126+1,0)</f>
        <v>51</v>
      </c>
      <c r="G125" s="2">
        <f t="shared" si="33"/>
        <v>175</v>
      </c>
      <c r="H125" s="75">
        <f t="shared" si="39"/>
        <v>0</v>
      </c>
      <c r="I125" s="72" t="str">
        <f t="shared" si="40"/>
        <v/>
      </c>
      <c r="J125" s="73">
        <f>IF(OR(I125="",COUNTIF(I$2:I125,I125)&gt;1),J126+1,0)</f>
        <v>51</v>
      </c>
      <c r="K125" s="2">
        <f t="shared" si="34"/>
        <v>175</v>
      </c>
      <c r="L125" s="75">
        <f t="shared" si="41"/>
        <v>0</v>
      </c>
      <c r="M125" s="72" t="str">
        <f t="shared" si="42"/>
        <v/>
      </c>
      <c r="N125" s="73">
        <f>IF(OR(M125="",COUNTIF(M$2:M125,M125)&gt;1),N126+1,0)</f>
        <v>51</v>
      </c>
      <c r="O125" s="2">
        <f t="shared" si="35"/>
        <v>175</v>
      </c>
      <c r="P125" s="75">
        <f t="shared" si="43"/>
        <v>0</v>
      </c>
    </row>
    <row r="126" spans="1:16" x14ac:dyDescent="0.3">
      <c r="A126" s="72" t="str">
        <f t="shared" si="36"/>
        <v/>
      </c>
      <c r="B126" s="73">
        <f>IF(OR(A126="",COUNTIF(A$2:A126,A126)&gt;1),B127+1,0)</f>
        <v>50</v>
      </c>
      <c r="C126" s="2">
        <f t="shared" si="32"/>
        <v>175</v>
      </c>
      <c r="D126" s="75">
        <f t="shared" si="37"/>
        <v>0</v>
      </c>
      <c r="E126" s="72" t="str">
        <f t="shared" si="38"/>
        <v/>
      </c>
      <c r="F126" s="73">
        <f>IF(OR(E126="",COUNTIF(E$2:E126,E126)&gt;1),F127+1,0)</f>
        <v>50</v>
      </c>
      <c r="G126" s="2">
        <f t="shared" si="33"/>
        <v>175</v>
      </c>
      <c r="H126" s="75">
        <f t="shared" si="39"/>
        <v>0</v>
      </c>
      <c r="I126" s="72" t="str">
        <f t="shared" si="40"/>
        <v/>
      </c>
      <c r="J126" s="73">
        <f>IF(OR(I126="",COUNTIF(I$2:I126,I126)&gt;1),J127+1,0)</f>
        <v>50</v>
      </c>
      <c r="K126" s="2">
        <f t="shared" si="34"/>
        <v>175</v>
      </c>
      <c r="L126" s="75">
        <f t="shared" si="41"/>
        <v>0</v>
      </c>
      <c r="M126" s="72" t="str">
        <f t="shared" si="42"/>
        <v/>
      </c>
      <c r="N126" s="73">
        <f>IF(OR(M126="",COUNTIF(M$2:M126,M126)&gt;1),N127+1,0)</f>
        <v>50</v>
      </c>
      <c r="O126" s="2">
        <f t="shared" si="35"/>
        <v>175</v>
      </c>
      <c r="P126" s="75">
        <f t="shared" si="43"/>
        <v>0</v>
      </c>
    </row>
    <row r="127" spans="1:16" x14ac:dyDescent="0.3">
      <c r="A127" s="72" t="str">
        <f t="shared" si="36"/>
        <v/>
      </c>
      <c r="B127" s="73">
        <f>IF(OR(A127="",COUNTIF(A$2:A127,A127)&gt;1),B128+1,0)</f>
        <v>49</v>
      </c>
      <c r="C127" s="2">
        <f t="shared" si="32"/>
        <v>175</v>
      </c>
      <c r="D127" s="75">
        <f t="shared" si="37"/>
        <v>0</v>
      </c>
      <c r="E127" s="72" t="str">
        <f t="shared" si="38"/>
        <v/>
      </c>
      <c r="F127" s="73">
        <f>IF(OR(E127="",COUNTIF(E$2:E127,E127)&gt;1),F128+1,0)</f>
        <v>49</v>
      </c>
      <c r="G127" s="2">
        <f t="shared" si="33"/>
        <v>175</v>
      </c>
      <c r="H127" s="75">
        <f t="shared" si="39"/>
        <v>0</v>
      </c>
      <c r="I127" s="72" t="str">
        <f t="shared" si="40"/>
        <v/>
      </c>
      <c r="J127" s="73">
        <f>IF(OR(I127="",COUNTIF(I$2:I127,I127)&gt;1),J128+1,0)</f>
        <v>49</v>
      </c>
      <c r="K127" s="2">
        <f t="shared" si="34"/>
        <v>175</v>
      </c>
      <c r="L127" s="75">
        <f t="shared" si="41"/>
        <v>0</v>
      </c>
      <c r="M127" s="72" t="str">
        <f t="shared" si="42"/>
        <v/>
      </c>
      <c r="N127" s="73">
        <f>IF(OR(M127="",COUNTIF(M$2:M127,M127)&gt;1),N128+1,0)</f>
        <v>49</v>
      </c>
      <c r="O127" s="2">
        <f t="shared" si="35"/>
        <v>175</v>
      </c>
      <c r="P127" s="75">
        <f t="shared" si="43"/>
        <v>0</v>
      </c>
    </row>
    <row r="128" spans="1:16" x14ac:dyDescent="0.3">
      <c r="A128" s="72" t="str">
        <f t="shared" si="36"/>
        <v/>
      </c>
      <c r="B128" s="73">
        <f>IF(OR(A128="",COUNTIF(A$2:A128,A128)&gt;1),B129+1,0)</f>
        <v>48</v>
      </c>
      <c r="C128" s="2">
        <f t="shared" si="32"/>
        <v>175</v>
      </c>
      <c r="D128" s="75">
        <f t="shared" si="37"/>
        <v>0</v>
      </c>
      <c r="E128" s="72" t="str">
        <f t="shared" si="38"/>
        <v/>
      </c>
      <c r="F128" s="73">
        <f>IF(OR(E128="",COUNTIF(E$2:E128,E128)&gt;1),F129+1,0)</f>
        <v>48</v>
      </c>
      <c r="G128" s="2">
        <f t="shared" si="33"/>
        <v>175</v>
      </c>
      <c r="H128" s="75">
        <f t="shared" si="39"/>
        <v>0</v>
      </c>
      <c r="I128" s="72" t="str">
        <f t="shared" si="40"/>
        <v/>
      </c>
      <c r="J128" s="73">
        <f>IF(OR(I128="",COUNTIF(I$2:I128,I128)&gt;1),J129+1,0)</f>
        <v>48</v>
      </c>
      <c r="K128" s="2">
        <f t="shared" si="34"/>
        <v>175</v>
      </c>
      <c r="L128" s="75">
        <f t="shared" si="41"/>
        <v>0</v>
      </c>
      <c r="M128" s="72" t="str">
        <f t="shared" si="42"/>
        <v/>
      </c>
      <c r="N128" s="73">
        <f>IF(OR(M128="",COUNTIF(M$2:M128,M128)&gt;1),N129+1,0)</f>
        <v>48</v>
      </c>
      <c r="O128" s="2">
        <f t="shared" si="35"/>
        <v>175</v>
      </c>
      <c r="P128" s="75">
        <f t="shared" si="43"/>
        <v>0</v>
      </c>
    </row>
    <row r="129" spans="1:16" x14ac:dyDescent="0.3">
      <c r="A129" s="72" t="str">
        <f t="shared" si="36"/>
        <v/>
      </c>
      <c r="B129" s="73">
        <f>IF(OR(A129="",COUNTIF(A$2:A129,A129)&gt;1),B130+1,0)</f>
        <v>47</v>
      </c>
      <c r="C129" s="2">
        <f t="shared" si="32"/>
        <v>175</v>
      </c>
      <c r="D129" s="75">
        <f t="shared" si="37"/>
        <v>0</v>
      </c>
      <c r="E129" s="72" t="str">
        <f t="shared" si="38"/>
        <v/>
      </c>
      <c r="F129" s="73">
        <f>IF(OR(E129="",COUNTIF(E$2:E129,E129)&gt;1),F130+1,0)</f>
        <v>47</v>
      </c>
      <c r="G129" s="2">
        <f t="shared" si="33"/>
        <v>175</v>
      </c>
      <c r="H129" s="75">
        <f t="shared" si="39"/>
        <v>0</v>
      </c>
      <c r="I129" s="72" t="str">
        <f t="shared" si="40"/>
        <v/>
      </c>
      <c r="J129" s="73">
        <f>IF(OR(I129="",COUNTIF(I$2:I129,I129)&gt;1),J130+1,0)</f>
        <v>47</v>
      </c>
      <c r="K129" s="2">
        <f t="shared" si="34"/>
        <v>175</v>
      </c>
      <c r="L129" s="75">
        <f t="shared" si="41"/>
        <v>0</v>
      </c>
      <c r="M129" s="72" t="str">
        <f t="shared" si="42"/>
        <v/>
      </c>
      <c r="N129" s="73">
        <f>IF(OR(M129="",COUNTIF(M$2:M129,M129)&gt;1),N130+1,0)</f>
        <v>47</v>
      </c>
      <c r="O129" s="2">
        <f t="shared" si="35"/>
        <v>175</v>
      </c>
      <c r="P129" s="75">
        <f t="shared" si="43"/>
        <v>0</v>
      </c>
    </row>
    <row r="130" spans="1:16" x14ac:dyDescent="0.3">
      <c r="A130" s="72" t="str">
        <f t="shared" ref="A130:A161" si="44">TRIM(CLEAN(INDEX(ЗаданияОсень,ROW(A130)-1,1)))</f>
        <v/>
      </c>
      <c r="B130" s="73">
        <f>IF(OR(A130="",COUNTIF(A$2:A130,A130)&gt;1),B131+1,0)</f>
        <v>46</v>
      </c>
      <c r="C130" s="2">
        <f t="shared" si="32"/>
        <v>175</v>
      </c>
      <c r="D130" s="75">
        <f t="shared" ref="D130:D161" si="45">INDEX(ЗаданияОсень,C130,1)</f>
        <v>0</v>
      </c>
      <c r="E130" s="72" t="str">
        <f t="shared" ref="E130:E161" si="46">TRIM(CLEAN(INDEX(ЗаданияОсень,ROW(E130)-1,2)))</f>
        <v/>
      </c>
      <c r="F130" s="73">
        <f>IF(OR(E130="",COUNTIF(E$2:E130,E130)&gt;1),F131+1,0)</f>
        <v>46</v>
      </c>
      <c r="G130" s="2">
        <f t="shared" si="33"/>
        <v>175</v>
      </c>
      <c r="H130" s="75">
        <f t="shared" ref="H130:H161" si="47">INDEX(ЗаданияОсень,G130,2)</f>
        <v>0</v>
      </c>
      <c r="I130" s="72" t="str">
        <f t="shared" ref="I130:I161" si="48">TRIM(CLEAN(INDEX(ЗаданияВесна,ROW(I130)-1,1)))</f>
        <v/>
      </c>
      <c r="J130" s="73">
        <f>IF(OR(I130="",COUNTIF(I$2:I130,I130)&gt;1),J131+1,0)</f>
        <v>46</v>
      </c>
      <c r="K130" s="2">
        <f t="shared" si="34"/>
        <v>175</v>
      </c>
      <c r="L130" s="75">
        <f t="shared" ref="L130:L161" si="49">INDEX(ЗаданияВесна,K130,1)</f>
        <v>0</v>
      </c>
      <c r="M130" s="72" t="str">
        <f t="shared" ref="M130:M161" si="50">TRIM(CLEAN(INDEX(ЗаданияВесна,ROW(M130)-1,2)))</f>
        <v/>
      </c>
      <c r="N130" s="73">
        <f>IF(OR(M130="",COUNTIF(M$2:M130,M130)&gt;1),N131+1,0)</f>
        <v>46</v>
      </c>
      <c r="O130" s="2">
        <f t="shared" si="35"/>
        <v>175</v>
      </c>
      <c r="P130" s="75">
        <f t="shared" ref="P130:P161" si="51">INDEX(ЗаданияВесна,O130,2)</f>
        <v>0</v>
      </c>
    </row>
    <row r="131" spans="1:16" x14ac:dyDescent="0.3">
      <c r="A131" s="72" t="str">
        <f t="shared" si="44"/>
        <v/>
      </c>
      <c r="B131" s="73">
        <f>IF(OR(A131="",COUNTIF(A$2:A131,A131)&gt;1),B132+1,0)</f>
        <v>45</v>
      </c>
      <c r="C131" s="2">
        <f t="shared" si="32"/>
        <v>175</v>
      </c>
      <c r="D131" s="75">
        <f t="shared" si="45"/>
        <v>0</v>
      </c>
      <c r="E131" s="72" t="str">
        <f t="shared" si="46"/>
        <v/>
      </c>
      <c r="F131" s="73">
        <f>IF(OR(E131="",COUNTIF(E$2:E131,E131)&gt;1),F132+1,0)</f>
        <v>45</v>
      </c>
      <c r="G131" s="2">
        <f t="shared" si="33"/>
        <v>175</v>
      </c>
      <c r="H131" s="75">
        <f t="shared" si="47"/>
        <v>0</v>
      </c>
      <c r="I131" s="72" t="str">
        <f t="shared" si="48"/>
        <v/>
      </c>
      <c r="J131" s="73">
        <f>IF(OR(I131="",COUNTIF(I$2:I131,I131)&gt;1),J132+1,0)</f>
        <v>45</v>
      </c>
      <c r="K131" s="2">
        <f t="shared" si="34"/>
        <v>175</v>
      </c>
      <c r="L131" s="75">
        <f t="shared" si="49"/>
        <v>0</v>
      </c>
      <c r="M131" s="72" t="str">
        <f t="shared" si="50"/>
        <v/>
      </c>
      <c r="N131" s="73">
        <f>IF(OR(M131="",COUNTIF(M$2:M131,M131)&gt;1),N132+1,0)</f>
        <v>45</v>
      </c>
      <c r="O131" s="2">
        <f t="shared" si="35"/>
        <v>175</v>
      </c>
      <c r="P131" s="75">
        <f t="shared" si="51"/>
        <v>0</v>
      </c>
    </row>
    <row r="132" spans="1:16" x14ac:dyDescent="0.3">
      <c r="A132" s="72" t="str">
        <f t="shared" si="44"/>
        <v/>
      </c>
      <c r="B132" s="73">
        <f>IF(OR(A132="",COUNTIF(A$2:A132,A132)&gt;1),B133+1,0)</f>
        <v>44</v>
      </c>
      <c r="C132" s="2">
        <f t="shared" ref="C132:C175" si="52">INDEX(B$2:B$177,C131+1,1)+C131+1</f>
        <v>175</v>
      </c>
      <c r="D132" s="75">
        <f t="shared" si="45"/>
        <v>0</v>
      </c>
      <c r="E132" s="72" t="str">
        <f t="shared" si="46"/>
        <v/>
      </c>
      <c r="F132" s="73">
        <f>IF(OR(E132="",COUNTIF(E$2:E132,E132)&gt;1),F133+1,0)</f>
        <v>44</v>
      </c>
      <c r="G132" s="2">
        <f t="shared" ref="G132:G175" si="53">INDEX(F$2:F$177,G131+1,1)+G131+1</f>
        <v>175</v>
      </c>
      <c r="H132" s="75">
        <f t="shared" si="47"/>
        <v>0</v>
      </c>
      <c r="I132" s="72" t="str">
        <f t="shared" si="48"/>
        <v/>
      </c>
      <c r="J132" s="73">
        <f>IF(OR(I132="",COUNTIF(I$2:I132,I132)&gt;1),J133+1,0)</f>
        <v>44</v>
      </c>
      <c r="K132" s="2">
        <f t="shared" ref="K132:K175" si="54">INDEX(J$2:J$177,K131+1,1)+K131+1</f>
        <v>175</v>
      </c>
      <c r="L132" s="75">
        <f t="shared" si="49"/>
        <v>0</v>
      </c>
      <c r="M132" s="72" t="str">
        <f t="shared" si="50"/>
        <v/>
      </c>
      <c r="N132" s="73">
        <f>IF(OR(M132="",COUNTIF(M$2:M132,M132)&gt;1),N133+1,0)</f>
        <v>44</v>
      </c>
      <c r="O132" s="2">
        <f t="shared" ref="O132:O175" si="55">INDEX(N$2:N$177,O131+1,1)+O131+1</f>
        <v>175</v>
      </c>
      <c r="P132" s="75">
        <f t="shared" si="51"/>
        <v>0</v>
      </c>
    </row>
    <row r="133" spans="1:16" x14ac:dyDescent="0.3">
      <c r="A133" s="72" t="str">
        <f t="shared" si="44"/>
        <v/>
      </c>
      <c r="B133" s="73">
        <f>IF(OR(A133="",COUNTIF(A$2:A133,A133)&gt;1),B134+1,0)</f>
        <v>43</v>
      </c>
      <c r="C133" s="2">
        <f t="shared" si="52"/>
        <v>175</v>
      </c>
      <c r="D133" s="75">
        <f t="shared" si="45"/>
        <v>0</v>
      </c>
      <c r="E133" s="72" t="str">
        <f t="shared" si="46"/>
        <v/>
      </c>
      <c r="F133" s="73">
        <f>IF(OR(E133="",COUNTIF(E$2:E133,E133)&gt;1),F134+1,0)</f>
        <v>43</v>
      </c>
      <c r="G133" s="2">
        <f t="shared" si="53"/>
        <v>175</v>
      </c>
      <c r="H133" s="75">
        <f t="shared" si="47"/>
        <v>0</v>
      </c>
      <c r="I133" s="72" t="str">
        <f t="shared" si="48"/>
        <v/>
      </c>
      <c r="J133" s="73">
        <f>IF(OR(I133="",COUNTIF(I$2:I133,I133)&gt;1),J134+1,0)</f>
        <v>43</v>
      </c>
      <c r="K133" s="2">
        <f t="shared" si="54"/>
        <v>175</v>
      </c>
      <c r="L133" s="75">
        <f t="shared" si="49"/>
        <v>0</v>
      </c>
      <c r="M133" s="72" t="str">
        <f t="shared" si="50"/>
        <v/>
      </c>
      <c r="N133" s="73">
        <f>IF(OR(M133="",COUNTIF(M$2:M133,M133)&gt;1),N134+1,0)</f>
        <v>43</v>
      </c>
      <c r="O133" s="2">
        <f t="shared" si="55"/>
        <v>175</v>
      </c>
      <c r="P133" s="75">
        <f t="shared" si="51"/>
        <v>0</v>
      </c>
    </row>
    <row r="134" spans="1:16" x14ac:dyDescent="0.3">
      <c r="A134" s="72" t="str">
        <f t="shared" si="44"/>
        <v/>
      </c>
      <c r="B134" s="73">
        <f>IF(OR(A134="",COUNTIF(A$2:A134,A134)&gt;1),B135+1,0)</f>
        <v>42</v>
      </c>
      <c r="C134" s="2">
        <f t="shared" si="52"/>
        <v>175</v>
      </c>
      <c r="D134" s="75">
        <f t="shared" si="45"/>
        <v>0</v>
      </c>
      <c r="E134" s="72" t="str">
        <f t="shared" si="46"/>
        <v/>
      </c>
      <c r="F134" s="73">
        <f>IF(OR(E134="",COUNTIF(E$2:E134,E134)&gt;1),F135+1,0)</f>
        <v>42</v>
      </c>
      <c r="G134" s="2">
        <f t="shared" si="53"/>
        <v>175</v>
      </c>
      <c r="H134" s="75">
        <f t="shared" si="47"/>
        <v>0</v>
      </c>
      <c r="I134" s="72" t="str">
        <f t="shared" si="48"/>
        <v/>
      </c>
      <c r="J134" s="73">
        <f>IF(OR(I134="",COUNTIF(I$2:I134,I134)&gt;1),J135+1,0)</f>
        <v>42</v>
      </c>
      <c r="K134" s="2">
        <f t="shared" si="54"/>
        <v>175</v>
      </c>
      <c r="L134" s="75">
        <f t="shared" si="49"/>
        <v>0</v>
      </c>
      <c r="M134" s="72" t="str">
        <f t="shared" si="50"/>
        <v/>
      </c>
      <c r="N134" s="73">
        <f>IF(OR(M134="",COUNTIF(M$2:M134,M134)&gt;1),N135+1,0)</f>
        <v>42</v>
      </c>
      <c r="O134" s="2">
        <f t="shared" si="55"/>
        <v>175</v>
      </c>
      <c r="P134" s="75">
        <f t="shared" si="51"/>
        <v>0</v>
      </c>
    </row>
    <row r="135" spans="1:16" x14ac:dyDescent="0.3">
      <c r="A135" s="72" t="str">
        <f t="shared" si="44"/>
        <v/>
      </c>
      <c r="B135" s="73">
        <f>IF(OR(A135="",COUNTIF(A$2:A135,A135)&gt;1),B136+1,0)</f>
        <v>41</v>
      </c>
      <c r="C135" s="2">
        <f t="shared" si="52"/>
        <v>175</v>
      </c>
      <c r="D135" s="75">
        <f t="shared" si="45"/>
        <v>0</v>
      </c>
      <c r="E135" s="72" t="str">
        <f t="shared" si="46"/>
        <v/>
      </c>
      <c r="F135" s="73">
        <f>IF(OR(E135="",COUNTIF(E$2:E135,E135)&gt;1),F136+1,0)</f>
        <v>41</v>
      </c>
      <c r="G135" s="2">
        <f t="shared" si="53"/>
        <v>175</v>
      </c>
      <c r="H135" s="75">
        <f t="shared" si="47"/>
        <v>0</v>
      </c>
      <c r="I135" s="72" t="str">
        <f t="shared" si="48"/>
        <v/>
      </c>
      <c r="J135" s="73">
        <f>IF(OR(I135="",COUNTIF(I$2:I135,I135)&gt;1),J136+1,0)</f>
        <v>41</v>
      </c>
      <c r="K135" s="2">
        <f t="shared" si="54"/>
        <v>175</v>
      </c>
      <c r="L135" s="75">
        <f t="shared" si="49"/>
        <v>0</v>
      </c>
      <c r="M135" s="72" t="str">
        <f t="shared" si="50"/>
        <v/>
      </c>
      <c r="N135" s="73">
        <f>IF(OR(M135="",COUNTIF(M$2:M135,M135)&gt;1),N136+1,0)</f>
        <v>41</v>
      </c>
      <c r="O135" s="2">
        <f t="shared" si="55"/>
        <v>175</v>
      </c>
      <c r="P135" s="75">
        <f t="shared" si="51"/>
        <v>0</v>
      </c>
    </row>
    <row r="136" spans="1:16" x14ac:dyDescent="0.3">
      <c r="A136" s="72" t="str">
        <f t="shared" si="44"/>
        <v/>
      </c>
      <c r="B136" s="73">
        <f>IF(OR(A136="",COUNTIF(A$2:A136,A136)&gt;1),B137+1,0)</f>
        <v>40</v>
      </c>
      <c r="C136" s="2">
        <f t="shared" si="52"/>
        <v>175</v>
      </c>
      <c r="D136" s="75">
        <f t="shared" si="45"/>
        <v>0</v>
      </c>
      <c r="E136" s="72" t="str">
        <f t="shared" si="46"/>
        <v/>
      </c>
      <c r="F136" s="73">
        <f>IF(OR(E136="",COUNTIF(E$2:E136,E136)&gt;1),F137+1,0)</f>
        <v>40</v>
      </c>
      <c r="G136" s="2">
        <f t="shared" si="53"/>
        <v>175</v>
      </c>
      <c r="H136" s="75">
        <f t="shared" si="47"/>
        <v>0</v>
      </c>
      <c r="I136" s="72" t="str">
        <f t="shared" si="48"/>
        <v/>
      </c>
      <c r="J136" s="73">
        <f>IF(OR(I136="",COUNTIF(I$2:I136,I136)&gt;1),J137+1,0)</f>
        <v>40</v>
      </c>
      <c r="K136" s="2">
        <f t="shared" si="54"/>
        <v>175</v>
      </c>
      <c r="L136" s="75">
        <f t="shared" si="49"/>
        <v>0</v>
      </c>
      <c r="M136" s="72" t="str">
        <f t="shared" si="50"/>
        <v/>
      </c>
      <c r="N136" s="73">
        <f>IF(OR(M136="",COUNTIF(M$2:M136,M136)&gt;1),N137+1,0)</f>
        <v>40</v>
      </c>
      <c r="O136" s="2">
        <f t="shared" si="55"/>
        <v>175</v>
      </c>
      <c r="P136" s="75">
        <f t="shared" si="51"/>
        <v>0</v>
      </c>
    </row>
    <row r="137" spans="1:16" x14ac:dyDescent="0.3">
      <c r="A137" s="72" t="str">
        <f t="shared" si="44"/>
        <v/>
      </c>
      <c r="B137" s="73">
        <f>IF(OR(A137="",COUNTIF(A$2:A137,A137)&gt;1),B138+1,0)</f>
        <v>39</v>
      </c>
      <c r="C137" s="2">
        <f t="shared" si="52"/>
        <v>175</v>
      </c>
      <c r="D137" s="75">
        <f t="shared" si="45"/>
        <v>0</v>
      </c>
      <c r="E137" s="72" t="str">
        <f t="shared" si="46"/>
        <v/>
      </c>
      <c r="F137" s="73">
        <f>IF(OR(E137="",COUNTIF(E$2:E137,E137)&gt;1),F138+1,0)</f>
        <v>39</v>
      </c>
      <c r="G137" s="2">
        <f t="shared" si="53"/>
        <v>175</v>
      </c>
      <c r="H137" s="75">
        <f t="shared" si="47"/>
        <v>0</v>
      </c>
      <c r="I137" s="72" t="str">
        <f t="shared" si="48"/>
        <v/>
      </c>
      <c r="J137" s="73">
        <f>IF(OR(I137="",COUNTIF(I$2:I137,I137)&gt;1),J138+1,0)</f>
        <v>39</v>
      </c>
      <c r="K137" s="2">
        <f t="shared" si="54"/>
        <v>175</v>
      </c>
      <c r="L137" s="75">
        <f t="shared" si="49"/>
        <v>0</v>
      </c>
      <c r="M137" s="72" t="str">
        <f t="shared" si="50"/>
        <v/>
      </c>
      <c r="N137" s="73">
        <f>IF(OR(M137="",COUNTIF(M$2:M137,M137)&gt;1),N138+1,0)</f>
        <v>39</v>
      </c>
      <c r="O137" s="2">
        <f t="shared" si="55"/>
        <v>175</v>
      </c>
      <c r="P137" s="75">
        <f t="shared" si="51"/>
        <v>0</v>
      </c>
    </row>
    <row r="138" spans="1:16" x14ac:dyDescent="0.3">
      <c r="A138" s="72" t="str">
        <f t="shared" si="44"/>
        <v/>
      </c>
      <c r="B138" s="73">
        <f>IF(OR(A138="",COUNTIF(A$2:A138,A138)&gt;1),B139+1,0)</f>
        <v>38</v>
      </c>
      <c r="C138" s="2">
        <f t="shared" si="52"/>
        <v>175</v>
      </c>
      <c r="D138" s="75">
        <f t="shared" si="45"/>
        <v>0</v>
      </c>
      <c r="E138" s="72" t="str">
        <f t="shared" si="46"/>
        <v/>
      </c>
      <c r="F138" s="73">
        <f>IF(OR(E138="",COUNTIF(E$2:E138,E138)&gt;1),F139+1,0)</f>
        <v>38</v>
      </c>
      <c r="G138" s="2">
        <f t="shared" si="53"/>
        <v>175</v>
      </c>
      <c r="H138" s="75">
        <f t="shared" si="47"/>
        <v>0</v>
      </c>
      <c r="I138" s="72" t="str">
        <f t="shared" si="48"/>
        <v/>
      </c>
      <c r="J138" s="73">
        <f>IF(OR(I138="",COUNTIF(I$2:I138,I138)&gt;1),J139+1,0)</f>
        <v>38</v>
      </c>
      <c r="K138" s="2">
        <f t="shared" si="54"/>
        <v>175</v>
      </c>
      <c r="L138" s="75">
        <f t="shared" si="49"/>
        <v>0</v>
      </c>
      <c r="M138" s="72" t="str">
        <f t="shared" si="50"/>
        <v/>
      </c>
      <c r="N138" s="73">
        <f>IF(OR(M138="",COUNTIF(M$2:M138,M138)&gt;1),N139+1,0)</f>
        <v>38</v>
      </c>
      <c r="O138" s="2">
        <f t="shared" si="55"/>
        <v>175</v>
      </c>
      <c r="P138" s="75">
        <f t="shared" si="51"/>
        <v>0</v>
      </c>
    </row>
    <row r="139" spans="1:16" x14ac:dyDescent="0.3">
      <c r="A139" s="72" t="str">
        <f t="shared" si="44"/>
        <v/>
      </c>
      <c r="B139" s="73">
        <f>IF(OR(A139="",COUNTIF(A$2:A139,A139)&gt;1),B140+1,0)</f>
        <v>37</v>
      </c>
      <c r="C139" s="2">
        <f t="shared" si="52"/>
        <v>175</v>
      </c>
      <c r="D139" s="75">
        <f t="shared" si="45"/>
        <v>0</v>
      </c>
      <c r="E139" s="72" t="str">
        <f t="shared" si="46"/>
        <v/>
      </c>
      <c r="F139" s="73">
        <f>IF(OR(E139="",COUNTIF(E$2:E139,E139)&gt;1),F140+1,0)</f>
        <v>37</v>
      </c>
      <c r="G139" s="2">
        <f t="shared" si="53"/>
        <v>175</v>
      </c>
      <c r="H139" s="75">
        <f t="shared" si="47"/>
        <v>0</v>
      </c>
      <c r="I139" s="72" t="str">
        <f t="shared" si="48"/>
        <v/>
      </c>
      <c r="J139" s="73">
        <f>IF(OR(I139="",COUNTIF(I$2:I139,I139)&gt;1),J140+1,0)</f>
        <v>37</v>
      </c>
      <c r="K139" s="2">
        <f t="shared" si="54"/>
        <v>175</v>
      </c>
      <c r="L139" s="75">
        <f t="shared" si="49"/>
        <v>0</v>
      </c>
      <c r="M139" s="72" t="str">
        <f t="shared" si="50"/>
        <v/>
      </c>
      <c r="N139" s="73">
        <f>IF(OR(M139="",COUNTIF(M$2:M139,M139)&gt;1),N140+1,0)</f>
        <v>37</v>
      </c>
      <c r="O139" s="2">
        <f t="shared" si="55"/>
        <v>175</v>
      </c>
      <c r="P139" s="75">
        <f t="shared" si="51"/>
        <v>0</v>
      </c>
    </row>
    <row r="140" spans="1:16" x14ac:dyDescent="0.3">
      <c r="A140" s="72" t="str">
        <f t="shared" si="44"/>
        <v/>
      </c>
      <c r="B140" s="73">
        <f>IF(OR(A140="",COUNTIF(A$2:A140,A140)&gt;1),B141+1,0)</f>
        <v>36</v>
      </c>
      <c r="C140" s="2">
        <f t="shared" si="52"/>
        <v>175</v>
      </c>
      <c r="D140" s="75">
        <f t="shared" si="45"/>
        <v>0</v>
      </c>
      <c r="E140" s="72" t="str">
        <f t="shared" si="46"/>
        <v/>
      </c>
      <c r="F140" s="73">
        <f>IF(OR(E140="",COUNTIF(E$2:E140,E140)&gt;1),F141+1,0)</f>
        <v>36</v>
      </c>
      <c r="G140" s="2">
        <f t="shared" si="53"/>
        <v>175</v>
      </c>
      <c r="H140" s="75">
        <f t="shared" si="47"/>
        <v>0</v>
      </c>
      <c r="I140" s="72" t="str">
        <f t="shared" si="48"/>
        <v/>
      </c>
      <c r="J140" s="73">
        <f>IF(OR(I140="",COUNTIF(I$2:I140,I140)&gt;1),J141+1,0)</f>
        <v>36</v>
      </c>
      <c r="K140" s="2">
        <f t="shared" si="54"/>
        <v>175</v>
      </c>
      <c r="L140" s="75">
        <f t="shared" si="49"/>
        <v>0</v>
      </c>
      <c r="M140" s="72" t="str">
        <f t="shared" si="50"/>
        <v/>
      </c>
      <c r="N140" s="73">
        <f>IF(OR(M140="",COUNTIF(M$2:M140,M140)&gt;1),N141+1,0)</f>
        <v>36</v>
      </c>
      <c r="O140" s="2">
        <f t="shared" si="55"/>
        <v>175</v>
      </c>
      <c r="P140" s="75">
        <f t="shared" si="51"/>
        <v>0</v>
      </c>
    </row>
    <row r="141" spans="1:16" x14ac:dyDescent="0.3">
      <c r="A141" s="72" t="str">
        <f t="shared" si="44"/>
        <v/>
      </c>
      <c r="B141" s="73">
        <f>IF(OR(A141="",COUNTIF(A$2:A141,A141)&gt;1),B142+1,0)</f>
        <v>35</v>
      </c>
      <c r="C141" s="2">
        <f t="shared" si="52"/>
        <v>175</v>
      </c>
      <c r="D141" s="75">
        <f t="shared" si="45"/>
        <v>0</v>
      </c>
      <c r="E141" s="72" t="str">
        <f t="shared" si="46"/>
        <v/>
      </c>
      <c r="F141" s="73">
        <f>IF(OR(E141="",COUNTIF(E$2:E141,E141)&gt;1),F142+1,0)</f>
        <v>35</v>
      </c>
      <c r="G141" s="2">
        <f t="shared" si="53"/>
        <v>175</v>
      </c>
      <c r="H141" s="75">
        <f t="shared" si="47"/>
        <v>0</v>
      </c>
      <c r="I141" s="72" t="str">
        <f t="shared" si="48"/>
        <v/>
      </c>
      <c r="J141" s="73">
        <f>IF(OR(I141="",COUNTIF(I$2:I141,I141)&gt;1),J142+1,0)</f>
        <v>35</v>
      </c>
      <c r="K141" s="2">
        <f t="shared" si="54"/>
        <v>175</v>
      </c>
      <c r="L141" s="75">
        <f t="shared" si="49"/>
        <v>0</v>
      </c>
      <c r="M141" s="72" t="str">
        <f t="shared" si="50"/>
        <v/>
      </c>
      <c r="N141" s="73">
        <f>IF(OR(M141="",COUNTIF(M$2:M141,M141)&gt;1),N142+1,0)</f>
        <v>35</v>
      </c>
      <c r="O141" s="2">
        <f t="shared" si="55"/>
        <v>175</v>
      </c>
      <c r="P141" s="75">
        <f t="shared" si="51"/>
        <v>0</v>
      </c>
    </row>
    <row r="142" spans="1:16" x14ac:dyDescent="0.3">
      <c r="A142" s="72" t="str">
        <f t="shared" si="44"/>
        <v/>
      </c>
      <c r="B142" s="73">
        <f>IF(OR(A142="",COUNTIF(A$2:A142,A142)&gt;1),B143+1,0)</f>
        <v>34</v>
      </c>
      <c r="C142" s="2">
        <f t="shared" si="52"/>
        <v>175</v>
      </c>
      <c r="D142" s="75">
        <f t="shared" si="45"/>
        <v>0</v>
      </c>
      <c r="E142" s="72" t="str">
        <f t="shared" si="46"/>
        <v/>
      </c>
      <c r="F142" s="73">
        <f>IF(OR(E142="",COUNTIF(E$2:E142,E142)&gt;1),F143+1,0)</f>
        <v>34</v>
      </c>
      <c r="G142" s="2">
        <f t="shared" si="53"/>
        <v>175</v>
      </c>
      <c r="H142" s="75">
        <f t="shared" si="47"/>
        <v>0</v>
      </c>
      <c r="I142" s="72" t="str">
        <f t="shared" si="48"/>
        <v/>
      </c>
      <c r="J142" s="73">
        <f>IF(OR(I142="",COUNTIF(I$2:I142,I142)&gt;1),J143+1,0)</f>
        <v>34</v>
      </c>
      <c r="K142" s="2">
        <f t="shared" si="54"/>
        <v>175</v>
      </c>
      <c r="L142" s="75">
        <f t="shared" si="49"/>
        <v>0</v>
      </c>
      <c r="M142" s="72" t="str">
        <f t="shared" si="50"/>
        <v/>
      </c>
      <c r="N142" s="73">
        <f>IF(OR(M142="",COUNTIF(M$2:M142,M142)&gt;1),N143+1,0)</f>
        <v>34</v>
      </c>
      <c r="O142" s="2">
        <f t="shared" si="55"/>
        <v>175</v>
      </c>
      <c r="P142" s="75">
        <f t="shared" si="51"/>
        <v>0</v>
      </c>
    </row>
    <row r="143" spans="1:16" x14ac:dyDescent="0.3">
      <c r="A143" s="72" t="str">
        <f t="shared" si="44"/>
        <v/>
      </c>
      <c r="B143" s="73">
        <f>IF(OR(A143="",COUNTIF(A$2:A143,A143)&gt;1),B144+1,0)</f>
        <v>33</v>
      </c>
      <c r="C143" s="2">
        <f t="shared" si="52"/>
        <v>175</v>
      </c>
      <c r="D143" s="75">
        <f t="shared" si="45"/>
        <v>0</v>
      </c>
      <c r="E143" s="72" t="str">
        <f t="shared" si="46"/>
        <v/>
      </c>
      <c r="F143" s="73">
        <f>IF(OR(E143="",COUNTIF(E$2:E143,E143)&gt;1),F144+1,0)</f>
        <v>33</v>
      </c>
      <c r="G143" s="2">
        <f t="shared" si="53"/>
        <v>175</v>
      </c>
      <c r="H143" s="75">
        <f t="shared" si="47"/>
        <v>0</v>
      </c>
      <c r="I143" s="72" t="str">
        <f t="shared" si="48"/>
        <v/>
      </c>
      <c r="J143" s="73">
        <f>IF(OR(I143="",COUNTIF(I$2:I143,I143)&gt;1),J144+1,0)</f>
        <v>33</v>
      </c>
      <c r="K143" s="2">
        <f t="shared" si="54"/>
        <v>175</v>
      </c>
      <c r="L143" s="75">
        <f t="shared" si="49"/>
        <v>0</v>
      </c>
      <c r="M143" s="72" t="str">
        <f t="shared" si="50"/>
        <v/>
      </c>
      <c r="N143" s="73">
        <f>IF(OR(M143="",COUNTIF(M$2:M143,M143)&gt;1),N144+1,0)</f>
        <v>33</v>
      </c>
      <c r="O143" s="2">
        <f t="shared" si="55"/>
        <v>175</v>
      </c>
      <c r="P143" s="75">
        <f t="shared" si="51"/>
        <v>0</v>
      </c>
    </row>
    <row r="144" spans="1:16" x14ac:dyDescent="0.3">
      <c r="A144" s="72" t="str">
        <f t="shared" si="44"/>
        <v/>
      </c>
      <c r="B144" s="73">
        <f>IF(OR(A144="",COUNTIF(A$2:A144,A144)&gt;1),B145+1,0)</f>
        <v>32</v>
      </c>
      <c r="C144" s="2">
        <f t="shared" si="52"/>
        <v>175</v>
      </c>
      <c r="D144" s="75">
        <f t="shared" si="45"/>
        <v>0</v>
      </c>
      <c r="E144" s="72" t="str">
        <f t="shared" si="46"/>
        <v/>
      </c>
      <c r="F144" s="73">
        <f>IF(OR(E144="",COUNTIF(E$2:E144,E144)&gt;1),F145+1,0)</f>
        <v>32</v>
      </c>
      <c r="G144" s="2">
        <f t="shared" si="53"/>
        <v>175</v>
      </c>
      <c r="H144" s="75">
        <f t="shared" si="47"/>
        <v>0</v>
      </c>
      <c r="I144" s="72" t="str">
        <f t="shared" si="48"/>
        <v/>
      </c>
      <c r="J144" s="73">
        <f>IF(OR(I144="",COUNTIF(I$2:I144,I144)&gt;1),J145+1,0)</f>
        <v>32</v>
      </c>
      <c r="K144" s="2">
        <f t="shared" si="54"/>
        <v>175</v>
      </c>
      <c r="L144" s="75">
        <f t="shared" si="49"/>
        <v>0</v>
      </c>
      <c r="M144" s="72" t="str">
        <f t="shared" si="50"/>
        <v/>
      </c>
      <c r="N144" s="73">
        <f>IF(OR(M144="",COUNTIF(M$2:M144,M144)&gt;1),N145+1,0)</f>
        <v>32</v>
      </c>
      <c r="O144" s="2">
        <f t="shared" si="55"/>
        <v>175</v>
      </c>
      <c r="P144" s="75">
        <f t="shared" si="51"/>
        <v>0</v>
      </c>
    </row>
    <row r="145" spans="1:16" x14ac:dyDescent="0.3">
      <c r="A145" s="72" t="str">
        <f t="shared" si="44"/>
        <v/>
      </c>
      <c r="B145" s="73">
        <f>IF(OR(A145="",COUNTIF(A$2:A145,A145)&gt;1),B146+1,0)</f>
        <v>31</v>
      </c>
      <c r="C145" s="2">
        <f t="shared" si="52"/>
        <v>175</v>
      </c>
      <c r="D145" s="75">
        <f t="shared" si="45"/>
        <v>0</v>
      </c>
      <c r="E145" s="72" t="str">
        <f t="shared" si="46"/>
        <v/>
      </c>
      <c r="F145" s="73">
        <f>IF(OR(E145="",COUNTIF(E$2:E145,E145)&gt;1),F146+1,0)</f>
        <v>31</v>
      </c>
      <c r="G145" s="2">
        <f t="shared" si="53"/>
        <v>175</v>
      </c>
      <c r="H145" s="75">
        <f t="shared" si="47"/>
        <v>0</v>
      </c>
      <c r="I145" s="72" t="str">
        <f t="shared" si="48"/>
        <v/>
      </c>
      <c r="J145" s="73">
        <f>IF(OR(I145="",COUNTIF(I$2:I145,I145)&gt;1),J146+1,0)</f>
        <v>31</v>
      </c>
      <c r="K145" s="2">
        <f t="shared" si="54"/>
        <v>175</v>
      </c>
      <c r="L145" s="75">
        <f t="shared" si="49"/>
        <v>0</v>
      </c>
      <c r="M145" s="72" t="str">
        <f t="shared" si="50"/>
        <v/>
      </c>
      <c r="N145" s="73">
        <f>IF(OR(M145="",COUNTIF(M$2:M145,M145)&gt;1),N146+1,0)</f>
        <v>31</v>
      </c>
      <c r="O145" s="2">
        <f t="shared" si="55"/>
        <v>175</v>
      </c>
      <c r="P145" s="75">
        <f t="shared" si="51"/>
        <v>0</v>
      </c>
    </row>
    <row r="146" spans="1:16" x14ac:dyDescent="0.3">
      <c r="A146" s="72" t="str">
        <f t="shared" si="44"/>
        <v/>
      </c>
      <c r="B146" s="73">
        <f>IF(OR(A146="",COUNTIF(A$2:A146,A146)&gt;1),B147+1,0)</f>
        <v>30</v>
      </c>
      <c r="C146" s="2">
        <f t="shared" si="52"/>
        <v>175</v>
      </c>
      <c r="D146" s="75">
        <f t="shared" si="45"/>
        <v>0</v>
      </c>
      <c r="E146" s="72" t="str">
        <f t="shared" si="46"/>
        <v/>
      </c>
      <c r="F146" s="73">
        <f>IF(OR(E146="",COUNTIF(E$2:E146,E146)&gt;1),F147+1,0)</f>
        <v>30</v>
      </c>
      <c r="G146" s="2">
        <f t="shared" si="53"/>
        <v>175</v>
      </c>
      <c r="H146" s="75">
        <f t="shared" si="47"/>
        <v>0</v>
      </c>
      <c r="I146" s="72" t="str">
        <f t="shared" si="48"/>
        <v/>
      </c>
      <c r="J146" s="73">
        <f>IF(OR(I146="",COUNTIF(I$2:I146,I146)&gt;1),J147+1,0)</f>
        <v>30</v>
      </c>
      <c r="K146" s="2">
        <f t="shared" si="54"/>
        <v>175</v>
      </c>
      <c r="L146" s="75">
        <f t="shared" si="49"/>
        <v>0</v>
      </c>
      <c r="M146" s="72" t="str">
        <f t="shared" si="50"/>
        <v/>
      </c>
      <c r="N146" s="73">
        <f>IF(OR(M146="",COUNTIF(M$2:M146,M146)&gt;1),N147+1,0)</f>
        <v>30</v>
      </c>
      <c r="O146" s="2">
        <f t="shared" si="55"/>
        <v>175</v>
      </c>
      <c r="P146" s="75">
        <f t="shared" si="51"/>
        <v>0</v>
      </c>
    </row>
    <row r="147" spans="1:16" x14ac:dyDescent="0.3">
      <c r="A147" s="72" t="str">
        <f t="shared" si="44"/>
        <v/>
      </c>
      <c r="B147" s="73">
        <f>IF(OR(A147="",COUNTIF(A$2:A147,A147)&gt;1),B148+1,0)</f>
        <v>29</v>
      </c>
      <c r="C147" s="2">
        <f t="shared" si="52"/>
        <v>175</v>
      </c>
      <c r="D147" s="75">
        <f t="shared" si="45"/>
        <v>0</v>
      </c>
      <c r="E147" s="72" t="str">
        <f t="shared" si="46"/>
        <v/>
      </c>
      <c r="F147" s="73">
        <f>IF(OR(E147="",COUNTIF(E$2:E147,E147)&gt;1),F148+1,0)</f>
        <v>29</v>
      </c>
      <c r="G147" s="2">
        <f t="shared" si="53"/>
        <v>175</v>
      </c>
      <c r="H147" s="75">
        <f t="shared" si="47"/>
        <v>0</v>
      </c>
      <c r="I147" s="72" t="str">
        <f t="shared" si="48"/>
        <v/>
      </c>
      <c r="J147" s="73">
        <f>IF(OR(I147="",COUNTIF(I$2:I147,I147)&gt;1),J148+1,0)</f>
        <v>29</v>
      </c>
      <c r="K147" s="2">
        <f t="shared" si="54"/>
        <v>175</v>
      </c>
      <c r="L147" s="75">
        <f t="shared" si="49"/>
        <v>0</v>
      </c>
      <c r="M147" s="72" t="str">
        <f t="shared" si="50"/>
        <v/>
      </c>
      <c r="N147" s="73">
        <f>IF(OR(M147="",COUNTIF(M$2:M147,M147)&gt;1),N148+1,0)</f>
        <v>29</v>
      </c>
      <c r="O147" s="2">
        <f t="shared" si="55"/>
        <v>175</v>
      </c>
      <c r="P147" s="75">
        <f t="shared" si="51"/>
        <v>0</v>
      </c>
    </row>
    <row r="148" spans="1:16" x14ac:dyDescent="0.3">
      <c r="A148" s="72" t="str">
        <f t="shared" si="44"/>
        <v/>
      </c>
      <c r="B148" s="73">
        <f>IF(OR(A148="",COUNTIF(A$2:A148,A148)&gt;1),B149+1,0)</f>
        <v>28</v>
      </c>
      <c r="C148" s="2">
        <f t="shared" si="52"/>
        <v>175</v>
      </c>
      <c r="D148" s="75">
        <f t="shared" si="45"/>
        <v>0</v>
      </c>
      <c r="E148" s="72" t="str">
        <f t="shared" si="46"/>
        <v/>
      </c>
      <c r="F148" s="73">
        <f>IF(OR(E148="",COUNTIF(E$2:E148,E148)&gt;1),F149+1,0)</f>
        <v>28</v>
      </c>
      <c r="G148" s="2">
        <f t="shared" si="53"/>
        <v>175</v>
      </c>
      <c r="H148" s="75">
        <f t="shared" si="47"/>
        <v>0</v>
      </c>
      <c r="I148" s="72" t="str">
        <f t="shared" si="48"/>
        <v/>
      </c>
      <c r="J148" s="73">
        <f>IF(OR(I148="",COUNTIF(I$2:I148,I148)&gt;1),J149+1,0)</f>
        <v>28</v>
      </c>
      <c r="K148" s="2">
        <f t="shared" si="54"/>
        <v>175</v>
      </c>
      <c r="L148" s="75">
        <f t="shared" si="49"/>
        <v>0</v>
      </c>
      <c r="M148" s="72" t="str">
        <f t="shared" si="50"/>
        <v/>
      </c>
      <c r="N148" s="73">
        <f>IF(OR(M148="",COUNTIF(M$2:M148,M148)&gt;1),N149+1,0)</f>
        <v>28</v>
      </c>
      <c r="O148" s="2">
        <f t="shared" si="55"/>
        <v>175</v>
      </c>
      <c r="P148" s="75">
        <f t="shared" si="51"/>
        <v>0</v>
      </c>
    </row>
    <row r="149" spans="1:16" x14ac:dyDescent="0.3">
      <c r="A149" s="72" t="str">
        <f t="shared" si="44"/>
        <v/>
      </c>
      <c r="B149" s="73">
        <f>IF(OR(A149="",COUNTIF(A$2:A149,A149)&gt;1),B150+1,0)</f>
        <v>27</v>
      </c>
      <c r="C149" s="2">
        <f t="shared" si="52"/>
        <v>175</v>
      </c>
      <c r="D149" s="75">
        <f t="shared" si="45"/>
        <v>0</v>
      </c>
      <c r="E149" s="72" t="str">
        <f t="shared" si="46"/>
        <v/>
      </c>
      <c r="F149" s="73">
        <f>IF(OR(E149="",COUNTIF(E$2:E149,E149)&gt;1),F150+1,0)</f>
        <v>27</v>
      </c>
      <c r="G149" s="2">
        <f t="shared" si="53"/>
        <v>175</v>
      </c>
      <c r="H149" s="75">
        <f t="shared" si="47"/>
        <v>0</v>
      </c>
      <c r="I149" s="72" t="str">
        <f t="shared" si="48"/>
        <v/>
      </c>
      <c r="J149" s="73">
        <f>IF(OR(I149="",COUNTIF(I$2:I149,I149)&gt;1),J150+1,0)</f>
        <v>27</v>
      </c>
      <c r="K149" s="2">
        <f t="shared" si="54"/>
        <v>175</v>
      </c>
      <c r="L149" s="75">
        <f t="shared" si="49"/>
        <v>0</v>
      </c>
      <c r="M149" s="72" t="str">
        <f t="shared" si="50"/>
        <v/>
      </c>
      <c r="N149" s="73">
        <f>IF(OR(M149="",COUNTIF(M$2:M149,M149)&gt;1),N150+1,0)</f>
        <v>27</v>
      </c>
      <c r="O149" s="2">
        <f t="shared" si="55"/>
        <v>175</v>
      </c>
      <c r="P149" s="75">
        <f t="shared" si="51"/>
        <v>0</v>
      </c>
    </row>
    <row r="150" spans="1:16" x14ac:dyDescent="0.3">
      <c r="A150" s="72" t="str">
        <f t="shared" si="44"/>
        <v/>
      </c>
      <c r="B150" s="73">
        <f>IF(OR(A150="",COUNTIF(A$2:A150,A150)&gt;1),B151+1,0)</f>
        <v>26</v>
      </c>
      <c r="C150" s="2">
        <f t="shared" si="52"/>
        <v>175</v>
      </c>
      <c r="D150" s="75">
        <f t="shared" si="45"/>
        <v>0</v>
      </c>
      <c r="E150" s="72" t="str">
        <f t="shared" si="46"/>
        <v/>
      </c>
      <c r="F150" s="73">
        <f>IF(OR(E150="",COUNTIF(E$2:E150,E150)&gt;1),F151+1,0)</f>
        <v>26</v>
      </c>
      <c r="G150" s="2">
        <f t="shared" si="53"/>
        <v>175</v>
      </c>
      <c r="H150" s="75">
        <f t="shared" si="47"/>
        <v>0</v>
      </c>
      <c r="I150" s="72" t="str">
        <f t="shared" si="48"/>
        <v/>
      </c>
      <c r="J150" s="73">
        <f>IF(OR(I150="",COUNTIF(I$2:I150,I150)&gt;1),J151+1,0)</f>
        <v>26</v>
      </c>
      <c r="K150" s="2">
        <f t="shared" si="54"/>
        <v>175</v>
      </c>
      <c r="L150" s="75">
        <f t="shared" si="49"/>
        <v>0</v>
      </c>
      <c r="M150" s="72" t="str">
        <f t="shared" si="50"/>
        <v/>
      </c>
      <c r="N150" s="73">
        <f>IF(OR(M150="",COUNTIF(M$2:M150,M150)&gt;1),N151+1,0)</f>
        <v>26</v>
      </c>
      <c r="O150" s="2">
        <f t="shared" si="55"/>
        <v>175</v>
      </c>
      <c r="P150" s="75">
        <f t="shared" si="51"/>
        <v>0</v>
      </c>
    </row>
    <row r="151" spans="1:16" x14ac:dyDescent="0.3">
      <c r="A151" s="72" t="str">
        <f t="shared" si="44"/>
        <v/>
      </c>
      <c r="B151" s="73">
        <f>IF(OR(A151="",COUNTIF(A$2:A151,A151)&gt;1),B152+1,0)</f>
        <v>25</v>
      </c>
      <c r="C151" s="2">
        <f t="shared" si="52"/>
        <v>175</v>
      </c>
      <c r="D151" s="75">
        <f t="shared" si="45"/>
        <v>0</v>
      </c>
      <c r="E151" s="72" t="str">
        <f t="shared" si="46"/>
        <v/>
      </c>
      <c r="F151" s="73">
        <f>IF(OR(E151="",COUNTIF(E$2:E151,E151)&gt;1),F152+1,0)</f>
        <v>25</v>
      </c>
      <c r="G151" s="2">
        <f t="shared" si="53"/>
        <v>175</v>
      </c>
      <c r="H151" s="75">
        <f t="shared" si="47"/>
        <v>0</v>
      </c>
      <c r="I151" s="72" t="str">
        <f t="shared" si="48"/>
        <v/>
      </c>
      <c r="J151" s="73">
        <f>IF(OR(I151="",COUNTIF(I$2:I151,I151)&gt;1),J152+1,0)</f>
        <v>25</v>
      </c>
      <c r="K151" s="2">
        <f t="shared" si="54"/>
        <v>175</v>
      </c>
      <c r="L151" s="75">
        <f t="shared" si="49"/>
        <v>0</v>
      </c>
      <c r="M151" s="72" t="str">
        <f t="shared" si="50"/>
        <v/>
      </c>
      <c r="N151" s="73">
        <f>IF(OR(M151="",COUNTIF(M$2:M151,M151)&gt;1),N152+1,0)</f>
        <v>25</v>
      </c>
      <c r="O151" s="2">
        <f t="shared" si="55"/>
        <v>175</v>
      </c>
      <c r="P151" s="75">
        <f t="shared" si="51"/>
        <v>0</v>
      </c>
    </row>
    <row r="152" spans="1:16" x14ac:dyDescent="0.3">
      <c r="A152" s="72" t="str">
        <f t="shared" si="44"/>
        <v/>
      </c>
      <c r="B152" s="73">
        <f>IF(OR(A152="",COUNTIF(A$2:A152,A152)&gt;1),B153+1,0)</f>
        <v>24</v>
      </c>
      <c r="C152" s="2">
        <f t="shared" si="52"/>
        <v>175</v>
      </c>
      <c r="D152" s="75">
        <f t="shared" si="45"/>
        <v>0</v>
      </c>
      <c r="E152" s="72" t="str">
        <f t="shared" si="46"/>
        <v/>
      </c>
      <c r="F152" s="73">
        <f>IF(OR(E152="",COUNTIF(E$2:E152,E152)&gt;1),F153+1,0)</f>
        <v>24</v>
      </c>
      <c r="G152" s="2">
        <f t="shared" si="53"/>
        <v>175</v>
      </c>
      <c r="H152" s="75">
        <f t="shared" si="47"/>
        <v>0</v>
      </c>
      <c r="I152" s="72" t="str">
        <f t="shared" si="48"/>
        <v/>
      </c>
      <c r="J152" s="73">
        <f>IF(OR(I152="",COUNTIF(I$2:I152,I152)&gt;1),J153+1,0)</f>
        <v>24</v>
      </c>
      <c r="K152" s="2">
        <f t="shared" si="54"/>
        <v>175</v>
      </c>
      <c r="L152" s="75">
        <f t="shared" si="49"/>
        <v>0</v>
      </c>
      <c r="M152" s="72" t="str">
        <f t="shared" si="50"/>
        <v/>
      </c>
      <c r="N152" s="73">
        <f>IF(OR(M152="",COUNTIF(M$2:M152,M152)&gt;1),N153+1,0)</f>
        <v>24</v>
      </c>
      <c r="O152" s="2">
        <f t="shared" si="55"/>
        <v>175</v>
      </c>
      <c r="P152" s="75">
        <f t="shared" si="51"/>
        <v>0</v>
      </c>
    </row>
    <row r="153" spans="1:16" x14ac:dyDescent="0.3">
      <c r="A153" s="72" t="str">
        <f t="shared" si="44"/>
        <v/>
      </c>
      <c r="B153" s="73">
        <f>IF(OR(A153="",COUNTIF(A$2:A153,A153)&gt;1),B154+1,0)</f>
        <v>23</v>
      </c>
      <c r="C153" s="2">
        <f t="shared" si="52"/>
        <v>175</v>
      </c>
      <c r="D153" s="75">
        <f t="shared" si="45"/>
        <v>0</v>
      </c>
      <c r="E153" s="72" t="str">
        <f t="shared" si="46"/>
        <v/>
      </c>
      <c r="F153" s="73">
        <f>IF(OR(E153="",COUNTIF(E$2:E153,E153)&gt;1),F154+1,0)</f>
        <v>23</v>
      </c>
      <c r="G153" s="2">
        <f t="shared" si="53"/>
        <v>175</v>
      </c>
      <c r="H153" s="75">
        <f t="shared" si="47"/>
        <v>0</v>
      </c>
      <c r="I153" s="72" t="str">
        <f t="shared" si="48"/>
        <v/>
      </c>
      <c r="J153" s="73">
        <f>IF(OR(I153="",COUNTIF(I$2:I153,I153)&gt;1),J154+1,0)</f>
        <v>23</v>
      </c>
      <c r="K153" s="2">
        <f t="shared" si="54"/>
        <v>175</v>
      </c>
      <c r="L153" s="75">
        <f t="shared" si="49"/>
        <v>0</v>
      </c>
      <c r="M153" s="72" t="str">
        <f t="shared" si="50"/>
        <v/>
      </c>
      <c r="N153" s="73">
        <f>IF(OR(M153="",COUNTIF(M$2:M153,M153)&gt;1),N154+1,0)</f>
        <v>23</v>
      </c>
      <c r="O153" s="2">
        <f t="shared" si="55"/>
        <v>175</v>
      </c>
      <c r="P153" s="75">
        <f t="shared" si="51"/>
        <v>0</v>
      </c>
    </row>
    <row r="154" spans="1:16" x14ac:dyDescent="0.3">
      <c r="A154" s="72" t="str">
        <f t="shared" si="44"/>
        <v/>
      </c>
      <c r="B154" s="73">
        <f>IF(OR(A154="",COUNTIF(A$2:A154,A154)&gt;1),B155+1,0)</f>
        <v>22</v>
      </c>
      <c r="C154" s="2">
        <f t="shared" si="52"/>
        <v>175</v>
      </c>
      <c r="D154" s="75">
        <f t="shared" si="45"/>
        <v>0</v>
      </c>
      <c r="E154" s="72" t="str">
        <f t="shared" si="46"/>
        <v/>
      </c>
      <c r="F154" s="73">
        <f>IF(OR(E154="",COUNTIF(E$2:E154,E154)&gt;1),F155+1,0)</f>
        <v>22</v>
      </c>
      <c r="G154" s="2">
        <f t="shared" si="53"/>
        <v>175</v>
      </c>
      <c r="H154" s="75">
        <f t="shared" si="47"/>
        <v>0</v>
      </c>
      <c r="I154" s="72" t="str">
        <f t="shared" si="48"/>
        <v/>
      </c>
      <c r="J154" s="73">
        <f>IF(OR(I154="",COUNTIF(I$2:I154,I154)&gt;1),J155+1,0)</f>
        <v>22</v>
      </c>
      <c r="K154" s="2">
        <f t="shared" si="54"/>
        <v>175</v>
      </c>
      <c r="L154" s="75">
        <f t="shared" si="49"/>
        <v>0</v>
      </c>
      <c r="M154" s="72" t="str">
        <f t="shared" si="50"/>
        <v/>
      </c>
      <c r="N154" s="73">
        <f>IF(OR(M154="",COUNTIF(M$2:M154,M154)&gt;1),N155+1,0)</f>
        <v>22</v>
      </c>
      <c r="O154" s="2">
        <f t="shared" si="55"/>
        <v>175</v>
      </c>
      <c r="P154" s="75">
        <f t="shared" si="51"/>
        <v>0</v>
      </c>
    </row>
    <row r="155" spans="1:16" x14ac:dyDescent="0.3">
      <c r="A155" s="72" t="str">
        <f t="shared" si="44"/>
        <v/>
      </c>
      <c r="B155" s="73">
        <f>IF(OR(A155="",COUNTIF(A$2:A155,A155)&gt;1),B156+1,0)</f>
        <v>21</v>
      </c>
      <c r="C155" s="2">
        <f t="shared" si="52"/>
        <v>175</v>
      </c>
      <c r="D155" s="75">
        <f t="shared" si="45"/>
        <v>0</v>
      </c>
      <c r="E155" s="72" t="str">
        <f t="shared" si="46"/>
        <v/>
      </c>
      <c r="F155" s="73">
        <f>IF(OR(E155="",COUNTIF(E$2:E155,E155)&gt;1),F156+1,0)</f>
        <v>21</v>
      </c>
      <c r="G155" s="2">
        <f t="shared" si="53"/>
        <v>175</v>
      </c>
      <c r="H155" s="75">
        <f t="shared" si="47"/>
        <v>0</v>
      </c>
      <c r="I155" s="72" t="str">
        <f t="shared" si="48"/>
        <v/>
      </c>
      <c r="J155" s="73">
        <f>IF(OR(I155="",COUNTIF(I$2:I155,I155)&gt;1),J156+1,0)</f>
        <v>21</v>
      </c>
      <c r="K155" s="2">
        <f t="shared" si="54"/>
        <v>175</v>
      </c>
      <c r="L155" s="75">
        <f t="shared" si="49"/>
        <v>0</v>
      </c>
      <c r="M155" s="72" t="str">
        <f t="shared" si="50"/>
        <v/>
      </c>
      <c r="N155" s="73">
        <f>IF(OR(M155="",COUNTIF(M$2:M155,M155)&gt;1),N156+1,0)</f>
        <v>21</v>
      </c>
      <c r="O155" s="2">
        <f t="shared" si="55"/>
        <v>175</v>
      </c>
      <c r="P155" s="75">
        <f t="shared" si="51"/>
        <v>0</v>
      </c>
    </row>
    <row r="156" spans="1:16" x14ac:dyDescent="0.3">
      <c r="A156" s="72" t="str">
        <f t="shared" si="44"/>
        <v/>
      </c>
      <c r="B156" s="73">
        <f>IF(OR(A156="",COUNTIF(A$2:A156,A156)&gt;1),B157+1,0)</f>
        <v>20</v>
      </c>
      <c r="C156" s="2">
        <f t="shared" si="52"/>
        <v>175</v>
      </c>
      <c r="D156" s="75">
        <f t="shared" si="45"/>
        <v>0</v>
      </c>
      <c r="E156" s="72" t="str">
        <f t="shared" si="46"/>
        <v/>
      </c>
      <c r="F156" s="73">
        <f>IF(OR(E156="",COUNTIF(E$2:E156,E156)&gt;1),F157+1,0)</f>
        <v>20</v>
      </c>
      <c r="G156" s="2">
        <f t="shared" si="53"/>
        <v>175</v>
      </c>
      <c r="H156" s="75">
        <f t="shared" si="47"/>
        <v>0</v>
      </c>
      <c r="I156" s="72" t="str">
        <f t="shared" si="48"/>
        <v/>
      </c>
      <c r="J156" s="73">
        <f>IF(OR(I156="",COUNTIF(I$2:I156,I156)&gt;1),J157+1,0)</f>
        <v>20</v>
      </c>
      <c r="K156" s="2">
        <f t="shared" si="54"/>
        <v>175</v>
      </c>
      <c r="L156" s="75">
        <f t="shared" si="49"/>
        <v>0</v>
      </c>
      <c r="M156" s="72" t="str">
        <f t="shared" si="50"/>
        <v/>
      </c>
      <c r="N156" s="73">
        <f>IF(OR(M156="",COUNTIF(M$2:M156,M156)&gt;1),N157+1,0)</f>
        <v>20</v>
      </c>
      <c r="O156" s="2">
        <f t="shared" si="55"/>
        <v>175</v>
      </c>
      <c r="P156" s="75">
        <f t="shared" si="51"/>
        <v>0</v>
      </c>
    </row>
    <row r="157" spans="1:16" x14ac:dyDescent="0.3">
      <c r="A157" s="72" t="str">
        <f t="shared" si="44"/>
        <v/>
      </c>
      <c r="B157" s="73">
        <f>IF(OR(A157="",COUNTIF(A$2:A157,A157)&gt;1),B158+1,0)</f>
        <v>19</v>
      </c>
      <c r="C157" s="2">
        <f t="shared" si="52"/>
        <v>175</v>
      </c>
      <c r="D157" s="75">
        <f t="shared" si="45"/>
        <v>0</v>
      </c>
      <c r="E157" s="72" t="str">
        <f t="shared" si="46"/>
        <v/>
      </c>
      <c r="F157" s="73">
        <f>IF(OR(E157="",COUNTIF(E$2:E157,E157)&gt;1),F158+1,0)</f>
        <v>19</v>
      </c>
      <c r="G157" s="2">
        <f t="shared" si="53"/>
        <v>175</v>
      </c>
      <c r="H157" s="75">
        <f t="shared" si="47"/>
        <v>0</v>
      </c>
      <c r="I157" s="72" t="str">
        <f t="shared" si="48"/>
        <v/>
      </c>
      <c r="J157" s="73">
        <f>IF(OR(I157="",COUNTIF(I$2:I157,I157)&gt;1),J158+1,0)</f>
        <v>19</v>
      </c>
      <c r="K157" s="2">
        <f t="shared" si="54"/>
        <v>175</v>
      </c>
      <c r="L157" s="75">
        <f t="shared" si="49"/>
        <v>0</v>
      </c>
      <c r="M157" s="72" t="str">
        <f t="shared" si="50"/>
        <v/>
      </c>
      <c r="N157" s="73">
        <f>IF(OR(M157="",COUNTIF(M$2:M157,M157)&gt;1),N158+1,0)</f>
        <v>19</v>
      </c>
      <c r="O157" s="2">
        <f t="shared" si="55"/>
        <v>175</v>
      </c>
      <c r="P157" s="75">
        <f t="shared" si="51"/>
        <v>0</v>
      </c>
    </row>
    <row r="158" spans="1:16" x14ac:dyDescent="0.3">
      <c r="A158" s="72" t="str">
        <f t="shared" si="44"/>
        <v/>
      </c>
      <c r="B158" s="73">
        <f>IF(OR(A158="",COUNTIF(A$2:A158,A158)&gt;1),B159+1,0)</f>
        <v>18</v>
      </c>
      <c r="C158" s="2">
        <f t="shared" si="52"/>
        <v>175</v>
      </c>
      <c r="D158" s="75">
        <f t="shared" si="45"/>
        <v>0</v>
      </c>
      <c r="E158" s="72" t="str">
        <f t="shared" si="46"/>
        <v/>
      </c>
      <c r="F158" s="73">
        <f>IF(OR(E158="",COUNTIF(E$2:E158,E158)&gt;1),F159+1,0)</f>
        <v>18</v>
      </c>
      <c r="G158" s="2">
        <f t="shared" si="53"/>
        <v>175</v>
      </c>
      <c r="H158" s="75">
        <f t="shared" si="47"/>
        <v>0</v>
      </c>
      <c r="I158" s="72" t="str">
        <f t="shared" si="48"/>
        <v/>
      </c>
      <c r="J158" s="73">
        <f>IF(OR(I158="",COUNTIF(I$2:I158,I158)&gt;1),J159+1,0)</f>
        <v>18</v>
      </c>
      <c r="K158" s="2">
        <f t="shared" si="54"/>
        <v>175</v>
      </c>
      <c r="L158" s="75">
        <f t="shared" si="49"/>
        <v>0</v>
      </c>
      <c r="M158" s="72" t="str">
        <f t="shared" si="50"/>
        <v/>
      </c>
      <c r="N158" s="73">
        <f>IF(OR(M158="",COUNTIF(M$2:M158,M158)&gt;1),N159+1,0)</f>
        <v>18</v>
      </c>
      <c r="O158" s="2">
        <f t="shared" si="55"/>
        <v>175</v>
      </c>
      <c r="P158" s="75">
        <f t="shared" si="51"/>
        <v>0</v>
      </c>
    </row>
    <row r="159" spans="1:16" x14ac:dyDescent="0.3">
      <c r="A159" s="72" t="str">
        <f t="shared" si="44"/>
        <v/>
      </c>
      <c r="B159" s="73">
        <f>IF(OR(A159="",COUNTIF(A$2:A159,A159)&gt;1),B160+1,0)</f>
        <v>17</v>
      </c>
      <c r="C159" s="2">
        <f t="shared" si="52"/>
        <v>175</v>
      </c>
      <c r="D159" s="75">
        <f t="shared" si="45"/>
        <v>0</v>
      </c>
      <c r="E159" s="72" t="str">
        <f t="shared" si="46"/>
        <v/>
      </c>
      <c r="F159" s="73">
        <f>IF(OR(E159="",COUNTIF(E$2:E159,E159)&gt;1),F160+1,0)</f>
        <v>17</v>
      </c>
      <c r="G159" s="2">
        <f t="shared" si="53"/>
        <v>175</v>
      </c>
      <c r="H159" s="75">
        <f t="shared" si="47"/>
        <v>0</v>
      </c>
      <c r="I159" s="72" t="str">
        <f t="shared" si="48"/>
        <v/>
      </c>
      <c r="J159" s="73">
        <f>IF(OR(I159="",COUNTIF(I$2:I159,I159)&gt;1),J160+1,0)</f>
        <v>17</v>
      </c>
      <c r="K159" s="2">
        <f t="shared" si="54"/>
        <v>175</v>
      </c>
      <c r="L159" s="75">
        <f t="shared" si="49"/>
        <v>0</v>
      </c>
      <c r="M159" s="72" t="str">
        <f t="shared" si="50"/>
        <v/>
      </c>
      <c r="N159" s="73">
        <f>IF(OR(M159="",COUNTIF(M$2:M159,M159)&gt;1),N160+1,0)</f>
        <v>17</v>
      </c>
      <c r="O159" s="2">
        <f t="shared" si="55"/>
        <v>175</v>
      </c>
      <c r="P159" s="75">
        <f t="shared" si="51"/>
        <v>0</v>
      </c>
    </row>
    <row r="160" spans="1:16" x14ac:dyDescent="0.3">
      <c r="A160" s="72" t="str">
        <f t="shared" si="44"/>
        <v/>
      </c>
      <c r="B160" s="73">
        <f>IF(OR(A160="",COUNTIF(A$2:A160,A160)&gt;1),B161+1,0)</f>
        <v>16</v>
      </c>
      <c r="C160" s="2">
        <f t="shared" si="52"/>
        <v>175</v>
      </c>
      <c r="D160" s="75">
        <f t="shared" si="45"/>
        <v>0</v>
      </c>
      <c r="E160" s="72" t="str">
        <f t="shared" si="46"/>
        <v/>
      </c>
      <c r="F160" s="73">
        <f>IF(OR(E160="",COUNTIF(E$2:E160,E160)&gt;1),F161+1,0)</f>
        <v>16</v>
      </c>
      <c r="G160" s="2">
        <f t="shared" si="53"/>
        <v>175</v>
      </c>
      <c r="H160" s="75">
        <f t="shared" si="47"/>
        <v>0</v>
      </c>
      <c r="I160" s="72" t="str">
        <f t="shared" si="48"/>
        <v/>
      </c>
      <c r="J160" s="73">
        <f>IF(OR(I160="",COUNTIF(I$2:I160,I160)&gt;1),J161+1,0)</f>
        <v>16</v>
      </c>
      <c r="K160" s="2">
        <f t="shared" si="54"/>
        <v>175</v>
      </c>
      <c r="L160" s="75">
        <f t="shared" si="49"/>
        <v>0</v>
      </c>
      <c r="M160" s="72" t="str">
        <f t="shared" si="50"/>
        <v/>
      </c>
      <c r="N160" s="73">
        <f>IF(OR(M160="",COUNTIF(M$2:M160,M160)&gt;1),N161+1,0)</f>
        <v>16</v>
      </c>
      <c r="O160" s="2">
        <f t="shared" si="55"/>
        <v>175</v>
      </c>
      <c r="P160" s="75">
        <f t="shared" si="51"/>
        <v>0</v>
      </c>
    </row>
    <row r="161" spans="1:16" x14ac:dyDescent="0.3">
      <c r="A161" s="72" t="str">
        <f t="shared" si="44"/>
        <v/>
      </c>
      <c r="B161" s="73">
        <f>IF(OR(A161="",COUNTIF(A$2:A161,A161)&gt;1),B162+1,0)</f>
        <v>15</v>
      </c>
      <c r="C161" s="2">
        <f t="shared" si="52"/>
        <v>175</v>
      </c>
      <c r="D161" s="75">
        <f t="shared" si="45"/>
        <v>0</v>
      </c>
      <c r="E161" s="72" t="str">
        <f t="shared" si="46"/>
        <v/>
      </c>
      <c r="F161" s="73">
        <f>IF(OR(E161="",COUNTIF(E$2:E161,E161)&gt;1),F162+1,0)</f>
        <v>15</v>
      </c>
      <c r="G161" s="2">
        <f t="shared" si="53"/>
        <v>175</v>
      </c>
      <c r="H161" s="75">
        <f t="shared" si="47"/>
        <v>0</v>
      </c>
      <c r="I161" s="72" t="str">
        <f t="shared" si="48"/>
        <v/>
      </c>
      <c r="J161" s="73">
        <f>IF(OR(I161="",COUNTIF(I$2:I161,I161)&gt;1),J162+1,0)</f>
        <v>15</v>
      </c>
      <c r="K161" s="2">
        <f t="shared" si="54"/>
        <v>175</v>
      </c>
      <c r="L161" s="75">
        <f t="shared" si="49"/>
        <v>0</v>
      </c>
      <c r="M161" s="72" t="str">
        <f t="shared" si="50"/>
        <v/>
      </c>
      <c r="N161" s="73">
        <f>IF(OR(M161="",COUNTIF(M$2:M161,M161)&gt;1),N162+1,0)</f>
        <v>15</v>
      </c>
      <c r="O161" s="2">
        <f t="shared" si="55"/>
        <v>175</v>
      </c>
      <c r="P161" s="75">
        <f t="shared" si="51"/>
        <v>0</v>
      </c>
    </row>
    <row r="162" spans="1:16" x14ac:dyDescent="0.3">
      <c r="A162" s="72" t="str">
        <f t="shared" ref="A162:A175" si="56">TRIM(CLEAN(INDEX(ЗаданияОсень,ROW(A162)-1,1)))</f>
        <v/>
      </c>
      <c r="B162" s="73">
        <f>IF(OR(A162="",COUNTIF(A$2:A162,A162)&gt;1),B163+1,0)</f>
        <v>14</v>
      </c>
      <c r="C162" s="2">
        <f t="shared" si="52"/>
        <v>175</v>
      </c>
      <c r="D162" s="75">
        <f t="shared" ref="D162:D175" si="57">INDEX(ЗаданияОсень,C162,1)</f>
        <v>0</v>
      </c>
      <c r="E162" s="72" t="str">
        <f t="shared" ref="E162:E175" si="58">TRIM(CLEAN(INDEX(ЗаданияОсень,ROW(E162)-1,2)))</f>
        <v/>
      </c>
      <c r="F162" s="73">
        <f>IF(OR(E162="",COUNTIF(E$2:E162,E162)&gt;1),F163+1,0)</f>
        <v>14</v>
      </c>
      <c r="G162" s="2">
        <f t="shared" si="53"/>
        <v>175</v>
      </c>
      <c r="H162" s="75">
        <f t="shared" ref="H162:H175" si="59">INDEX(ЗаданияОсень,G162,2)</f>
        <v>0</v>
      </c>
      <c r="I162" s="72" t="str">
        <f t="shared" ref="I162:I175" si="60">TRIM(CLEAN(INDEX(ЗаданияВесна,ROW(I162)-1,1)))</f>
        <v/>
      </c>
      <c r="J162" s="73">
        <f>IF(OR(I162="",COUNTIF(I$2:I162,I162)&gt;1),J163+1,0)</f>
        <v>14</v>
      </c>
      <c r="K162" s="2">
        <f t="shared" si="54"/>
        <v>175</v>
      </c>
      <c r="L162" s="75">
        <f t="shared" ref="L162:L175" si="61">INDEX(ЗаданияВесна,K162,1)</f>
        <v>0</v>
      </c>
      <c r="M162" s="72" t="str">
        <f t="shared" ref="M162:M175" si="62">TRIM(CLEAN(INDEX(ЗаданияВесна,ROW(M162)-1,2)))</f>
        <v/>
      </c>
      <c r="N162" s="73">
        <f>IF(OR(M162="",COUNTIF(M$2:M162,M162)&gt;1),N163+1,0)</f>
        <v>14</v>
      </c>
      <c r="O162" s="2">
        <f t="shared" si="55"/>
        <v>175</v>
      </c>
      <c r="P162" s="75">
        <f t="shared" ref="P162:P175" si="63">INDEX(ЗаданияВесна,O162,2)</f>
        <v>0</v>
      </c>
    </row>
    <row r="163" spans="1:16" x14ac:dyDescent="0.3">
      <c r="A163" s="72" t="str">
        <f t="shared" si="56"/>
        <v/>
      </c>
      <c r="B163" s="73">
        <f>IF(OR(A163="",COUNTIF(A$2:A163,A163)&gt;1),B164+1,0)</f>
        <v>13</v>
      </c>
      <c r="C163" s="2">
        <f t="shared" si="52"/>
        <v>175</v>
      </c>
      <c r="D163" s="75">
        <f t="shared" si="57"/>
        <v>0</v>
      </c>
      <c r="E163" s="72" t="str">
        <f t="shared" si="58"/>
        <v/>
      </c>
      <c r="F163" s="73">
        <f>IF(OR(E163="",COUNTIF(E$2:E163,E163)&gt;1),F164+1,0)</f>
        <v>13</v>
      </c>
      <c r="G163" s="2">
        <f t="shared" si="53"/>
        <v>175</v>
      </c>
      <c r="H163" s="75">
        <f t="shared" si="59"/>
        <v>0</v>
      </c>
      <c r="I163" s="72" t="str">
        <f t="shared" si="60"/>
        <v/>
      </c>
      <c r="J163" s="73">
        <f>IF(OR(I163="",COUNTIF(I$2:I163,I163)&gt;1),J164+1,0)</f>
        <v>13</v>
      </c>
      <c r="K163" s="2">
        <f t="shared" si="54"/>
        <v>175</v>
      </c>
      <c r="L163" s="75">
        <f t="shared" si="61"/>
        <v>0</v>
      </c>
      <c r="M163" s="72" t="str">
        <f t="shared" si="62"/>
        <v/>
      </c>
      <c r="N163" s="73">
        <f>IF(OR(M163="",COUNTIF(M$2:M163,M163)&gt;1),N164+1,0)</f>
        <v>13</v>
      </c>
      <c r="O163" s="2">
        <f t="shared" si="55"/>
        <v>175</v>
      </c>
      <c r="P163" s="75">
        <f t="shared" si="63"/>
        <v>0</v>
      </c>
    </row>
    <row r="164" spans="1:16" x14ac:dyDescent="0.3">
      <c r="A164" s="72" t="str">
        <f t="shared" si="56"/>
        <v/>
      </c>
      <c r="B164" s="73">
        <f>IF(OR(A164="",COUNTIF(A$2:A164,A164)&gt;1),B165+1,0)</f>
        <v>12</v>
      </c>
      <c r="C164" s="2">
        <f t="shared" si="52"/>
        <v>175</v>
      </c>
      <c r="D164" s="75">
        <f t="shared" si="57"/>
        <v>0</v>
      </c>
      <c r="E164" s="72" t="str">
        <f t="shared" si="58"/>
        <v/>
      </c>
      <c r="F164" s="73">
        <f>IF(OR(E164="",COUNTIF(E$2:E164,E164)&gt;1),F165+1,0)</f>
        <v>12</v>
      </c>
      <c r="G164" s="2">
        <f t="shared" si="53"/>
        <v>175</v>
      </c>
      <c r="H164" s="75">
        <f t="shared" si="59"/>
        <v>0</v>
      </c>
      <c r="I164" s="72" t="str">
        <f t="shared" si="60"/>
        <v/>
      </c>
      <c r="J164" s="73">
        <f>IF(OR(I164="",COUNTIF(I$2:I164,I164)&gt;1),J165+1,0)</f>
        <v>12</v>
      </c>
      <c r="K164" s="2">
        <f t="shared" si="54"/>
        <v>175</v>
      </c>
      <c r="L164" s="75">
        <f t="shared" si="61"/>
        <v>0</v>
      </c>
      <c r="M164" s="72" t="str">
        <f t="shared" si="62"/>
        <v/>
      </c>
      <c r="N164" s="73">
        <f>IF(OR(M164="",COUNTIF(M$2:M164,M164)&gt;1),N165+1,0)</f>
        <v>12</v>
      </c>
      <c r="O164" s="2">
        <f t="shared" si="55"/>
        <v>175</v>
      </c>
      <c r="P164" s="75">
        <f t="shared" si="63"/>
        <v>0</v>
      </c>
    </row>
    <row r="165" spans="1:16" x14ac:dyDescent="0.3">
      <c r="A165" s="72" t="str">
        <f t="shared" si="56"/>
        <v/>
      </c>
      <c r="B165" s="73">
        <f>IF(OR(A165="",COUNTIF(A$2:A165,A165)&gt;1),B166+1,0)</f>
        <v>11</v>
      </c>
      <c r="C165" s="2">
        <f t="shared" si="52"/>
        <v>175</v>
      </c>
      <c r="D165" s="75">
        <f t="shared" si="57"/>
        <v>0</v>
      </c>
      <c r="E165" s="72" t="str">
        <f t="shared" si="58"/>
        <v/>
      </c>
      <c r="F165" s="73">
        <f>IF(OR(E165="",COUNTIF(E$2:E165,E165)&gt;1),F166+1,0)</f>
        <v>11</v>
      </c>
      <c r="G165" s="2">
        <f t="shared" si="53"/>
        <v>175</v>
      </c>
      <c r="H165" s="75">
        <f t="shared" si="59"/>
        <v>0</v>
      </c>
      <c r="I165" s="72" t="str">
        <f t="shared" si="60"/>
        <v/>
      </c>
      <c r="J165" s="73">
        <f>IF(OR(I165="",COUNTIF(I$2:I165,I165)&gt;1),J166+1,0)</f>
        <v>11</v>
      </c>
      <c r="K165" s="2">
        <f t="shared" si="54"/>
        <v>175</v>
      </c>
      <c r="L165" s="75">
        <f t="shared" si="61"/>
        <v>0</v>
      </c>
      <c r="M165" s="72" t="str">
        <f t="shared" si="62"/>
        <v/>
      </c>
      <c r="N165" s="73">
        <f>IF(OR(M165="",COUNTIF(M$2:M165,M165)&gt;1),N166+1,0)</f>
        <v>11</v>
      </c>
      <c r="O165" s="2">
        <f t="shared" si="55"/>
        <v>175</v>
      </c>
      <c r="P165" s="75">
        <f t="shared" si="63"/>
        <v>0</v>
      </c>
    </row>
    <row r="166" spans="1:16" x14ac:dyDescent="0.3">
      <c r="A166" s="72" t="str">
        <f t="shared" si="56"/>
        <v/>
      </c>
      <c r="B166" s="73">
        <f>IF(OR(A166="",COUNTIF(A$2:A166,A166)&gt;1),B167+1,0)</f>
        <v>10</v>
      </c>
      <c r="C166" s="2">
        <f t="shared" si="52"/>
        <v>175</v>
      </c>
      <c r="D166" s="75">
        <f t="shared" si="57"/>
        <v>0</v>
      </c>
      <c r="E166" s="72" t="str">
        <f t="shared" si="58"/>
        <v/>
      </c>
      <c r="F166" s="73">
        <f>IF(OR(E166="",COUNTIF(E$2:E166,E166)&gt;1),F167+1,0)</f>
        <v>10</v>
      </c>
      <c r="G166" s="2">
        <f t="shared" si="53"/>
        <v>175</v>
      </c>
      <c r="H166" s="75">
        <f t="shared" si="59"/>
        <v>0</v>
      </c>
      <c r="I166" s="72" t="str">
        <f t="shared" si="60"/>
        <v/>
      </c>
      <c r="J166" s="73">
        <f>IF(OR(I166="",COUNTIF(I$2:I166,I166)&gt;1),J167+1,0)</f>
        <v>10</v>
      </c>
      <c r="K166" s="2">
        <f t="shared" si="54"/>
        <v>175</v>
      </c>
      <c r="L166" s="75">
        <f t="shared" si="61"/>
        <v>0</v>
      </c>
      <c r="M166" s="72" t="str">
        <f t="shared" si="62"/>
        <v/>
      </c>
      <c r="N166" s="73">
        <f>IF(OR(M166="",COUNTIF(M$2:M166,M166)&gt;1),N167+1,0)</f>
        <v>10</v>
      </c>
      <c r="O166" s="2">
        <f t="shared" si="55"/>
        <v>175</v>
      </c>
      <c r="P166" s="75">
        <f t="shared" si="63"/>
        <v>0</v>
      </c>
    </row>
    <row r="167" spans="1:16" x14ac:dyDescent="0.3">
      <c r="A167" s="72" t="str">
        <f t="shared" si="56"/>
        <v/>
      </c>
      <c r="B167" s="73">
        <f>IF(OR(A167="",COUNTIF(A$2:A167,A167)&gt;1),B168+1,0)</f>
        <v>9</v>
      </c>
      <c r="C167" s="2">
        <f t="shared" si="52"/>
        <v>175</v>
      </c>
      <c r="D167" s="75">
        <f t="shared" si="57"/>
        <v>0</v>
      </c>
      <c r="E167" s="72" t="str">
        <f t="shared" si="58"/>
        <v/>
      </c>
      <c r="F167" s="73">
        <f>IF(OR(E167="",COUNTIF(E$2:E167,E167)&gt;1),F168+1,0)</f>
        <v>9</v>
      </c>
      <c r="G167" s="2">
        <f t="shared" si="53"/>
        <v>175</v>
      </c>
      <c r="H167" s="75">
        <f t="shared" si="59"/>
        <v>0</v>
      </c>
      <c r="I167" s="72" t="str">
        <f t="shared" si="60"/>
        <v/>
      </c>
      <c r="J167" s="73">
        <f>IF(OR(I167="",COUNTIF(I$2:I167,I167)&gt;1),J168+1,0)</f>
        <v>9</v>
      </c>
      <c r="K167" s="2">
        <f t="shared" si="54"/>
        <v>175</v>
      </c>
      <c r="L167" s="75">
        <f t="shared" si="61"/>
        <v>0</v>
      </c>
      <c r="M167" s="72" t="str">
        <f t="shared" si="62"/>
        <v/>
      </c>
      <c r="N167" s="73">
        <f>IF(OR(M167="",COUNTIF(M$2:M167,M167)&gt;1),N168+1,0)</f>
        <v>9</v>
      </c>
      <c r="O167" s="2">
        <f t="shared" si="55"/>
        <v>175</v>
      </c>
      <c r="P167" s="75">
        <f t="shared" si="63"/>
        <v>0</v>
      </c>
    </row>
    <row r="168" spans="1:16" x14ac:dyDescent="0.3">
      <c r="A168" s="72" t="str">
        <f t="shared" si="56"/>
        <v/>
      </c>
      <c r="B168" s="73">
        <f>IF(OR(A168="",COUNTIF(A$2:A168,A168)&gt;1),B169+1,0)</f>
        <v>8</v>
      </c>
      <c r="C168" s="2">
        <f t="shared" si="52"/>
        <v>175</v>
      </c>
      <c r="D168" s="75">
        <f t="shared" si="57"/>
        <v>0</v>
      </c>
      <c r="E168" s="72" t="str">
        <f t="shared" si="58"/>
        <v/>
      </c>
      <c r="F168" s="73">
        <f>IF(OR(E168="",COUNTIF(E$2:E168,E168)&gt;1),F169+1,0)</f>
        <v>8</v>
      </c>
      <c r="G168" s="2">
        <f t="shared" si="53"/>
        <v>175</v>
      </c>
      <c r="H168" s="75">
        <f t="shared" si="59"/>
        <v>0</v>
      </c>
      <c r="I168" s="72" t="str">
        <f t="shared" si="60"/>
        <v/>
      </c>
      <c r="J168" s="73">
        <f>IF(OR(I168="",COUNTIF(I$2:I168,I168)&gt;1),J169+1,0)</f>
        <v>8</v>
      </c>
      <c r="K168" s="2">
        <f t="shared" si="54"/>
        <v>175</v>
      </c>
      <c r="L168" s="75">
        <f t="shared" si="61"/>
        <v>0</v>
      </c>
      <c r="M168" s="72" t="str">
        <f t="shared" si="62"/>
        <v/>
      </c>
      <c r="N168" s="73">
        <f>IF(OR(M168="",COUNTIF(M$2:M168,M168)&gt;1),N169+1,0)</f>
        <v>8</v>
      </c>
      <c r="O168" s="2">
        <f t="shared" si="55"/>
        <v>175</v>
      </c>
      <c r="P168" s="75">
        <f t="shared" si="63"/>
        <v>0</v>
      </c>
    </row>
    <row r="169" spans="1:16" x14ac:dyDescent="0.3">
      <c r="A169" s="72" t="str">
        <f t="shared" si="56"/>
        <v/>
      </c>
      <c r="B169" s="73">
        <f>IF(OR(A169="",COUNTIF(A$2:A169,A169)&gt;1),B170+1,0)</f>
        <v>7</v>
      </c>
      <c r="C169" s="2">
        <f t="shared" si="52"/>
        <v>175</v>
      </c>
      <c r="D169" s="75">
        <f t="shared" si="57"/>
        <v>0</v>
      </c>
      <c r="E169" s="72" t="str">
        <f t="shared" si="58"/>
        <v/>
      </c>
      <c r="F169" s="73">
        <f>IF(OR(E169="",COUNTIF(E$2:E169,E169)&gt;1),F170+1,0)</f>
        <v>7</v>
      </c>
      <c r="G169" s="2">
        <f t="shared" si="53"/>
        <v>175</v>
      </c>
      <c r="H169" s="75">
        <f t="shared" si="59"/>
        <v>0</v>
      </c>
      <c r="I169" s="72" t="str">
        <f t="shared" si="60"/>
        <v/>
      </c>
      <c r="J169" s="73">
        <f>IF(OR(I169="",COUNTIF(I$2:I169,I169)&gt;1),J170+1,0)</f>
        <v>7</v>
      </c>
      <c r="K169" s="2">
        <f t="shared" si="54"/>
        <v>175</v>
      </c>
      <c r="L169" s="75">
        <f t="shared" si="61"/>
        <v>0</v>
      </c>
      <c r="M169" s="72" t="str">
        <f t="shared" si="62"/>
        <v/>
      </c>
      <c r="N169" s="73">
        <f>IF(OR(M169="",COUNTIF(M$2:M169,M169)&gt;1),N170+1,0)</f>
        <v>7</v>
      </c>
      <c r="O169" s="2">
        <f t="shared" si="55"/>
        <v>175</v>
      </c>
      <c r="P169" s="75">
        <f t="shared" si="63"/>
        <v>0</v>
      </c>
    </row>
    <row r="170" spans="1:16" x14ac:dyDescent="0.3">
      <c r="A170" s="72" t="str">
        <f t="shared" si="56"/>
        <v/>
      </c>
      <c r="B170" s="73">
        <f>IF(OR(A170="",COUNTIF(A$2:A170,A170)&gt;1),B171+1,0)</f>
        <v>6</v>
      </c>
      <c r="C170" s="2">
        <f t="shared" si="52"/>
        <v>175</v>
      </c>
      <c r="D170" s="75">
        <f t="shared" si="57"/>
        <v>0</v>
      </c>
      <c r="E170" s="72" t="str">
        <f t="shared" si="58"/>
        <v/>
      </c>
      <c r="F170" s="73">
        <f>IF(OR(E170="",COUNTIF(E$2:E170,E170)&gt;1),F171+1,0)</f>
        <v>6</v>
      </c>
      <c r="G170" s="2">
        <f t="shared" si="53"/>
        <v>175</v>
      </c>
      <c r="H170" s="75">
        <f t="shared" si="59"/>
        <v>0</v>
      </c>
      <c r="I170" s="72" t="str">
        <f t="shared" si="60"/>
        <v/>
      </c>
      <c r="J170" s="73">
        <f>IF(OR(I170="",COUNTIF(I$2:I170,I170)&gt;1),J171+1,0)</f>
        <v>6</v>
      </c>
      <c r="K170" s="2">
        <f t="shared" si="54"/>
        <v>175</v>
      </c>
      <c r="L170" s="75">
        <f t="shared" si="61"/>
        <v>0</v>
      </c>
      <c r="M170" s="72" t="str">
        <f t="shared" si="62"/>
        <v/>
      </c>
      <c r="N170" s="73">
        <f>IF(OR(M170="",COUNTIF(M$2:M170,M170)&gt;1),N171+1,0)</f>
        <v>6</v>
      </c>
      <c r="O170" s="2">
        <f t="shared" si="55"/>
        <v>175</v>
      </c>
      <c r="P170" s="75">
        <f t="shared" si="63"/>
        <v>0</v>
      </c>
    </row>
    <row r="171" spans="1:16" x14ac:dyDescent="0.3">
      <c r="A171" s="72" t="str">
        <f t="shared" si="56"/>
        <v/>
      </c>
      <c r="B171" s="73">
        <f>IF(OR(A171="",COUNTIF(A$2:A171,A171)&gt;1),B172+1,0)</f>
        <v>5</v>
      </c>
      <c r="C171" s="2">
        <f t="shared" si="52"/>
        <v>175</v>
      </c>
      <c r="D171" s="75">
        <f t="shared" si="57"/>
        <v>0</v>
      </c>
      <c r="E171" s="72" t="str">
        <f t="shared" si="58"/>
        <v/>
      </c>
      <c r="F171" s="73">
        <f>IF(OR(E171="",COUNTIF(E$2:E171,E171)&gt;1),F172+1,0)</f>
        <v>5</v>
      </c>
      <c r="G171" s="2">
        <f t="shared" si="53"/>
        <v>175</v>
      </c>
      <c r="H171" s="75">
        <f t="shared" si="59"/>
        <v>0</v>
      </c>
      <c r="I171" s="72" t="str">
        <f t="shared" si="60"/>
        <v/>
      </c>
      <c r="J171" s="73">
        <f>IF(OR(I171="",COUNTIF(I$2:I171,I171)&gt;1),J172+1,0)</f>
        <v>5</v>
      </c>
      <c r="K171" s="2">
        <f t="shared" si="54"/>
        <v>175</v>
      </c>
      <c r="L171" s="75">
        <f t="shared" si="61"/>
        <v>0</v>
      </c>
      <c r="M171" s="72" t="str">
        <f t="shared" si="62"/>
        <v/>
      </c>
      <c r="N171" s="73">
        <f>IF(OR(M171="",COUNTIF(M$2:M171,M171)&gt;1),N172+1,0)</f>
        <v>5</v>
      </c>
      <c r="O171" s="2">
        <f t="shared" si="55"/>
        <v>175</v>
      </c>
      <c r="P171" s="75">
        <f t="shared" si="63"/>
        <v>0</v>
      </c>
    </row>
    <row r="172" spans="1:16" x14ac:dyDescent="0.3">
      <c r="A172" s="72" t="str">
        <f t="shared" si="56"/>
        <v/>
      </c>
      <c r="B172" s="73">
        <f>IF(OR(A172="",COUNTIF(A$2:A172,A172)&gt;1),B173+1,0)</f>
        <v>4</v>
      </c>
      <c r="C172" s="2">
        <f t="shared" si="52"/>
        <v>175</v>
      </c>
      <c r="D172" s="75">
        <f t="shared" si="57"/>
        <v>0</v>
      </c>
      <c r="E172" s="72" t="str">
        <f t="shared" si="58"/>
        <v/>
      </c>
      <c r="F172" s="73">
        <f>IF(OR(E172="",COUNTIF(E$2:E172,E172)&gt;1),F173+1,0)</f>
        <v>4</v>
      </c>
      <c r="G172" s="2">
        <f t="shared" si="53"/>
        <v>175</v>
      </c>
      <c r="H172" s="75">
        <f t="shared" si="59"/>
        <v>0</v>
      </c>
      <c r="I172" s="72" t="str">
        <f t="shared" si="60"/>
        <v/>
      </c>
      <c r="J172" s="73">
        <f>IF(OR(I172="",COUNTIF(I$2:I172,I172)&gt;1),J173+1,0)</f>
        <v>4</v>
      </c>
      <c r="K172" s="2">
        <f t="shared" si="54"/>
        <v>175</v>
      </c>
      <c r="L172" s="75">
        <f t="shared" si="61"/>
        <v>0</v>
      </c>
      <c r="M172" s="72" t="str">
        <f t="shared" si="62"/>
        <v/>
      </c>
      <c r="N172" s="73">
        <f>IF(OR(M172="",COUNTIF(M$2:M172,M172)&gt;1),N173+1,0)</f>
        <v>4</v>
      </c>
      <c r="O172" s="2">
        <f t="shared" si="55"/>
        <v>175</v>
      </c>
      <c r="P172" s="75">
        <f t="shared" si="63"/>
        <v>0</v>
      </c>
    </row>
    <row r="173" spans="1:16" x14ac:dyDescent="0.3">
      <c r="A173" s="72" t="str">
        <f t="shared" si="56"/>
        <v/>
      </c>
      <c r="B173" s="73">
        <f>IF(OR(A173="",COUNTIF(A$2:A173,A173)&gt;1),B174+1,0)</f>
        <v>3</v>
      </c>
      <c r="C173" s="2">
        <f t="shared" si="52"/>
        <v>175</v>
      </c>
      <c r="D173" s="75">
        <f t="shared" si="57"/>
        <v>0</v>
      </c>
      <c r="E173" s="72" t="str">
        <f t="shared" si="58"/>
        <v/>
      </c>
      <c r="F173" s="73">
        <f>IF(OR(E173="",COUNTIF(E$2:E173,E173)&gt;1),F174+1,0)</f>
        <v>3</v>
      </c>
      <c r="G173" s="2">
        <f t="shared" si="53"/>
        <v>175</v>
      </c>
      <c r="H173" s="75">
        <f t="shared" si="59"/>
        <v>0</v>
      </c>
      <c r="I173" s="72" t="str">
        <f t="shared" si="60"/>
        <v/>
      </c>
      <c r="J173" s="73">
        <f>IF(OR(I173="",COUNTIF(I$2:I173,I173)&gt;1),J174+1,0)</f>
        <v>3</v>
      </c>
      <c r="K173" s="2">
        <f t="shared" si="54"/>
        <v>175</v>
      </c>
      <c r="L173" s="75">
        <f t="shared" si="61"/>
        <v>0</v>
      </c>
      <c r="M173" s="72" t="str">
        <f t="shared" si="62"/>
        <v/>
      </c>
      <c r="N173" s="73">
        <f>IF(OR(M173="",COUNTIF(M$2:M173,M173)&gt;1),N174+1,0)</f>
        <v>3</v>
      </c>
      <c r="O173" s="2">
        <f t="shared" si="55"/>
        <v>175</v>
      </c>
      <c r="P173" s="75">
        <f t="shared" si="63"/>
        <v>0</v>
      </c>
    </row>
    <row r="174" spans="1:16" x14ac:dyDescent="0.3">
      <c r="A174" s="72" t="str">
        <f t="shared" si="56"/>
        <v/>
      </c>
      <c r="B174" s="73">
        <f>IF(OR(A174="",COUNTIF(A$2:A174,A174)&gt;1),B175+1,0)</f>
        <v>2</v>
      </c>
      <c r="C174" s="2">
        <f t="shared" si="52"/>
        <v>175</v>
      </c>
      <c r="D174" s="75">
        <f t="shared" si="57"/>
        <v>0</v>
      </c>
      <c r="E174" s="72" t="str">
        <f t="shared" si="58"/>
        <v/>
      </c>
      <c r="F174" s="73">
        <f>IF(OR(E174="",COUNTIF(E$2:E174,E174)&gt;1),F175+1,0)</f>
        <v>2</v>
      </c>
      <c r="G174" s="2">
        <f t="shared" si="53"/>
        <v>175</v>
      </c>
      <c r="H174" s="75">
        <f t="shared" si="59"/>
        <v>0</v>
      </c>
      <c r="I174" s="72" t="str">
        <f t="shared" si="60"/>
        <v/>
      </c>
      <c r="J174" s="73">
        <f>IF(OR(I174="",COUNTIF(I$2:I174,I174)&gt;1),J175+1,0)</f>
        <v>2</v>
      </c>
      <c r="K174" s="2">
        <f t="shared" si="54"/>
        <v>175</v>
      </c>
      <c r="L174" s="75">
        <f t="shared" si="61"/>
        <v>0</v>
      </c>
      <c r="M174" s="72" t="str">
        <f t="shared" si="62"/>
        <v/>
      </c>
      <c r="N174" s="73">
        <f>IF(OR(M174="",COUNTIF(M$2:M174,M174)&gt;1),N175+1,0)</f>
        <v>2</v>
      </c>
      <c r="O174" s="2">
        <f t="shared" si="55"/>
        <v>175</v>
      </c>
      <c r="P174" s="75">
        <f t="shared" si="63"/>
        <v>0</v>
      </c>
    </row>
    <row r="175" spans="1:16" x14ac:dyDescent="0.3">
      <c r="A175" s="72" t="str">
        <f t="shared" si="56"/>
        <v/>
      </c>
      <c r="B175" s="73">
        <f>IF(OR(A175="",COUNTIF(A$2:A175,A175)&gt;1),B176+1,0)</f>
        <v>1</v>
      </c>
      <c r="C175" s="2">
        <f t="shared" si="52"/>
        <v>175</v>
      </c>
      <c r="D175" s="75">
        <f t="shared" si="57"/>
        <v>0</v>
      </c>
      <c r="E175" s="72" t="str">
        <f t="shared" si="58"/>
        <v/>
      </c>
      <c r="F175" s="73">
        <f>IF(OR(E175="",COUNTIF(E$2:E175,E175)&gt;1),F176+1,0)</f>
        <v>1</v>
      </c>
      <c r="G175" s="2">
        <f t="shared" si="53"/>
        <v>175</v>
      </c>
      <c r="H175" s="75">
        <f t="shared" si="59"/>
        <v>0</v>
      </c>
      <c r="I175" s="72" t="str">
        <f t="shared" si="60"/>
        <v/>
      </c>
      <c r="J175" s="73">
        <f>IF(OR(I175="",COUNTIF(I$2:I175,I175)&gt;1),J176+1,0)</f>
        <v>1</v>
      </c>
      <c r="K175" s="2">
        <f t="shared" si="54"/>
        <v>175</v>
      </c>
      <c r="L175" s="75">
        <f t="shared" si="61"/>
        <v>0</v>
      </c>
      <c r="M175" s="72" t="str">
        <f t="shared" si="62"/>
        <v/>
      </c>
      <c r="N175" s="73">
        <f>IF(OR(M175="",COUNTIF(M$2:M175,M175)&gt;1),N176+1,0)</f>
        <v>1</v>
      </c>
      <c r="O175" s="2">
        <f t="shared" si="55"/>
        <v>175</v>
      </c>
      <c r="P175" s="75">
        <f t="shared" si="63"/>
        <v>0</v>
      </c>
    </row>
    <row r="176" spans="1:16" ht="15" thickBot="1" x14ac:dyDescent="0.35">
      <c r="A176" s="76"/>
      <c r="B176" s="76"/>
      <c r="C176" s="76"/>
      <c r="E176" s="76"/>
      <c r="F176" s="76"/>
      <c r="G176" s="76"/>
      <c r="I176" s="76"/>
      <c r="J176" s="76"/>
      <c r="K176" s="76"/>
      <c r="M176" s="76"/>
      <c r="N176" s="76"/>
      <c r="O176" s="76"/>
    </row>
    <row r="177" spans="1:15" ht="15" thickBot="1" x14ac:dyDescent="0.35">
      <c r="A177" s="76"/>
      <c r="B177" s="77">
        <v>-1</v>
      </c>
      <c r="C177" s="78">
        <f>COUNTIF(B2:B175,0)</f>
        <v>0</v>
      </c>
      <c r="E177" s="76"/>
      <c r="F177" s="77">
        <v>-1</v>
      </c>
      <c r="G177" s="78">
        <f>COUNTIF(F2:F175,0)</f>
        <v>0</v>
      </c>
      <c r="I177" s="76"/>
      <c r="J177" s="77">
        <v>-1</v>
      </c>
      <c r="K177" s="78">
        <f>COUNTIF(J2:J175,0)</f>
        <v>0</v>
      </c>
      <c r="M177" s="76"/>
      <c r="N177" s="77">
        <v>-1</v>
      </c>
      <c r="O177" s="78">
        <f>COUNTIF(N2:N175,0)</f>
        <v>0</v>
      </c>
    </row>
  </sheetData>
  <sheetProtection algorithmName="SHA-512" hashValue="jvrSvbrWcyPOKUvWVsM3evTf6jQArPCyySpEoDNki673INyds6QtJ08xoccYqLkyTNGqJnf4APzxSjCgHm0Ycw==" saltValue="gvEJIGnp4ra1HosUXsDxZQ==" spinCount="100000" sheet="1" objects="1" scenarios="1"/>
  <phoneticPr fontId="22" type="noConversion"/>
  <pageMargins left="0.75" right="0.75" top="1" bottom="1" header="0.5" footer="0.5"/>
  <pageSetup paperSize="9" orientation="portrait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30">
    <tabColor indexed="8"/>
    <pageSetUpPr fitToPage="1"/>
  </sheetPr>
  <dimension ref="A1:L124"/>
  <sheetViews>
    <sheetView topLeftCell="K1" workbookViewId="0">
      <selection activeCell="K2" sqref="K2"/>
    </sheetView>
  </sheetViews>
  <sheetFormatPr defaultRowHeight="14.25" x14ac:dyDescent="0.3"/>
  <cols>
    <col min="1" max="1" width="23.28515625" style="79" hidden="1" customWidth="1"/>
    <col min="2" max="3" width="13.7109375" style="79" hidden="1" customWidth="1"/>
    <col min="4" max="4" width="7.28515625" style="79" hidden="1" customWidth="1"/>
    <col min="5" max="7" width="7.85546875" style="79" hidden="1" customWidth="1"/>
    <col min="8" max="8" width="68.28515625" style="79" hidden="1" customWidth="1"/>
    <col min="9" max="9" width="35" style="79" hidden="1" customWidth="1"/>
    <col min="10" max="10" width="9.140625" style="80" hidden="1" customWidth="1"/>
    <col min="11" max="16384" width="9.140625" style="79"/>
  </cols>
  <sheetData>
    <row r="1" spans="1:12" x14ac:dyDescent="0.3">
      <c r="A1" s="124" t="s">
        <v>11</v>
      </c>
      <c r="B1" s="125" t="s">
        <v>12</v>
      </c>
      <c r="C1" s="125" t="s">
        <v>13</v>
      </c>
      <c r="D1" s="126" t="s">
        <v>38</v>
      </c>
      <c r="E1" s="125" t="s">
        <v>39</v>
      </c>
      <c r="F1" s="124" t="s">
        <v>41</v>
      </c>
      <c r="G1" s="127" t="s">
        <v>42</v>
      </c>
      <c r="H1" s="127" t="s">
        <v>40</v>
      </c>
      <c r="K1" s="128" t="s">
        <v>108</v>
      </c>
      <c r="L1" s="81"/>
    </row>
    <row r="2" spans="1:12" x14ac:dyDescent="0.3">
      <c r="A2" s="82"/>
      <c r="B2" s="83"/>
      <c r="C2" s="83"/>
      <c r="D2" s="84">
        <f t="shared" ref="D2:D9" si="0">SUMIF(A$15:A$22,A2,D$15:D$22)+SUMIF(B$23:B$25,B2,D$23:D$25)+SUMIF(C$26:C$28,C2,D$26:D$28)</f>
        <v>0</v>
      </c>
      <c r="E2" s="83">
        <f>F2</f>
        <v>0</v>
      </c>
      <c r="F2" s="85">
        <v>0</v>
      </c>
      <c r="G2" s="86">
        <v>0</v>
      </c>
      <c r="H2" s="129" t="s">
        <v>43</v>
      </c>
    </row>
    <row r="3" spans="1:12" x14ac:dyDescent="0.3">
      <c r="A3" s="87" t="s">
        <v>35</v>
      </c>
      <c r="B3" s="88"/>
      <c r="C3" s="88"/>
      <c r="D3" s="89">
        <f t="shared" si="0"/>
        <v>100</v>
      </c>
      <c r="E3" s="88">
        <f t="shared" ref="E3:E9" si="1">F3</f>
        <v>900</v>
      </c>
      <c r="F3" s="90">
        <v>900</v>
      </c>
      <c r="G3" s="91">
        <v>900</v>
      </c>
      <c r="H3" s="92" t="s">
        <v>169</v>
      </c>
    </row>
    <row r="4" spans="1:12" x14ac:dyDescent="0.3">
      <c r="A4" s="93" t="s">
        <v>10</v>
      </c>
      <c r="B4" s="94"/>
      <c r="C4" s="94"/>
      <c r="D4" s="95">
        <f t="shared" si="0"/>
        <v>200</v>
      </c>
      <c r="E4" s="94">
        <f t="shared" si="1"/>
        <v>900</v>
      </c>
      <c r="F4" s="96">
        <v>900</v>
      </c>
      <c r="G4" s="97">
        <v>900</v>
      </c>
      <c r="H4" s="98" t="s">
        <v>169</v>
      </c>
    </row>
    <row r="5" spans="1:12" x14ac:dyDescent="0.3">
      <c r="A5" s="93" t="s">
        <v>34</v>
      </c>
      <c r="B5" s="94"/>
      <c r="C5" s="94"/>
      <c r="D5" s="95">
        <f t="shared" si="0"/>
        <v>300</v>
      </c>
      <c r="E5" s="94">
        <f t="shared" si="1"/>
        <v>880</v>
      </c>
      <c r="F5" s="96">
        <v>880</v>
      </c>
      <c r="G5" s="97">
        <v>884</v>
      </c>
      <c r="H5" s="98" t="s">
        <v>169</v>
      </c>
    </row>
    <row r="6" spans="1:12" x14ac:dyDescent="0.3">
      <c r="A6" s="93" t="s">
        <v>33</v>
      </c>
      <c r="B6" s="94"/>
      <c r="C6" s="94"/>
      <c r="D6" s="95">
        <f t="shared" si="0"/>
        <v>400</v>
      </c>
      <c r="E6" s="94">
        <f t="shared" si="1"/>
        <v>850</v>
      </c>
      <c r="F6" s="96">
        <v>850</v>
      </c>
      <c r="G6" s="97">
        <v>854</v>
      </c>
      <c r="H6" s="98" t="s">
        <v>169</v>
      </c>
    </row>
    <row r="7" spans="1:12" x14ac:dyDescent="0.3">
      <c r="A7" s="99" t="s">
        <v>32</v>
      </c>
      <c r="B7" s="100"/>
      <c r="C7" s="100"/>
      <c r="D7" s="101">
        <f t="shared" si="0"/>
        <v>500</v>
      </c>
      <c r="E7" s="100">
        <f t="shared" si="1"/>
        <v>800</v>
      </c>
      <c r="F7" s="102">
        <v>800</v>
      </c>
      <c r="G7" s="103">
        <v>803</v>
      </c>
      <c r="H7" s="104" t="s">
        <v>169</v>
      </c>
    </row>
    <row r="8" spans="1:12" x14ac:dyDescent="0.3">
      <c r="A8" s="93" t="s">
        <v>164</v>
      </c>
      <c r="B8" s="94"/>
      <c r="C8" s="94"/>
      <c r="D8" s="95">
        <f t="shared" si="0"/>
        <v>600</v>
      </c>
      <c r="E8" s="94">
        <f t="shared" si="1"/>
        <v>450</v>
      </c>
      <c r="F8" s="96">
        <v>450</v>
      </c>
      <c r="G8" s="97">
        <v>452</v>
      </c>
      <c r="H8" s="98" t="s">
        <v>168</v>
      </c>
    </row>
    <row r="9" spans="1:12" ht="15" thickBot="1" x14ac:dyDescent="0.35">
      <c r="A9" s="99" t="s">
        <v>163</v>
      </c>
      <c r="B9" s="100"/>
      <c r="C9" s="100"/>
      <c r="D9" s="101">
        <f t="shared" si="0"/>
        <v>700</v>
      </c>
      <c r="E9" s="100">
        <f t="shared" si="1"/>
        <v>300</v>
      </c>
      <c r="F9" s="96">
        <v>300</v>
      </c>
      <c r="G9" s="97">
        <v>301</v>
      </c>
      <c r="H9" s="104" t="s">
        <v>167</v>
      </c>
    </row>
    <row r="10" spans="1:12" ht="15" thickBot="1" x14ac:dyDescent="0.35">
      <c r="F10" s="316" t="s">
        <v>170</v>
      </c>
      <c r="G10" s="317"/>
    </row>
    <row r="11" spans="1:12" ht="15" thickBot="1" x14ac:dyDescent="0.35">
      <c r="A11" s="105" t="str">
        <f>IF(Т_Должность="","",Т_Должность)</f>
        <v/>
      </c>
      <c r="B11" s="106" t="str">
        <f>IF(COUNTIF(Т_Степень,"кандидат*наук")&gt;0,"кандидат наук",IF(COUNTIF(Т_Степень,"доктор*наук")&gt;0,"доктор наук",""))</f>
        <v/>
      </c>
      <c r="C11" s="107" t="str">
        <f>IF(Т_Звание="","",Т_Звание)</f>
        <v/>
      </c>
      <c r="D11" s="108">
        <f>SUMIF(A$15:A$22,A11,D$15:D$22)+SUMIF(B$23:B$25,B11,D$23:D$25)+SUMIF(C$26:C$28,C11,D$26:D$28)</f>
        <v>0</v>
      </c>
      <c r="E11" s="109">
        <f>INDEX(E2:E9,MATCH(D11,D2:D9,1))</f>
        <v>0</v>
      </c>
      <c r="F11" s="318">
        <f>E11</f>
        <v>0</v>
      </c>
      <c r="G11" s="319"/>
      <c r="H11" s="130" t="s">
        <v>97</v>
      </c>
    </row>
    <row r="12" spans="1:12" ht="15" thickBot="1" x14ac:dyDescent="0.35">
      <c r="A12" s="110" t="str">
        <f>IF(Т_Должность_С="","",Т_Должность_С)</f>
        <v/>
      </c>
      <c r="B12" s="106" t="str">
        <f>IF(COUNTIF(Т_Степень,"кандидат*наук")&gt;0,"кандидат наук",IF(COUNTIF(Т_Степень,"доктор*наук")&gt;0,"доктор наук",""))</f>
        <v/>
      </c>
      <c r="C12" s="107" t="str">
        <f>IF(Т_Звание="","",Т_Звание)</f>
        <v/>
      </c>
      <c r="D12" s="108">
        <f>SUMIF(A$15:A$22,A12,D$15:D$22)+SUMIF(B$23:B$25,B12,D$23:D$25)+SUMIF(C$26:C$28,C12,D$26:D$28)</f>
        <v>0</v>
      </c>
      <c r="E12" s="109">
        <f>INDEX(E2:E9,MATCH(D12,D2:D9,1))</f>
        <v>0</v>
      </c>
      <c r="F12" s="320">
        <f>E12</f>
        <v>0</v>
      </c>
      <c r="G12" s="321"/>
      <c r="H12" s="130" t="s">
        <v>171</v>
      </c>
    </row>
    <row r="13" spans="1:12" ht="15" thickBot="1" x14ac:dyDescent="0.35"/>
    <row r="14" spans="1:12" x14ac:dyDescent="0.3">
      <c r="A14" s="117" t="s">
        <v>11</v>
      </c>
      <c r="B14" s="117" t="s">
        <v>12</v>
      </c>
      <c r="C14" s="117" t="s">
        <v>13</v>
      </c>
      <c r="D14" s="111" t="s">
        <v>38</v>
      </c>
      <c r="F14" s="131" t="s">
        <v>86</v>
      </c>
    </row>
    <row r="15" spans="1:12" x14ac:dyDescent="0.3">
      <c r="A15" s="87" t="s">
        <v>166</v>
      </c>
      <c r="B15" s="111"/>
      <c r="C15" s="112"/>
      <c r="D15" s="89">
        <v>700</v>
      </c>
      <c r="E15" s="94"/>
      <c r="F15" s="132">
        <v>14</v>
      </c>
      <c r="G15" s="94"/>
      <c r="H15" s="94"/>
    </row>
    <row r="16" spans="1:12" ht="15" thickBot="1" x14ac:dyDescent="0.35">
      <c r="A16" s="93" t="s">
        <v>165</v>
      </c>
      <c r="B16" s="113"/>
      <c r="C16" s="114"/>
      <c r="D16" s="95">
        <v>600</v>
      </c>
      <c r="E16" s="94"/>
      <c r="F16" s="133">
        <v>0</v>
      </c>
      <c r="G16" s="94"/>
      <c r="H16" s="94"/>
    </row>
    <row r="17" spans="1:9" ht="15" thickBot="1" x14ac:dyDescent="0.35">
      <c r="A17" s="93" t="s">
        <v>36</v>
      </c>
      <c r="B17" s="113"/>
      <c r="C17" s="114"/>
      <c r="D17" s="95">
        <v>500</v>
      </c>
      <c r="E17" s="94"/>
      <c r="F17" s="94"/>
      <c r="G17" s="94"/>
      <c r="H17" s="94"/>
    </row>
    <row r="18" spans="1:9" x14ac:dyDescent="0.3">
      <c r="A18" s="93" t="s">
        <v>37</v>
      </c>
      <c r="B18" s="113"/>
      <c r="C18" s="114"/>
      <c r="D18" s="95">
        <v>400</v>
      </c>
      <c r="E18" s="94"/>
      <c r="F18" s="131" t="s">
        <v>249</v>
      </c>
      <c r="G18" s="94"/>
      <c r="H18" s="94"/>
    </row>
    <row r="19" spans="1:9" ht="15" thickBot="1" x14ac:dyDescent="0.35">
      <c r="A19" s="93" t="s">
        <v>45</v>
      </c>
      <c r="B19" s="113"/>
      <c r="C19" s="114"/>
      <c r="D19" s="95">
        <v>300</v>
      </c>
      <c r="E19" s="94"/>
      <c r="F19" s="133" t="s">
        <v>250</v>
      </c>
      <c r="G19" s="94"/>
      <c r="H19" s="94"/>
    </row>
    <row r="20" spans="1:9" x14ac:dyDescent="0.3">
      <c r="A20" s="93" t="s">
        <v>46</v>
      </c>
      <c r="B20" s="113"/>
      <c r="C20" s="114"/>
      <c r="D20" s="95">
        <v>200</v>
      </c>
      <c r="E20" s="94"/>
      <c r="F20" s="287"/>
      <c r="G20" s="287"/>
      <c r="H20" s="94"/>
    </row>
    <row r="21" spans="1:9" x14ac:dyDescent="0.3">
      <c r="A21" s="93" t="s">
        <v>47</v>
      </c>
      <c r="B21" s="113"/>
      <c r="C21" s="114"/>
      <c r="D21" s="95">
        <v>100</v>
      </c>
      <c r="E21" s="94"/>
      <c r="F21" s="287"/>
      <c r="G21" s="287"/>
      <c r="H21" s="94"/>
    </row>
    <row r="22" spans="1:9" x14ac:dyDescent="0.3">
      <c r="A22" s="93" t="s">
        <v>48</v>
      </c>
      <c r="B22" s="113"/>
      <c r="C22" s="114"/>
      <c r="D22" s="95">
        <v>0</v>
      </c>
      <c r="E22" s="94"/>
      <c r="F22" s="287"/>
      <c r="G22" s="287"/>
      <c r="H22" s="94"/>
    </row>
    <row r="23" spans="1:9" x14ac:dyDescent="0.3">
      <c r="A23" s="90"/>
      <c r="B23" s="89" t="s">
        <v>49</v>
      </c>
      <c r="C23" s="112"/>
      <c r="D23" s="89">
        <v>20</v>
      </c>
      <c r="E23" s="94"/>
      <c r="F23" s="287"/>
      <c r="G23" s="287"/>
      <c r="H23" s="94"/>
    </row>
    <row r="24" spans="1:9" x14ac:dyDescent="0.3">
      <c r="A24" s="96"/>
      <c r="B24" s="95" t="s">
        <v>50</v>
      </c>
      <c r="C24" s="114"/>
      <c r="D24" s="95">
        <v>10</v>
      </c>
      <c r="E24" s="94"/>
      <c r="F24" s="94"/>
      <c r="G24" s="94"/>
      <c r="H24" s="94"/>
    </row>
    <row r="25" spans="1:9" x14ac:dyDescent="0.3">
      <c r="A25" s="102"/>
      <c r="B25" s="101" t="s">
        <v>48</v>
      </c>
      <c r="C25" s="115"/>
      <c r="D25" s="101">
        <v>0</v>
      </c>
      <c r="E25" s="94"/>
      <c r="F25" s="94"/>
      <c r="G25" s="94"/>
      <c r="H25" s="94"/>
    </row>
    <row r="26" spans="1:9" x14ac:dyDescent="0.3">
      <c r="A26" s="96"/>
      <c r="B26" s="113"/>
      <c r="C26" s="94" t="s">
        <v>36</v>
      </c>
      <c r="D26" s="95">
        <v>2</v>
      </c>
      <c r="E26" s="94"/>
      <c r="F26" s="94"/>
      <c r="G26" s="94"/>
      <c r="H26" s="94"/>
    </row>
    <row r="27" spans="1:9" x14ac:dyDescent="0.3">
      <c r="A27" s="96"/>
      <c r="B27" s="113"/>
      <c r="C27" s="94" t="s">
        <v>37</v>
      </c>
      <c r="D27" s="95">
        <v>1</v>
      </c>
      <c r="E27" s="94"/>
      <c r="F27" s="94"/>
      <c r="G27" s="94"/>
      <c r="H27" s="94"/>
    </row>
    <row r="28" spans="1:9" x14ac:dyDescent="0.3">
      <c r="A28" s="102"/>
      <c r="B28" s="116"/>
      <c r="C28" s="100" t="s">
        <v>48</v>
      </c>
      <c r="D28" s="101">
        <v>0</v>
      </c>
      <c r="E28" s="94"/>
      <c r="F28" s="134" t="s">
        <v>44</v>
      </c>
      <c r="G28" s="94"/>
      <c r="H28" s="94"/>
    </row>
    <row r="29" spans="1:9" x14ac:dyDescent="0.3">
      <c r="H29" s="94"/>
    </row>
    <row r="30" spans="1:9" x14ac:dyDescent="0.3">
      <c r="A30" s="117" t="s">
        <v>51</v>
      </c>
      <c r="B30" s="2"/>
      <c r="H30" s="94"/>
      <c r="I30" s="118"/>
    </row>
    <row r="31" spans="1:9" x14ac:dyDescent="0.3">
      <c r="A31" s="95" t="s">
        <v>122</v>
      </c>
      <c r="B31" s="2"/>
      <c r="E31" s="119"/>
      <c r="H31" s="119"/>
      <c r="I31" s="118"/>
    </row>
    <row r="32" spans="1:9" x14ac:dyDescent="0.3">
      <c r="A32" s="95" t="s">
        <v>54</v>
      </c>
      <c r="B32" s="2"/>
      <c r="E32" s="119"/>
      <c r="H32" s="119"/>
      <c r="I32" s="118"/>
    </row>
    <row r="33" spans="1:9" x14ac:dyDescent="0.3">
      <c r="A33" s="95" t="s">
        <v>125</v>
      </c>
      <c r="B33" s="2"/>
      <c r="C33" s="119"/>
      <c r="E33" s="119"/>
      <c r="H33" s="119"/>
      <c r="I33" s="118"/>
    </row>
    <row r="34" spans="1:9" x14ac:dyDescent="0.3">
      <c r="A34" s="95" t="s">
        <v>126</v>
      </c>
      <c r="B34" s="2"/>
      <c r="C34" s="119"/>
      <c r="E34" s="119"/>
      <c r="H34" s="119"/>
      <c r="I34" s="118"/>
    </row>
    <row r="35" spans="1:9" x14ac:dyDescent="0.3">
      <c r="A35" s="95" t="s">
        <v>127</v>
      </c>
      <c r="B35" s="2"/>
      <c r="C35" s="119"/>
      <c r="E35" s="119"/>
      <c r="H35" s="119"/>
      <c r="I35" s="118"/>
    </row>
    <row r="36" spans="1:9" x14ac:dyDescent="0.3">
      <c r="A36" s="95" t="s">
        <v>128</v>
      </c>
      <c r="B36" s="2"/>
      <c r="C36" s="119"/>
      <c r="E36" s="119"/>
      <c r="H36" s="119"/>
      <c r="I36" s="118"/>
    </row>
    <row r="37" spans="1:9" x14ac:dyDescent="0.3">
      <c r="A37" s="95" t="s">
        <v>123</v>
      </c>
      <c r="B37" s="2"/>
      <c r="C37" s="119"/>
      <c r="E37" s="119"/>
      <c r="H37" s="119"/>
      <c r="I37" s="118"/>
    </row>
    <row r="38" spans="1:9" x14ac:dyDescent="0.3">
      <c r="A38" s="95" t="s">
        <v>129</v>
      </c>
      <c r="B38" s="2"/>
      <c r="C38" s="119"/>
      <c r="E38" s="119"/>
      <c r="H38" s="119"/>
      <c r="I38" s="118"/>
    </row>
    <row r="39" spans="1:9" x14ac:dyDescent="0.3">
      <c r="A39" s="95" t="s">
        <v>124</v>
      </c>
      <c r="B39" s="2"/>
      <c r="C39" s="119"/>
      <c r="E39" s="119"/>
      <c r="H39" s="119"/>
      <c r="I39" s="118"/>
    </row>
    <row r="40" spans="1:9" x14ac:dyDescent="0.3">
      <c r="A40" s="95" t="s">
        <v>55</v>
      </c>
      <c r="B40" s="2"/>
      <c r="E40" s="119"/>
      <c r="H40" s="119"/>
      <c r="I40" s="118"/>
    </row>
    <row r="41" spans="1:9" x14ac:dyDescent="0.3">
      <c r="A41" s="95" t="s">
        <v>58</v>
      </c>
      <c r="B41" s="2"/>
      <c r="H41" s="119"/>
      <c r="I41" s="118"/>
    </row>
    <row r="42" spans="1:9" x14ac:dyDescent="0.3">
      <c r="A42" s="95" t="s">
        <v>61</v>
      </c>
      <c r="B42" s="2"/>
      <c r="H42" s="119"/>
      <c r="I42" s="118"/>
    </row>
    <row r="43" spans="1:9" x14ac:dyDescent="0.3">
      <c r="A43" s="95" t="s">
        <v>59</v>
      </c>
      <c r="B43" s="2"/>
      <c r="H43" s="119"/>
      <c r="I43" s="118"/>
    </row>
    <row r="44" spans="1:9" x14ac:dyDescent="0.3">
      <c r="A44" s="95" t="s">
        <v>130</v>
      </c>
      <c r="B44" s="2"/>
      <c r="C44" s="119"/>
      <c r="H44" s="119"/>
      <c r="I44" s="118"/>
    </row>
    <row r="45" spans="1:9" x14ac:dyDescent="0.3">
      <c r="A45" s="95" t="s">
        <v>131</v>
      </c>
      <c r="B45" s="2"/>
      <c r="C45" s="119"/>
      <c r="H45" s="119"/>
      <c r="I45" s="118"/>
    </row>
    <row r="46" spans="1:9" x14ac:dyDescent="0.3">
      <c r="A46" s="95" t="s">
        <v>52</v>
      </c>
      <c r="H46" s="119"/>
      <c r="I46" s="118"/>
    </row>
    <row r="47" spans="1:9" x14ac:dyDescent="0.3">
      <c r="A47" s="95" t="s">
        <v>132</v>
      </c>
      <c r="C47" s="119"/>
      <c r="H47" s="119"/>
      <c r="I47" s="118"/>
    </row>
    <row r="48" spans="1:9" x14ac:dyDescent="0.3">
      <c r="A48" s="95" t="s">
        <v>53</v>
      </c>
      <c r="I48" s="118"/>
    </row>
    <row r="49" spans="1:9" x14ac:dyDescent="0.3">
      <c r="A49" s="95" t="s">
        <v>57</v>
      </c>
      <c r="H49" s="119"/>
      <c r="I49" s="118"/>
    </row>
    <row r="50" spans="1:9" x14ac:dyDescent="0.3">
      <c r="A50" s="95" t="s">
        <v>60</v>
      </c>
      <c r="I50" s="118"/>
    </row>
    <row r="51" spans="1:9" x14ac:dyDescent="0.3">
      <c r="A51" s="95" t="s">
        <v>107</v>
      </c>
      <c r="I51" s="118"/>
    </row>
    <row r="52" spans="1:9" x14ac:dyDescent="0.3">
      <c r="A52" s="95" t="s">
        <v>133</v>
      </c>
      <c r="C52" s="119"/>
      <c r="E52" s="119"/>
      <c r="H52" s="119"/>
      <c r="I52" s="118"/>
    </row>
    <row r="53" spans="1:9" x14ac:dyDescent="0.3">
      <c r="A53" s="101" t="s">
        <v>56</v>
      </c>
      <c r="E53" s="119"/>
      <c r="H53" s="119"/>
      <c r="I53" s="118"/>
    </row>
    <row r="54" spans="1:9" x14ac:dyDescent="0.3">
      <c r="E54" s="119"/>
      <c r="H54" s="119"/>
      <c r="I54" s="118"/>
    </row>
    <row r="55" spans="1:9" x14ac:dyDescent="0.3">
      <c r="A55" s="111" t="s">
        <v>75</v>
      </c>
      <c r="E55" s="119"/>
      <c r="H55" s="119"/>
      <c r="I55" s="118"/>
    </row>
    <row r="56" spans="1:9" x14ac:dyDescent="0.3">
      <c r="A56" s="89" t="s">
        <v>63</v>
      </c>
      <c r="H56" s="119"/>
      <c r="I56" s="118"/>
    </row>
    <row r="57" spans="1:9" x14ac:dyDescent="0.3">
      <c r="A57" s="95" t="s">
        <v>64</v>
      </c>
      <c r="H57" s="119"/>
      <c r="I57" s="118"/>
    </row>
    <row r="58" spans="1:9" x14ac:dyDescent="0.3">
      <c r="A58" s="95" t="s">
        <v>65</v>
      </c>
      <c r="E58" s="119"/>
      <c r="H58" s="119"/>
      <c r="I58" s="118"/>
    </row>
    <row r="59" spans="1:9" x14ac:dyDescent="0.3">
      <c r="A59" s="95" t="s">
        <v>66</v>
      </c>
      <c r="H59" s="119"/>
    </row>
    <row r="60" spans="1:9" x14ac:dyDescent="0.3">
      <c r="A60" s="95" t="s">
        <v>67</v>
      </c>
      <c r="E60" s="119"/>
      <c r="H60" s="119"/>
    </row>
    <row r="61" spans="1:9" x14ac:dyDescent="0.3">
      <c r="A61" s="95" t="s">
        <v>79</v>
      </c>
      <c r="E61" s="119"/>
      <c r="H61" s="119"/>
    </row>
    <row r="62" spans="1:9" x14ac:dyDescent="0.3">
      <c r="A62" s="101" t="s">
        <v>80</v>
      </c>
      <c r="E62" s="119"/>
      <c r="H62" s="119"/>
    </row>
    <row r="63" spans="1:9" x14ac:dyDescent="0.3">
      <c r="E63" s="119"/>
      <c r="H63" s="119"/>
    </row>
    <row r="64" spans="1:9" x14ac:dyDescent="0.3">
      <c r="A64" s="111" t="s">
        <v>72</v>
      </c>
      <c r="H64" s="119"/>
    </row>
    <row r="65" spans="1:8" x14ac:dyDescent="0.3">
      <c r="A65" s="89" t="s">
        <v>73</v>
      </c>
      <c r="E65" s="119"/>
      <c r="H65" s="119"/>
    </row>
    <row r="66" spans="1:8" x14ac:dyDescent="0.3">
      <c r="A66" s="95" t="s">
        <v>99</v>
      </c>
    </row>
    <row r="67" spans="1:8" x14ac:dyDescent="0.3">
      <c r="A67" s="95" t="s">
        <v>74</v>
      </c>
    </row>
    <row r="68" spans="1:8" x14ac:dyDescent="0.3">
      <c r="A68" s="95" t="s">
        <v>204</v>
      </c>
    </row>
    <row r="69" spans="1:8" x14ac:dyDescent="0.3">
      <c r="A69" s="101" t="s">
        <v>78</v>
      </c>
    </row>
    <row r="71" spans="1:8" x14ac:dyDescent="0.3">
      <c r="A71" s="111" t="s">
        <v>71</v>
      </c>
      <c r="C71" s="111" t="s">
        <v>110</v>
      </c>
    </row>
    <row r="72" spans="1:8" x14ac:dyDescent="0.3">
      <c r="A72" s="135" t="s">
        <v>97</v>
      </c>
      <c r="C72" s="89" t="s">
        <v>111</v>
      </c>
    </row>
    <row r="73" spans="1:8" x14ac:dyDescent="0.3">
      <c r="A73" s="136" t="s">
        <v>171</v>
      </c>
      <c r="C73" s="95" t="s">
        <v>112</v>
      </c>
    </row>
    <row r="74" spans="1:8" x14ac:dyDescent="0.3">
      <c r="A74" s="101" t="s">
        <v>98</v>
      </c>
      <c r="C74" s="101" t="s">
        <v>115</v>
      </c>
    </row>
    <row r="76" spans="1:8" x14ac:dyDescent="0.3">
      <c r="A76" s="85" t="s">
        <v>87</v>
      </c>
      <c r="B76" s="86"/>
      <c r="C76" s="86" t="s">
        <v>222</v>
      </c>
      <c r="D76" s="117" t="s">
        <v>221</v>
      </c>
    </row>
    <row r="77" spans="1:8" x14ac:dyDescent="0.3">
      <c r="A77" s="93" t="s">
        <v>90</v>
      </c>
      <c r="B77" s="120"/>
      <c r="C77" s="120" t="s">
        <v>212</v>
      </c>
      <c r="D77" s="95">
        <v>1</v>
      </c>
    </row>
    <row r="78" spans="1:8" x14ac:dyDescent="0.3">
      <c r="A78" s="93" t="s">
        <v>88</v>
      </c>
      <c r="B78" s="120"/>
      <c r="C78" s="120" t="s">
        <v>213</v>
      </c>
      <c r="D78" s="95">
        <v>2</v>
      </c>
    </row>
    <row r="79" spans="1:8" x14ac:dyDescent="0.3">
      <c r="A79" s="93" t="s">
        <v>91</v>
      </c>
      <c r="B79" s="120"/>
      <c r="C79" s="120" t="s">
        <v>214</v>
      </c>
      <c r="D79" s="95">
        <v>3</v>
      </c>
    </row>
    <row r="80" spans="1:8" x14ac:dyDescent="0.3">
      <c r="A80" s="93" t="s">
        <v>93</v>
      </c>
      <c r="B80" s="120"/>
      <c r="C80" s="120" t="s">
        <v>215</v>
      </c>
      <c r="D80" s="95">
        <v>5</v>
      </c>
    </row>
    <row r="81" spans="1:9" x14ac:dyDescent="0.3">
      <c r="A81" s="93" t="s">
        <v>89</v>
      </c>
      <c r="B81" s="120"/>
      <c r="C81" s="120" t="s">
        <v>216</v>
      </c>
      <c r="D81" s="95">
        <v>6</v>
      </c>
    </row>
    <row r="82" spans="1:9" x14ac:dyDescent="0.3">
      <c r="A82" s="93" t="s">
        <v>92</v>
      </c>
      <c r="B82" s="120"/>
      <c r="C82" s="120" t="s">
        <v>217</v>
      </c>
      <c r="D82" s="95">
        <v>4</v>
      </c>
    </row>
    <row r="83" spans="1:9" x14ac:dyDescent="0.3">
      <c r="A83" s="99" t="s">
        <v>211</v>
      </c>
      <c r="B83" s="121"/>
      <c r="C83" s="121" t="s">
        <v>218</v>
      </c>
      <c r="D83" s="101"/>
    </row>
    <row r="84" spans="1:9" x14ac:dyDescent="0.3">
      <c r="A84" s="94"/>
    </row>
    <row r="85" spans="1:9" x14ac:dyDescent="0.3">
      <c r="A85" s="117" t="s">
        <v>142</v>
      </c>
      <c r="F85" s="117" t="s">
        <v>221</v>
      </c>
      <c r="G85" s="117" t="s">
        <v>179</v>
      </c>
      <c r="H85" s="86" t="s">
        <v>180</v>
      </c>
      <c r="I85" s="117" t="s">
        <v>181</v>
      </c>
    </row>
    <row r="86" spans="1:9" x14ac:dyDescent="0.3">
      <c r="A86" s="95" t="str">
        <f t="shared" ref="A86:A116" si="2">H86 &amp; " (" &amp; G86 &amp; ")"</f>
        <v>Автоматизированных систем обработки информации и управления (48)</v>
      </c>
      <c r="F86" s="89">
        <v>6</v>
      </c>
      <c r="G86" s="89">
        <v>48</v>
      </c>
      <c r="H86" s="122" t="s">
        <v>145</v>
      </c>
      <c r="I86" s="122" t="s">
        <v>199</v>
      </c>
    </row>
    <row r="87" spans="1:9" x14ac:dyDescent="0.3">
      <c r="A87" s="95" t="str">
        <f t="shared" si="2"/>
        <v>Автоматики и компьютерных систем (24)</v>
      </c>
      <c r="F87" s="95">
        <v>6</v>
      </c>
      <c r="G87" s="95">
        <v>24</v>
      </c>
      <c r="H87" s="120" t="s">
        <v>146</v>
      </c>
      <c r="I87" s="120" t="s">
        <v>206</v>
      </c>
    </row>
    <row r="88" spans="1:9" x14ac:dyDescent="0.3">
      <c r="A88" s="95" t="str">
        <f t="shared" si="2"/>
        <v>Акушерства, гинекологии и перинатологии (25)</v>
      </c>
      <c r="F88" s="95">
        <v>5</v>
      </c>
      <c r="G88" s="95">
        <v>25</v>
      </c>
      <c r="H88" s="120" t="s">
        <v>172</v>
      </c>
      <c r="I88" s="120" t="s">
        <v>193</v>
      </c>
    </row>
    <row r="89" spans="1:9" x14ac:dyDescent="0.3">
      <c r="A89" s="95" t="str">
        <f t="shared" si="2"/>
        <v>Безопасности жизнедеятельности (49)</v>
      </c>
      <c r="F89" s="95">
        <v>3</v>
      </c>
      <c r="G89" s="95">
        <v>49</v>
      </c>
      <c r="H89" s="120" t="s">
        <v>147</v>
      </c>
      <c r="I89" s="120" t="s">
        <v>241</v>
      </c>
    </row>
    <row r="90" spans="1:9" x14ac:dyDescent="0.3">
      <c r="A90" s="95" t="str">
        <f t="shared" si="2"/>
        <v>Биологии и биотехнологии (16)</v>
      </c>
      <c r="F90" s="95">
        <v>3</v>
      </c>
      <c r="G90" s="95">
        <v>16</v>
      </c>
      <c r="H90" s="120" t="s">
        <v>255</v>
      </c>
      <c r="I90" s="120" t="s">
        <v>242</v>
      </c>
    </row>
    <row r="91" spans="1:9" x14ac:dyDescent="0.3">
      <c r="A91" s="95" t="str">
        <f t="shared" si="2"/>
        <v>Внутренних болезней (14)</v>
      </c>
      <c r="F91" s="95">
        <v>5</v>
      </c>
      <c r="G91" s="95">
        <v>14</v>
      </c>
      <c r="H91" s="120" t="s">
        <v>173</v>
      </c>
      <c r="I91" s="120" t="s">
        <v>189</v>
      </c>
    </row>
    <row r="92" spans="1:9" x14ac:dyDescent="0.3">
      <c r="A92" s="95" t="str">
        <f t="shared" si="2"/>
        <v>Государственного, муниципального управления и управления персоналом (45)</v>
      </c>
      <c r="F92" s="95">
        <v>4</v>
      </c>
      <c r="G92" s="95">
        <v>45</v>
      </c>
      <c r="H92" s="120" t="s">
        <v>256</v>
      </c>
      <c r="I92" s="120" t="s">
        <v>197</v>
      </c>
    </row>
    <row r="93" spans="1:9" x14ac:dyDescent="0.3">
      <c r="A93" s="95" t="str">
        <f t="shared" si="2"/>
        <v>Детских болезней (63)</v>
      </c>
      <c r="F93" s="95">
        <v>5</v>
      </c>
      <c r="G93" s="95">
        <v>63</v>
      </c>
      <c r="H93" s="120" t="s">
        <v>162</v>
      </c>
      <c r="I93" s="120" t="s">
        <v>219</v>
      </c>
    </row>
    <row r="94" spans="1:9" x14ac:dyDescent="0.3">
      <c r="A94" s="95" t="str">
        <f t="shared" si="2"/>
        <v>Иностранных языков (4)</v>
      </c>
      <c r="F94" s="95">
        <v>2</v>
      </c>
      <c r="G94" s="95">
        <v>4</v>
      </c>
      <c r="H94" s="120" t="s">
        <v>148</v>
      </c>
      <c r="I94" s="120" t="s">
        <v>184</v>
      </c>
    </row>
    <row r="95" spans="1:9" x14ac:dyDescent="0.3">
      <c r="A95" s="95" t="str">
        <f t="shared" si="2"/>
        <v>Информатики и вычислительной техники (19)</v>
      </c>
      <c r="F95" s="95">
        <v>6</v>
      </c>
      <c r="G95" s="95">
        <v>19</v>
      </c>
      <c r="H95" s="120" t="s">
        <v>149</v>
      </c>
      <c r="I95" s="120" t="s">
        <v>220</v>
      </c>
    </row>
    <row r="96" spans="1:9" x14ac:dyDescent="0.3">
      <c r="A96" s="95" t="str">
        <f t="shared" si="2"/>
        <v>Истории России (15)</v>
      </c>
      <c r="F96" s="95">
        <v>2</v>
      </c>
      <c r="G96" s="95">
        <v>15</v>
      </c>
      <c r="H96" s="120" t="s">
        <v>150</v>
      </c>
      <c r="I96" s="120" t="s">
        <v>257</v>
      </c>
    </row>
    <row r="97" spans="1:9" x14ac:dyDescent="0.3">
      <c r="A97" s="95" t="str">
        <f t="shared" si="2"/>
        <v>Кардиологии (65)</v>
      </c>
      <c r="F97" s="95">
        <v>5</v>
      </c>
      <c r="G97" s="95">
        <v>65</v>
      </c>
      <c r="H97" s="120" t="s">
        <v>151</v>
      </c>
      <c r="I97" s="120" t="s">
        <v>202</v>
      </c>
    </row>
    <row r="98" spans="1:9" x14ac:dyDescent="0.3">
      <c r="A98" s="95" t="str">
        <f t="shared" si="2"/>
        <v>Лингвистики и переводоведения (37)</v>
      </c>
      <c r="F98" s="95">
        <v>2</v>
      </c>
      <c r="G98" s="95">
        <v>37</v>
      </c>
      <c r="H98" s="120" t="s">
        <v>174</v>
      </c>
      <c r="I98" s="120" t="s">
        <v>258</v>
      </c>
    </row>
    <row r="99" spans="1:9" x14ac:dyDescent="0.3">
      <c r="A99" s="95" t="str">
        <f t="shared" si="2"/>
        <v>Медико-биологических основ физической культуры (22)</v>
      </c>
      <c r="F99" s="95">
        <v>2</v>
      </c>
      <c r="G99" s="95">
        <v>22</v>
      </c>
      <c r="H99" s="120" t="s">
        <v>152</v>
      </c>
      <c r="I99" s="120" t="s">
        <v>191</v>
      </c>
    </row>
    <row r="100" spans="1:9" x14ac:dyDescent="0.3">
      <c r="A100" s="95" t="str">
        <f t="shared" si="2"/>
        <v>Менеджмента и бизнеса (17)</v>
      </c>
      <c r="F100" s="95">
        <v>4</v>
      </c>
      <c r="G100" s="95">
        <v>17</v>
      </c>
      <c r="H100" s="120" t="s">
        <v>153</v>
      </c>
      <c r="I100" s="120" t="s">
        <v>190</v>
      </c>
    </row>
    <row r="101" spans="1:9" x14ac:dyDescent="0.3">
      <c r="A101" s="95" t="str">
        <f t="shared" si="2"/>
        <v>Многопрофильной клинической подготовки (68)</v>
      </c>
      <c r="F101" s="95">
        <v>5</v>
      </c>
      <c r="G101" s="95">
        <v>68</v>
      </c>
      <c r="H101" s="120" t="s">
        <v>175</v>
      </c>
      <c r="I101" s="120" t="s">
        <v>203</v>
      </c>
    </row>
    <row r="102" spans="1:9" x14ac:dyDescent="0.3">
      <c r="A102" s="95" t="str">
        <f t="shared" si="2"/>
        <v>Морфологии и физиологии (8)</v>
      </c>
      <c r="F102" s="95">
        <v>5</v>
      </c>
      <c r="G102" s="95">
        <v>8</v>
      </c>
      <c r="H102" s="120" t="s">
        <v>186</v>
      </c>
      <c r="I102" s="120" t="s">
        <v>187</v>
      </c>
    </row>
    <row r="103" spans="1:9" x14ac:dyDescent="0.3">
      <c r="A103" s="95" t="str">
        <f t="shared" si="2"/>
        <v>Патофизиологии и общей патологии (61)</v>
      </c>
      <c r="F103" s="95">
        <v>5</v>
      </c>
      <c r="G103" s="95">
        <v>61</v>
      </c>
      <c r="H103" s="120" t="s">
        <v>154</v>
      </c>
      <c r="I103" s="120" t="s">
        <v>200</v>
      </c>
    </row>
    <row r="104" spans="1:9" x14ac:dyDescent="0.3">
      <c r="A104" s="95" t="str">
        <f t="shared" si="2"/>
        <v>Педагогики профессионального и дополнительного образования (11)</v>
      </c>
      <c r="F104" s="95">
        <v>2</v>
      </c>
      <c r="G104" s="95">
        <v>11</v>
      </c>
      <c r="H104" s="120" t="s">
        <v>176</v>
      </c>
      <c r="I104" s="120" t="s">
        <v>259</v>
      </c>
    </row>
    <row r="105" spans="1:9" x14ac:dyDescent="0.3">
      <c r="A105" s="95" t="str">
        <f t="shared" si="2"/>
        <v>Политологии и философии (47)</v>
      </c>
      <c r="F105" s="95">
        <v>1</v>
      </c>
      <c r="G105" s="95">
        <v>47</v>
      </c>
      <c r="H105" s="120" t="s">
        <v>243</v>
      </c>
      <c r="I105" s="120" t="s">
        <v>198</v>
      </c>
    </row>
    <row r="106" spans="1:9" x14ac:dyDescent="0.3">
      <c r="A106" s="95" t="str">
        <f t="shared" si="2"/>
        <v>Прикладной математики (1)</v>
      </c>
      <c r="F106" s="95">
        <v>6</v>
      </c>
      <c r="G106" s="95">
        <v>1</v>
      </c>
      <c r="H106" s="120" t="s">
        <v>155</v>
      </c>
      <c r="I106" s="120" t="s">
        <v>182</v>
      </c>
    </row>
    <row r="107" spans="1:9" x14ac:dyDescent="0.3">
      <c r="A107" s="95" t="str">
        <f t="shared" si="2"/>
        <v>Психологии  (20)</v>
      </c>
      <c r="F107" s="95">
        <v>2</v>
      </c>
      <c r="G107" s="95">
        <v>20</v>
      </c>
      <c r="H107" s="120" t="s">
        <v>260</v>
      </c>
      <c r="I107" s="120" t="s">
        <v>244</v>
      </c>
    </row>
    <row r="108" spans="1:9" x14ac:dyDescent="0.3">
      <c r="A108" s="95" t="str">
        <f t="shared" si="2"/>
        <v>Публичного и уголовного права (30)</v>
      </c>
      <c r="F108" s="95">
        <v>1</v>
      </c>
      <c r="G108" s="95">
        <v>30</v>
      </c>
      <c r="H108" s="120" t="s">
        <v>245</v>
      </c>
      <c r="I108" s="120" t="s">
        <v>210</v>
      </c>
    </row>
    <row r="109" spans="1:9" x14ac:dyDescent="0.3">
      <c r="A109" s="95" t="str">
        <f t="shared" si="2"/>
        <v>Радиоэлектроники и электроэнергетики (13)</v>
      </c>
      <c r="F109" s="95">
        <v>6</v>
      </c>
      <c r="G109" s="95">
        <v>13</v>
      </c>
      <c r="H109" s="120" t="s">
        <v>207</v>
      </c>
      <c r="I109" s="120" t="s">
        <v>188</v>
      </c>
    </row>
    <row r="110" spans="1:9" x14ac:dyDescent="0.3">
      <c r="A110" s="95" t="str">
        <f t="shared" si="2"/>
        <v>Режиссуры (44)</v>
      </c>
      <c r="F110" s="95">
        <v>2</v>
      </c>
      <c r="G110" s="95">
        <v>44</v>
      </c>
      <c r="H110" s="120" t="s">
        <v>156</v>
      </c>
      <c r="I110" s="120" t="s">
        <v>196</v>
      </c>
    </row>
    <row r="111" spans="1:9" x14ac:dyDescent="0.3">
      <c r="A111" s="95" t="str">
        <f t="shared" si="2"/>
        <v>Строительных технологий и конструкций (62)</v>
      </c>
      <c r="F111" s="95">
        <v>6</v>
      </c>
      <c r="G111" s="95">
        <v>62</v>
      </c>
      <c r="H111" s="120" t="s">
        <v>157</v>
      </c>
      <c r="I111" s="120" t="s">
        <v>201</v>
      </c>
    </row>
    <row r="112" spans="1:9" x14ac:dyDescent="0.3">
      <c r="A112" s="95" t="str">
        <f t="shared" si="2"/>
        <v>Теории физической культуры (33)</v>
      </c>
      <c r="F112" s="95">
        <v>2</v>
      </c>
      <c r="G112" s="95">
        <v>33</v>
      </c>
      <c r="H112" s="120" t="s">
        <v>158</v>
      </c>
      <c r="I112" s="120" t="s">
        <v>208</v>
      </c>
    </row>
    <row r="113" spans="1:9" x14ac:dyDescent="0.3">
      <c r="A113" s="95" t="str">
        <f t="shared" si="2"/>
        <v>Физической культуры (6)</v>
      </c>
      <c r="F113" s="95">
        <v>2</v>
      </c>
      <c r="G113" s="95">
        <v>6</v>
      </c>
      <c r="H113" s="120" t="s">
        <v>159</v>
      </c>
      <c r="I113" s="120" t="s">
        <v>185</v>
      </c>
    </row>
    <row r="114" spans="1:9" x14ac:dyDescent="0.3">
      <c r="A114" s="95" t="str">
        <f t="shared" si="2"/>
        <v>Химии (5)</v>
      </c>
      <c r="F114" s="95">
        <v>3</v>
      </c>
      <c r="G114" s="95">
        <v>5</v>
      </c>
      <c r="H114" s="120" t="s">
        <v>160</v>
      </c>
      <c r="I114" s="120"/>
    </row>
    <row r="115" spans="1:9" x14ac:dyDescent="0.3">
      <c r="A115" s="95" t="str">
        <f t="shared" si="2"/>
        <v>Хирургических болезней (26)</v>
      </c>
      <c r="F115" s="95">
        <v>5</v>
      </c>
      <c r="G115" s="95">
        <v>26</v>
      </c>
      <c r="H115" s="120" t="s">
        <v>177</v>
      </c>
      <c r="I115" s="120" t="s">
        <v>194</v>
      </c>
    </row>
    <row r="116" spans="1:9" x14ac:dyDescent="0.3">
      <c r="A116" s="95" t="str">
        <f t="shared" si="2"/>
        <v>Частного и предпринимательского права (39)</v>
      </c>
      <c r="F116" s="95">
        <v>1</v>
      </c>
      <c r="G116" s="95">
        <v>39</v>
      </c>
      <c r="H116" s="120" t="s">
        <v>246</v>
      </c>
      <c r="I116" s="120" t="s">
        <v>261</v>
      </c>
    </row>
    <row r="117" spans="1:9" x14ac:dyDescent="0.3">
      <c r="A117" s="95" t="str">
        <f t="shared" ref="A117:A119" si="3">H117 &amp; " (" &amp; G117 &amp; ")"</f>
        <v>Экологии и биофизики (38)</v>
      </c>
      <c r="F117" s="95">
        <v>3</v>
      </c>
      <c r="G117" s="95">
        <v>38</v>
      </c>
      <c r="H117" s="120" t="s">
        <v>178</v>
      </c>
      <c r="I117" s="120" t="s">
        <v>195</v>
      </c>
    </row>
    <row r="118" spans="1:9" x14ac:dyDescent="0.3">
      <c r="A118" s="95" t="str">
        <f t="shared" si="3"/>
        <v>Экономики, учета и финансов (23)</v>
      </c>
      <c r="F118" s="95">
        <v>4</v>
      </c>
      <c r="G118" s="95">
        <v>23</v>
      </c>
      <c r="H118" s="120" t="s">
        <v>262</v>
      </c>
      <c r="I118" s="120" t="s">
        <v>192</v>
      </c>
    </row>
    <row r="119" spans="1:9" x14ac:dyDescent="0.3">
      <c r="A119" s="101" t="str">
        <f t="shared" si="3"/>
        <v>Экспериментальной физики (3)</v>
      </c>
      <c r="F119" s="101">
        <v>6</v>
      </c>
      <c r="G119" s="101">
        <v>3</v>
      </c>
      <c r="H119" s="121" t="s">
        <v>161</v>
      </c>
      <c r="I119" s="121" t="s">
        <v>183</v>
      </c>
    </row>
    <row r="121" spans="1:9" x14ac:dyDescent="0.3">
      <c r="A121" s="117" t="s">
        <v>140</v>
      </c>
      <c r="B121" s="123" t="s">
        <v>144</v>
      </c>
    </row>
    <row r="122" spans="1:9" x14ac:dyDescent="0.3">
      <c r="A122" s="95" t="s">
        <v>143</v>
      </c>
      <c r="B122" s="113">
        <v>50</v>
      </c>
    </row>
    <row r="123" spans="1:9" x14ac:dyDescent="0.3">
      <c r="A123" s="95" t="s">
        <v>141</v>
      </c>
      <c r="B123" s="113">
        <v>50</v>
      </c>
    </row>
    <row r="124" spans="1:9" x14ac:dyDescent="0.3">
      <c r="A124" s="101"/>
      <c r="B124" s="116">
        <v>0</v>
      </c>
    </row>
  </sheetData>
  <sheetProtection algorithmName="SHA-512" hashValue="CU3PmOSceabT1lxAUuhYbutAk9Ce8Hx7kN9ElM8nwH8XAZEV67/Ft5ArNZyEAYtRwj1uKRhFkw2U/Km8Xt7yoA==" saltValue="NDN5M6xXByAXW1VmDw0f/g==" spinCount="100000" sheet="1" objects="1" scenarios="1"/>
  <mergeCells count="3">
    <mergeCell ref="F10:G10"/>
    <mergeCell ref="F11:G11"/>
    <mergeCell ref="F12:G12"/>
  </mergeCells>
  <phoneticPr fontId="3" type="noConversion"/>
  <pageMargins left="0.39370078740157483" right="0.39370078740157483" top="0.98425196850393704" bottom="0.39370078740157483" header="0.78740157480314965" footer="0.31496062992125984"/>
  <pageSetup paperSize="9" scale="46" orientation="landscape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7">
    <tabColor indexed="10"/>
    <pageSetUpPr fitToPage="1"/>
  </sheetPr>
  <dimension ref="A1:B24"/>
  <sheetViews>
    <sheetView tabSelected="1" workbookViewId="0">
      <pane xSplit="2" ySplit="1" topLeftCell="C11" activePane="bottomRight" state="frozen"/>
      <selection activeCell="A19" sqref="A19:B22"/>
      <selection pane="topRight" activeCell="A19" sqref="A19:B22"/>
      <selection pane="bottomLeft" activeCell="A19" sqref="A19:B22"/>
      <selection pane="bottomRight" activeCell="A14" sqref="A14:B15"/>
    </sheetView>
  </sheetViews>
  <sheetFormatPr defaultRowHeight="14.25" x14ac:dyDescent="0.3"/>
  <cols>
    <col min="1" max="1" width="3.85546875" style="138" customWidth="1"/>
    <col min="2" max="2" width="88.85546875" style="140" customWidth="1"/>
    <col min="3" max="16384" width="9.140625" style="71"/>
  </cols>
  <sheetData>
    <row r="1" spans="1:2" s="137" customFormat="1" ht="43.5" customHeight="1" x14ac:dyDescent="0.3">
      <c r="A1" s="322" t="s">
        <v>251</v>
      </c>
      <c r="B1" s="323"/>
    </row>
    <row r="2" spans="1:2" s="137" customFormat="1" ht="102" customHeight="1" x14ac:dyDescent="0.3">
      <c r="A2" s="324" t="s">
        <v>224</v>
      </c>
      <c r="B2" s="324"/>
    </row>
    <row r="3" spans="1:2" s="137" customFormat="1" ht="57" x14ac:dyDescent="0.3">
      <c r="A3" s="138">
        <v>1</v>
      </c>
      <c r="B3" s="70" t="s">
        <v>225</v>
      </c>
    </row>
    <row r="4" spans="1:2" ht="57" x14ac:dyDescent="0.3">
      <c r="A4" s="138">
        <v>2</v>
      </c>
      <c r="B4" s="19" t="s">
        <v>226</v>
      </c>
    </row>
    <row r="5" spans="1:2" ht="42.75" x14ac:dyDescent="0.3">
      <c r="A5" s="138">
        <v>3</v>
      </c>
      <c r="B5" s="19" t="s">
        <v>227</v>
      </c>
    </row>
    <row r="6" spans="1:2" ht="28.5" x14ac:dyDescent="0.3">
      <c r="A6" s="138">
        <v>4</v>
      </c>
      <c r="B6" s="19" t="s">
        <v>228</v>
      </c>
    </row>
    <row r="7" spans="1:2" ht="57" x14ac:dyDescent="0.3">
      <c r="A7" s="138">
        <v>5</v>
      </c>
      <c r="B7" s="19" t="s">
        <v>229</v>
      </c>
    </row>
    <row r="8" spans="1:2" ht="28.5" x14ac:dyDescent="0.3">
      <c r="A8" s="138">
        <v>6</v>
      </c>
      <c r="B8" s="19" t="s">
        <v>230</v>
      </c>
    </row>
    <row r="9" spans="1:2" ht="102" customHeight="1" x14ac:dyDescent="0.3">
      <c r="A9" s="138">
        <v>7</v>
      </c>
      <c r="B9" s="19" t="s">
        <v>231</v>
      </c>
    </row>
    <row r="10" spans="1:2" ht="42.75" x14ac:dyDescent="0.3">
      <c r="A10" s="138">
        <v>8</v>
      </c>
      <c r="B10" s="19" t="s">
        <v>232</v>
      </c>
    </row>
    <row r="11" spans="1:2" ht="57" x14ac:dyDescent="0.3">
      <c r="A11" s="138">
        <v>9</v>
      </c>
      <c r="B11" s="19" t="s">
        <v>233</v>
      </c>
    </row>
    <row r="12" spans="1:2" ht="28.5" x14ac:dyDescent="0.3">
      <c r="A12" s="138">
        <v>10</v>
      </c>
      <c r="B12" s="19" t="s">
        <v>234</v>
      </c>
    </row>
    <row r="13" spans="1:2" ht="57" x14ac:dyDescent="0.3">
      <c r="A13" s="138">
        <v>11</v>
      </c>
      <c r="B13" s="19" t="s">
        <v>235</v>
      </c>
    </row>
    <row r="14" spans="1:2" ht="42.75" x14ac:dyDescent="0.3">
      <c r="A14" s="139">
        <v>12</v>
      </c>
      <c r="B14" s="141" t="s">
        <v>236</v>
      </c>
    </row>
    <row r="15" spans="1:2" ht="57" x14ac:dyDescent="0.3">
      <c r="A15" s="139">
        <v>13</v>
      </c>
      <c r="B15" s="141" t="s">
        <v>237</v>
      </c>
    </row>
    <row r="16" spans="1:2" ht="71.25" x14ac:dyDescent="0.3">
      <c r="A16" s="138">
        <v>14</v>
      </c>
      <c r="B16" s="19" t="s">
        <v>238</v>
      </c>
    </row>
    <row r="17" spans="1:2" x14ac:dyDescent="0.3">
      <c r="B17" s="19"/>
    </row>
    <row r="18" spans="1:2" ht="60.75" customHeight="1" x14ac:dyDescent="0.3">
      <c r="A18" s="325" t="s">
        <v>239</v>
      </c>
      <c r="B18" s="325"/>
    </row>
    <row r="19" spans="1:2" x14ac:dyDescent="0.3">
      <c r="B19" s="19"/>
    </row>
    <row r="20" spans="1:2" x14ac:dyDescent="0.3">
      <c r="B20" s="19"/>
    </row>
    <row r="21" spans="1:2" x14ac:dyDescent="0.3">
      <c r="B21" s="19"/>
    </row>
    <row r="22" spans="1:2" x14ac:dyDescent="0.3">
      <c r="B22" s="19"/>
    </row>
    <row r="23" spans="1:2" x14ac:dyDescent="0.3">
      <c r="B23" s="19"/>
    </row>
    <row r="24" spans="1:2" x14ac:dyDescent="0.3">
      <c r="B24" s="19"/>
    </row>
  </sheetData>
  <sheetProtection algorithmName="SHA-512" hashValue="H34nvjoE6HSi6n8fMJksf/n6OxPzyJAhjOVaBdoOhWlPuYtAdxxwf67OtL+h5Bb7plVAUfmPfxLA31Kj2iS5IQ==" saltValue="iZMNJbz+snokjYPMpBcSNQ==" spinCount="100000" sheet="1" objects="1" scenarios="1"/>
  <mergeCells count="3">
    <mergeCell ref="A1:B1"/>
    <mergeCell ref="A2:B2"/>
    <mergeCell ref="A18:B18"/>
  </mergeCells>
  <phoneticPr fontId="0" type="noConversion"/>
  <hyperlinks>
    <hyperlink ref="A18:B18" r:id="rId1" display="qq"/>
  </hyperlinks>
  <printOptions horizontalCentered="1"/>
  <pageMargins left="0.98425196850393704" right="0.39370078740157483" top="0.78740157480314965" bottom="0.59055118110236227" header="0.51181102362204722" footer="0.51181102362204722"/>
  <pageSetup paperSize="9" scale="96" fitToHeight="10" orientation="portrait" r:id="rId2"/>
  <headerFooter alignWithMargins="0">
    <oddHeader>&amp;L&amp;F&amp;C&amp;P&amp;R&amp;D  &amp;T</oddHeader>
  </headerFooter>
  <rowBreaks count="1" manualBreakCount="1">
    <brk id="4" max="1" man="1"/>
  </rowBreak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22">
    <pageSetUpPr fitToPage="1"/>
  </sheetPr>
  <dimension ref="A1:F44"/>
  <sheetViews>
    <sheetView zoomScaleNormal="100" workbookViewId="0">
      <selection activeCell="A13" sqref="A13"/>
    </sheetView>
  </sheetViews>
  <sheetFormatPr defaultRowHeight="14.25" x14ac:dyDescent="0.3"/>
  <cols>
    <col min="1" max="1" width="17.7109375" style="71" customWidth="1"/>
    <col min="2" max="2" width="14.7109375" style="71" customWidth="1"/>
    <col min="3" max="4" width="12.7109375" style="71" customWidth="1"/>
    <col min="5" max="5" width="7.7109375" style="71" customWidth="1"/>
    <col min="6" max="6" width="22.7109375" style="71" customWidth="1"/>
    <col min="7" max="16384" width="9.140625" style="71"/>
  </cols>
  <sheetData>
    <row r="1" spans="1:6" ht="63" customHeight="1" x14ac:dyDescent="0.4">
      <c r="A1" s="332"/>
      <c r="B1" s="332"/>
      <c r="C1" s="332"/>
      <c r="D1" s="332"/>
      <c r="E1" s="332"/>
      <c r="F1" s="332"/>
    </row>
    <row r="2" spans="1:6" ht="28.5" customHeight="1" x14ac:dyDescent="0.3">
      <c r="A2" s="333" t="s">
        <v>247</v>
      </c>
      <c r="B2" s="334"/>
      <c r="C2" s="334"/>
      <c r="D2" s="334"/>
      <c r="E2" s="334"/>
      <c r="F2" s="334"/>
    </row>
    <row r="3" spans="1:6" ht="18.75" x14ac:dyDescent="0.4">
      <c r="A3" s="332"/>
      <c r="B3" s="332"/>
      <c r="C3" s="332"/>
      <c r="D3" s="332"/>
      <c r="E3" s="332"/>
      <c r="F3" s="332"/>
    </row>
    <row r="4" spans="1:6" ht="69.75" customHeight="1" x14ac:dyDescent="0.3">
      <c r="F4" s="142"/>
    </row>
    <row r="5" spans="1:6" s="143" customFormat="1" ht="24" customHeight="1" x14ac:dyDescent="0.3">
      <c r="A5" s="335" t="s">
        <v>248</v>
      </c>
      <c r="B5" s="335"/>
      <c r="C5" s="335"/>
      <c r="D5" s="335"/>
      <c r="E5" s="335"/>
      <c r="F5" s="335"/>
    </row>
    <row r="6" spans="1:6" s="143" customFormat="1" ht="15" customHeight="1" x14ac:dyDescent="0.3">
      <c r="A6" s="336" t="s">
        <v>139</v>
      </c>
      <c r="B6" s="336"/>
      <c r="C6" s="336"/>
      <c r="D6" s="336"/>
      <c r="E6" s="336"/>
      <c r="F6" s="336"/>
    </row>
    <row r="7" spans="1:6" ht="21.75" customHeight="1" x14ac:dyDescent="0.3">
      <c r="F7" s="144" t="str">
        <f>CONCATENATE("(v. ",Form_PPS_v_major,".",Form_PPS_v_minor,")")</f>
        <v>(v. 14.0)</v>
      </c>
    </row>
    <row r="8" spans="1:6" x14ac:dyDescent="0.3">
      <c r="A8" s="71" t="s">
        <v>94</v>
      </c>
      <c r="B8" s="330"/>
      <c r="C8" s="330"/>
      <c r="D8" s="330"/>
      <c r="E8" s="330"/>
      <c r="F8" s="330"/>
    </row>
    <row r="9" spans="1:6" x14ac:dyDescent="0.3">
      <c r="A9" s="71" t="s">
        <v>9</v>
      </c>
      <c r="B9" s="330"/>
      <c r="C9" s="330"/>
      <c r="D9" s="330"/>
      <c r="E9" s="330"/>
      <c r="F9" s="330"/>
    </row>
    <row r="11" spans="1:6" x14ac:dyDescent="0.3">
      <c r="A11" s="71" t="s">
        <v>30</v>
      </c>
      <c r="B11" s="331" t="s">
        <v>263</v>
      </c>
      <c r="C11" s="331"/>
    </row>
    <row r="12" spans="1:6" x14ac:dyDescent="0.3">
      <c r="A12" s="71" t="s">
        <v>121</v>
      </c>
      <c r="B12" s="330"/>
      <c r="C12" s="330"/>
    </row>
    <row r="13" spans="1:6" ht="18.75" customHeight="1" x14ac:dyDescent="0.3">
      <c r="A13" s="145"/>
      <c r="B13" s="145"/>
      <c r="C13" s="145"/>
      <c r="D13" s="145"/>
      <c r="E13" s="145"/>
      <c r="F13" s="145"/>
    </row>
    <row r="14" spans="1:6" ht="18.75" customHeight="1" x14ac:dyDescent="0.3"/>
    <row r="15" spans="1:6" x14ac:dyDescent="0.3">
      <c r="A15" s="71" t="s">
        <v>10</v>
      </c>
      <c r="B15" s="330"/>
      <c r="C15" s="330"/>
      <c r="D15" s="330"/>
      <c r="E15" s="330"/>
      <c r="F15" s="330"/>
    </row>
    <row r="16" spans="1:6" x14ac:dyDescent="0.3">
      <c r="A16" s="71" t="s">
        <v>11</v>
      </c>
      <c r="B16" s="330"/>
      <c r="C16" s="330"/>
      <c r="D16" s="337" t="s">
        <v>209</v>
      </c>
      <c r="E16" s="337"/>
      <c r="F16" s="146"/>
    </row>
    <row r="18" spans="1:6" x14ac:dyDescent="0.3">
      <c r="A18" s="71" t="s">
        <v>12</v>
      </c>
      <c r="B18" s="330"/>
      <c r="C18" s="330"/>
      <c r="D18" s="330"/>
      <c r="E18" s="330"/>
      <c r="F18" s="330"/>
    </row>
    <row r="19" spans="1:6" x14ac:dyDescent="0.3">
      <c r="A19" s="71" t="s">
        <v>13</v>
      </c>
      <c r="B19" s="330"/>
      <c r="C19" s="330"/>
    </row>
    <row r="20" spans="1:6" ht="18.75" customHeight="1" x14ac:dyDescent="0.3">
      <c r="A20" s="145"/>
      <c r="B20" s="145"/>
      <c r="C20" s="145"/>
      <c r="D20" s="145"/>
      <c r="E20" s="145"/>
      <c r="F20" s="145"/>
    </row>
    <row r="21" spans="1:6" ht="18.75" customHeight="1" x14ac:dyDescent="0.3"/>
    <row r="22" spans="1:6" x14ac:dyDescent="0.3">
      <c r="A22" s="71" t="s">
        <v>223</v>
      </c>
    </row>
    <row r="23" spans="1:6" x14ac:dyDescent="0.3">
      <c r="B23" s="147"/>
      <c r="C23" s="148" t="s">
        <v>137</v>
      </c>
      <c r="D23" s="149" t="s">
        <v>136</v>
      </c>
      <c r="F23" s="150"/>
    </row>
    <row r="24" spans="1:6" x14ac:dyDescent="0.3">
      <c r="B24" s="151" t="str">
        <f>INDEX(ВидыНагрузки,1)</f>
        <v>основное</v>
      </c>
      <c r="C24" s="152">
        <f>карточка!S71</f>
        <v>0</v>
      </c>
      <c r="D24" s="153"/>
      <c r="F24" s="154"/>
    </row>
    <row r="25" spans="1:6" x14ac:dyDescent="0.3">
      <c r="B25" s="151" t="str">
        <f>INDEX(ВидыНагрузки,2)</f>
        <v>совмещение</v>
      </c>
      <c r="C25" s="155">
        <f>карточка!S72</f>
        <v>0</v>
      </c>
      <c r="D25" s="156"/>
      <c r="F25" s="157"/>
    </row>
    <row r="26" spans="1:6" x14ac:dyDescent="0.3">
      <c r="B26" s="151" t="str">
        <f>INDEX(ВидыНагрузки,3)</f>
        <v>почасовая</v>
      </c>
      <c r="C26" s="158">
        <f>карточка!S73</f>
        <v>0</v>
      </c>
      <c r="D26" s="159"/>
      <c r="F26" s="147"/>
    </row>
    <row r="27" spans="1:6" x14ac:dyDescent="0.3">
      <c r="B27" s="151" t="s">
        <v>6</v>
      </c>
      <c r="C27" s="160">
        <f>карточка!S74</f>
        <v>0</v>
      </c>
      <c r="D27" s="161">
        <f>SUM(D24:D26)</f>
        <v>0</v>
      </c>
      <c r="E27" s="151"/>
      <c r="F27" s="162"/>
    </row>
    <row r="28" spans="1:6" x14ac:dyDescent="0.3">
      <c r="B28" s="151"/>
      <c r="C28" s="163"/>
      <c r="D28" s="163"/>
      <c r="E28" s="164"/>
    </row>
    <row r="29" spans="1:6" ht="5.0999999999999996" customHeight="1" x14ac:dyDescent="0.3">
      <c r="F29" s="165">
        <f>COUNTIF(F30:F36,"&gt;0")</f>
        <v>0</v>
      </c>
    </row>
    <row r="30" spans="1:6" ht="5.0999999999999996" customHeight="1" x14ac:dyDescent="0.3">
      <c r="F30" s="166"/>
    </row>
    <row r="31" spans="1:6" ht="5.0999999999999996" customHeight="1" x14ac:dyDescent="0.3">
      <c r="F31" s="166"/>
    </row>
    <row r="32" spans="1:6" ht="5.0999999999999996" customHeight="1" x14ac:dyDescent="0.3">
      <c r="F32" s="166"/>
    </row>
    <row r="33" spans="1:6" ht="5.0999999999999996" customHeight="1" x14ac:dyDescent="0.3">
      <c r="F33" s="166"/>
    </row>
    <row r="34" spans="1:6" ht="5.0999999999999996" customHeight="1" x14ac:dyDescent="0.3">
      <c r="F34" s="166"/>
    </row>
    <row r="36" spans="1:6" x14ac:dyDescent="0.3">
      <c r="F36" s="166"/>
    </row>
    <row r="38" spans="1:6" x14ac:dyDescent="0.3">
      <c r="A38" s="326"/>
      <c r="B38" s="326"/>
      <c r="C38" s="326"/>
      <c r="D38" s="326"/>
      <c r="E38" s="326"/>
      <c r="F38" s="326"/>
    </row>
    <row r="39" spans="1:6" x14ac:dyDescent="0.3">
      <c r="A39" s="327"/>
      <c r="B39" s="327"/>
      <c r="C39" s="327"/>
      <c r="D39" s="327"/>
      <c r="E39" s="327"/>
      <c r="F39" s="327"/>
    </row>
    <row r="40" spans="1:6" x14ac:dyDescent="0.3">
      <c r="A40" s="328"/>
      <c r="B40" s="328"/>
      <c r="C40" s="328"/>
      <c r="D40" s="328"/>
      <c r="E40" s="328"/>
      <c r="F40" s="328"/>
    </row>
    <row r="41" spans="1:6" x14ac:dyDescent="0.3">
      <c r="A41" s="145"/>
      <c r="B41" s="145"/>
      <c r="C41" s="145"/>
      <c r="D41" s="145"/>
      <c r="E41" s="145"/>
      <c r="F41" s="145"/>
    </row>
    <row r="44" spans="1:6" ht="18.75" x14ac:dyDescent="0.4">
      <c r="A44" s="329" t="str">
        <f>CONCATENATE("Сургут, ",MID(B11,1,4)," г.")</f>
        <v>Сургут, 2025 г.</v>
      </c>
      <c r="B44" s="329"/>
      <c r="C44" s="329"/>
      <c r="D44" s="329"/>
      <c r="E44" s="329"/>
      <c r="F44" s="329"/>
    </row>
  </sheetData>
  <sheetProtection algorithmName="SHA-512" hashValue="wUjigKxT2khkjFbs0+xOn7kPzq16MYN35l3PEK5yFUrHjw8uqSs/LMgU9DF+LZXrPshOsoV3F7y7ZsPnvs+toQ==" saltValue="C9tyrTXQOCq9VoResA1LOQ==" spinCount="100000" sheet="1" objects="1" scenarios="1"/>
  <mergeCells count="19">
    <mergeCell ref="B12:C12"/>
    <mergeCell ref="B15:F15"/>
    <mergeCell ref="B16:C16"/>
    <mergeCell ref="B19:C19"/>
    <mergeCell ref="B18:C18"/>
    <mergeCell ref="D16:E16"/>
    <mergeCell ref="B9:F9"/>
    <mergeCell ref="B11:C11"/>
    <mergeCell ref="A1:F1"/>
    <mergeCell ref="A2:F2"/>
    <mergeCell ref="A3:F3"/>
    <mergeCell ref="A5:F5"/>
    <mergeCell ref="A6:F6"/>
    <mergeCell ref="B8:F8"/>
    <mergeCell ref="A38:F38"/>
    <mergeCell ref="A39:F39"/>
    <mergeCell ref="A40:F40"/>
    <mergeCell ref="A44:F44"/>
    <mergeCell ref="D18:F18"/>
  </mergeCells>
  <phoneticPr fontId="22" type="noConversion"/>
  <conditionalFormatting sqref="B18:C19 B15:D15 B12:C12 B8:D9 B16:C16 D24:D26">
    <cfRule type="cellIs" dxfId="85" priority="8" stopIfTrue="1" operator="equal">
      <formula>""</formula>
    </cfRule>
  </conditionalFormatting>
  <conditionalFormatting sqref="D18">
    <cfRule type="expression" dxfId="84" priority="9" stopIfTrue="1">
      <formula>AND($B$18&lt;&gt;"",$B$18&lt;&gt;"(нет)",$D$18="")</formula>
    </cfRule>
  </conditionalFormatting>
  <conditionalFormatting sqref="F16">
    <cfRule type="expression" dxfId="83" priority="1" stopIfTrue="1">
      <formula>AND($D$16&gt;0,$F$16="")</formula>
    </cfRule>
    <cfRule type="expression" dxfId="82" priority="2">
      <formula>($D$16=0)</formula>
    </cfRule>
  </conditionalFormatting>
  <dataValidations count="8">
    <dataValidation type="list" showErrorMessage="1" errorTitle="Неверные данные" error="Необходимо выбрать значение из списка" sqref="B8:F8">
      <formula1>Институты</formula1>
    </dataValidation>
    <dataValidation type="list" showErrorMessage="1" errorTitle="Неверные данные" error="Необходимо выбрать значение из списка" promptTitle="ываыв" prompt="ваываыва" sqref="B16:C16">
      <formula1>ДолжностиППС</formula1>
    </dataValidation>
    <dataValidation type="list" showErrorMessage="1" errorTitle="Неверные данные" error="Необходимо выбрать значение из списка" promptTitle="ываыв" prompt="ваываыва" sqref="B12:C12">
      <formula1>ФормыООП</formula1>
    </dataValidation>
    <dataValidation type="list" allowBlank="1" errorTitle="Неверные данные" error="Необходимо выбрать значение из списка" sqref="D18:F18">
      <formula1>IF(OR($B$18="(нет)",$B$18=""),D19,ОтраслиНаук)</formula1>
    </dataValidation>
    <dataValidation type="list" showErrorMessage="1" errorTitle="Неверные данные" error="Необзодимо выбрать значение из списка" sqref="B19:C19">
      <formula1>ЗванияППС</formula1>
    </dataValidation>
    <dataValidation type="list" showErrorMessage="1" errorTitle="Неверные данные" error="Необходимо выбрать значение из списка" sqref="B18:C18">
      <formula1>СтепениППС</formula1>
    </dataValidation>
    <dataValidation type="list" showInputMessage="1" showErrorMessage="1" sqref="B9:F9">
      <formula1>Кафедры</formula1>
    </dataValidation>
    <dataValidation type="list" allowBlank="1" showInputMessage="1" showErrorMessage="1" sqref="F16">
      <formula1>ДолжностиППС_С</formula1>
    </dataValidation>
  </dataValidations>
  <printOptions horizontalCentered="1" verticalCentered="1"/>
  <pageMargins left="0.78740157480314965" right="0.39370078740157483" top="0.39370078740157483" bottom="0.39370078740157483" header="0.51181102362204722" footer="0.51181102362204722"/>
  <pageSetup paperSize="9" orientation="portrait" r:id="rId1"/>
  <headerFooter alignWithMargins="0"/>
  <drawing r:id="rId2"/>
  <legacyDrawing r:id="rId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3">
    <tabColor rgb="FFFFFF66"/>
    <pageSetUpPr fitToPage="1"/>
  </sheetPr>
  <dimension ref="A1:Z194"/>
  <sheetViews>
    <sheetView zoomScale="85" zoomScaleNormal="85" workbookViewId="0">
      <pane xSplit="7" ySplit="4" topLeftCell="H5" activePane="bottomRight" state="frozen"/>
      <selection activeCell="D3" sqref="D3:F4"/>
      <selection pane="topRight" activeCell="D3" sqref="D3:F4"/>
      <selection pane="bottomLeft" activeCell="D3" sqref="D3:F4"/>
      <selection pane="bottomRight" activeCell="D5" sqref="D5:D6"/>
    </sheetView>
  </sheetViews>
  <sheetFormatPr defaultRowHeight="14.25" x14ac:dyDescent="0.3"/>
  <cols>
    <col min="1" max="2" width="4.7109375" style="167" hidden="1" customWidth="1"/>
    <col min="3" max="3" width="27" style="168" hidden="1" customWidth="1"/>
    <col min="4" max="4" width="32.7109375" style="168" customWidth="1"/>
    <col min="5" max="5" width="18.7109375" style="168" customWidth="1"/>
    <col min="6" max="6" width="6.7109375" style="168" customWidth="1"/>
    <col min="7" max="7" width="5.7109375" style="168" customWidth="1"/>
    <col min="8" max="9" width="3.7109375" style="168" customWidth="1"/>
    <col min="10" max="23" width="6.7109375" style="168" customWidth="1"/>
    <col min="24" max="25" width="7.7109375" style="168" customWidth="1"/>
    <col min="26" max="26" width="20.7109375" style="168" customWidth="1"/>
    <col min="27" max="16384" width="9.140625" style="168"/>
  </cols>
  <sheetData>
    <row r="1" spans="1:26" ht="12.75" customHeight="1" x14ac:dyDescent="0.3">
      <c r="D1" s="351" t="s">
        <v>96</v>
      </c>
      <c r="E1" s="352"/>
      <c r="F1" s="352"/>
      <c r="G1" s="352"/>
      <c r="H1" s="352"/>
      <c r="I1" s="352"/>
      <c r="J1" s="348" t="s">
        <v>240</v>
      </c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49"/>
      <c r="V1" s="349"/>
      <c r="W1" s="350"/>
    </row>
    <row r="2" spans="1:26" ht="112.5" customHeight="1" x14ac:dyDescent="0.3">
      <c r="A2" s="169" t="s">
        <v>118</v>
      </c>
      <c r="B2" s="169" t="s">
        <v>113</v>
      </c>
      <c r="C2" s="170" t="s">
        <v>76</v>
      </c>
      <c r="D2" s="193" t="s">
        <v>69</v>
      </c>
      <c r="E2" s="194" t="s">
        <v>100</v>
      </c>
      <c r="F2" s="196" t="s">
        <v>109</v>
      </c>
      <c r="G2" s="313" t="s">
        <v>117</v>
      </c>
      <c r="H2" s="201" t="s">
        <v>101</v>
      </c>
      <c r="I2" s="196" t="s">
        <v>85</v>
      </c>
      <c r="J2" s="201" t="s">
        <v>0</v>
      </c>
      <c r="K2" s="200" t="s">
        <v>68</v>
      </c>
      <c r="L2" s="195" t="s">
        <v>3</v>
      </c>
      <c r="M2" s="201" t="s">
        <v>1</v>
      </c>
      <c r="N2" s="200" t="s">
        <v>4</v>
      </c>
      <c r="O2" s="195" t="s">
        <v>62</v>
      </c>
      <c r="P2" s="201" t="s">
        <v>252</v>
      </c>
      <c r="Q2" s="200" t="s">
        <v>2</v>
      </c>
      <c r="R2" s="195" t="s">
        <v>205</v>
      </c>
      <c r="S2" s="201" t="s">
        <v>253</v>
      </c>
      <c r="T2" s="200" t="s">
        <v>254</v>
      </c>
      <c r="U2" s="202" t="s">
        <v>70</v>
      </c>
      <c r="V2" s="195" t="s">
        <v>138</v>
      </c>
      <c r="W2" s="314" t="s">
        <v>5</v>
      </c>
      <c r="X2" s="315" t="s">
        <v>6</v>
      </c>
      <c r="Y2" s="313" t="s">
        <v>84</v>
      </c>
      <c r="Z2" s="245" t="s">
        <v>29</v>
      </c>
    </row>
    <row r="3" spans="1:26" x14ac:dyDescent="0.3">
      <c r="A3" s="172"/>
      <c r="B3" s="172"/>
      <c r="C3" s="173"/>
      <c r="D3" s="354" t="s">
        <v>95</v>
      </c>
      <c r="E3" s="355"/>
      <c r="F3" s="356"/>
      <c r="G3" s="265" t="s">
        <v>7</v>
      </c>
      <c r="H3" s="266"/>
      <c r="I3" s="174"/>
      <c r="J3" s="267">
        <f t="shared" ref="J3:W4" si="0">SUMIF($G$5:$G$178,$G3,J$5:J$178)</f>
        <v>0</v>
      </c>
      <c r="K3" s="268">
        <f t="shared" si="0"/>
        <v>0</v>
      </c>
      <c r="L3" s="269">
        <f t="shared" si="0"/>
        <v>0</v>
      </c>
      <c r="M3" s="267">
        <f t="shared" si="0"/>
        <v>0</v>
      </c>
      <c r="N3" s="268">
        <f t="shared" si="0"/>
        <v>0</v>
      </c>
      <c r="O3" s="269">
        <f t="shared" si="0"/>
        <v>0</v>
      </c>
      <c r="P3" s="267">
        <f t="shared" si="0"/>
        <v>0</v>
      </c>
      <c r="Q3" s="268">
        <f t="shared" si="0"/>
        <v>0</v>
      </c>
      <c r="R3" s="269">
        <f t="shared" si="0"/>
        <v>0</v>
      </c>
      <c r="S3" s="267">
        <f t="shared" si="0"/>
        <v>0</v>
      </c>
      <c r="T3" s="268">
        <f t="shared" si="0"/>
        <v>0</v>
      </c>
      <c r="U3" s="270">
        <f t="shared" si="0"/>
        <v>0</v>
      </c>
      <c r="V3" s="269">
        <f t="shared" si="0"/>
        <v>0</v>
      </c>
      <c r="W3" s="269">
        <f t="shared" si="0"/>
        <v>0</v>
      </c>
      <c r="X3" s="271">
        <f t="shared" ref="X3:X30" si="1">SUM(J3:W3)</f>
        <v>0</v>
      </c>
      <c r="Y3" s="353">
        <f>X4-X3</f>
        <v>0</v>
      </c>
      <c r="Z3" s="175">
        <f>Утв_План</f>
        <v>0</v>
      </c>
    </row>
    <row r="4" spans="1:26" x14ac:dyDescent="0.3">
      <c r="A4" s="172"/>
      <c r="B4" s="172"/>
      <c r="C4" s="173"/>
      <c r="D4" s="357"/>
      <c r="E4" s="358"/>
      <c r="F4" s="359"/>
      <c r="G4" s="272" t="s">
        <v>8</v>
      </c>
      <c r="H4" s="273"/>
      <c r="I4" s="176"/>
      <c r="J4" s="274">
        <f t="shared" si="0"/>
        <v>0</v>
      </c>
      <c r="K4" s="275">
        <f t="shared" si="0"/>
        <v>0</v>
      </c>
      <c r="L4" s="276">
        <f t="shared" si="0"/>
        <v>0</v>
      </c>
      <c r="M4" s="274">
        <f t="shared" si="0"/>
        <v>0</v>
      </c>
      <c r="N4" s="275">
        <f t="shared" si="0"/>
        <v>0</v>
      </c>
      <c r="O4" s="276">
        <f t="shared" si="0"/>
        <v>0</v>
      </c>
      <c r="P4" s="274">
        <f t="shared" si="0"/>
        <v>0</v>
      </c>
      <c r="Q4" s="275">
        <f t="shared" si="0"/>
        <v>0</v>
      </c>
      <c r="R4" s="276">
        <f t="shared" si="0"/>
        <v>0</v>
      </c>
      <c r="S4" s="274">
        <f t="shared" si="0"/>
        <v>0</v>
      </c>
      <c r="T4" s="275">
        <f t="shared" si="0"/>
        <v>0</v>
      </c>
      <c r="U4" s="277">
        <f t="shared" si="0"/>
        <v>0</v>
      </c>
      <c r="V4" s="276">
        <f t="shared" si="0"/>
        <v>0</v>
      </c>
      <c r="W4" s="276">
        <f t="shared" si="0"/>
        <v>0</v>
      </c>
      <c r="X4" s="278">
        <f t="shared" si="1"/>
        <v>0</v>
      </c>
      <c r="Y4" s="353"/>
      <c r="Z4" s="177">
        <f>Утв_Осень</f>
        <v>0</v>
      </c>
    </row>
    <row r="5" spans="1:26" ht="14.25" customHeight="1" x14ac:dyDescent="0.3">
      <c r="A5" s="178">
        <f>IF(OR(C5="0",COUNTIF(КлючОсень,C5)&gt;1),0,MATCH(F5,ВидыНагр,0))</f>
        <v>0</v>
      </c>
      <c r="B5" s="178" t="b">
        <f>(COUNTA(D5:F6,J5:W5,H5:I6)=0)</f>
        <v>1</v>
      </c>
      <c r="C5" s="179" t="str">
        <f>IF(OR(TRIM(D5)="",COUNTIF(ВидыНагр,F5)&lt;&gt;1),"0",CONCATENATE("$",TRIM(D5),"$",TRIM(E5),"$",F5,"$"))</f>
        <v>0</v>
      </c>
      <c r="D5" s="340"/>
      <c r="E5" s="338"/>
      <c r="F5" s="342"/>
      <c r="G5" s="180" t="s">
        <v>7</v>
      </c>
      <c r="H5" s="181"/>
      <c r="I5" s="182"/>
      <c r="J5" s="183"/>
      <c r="K5" s="184"/>
      <c r="L5" s="185"/>
      <c r="M5" s="183"/>
      <c r="N5" s="184"/>
      <c r="O5" s="186"/>
      <c r="P5" s="183"/>
      <c r="Q5" s="184"/>
      <c r="R5" s="185"/>
      <c r="S5" s="183"/>
      <c r="T5" s="184"/>
      <c r="U5" s="187"/>
      <c r="V5" s="186"/>
      <c r="W5" s="186"/>
      <c r="X5" s="279">
        <f t="shared" si="1"/>
        <v>0</v>
      </c>
      <c r="Y5" s="344">
        <f>X6-X5</f>
        <v>0</v>
      </c>
      <c r="Z5" s="346"/>
    </row>
    <row r="6" spans="1:26" ht="14.25" customHeight="1" x14ac:dyDescent="0.3">
      <c r="A6" s="178">
        <f>-A5</f>
        <v>0</v>
      </c>
      <c r="B6" s="178" t="b">
        <f>B5</f>
        <v>1</v>
      </c>
      <c r="C6" s="188"/>
      <c r="D6" s="341"/>
      <c r="E6" s="339"/>
      <c r="F6" s="343"/>
      <c r="G6" s="189" t="s">
        <v>8</v>
      </c>
      <c r="H6" s="190"/>
      <c r="I6" s="280"/>
      <c r="J6" s="281">
        <f>SUMIF('09'!$D$7:$D$159,$C5,'09'!L$7:L$159)+SUMIF('10'!$D$7:$D$159,$C5,'10'!L$7:L$159)+SUMIF('11'!$D$7:$D$159,$C5,'11'!L$7:L$159)+SUMIF('12'!$D$7:$D$159,$C5,'12'!L$7:L$159)+SUMIF('01'!$D$7:$D$159,$C5,'01'!L$7:L$159)</f>
        <v>0</v>
      </c>
      <c r="K6" s="282">
        <f>SUMIF('09'!$D$7:$D$159,$C5,'09'!M$7:M$159)+SUMIF('10'!$D$7:$D$159,$C5,'10'!M$7:M$159)+SUMIF('11'!$D$7:$D$159,$C5,'11'!M$7:M$159)+SUMIF('12'!$D$7:$D$159,$C5,'12'!M$7:M$159)+SUMIF('01'!$D$7:$D$159,$C5,'01'!M$7:M$159)</f>
        <v>0</v>
      </c>
      <c r="L6" s="283">
        <f>SUMIF('09'!$D$7:$D$159,$C5,'09'!N$7:N$159)+SUMIF('10'!$D$7:$D$159,$C5,'10'!N$7:N$159)+SUMIF('11'!$D$7:$D$159,$C5,'11'!N$7:N$159)+SUMIF('12'!$D$7:$D$159,$C5,'12'!N$7:N$159)+SUMIF('01'!$D$7:$D$159,$C5,'01'!N$7:N$159)</f>
        <v>0</v>
      </c>
      <c r="M6" s="281">
        <f>SUMIF('09'!$D$7:$D$159,$C5,'09'!O$7:O$159)+SUMIF('10'!$D$7:$D$159,$C5,'10'!O$7:O$159)+SUMIF('11'!$D$7:$D$159,$C5,'11'!O$7:O$159)+SUMIF('12'!$D$7:$D$159,$C5,'12'!O$7:O$159)+SUMIF('01'!$D$7:$D$159,$C5,'01'!O$7:O$159)</f>
        <v>0</v>
      </c>
      <c r="N6" s="282">
        <f>SUMIF('09'!$D$7:$D$159,$C5,'09'!P$7:P$159)+SUMIF('10'!$D$7:$D$159,$C5,'10'!P$7:P$159)+SUMIF('11'!$D$7:$D$159,$C5,'11'!P$7:P$159)+SUMIF('12'!$D$7:$D$159,$C5,'12'!P$7:P$159)+SUMIF('01'!$D$7:$D$159,$C5,'01'!P$7:P$159)</f>
        <v>0</v>
      </c>
      <c r="O6" s="284">
        <f>SUMIF('09'!$D$7:$D$159,$C5,'09'!Q$7:Q$159)+SUMIF('10'!$D$7:$D$159,$C5,'10'!Q$7:Q$159)+SUMIF('11'!$D$7:$D$159,$C5,'11'!Q$7:Q$159)+SUMIF('12'!$D$7:$D$159,$C5,'12'!Q$7:Q$159)+SUMIF('01'!$D$7:$D$159,$C5,'01'!Q$7:Q$159)</f>
        <v>0</v>
      </c>
      <c r="P6" s="281">
        <f>SUMIF('09'!$D$7:$D$159,$C5,'09'!R$7:R$159)+SUMIF('10'!$D$7:$D$159,$C5,'10'!R$7:R$159)+SUMIF('11'!$D$7:$D$159,$C5,'11'!R$7:R$159)+SUMIF('12'!$D$7:$D$159,$C5,'12'!R$7:R$159)+SUMIF('01'!$D$7:$D$159,$C5,'01'!R$7:R$159)</f>
        <v>0</v>
      </c>
      <c r="Q6" s="282">
        <f>SUMIF('09'!$D$7:$D$159,$C5,'09'!S$7:S$159)+SUMIF('10'!$D$7:$D$159,$C5,'10'!S$7:S$159)+SUMIF('11'!$D$7:$D$159,$C5,'11'!S$7:S$159)+SUMIF('12'!$D$7:$D$159,$C5,'12'!S$7:S$159)+SUMIF('01'!$D$7:$D$159,$C5,'01'!S$7:S$159)</f>
        <v>0</v>
      </c>
      <c r="R6" s="283">
        <f>SUMIF('09'!$D$7:$D$159,$C5,'09'!T$7:T$159)+SUMIF('10'!$D$7:$D$159,$C5,'10'!T$7:T$159)+SUMIF('11'!$D$7:$D$159,$C5,'11'!T$7:T$159)+SUMIF('12'!$D$7:$D$159,$C5,'12'!T$7:T$159)+SUMIF('01'!$D$7:$D$159,$C5,'01'!T$7:T$159)</f>
        <v>0</v>
      </c>
      <c r="S6" s="281">
        <f>SUMIF('09'!$D$7:$D$159,$C5,'09'!U$7:U$159)+SUMIF('10'!$D$7:$D$159,$C5,'10'!U$7:U$159)+SUMIF('11'!$D$7:$D$159,$C5,'11'!U$7:U$159)+SUMIF('12'!$D$7:$D$159,$C5,'12'!U$7:U$159)+SUMIF('01'!$D$7:$D$159,$C5,'01'!U$7:U$159)</f>
        <v>0</v>
      </c>
      <c r="T6" s="282">
        <f>SUMIF('09'!$D$7:$D$159,$C5,'09'!V$7:V$159)+SUMIF('10'!$D$7:$D$159,$C5,'10'!V$7:V$159)+SUMIF('11'!$D$7:$D$159,$C5,'11'!V$7:V$159)+SUMIF('12'!$D$7:$D$159,$C5,'12'!V$7:V$159)+SUMIF('01'!$D$7:$D$159,$C5,'01'!V$7:V$159)</f>
        <v>0</v>
      </c>
      <c r="U6" s="285">
        <f>SUMIF('09'!$D$7:$D$159,$C5,'09'!W$7:W$159)+SUMIF('10'!$D$7:$D$159,$C5,'10'!W$7:W$159)+SUMIF('11'!$D$7:$D$159,$C5,'11'!W$7:W$159)+SUMIF('12'!$D$7:$D$159,$C5,'12'!W$7:W$159)+SUMIF('01'!$D$7:$D$159,$C5,'01'!W$7:W$159)</f>
        <v>0</v>
      </c>
      <c r="V6" s="284">
        <f>SUMIF('09'!$D$7:$D$159,$C5,'09'!X$7:X$159)+SUMIF('10'!$D$7:$D$159,$C5,'10'!X$7:X$159)+SUMIF('11'!$D$7:$D$159,$C5,'11'!X$7:X$159)+SUMIF('12'!$D$7:$D$159,$C5,'12'!X$7:X$159)+SUMIF('01'!$D$7:$D$159,$C5,'01'!X$7:X$159)</f>
        <v>0</v>
      </c>
      <c r="W6" s="284">
        <f>SUMIF('09'!$D$7:$D$159,$C5,'09'!Y$7:Y$159)+SUMIF('10'!$D$7:$D$159,$C5,'10'!Y$7:Y$159)+SUMIF('11'!$D$7:$D$159,$C5,'11'!Y$7:Y$159)+SUMIF('12'!$D$7:$D$159,$C5,'12'!Y$7:Y$159)+SUMIF('01'!$D$7:$D$159,$C5,'01'!Y$7:Y$159)</f>
        <v>0</v>
      </c>
      <c r="X6" s="286">
        <f t="shared" si="1"/>
        <v>0</v>
      </c>
      <c r="Y6" s="345"/>
      <c r="Z6" s="347"/>
    </row>
    <row r="7" spans="1:26" ht="14.25" customHeight="1" x14ac:dyDescent="0.3">
      <c r="A7" s="178">
        <f>IF(OR(C7="0",COUNTIF(КлючОсень,C7)&gt;1),0,MATCH(F7,ВидыНагр,0))</f>
        <v>0</v>
      </c>
      <c r="B7" s="178" t="b">
        <f>(COUNTA(D7:F8,J7:W7,H7:I8)=0)</f>
        <v>1</v>
      </c>
      <c r="C7" s="179" t="str">
        <f>IF(OR(TRIM(D7)="",COUNTIF(ВидыНагр,F7)&lt;&gt;1),"0",CONCATENATE("$",TRIM(D7),"$",TRIM(E7),"$",F7,"$"))</f>
        <v>0</v>
      </c>
      <c r="D7" s="340"/>
      <c r="E7" s="338"/>
      <c r="F7" s="342"/>
      <c r="G7" s="180" t="s">
        <v>7</v>
      </c>
      <c r="H7" s="181"/>
      <c r="I7" s="182"/>
      <c r="J7" s="183"/>
      <c r="K7" s="184"/>
      <c r="L7" s="185"/>
      <c r="M7" s="183"/>
      <c r="N7" s="184"/>
      <c r="O7" s="186"/>
      <c r="P7" s="183"/>
      <c r="Q7" s="184"/>
      <c r="R7" s="185"/>
      <c r="S7" s="183"/>
      <c r="T7" s="184"/>
      <c r="U7" s="187"/>
      <c r="V7" s="186"/>
      <c r="W7" s="186"/>
      <c r="X7" s="279">
        <f t="shared" si="1"/>
        <v>0</v>
      </c>
      <c r="Y7" s="344">
        <f>X8-X7</f>
        <v>0</v>
      </c>
      <c r="Z7" s="346"/>
    </row>
    <row r="8" spans="1:26" ht="14.25" customHeight="1" x14ac:dyDescent="0.3">
      <c r="A8" s="178">
        <f>-A7</f>
        <v>0</v>
      </c>
      <c r="B8" s="178" t="b">
        <f>B7</f>
        <v>1</v>
      </c>
      <c r="C8" s="188"/>
      <c r="D8" s="341"/>
      <c r="E8" s="339"/>
      <c r="F8" s="343"/>
      <c r="G8" s="189" t="s">
        <v>8</v>
      </c>
      <c r="H8" s="190"/>
      <c r="I8" s="280"/>
      <c r="J8" s="281">
        <f>SUMIF('09'!$D$7:$D$159,$C7,'09'!L$7:L$159)+SUMIF('10'!$D$7:$D$159,$C7,'10'!L$7:L$159)+SUMIF('11'!$D$7:$D$159,$C7,'11'!L$7:L$159)+SUMIF('12'!$D$7:$D$159,$C7,'12'!L$7:L$159)+SUMIF('01'!$D$7:$D$159,$C7,'01'!L$7:L$159)</f>
        <v>0</v>
      </c>
      <c r="K8" s="282">
        <f>SUMIF('09'!$D$7:$D$159,$C7,'09'!M$7:M$159)+SUMIF('10'!$D$7:$D$159,$C7,'10'!M$7:M$159)+SUMIF('11'!$D$7:$D$159,$C7,'11'!M$7:M$159)+SUMIF('12'!$D$7:$D$159,$C7,'12'!M$7:M$159)+SUMIF('01'!$D$7:$D$159,$C7,'01'!M$7:M$159)</f>
        <v>0</v>
      </c>
      <c r="L8" s="283">
        <f>SUMIF('09'!$D$7:$D$159,$C7,'09'!N$7:N$159)+SUMIF('10'!$D$7:$D$159,$C7,'10'!N$7:N$159)+SUMIF('11'!$D$7:$D$159,$C7,'11'!N$7:N$159)+SUMIF('12'!$D$7:$D$159,$C7,'12'!N$7:N$159)+SUMIF('01'!$D$7:$D$159,$C7,'01'!N$7:N$159)</f>
        <v>0</v>
      </c>
      <c r="M8" s="281">
        <f>SUMIF('09'!$D$7:$D$159,$C7,'09'!O$7:O$159)+SUMIF('10'!$D$7:$D$159,$C7,'10'!O$7:O$159)+SUMIF('11'!$D$7:$D$159,$C7,'11'!O$7:O$159)+SUMIF('12'!$D$7:$D$159,$C7,'12'!O$7:O$159)+SUMIF('01'!$D$7:$D$159,$C7,'01'!O$7:O$159)</f>
        <v>0</v>
      </c>
      <c r="N8" s="282">
        <f>SUMIF('09'!$D$7:$D$159,$C7,'09'!P$7:P$159)+SUMIF('10'!$D$7:$D$159,$C7,'10'!P$7:P$159)+SUMIF('11'!$D$7:$D$159,$C7,'11'!P$7:P$159)+SUMIF('12'!$D$7:$D$159,$C7,'12'!P$7:P$159)+SUMIF('01'!$D$7:$D$159,$C7,'01'!P$7:P$159)</f>
        <v>0</v>
      </c>
      <c r="O8" s="284">
        <f>SUMIF('09'!$D$7:$D$159,$C7,'09'!Q$7:Q$159)+SUMIF('10'!$D$7:$D$159,$C7,'10'!Q$7:Q$159)+SUMIF('11'!$D$7:$D$159,$C7,'11'!Q$7:Q$159)+SUMIF('12'!$D$7:$D$159,$C7,'12'!Q$7:Q$159)+SUMIF('01'!$D$7:$D$159,$C7,'01'!Q$7:Q$159)</f>
        <v>0</v>
      </c>
      <c r="P8" s="281">
        <f>SUMIF('09'!$D$7:$D$159,$C7,'09'!R$7:R$159)+SUMIF('10'!$D$7:$D$159,$C7,'10'!R$7:R$159)+SUMIF('11'!$D$7:$D$159,$C7,'11'!R$7:R$159)+SUMIF('12'!$D$7:$D$159,$C7,'12'!R$7:R$159)+SUMIF('01'!$D$7:$D$159,$C7,'01'!R$7:R$159)</f>
        <v>0</v>
      </c>
      <c r="Q8" s="282">
        <f>SUMIF('09'!$D$7:$D$159,$C7,'09'!S$7:S$159)+SUMIF('10'!$D$7:$D$159,$C7,'10'!S$7:S$159)+SUMIF('11'!$D$7:$D$159,$C7,'11'!S$7:S$159)+SUMIF('12'!$D$7:$D$159,$C7,'12'!S$7:S$159)+SUMIF('01'!$D$7:$D$159,$C7,'01'!S$7:S$159)</f>
        <v>0</v>
      </c>
      <c r="R8" s="283">
        <f>SUMIF('09'!$D$7:$D$159,$C7,'09'!T$7:T$159)+SUMIF('10'!$D$7:$D$159,$C7,'10'!T$7:T$159)+SUMIF('11'!$D$7:$D$159,$C7,'11'!T$7:T$159)+SUMIF('12'!$D$7:$D$159,$C7,'12'!T$7:T$159)+SUMIF('01'!$D$7:$D$159,$C7,'01'!T$7:T$159)</f>
        <v>0</v>
      </c>
      <c r="S8" s="281">
        <f>SUMIF('09'!$D$7:$D$159,$C7,'09'!U$7:U$159)+SUMIF('10'!$D$7:$D$159,$C7,'10'!U$7:U$159)+SUMIF('11'!$D$7:$D$159,$C7,'11'!U$7:U$159)+SUMIF('12'!$D$7:$D$159,$C7,'12'!U$7:U$159)+SUMIF('01'!$D$7:$D$159,$C7,'01'!U$7:U$159)</f>
        <v>0</v>
      </c>
      <c r="T8" s="282">
        <f>SUMIF('09'!$D$7:$D$159,$C7,'09'!V$7:V$159)+SUMIF('10'!$D$7:$D$159,$C7,'10'!V$7:V$159)+SUMIF('11'!$D$7:$D$159,$C7,'11'!V$7:V$159)+SUMIF('12'!$D$7:$D$159,$C7,'12'!V$7:V$159)+SUMIF('01'!$D$7:$D$159,$C7,'01'!V$7:V$159)</f>
        <v>0</v>
      </c>
      <c r="U8" s="285">
        <f>SUMIF('09'!$D$7:$D$159,$C7,'09'!W$7:W$159)+SUMIF('10'!$D$7:$D$159,$C7,'10'!W$7:W$159)+SUMIF('11'!$D$7:$D$159,$C7,'11'!W$7:W$159)+SUMIF('12'!$D$7:$D$159,$C7,'12'!W$7:W$159)+SUMIF('01'!$D$7:$D$159,$C7,'01'!W$7:W$159)</f>
        <v>0</v>
      </c>
      <c r="V8" s="284">
        <f>SUMIF('09'!$D$7:$D$159,$C7,'09'!X$7:X$159)+SUMIF('10'!$D$7:$D$159,$C7,'10'!X$7:X$159)+SUMIF('11'!$D$7:$D$159,$C7,'11'!X$7:X$159)+SUMIF('12'!$D$7:$D$159,$C7,'12'!X$7:X$159)+SUMIF('01'!$D$7:$D$159,$C7,'01'!X$7:X$159)</f>
        <v>0</v>
      </c>
      <c r="W8" s="284">
        <f>SUMIF('09'!$D$7:$D$159,$C7,'09'!Y$7:Y$159)+SUMIF('10'!$D$7:$D$159,$C7,'10'!Y$7:Y$159)+SUMIF('11'!$D$7:$D$159,$C7,'11'!Y$7:Y$159)+SUMIF('12'!$D$7:$D$159,$C7,'12'!Y$7:Y$159)+SUMIF('01'!$D$7:$D$159,$C7,'01'!Y$7:Y$159)</f>
        <v>0</v>
      </c>
      <c r="X8" s="286">
        <f t="shared" si="1"/>
        <v>0</v>
      </c>
      <c r="Y8" s="345"/>
      <c r="Z8" s="347"/>
    </row>
    <row r="9" spans="1:26" ht="14.25" customHeight="1" x14ac:dyDescent="0.3">
      <c r="A9" s="178">
        <f>IF(OR(C9="0",COUNTIF(КлючОсень,C9)&gt;1),0,MATCH(F9,ВидыНагр,0))</f>
        <v>0</v>
      </c>
      <c r="B9" s="178" t="b">
        <f>(COUNTA(D9:F10,J9:W9,H9:I10)=0)</f>
        <v>1</v>
      </c>
      <c r="C9" s="179" t="str">
        <f>IF(OR(TRIM(D9)="",COUNTIF(ВидыНагр,F9)&lt;&gt;1),"0",CONCATENATE("$",TRIM(D9),"$",TRIM(E9),"$",F9,"$"))</f>
        <v>0</v>
      </c>
      <c r="D9" s="340"/>
      <c r="E9" s="338"/>
      <c r="F9" s="342"/>
      <c r="G9" s="180" t="s">
        <v>7</v>
      </c>
      <c r="H9" s="181"/>
      <c r="I9" s="182"/>
      <c r="J9" s="183"/>
      <c r="K9" s="184"/>
      <c r="L9" s="185"/>
      <c r="M9" s="183"/>
      <c r="N9" s="184"/>
      <c r="O9" s="186"/>
      <c r="P9" s="183"/>
      <c r="Q9" s="184"/>
      <c r="R9" s="185"/>
      <c r="S9" s="183"/>
      <c r="T9" s="184"/>
      <c r="U9" s="187"/>
      <c r="V9" s="186"/>
      <c r="W9" s="186"/>
      <c r="X9" s="279">
        <f t="shared" si="1"/>
        <v>0</v>
      </c>
      <c r="Y9" s="344">
        <f>X10-X9</f>
        <v>0</v>
      </c>
      <c r="Z9" s="346"/>
    </row>
    <row r="10" spans="1:26" ht="14.25" customHeight="1" x14ac:dyDescent="0.3">
      <c r="A10" s="178">
        <f>-A9</f>
        <v>0</v>
      </c>
      <c r="B10" s="178" t="b">
        <f>B9</f>
        <v>1</v>
      </c>
      <c r="C10" s="188"/>
      <c r="D10" s="341"/>
      <c r="E10" s="339"/>
      <c r="F10" s="343"/>
      <c r="G10" s="189" t="s">
        <v>8</v>
      </c>
      <c r="H10" s="190"/>
      <c r="I10" s="280"/>
      <c r="J10" s="281">
        <f>SUMIF('09'!$D$7:$D$159,$C9,'09'!L$7:L$159)+SUMIF('10'!$D$7:$D$159,$C9,'10'!L$7:L$159)+SUMIF('11'!$D$7:$D$159,$C9,'11'!L$7:L$159)+SUMIF('12'!$D$7:$D$159,$C9,'12'!L$7:L$159)+SUMIF('01'!$D$7:$D$159,$C9,'01'!L$7:L$159)</f>
        <v>0</v>
      </c>
      <c r="K10" s="282">
        <f>SUMIF('09'!$D$7:$D$159,$C9,'09'!M$7:M$159)+SUMIF('10'!$D$7:$D$159,$C9,'10'!M$7:M$159)+SUMIF('11'!$D$7:$D$159,$C9,'11'!M$7:M$159)+SUMIF('12'!$D$7:$D$159,$C9,'12'!M$7:M$159)+SUMIF('01'!$D$7:$D$159,$C9,'01'!M$7:M$159)</f>
        <v>0</v>
      </c>
      <c r="L10" s="283">
        <f>SUMIF('09'!$D$7:$D$159,$C9,'09'!N$7:N$159)+SUMIF('10'!$D$7:$D$159,$C9,'10'!N$7:N$159)+SUMIF('11'!$D$7:$D$159,$C9,'11'!N$7:N$159)+SUMIF('12'!$D$7:$D$159,$C9,'12'!N$7:N$159)+SUMIF('01'!$D$7:$D$159,$C9,'01'!N$7:N$159)</f>
        <v>0</v>
      </c>
      <c r="M10" s="281">
        <f>SUMIF('09'!$D$7:$D$159,$C9,'09'!O$7:O$159)+SUMIF('10'!$D$7:$D$159,$C9,'10'!O$7:O$159)+SUMIF('11'!$D$7:$D$159,$C9,'11'!O$7:O$159)+SUMIF('12'!$D$7:$D$159,$C9,'12'!O$7:O$159)+SUMIF('01'!$D$7:$D$159,$C9,'01'!O$7:O$159)</f>
        <v>0</v>
      </c>
      <c r="N10" s="282">
        <f>SUMIF('09'!$D$7:$D$159,$C9,'09'!P$7:P$159)+SUMIF('10'!$D$7:$D$159,$C9,'10'!P$7:P$159)+SUMIF('11'!$D$7:$D$159,$C9,'11'!P$7:P$159)+SUMIF('12'!$D$7:$D$159,$C9,'12'!P$7:P$159)+SUMIF('01'!$D$7:$D$159,$C9,'01'!P$7:P$159)</f>
        <v>0</v>
      </c>
      <c r="O10" s="284">
        <f>SUMIF('09'!$D$7:$D$159,$C9,'09'!Q$7:Q$159)+SUMIF('10'!$D$7:$D$159,$C9,'10'!Q$7:Q$159)+SUMIF('11'!$D$7:$D$159,$C9,'11'!Q$7:Q$159)+SUMIF('12'!$D$7:$D$159,$C9,'12'!Q$7:Q$159)+SUMIF('01'!$D$7:$D$159,$C9,'01'!Q$7:Q$159)</f>
        <v>0</v>
      </c>
      <c r="P10" s="281">
        <f>SUMIF('09'!$D$7:$D$159,$C9,'09'!R$7:R$159)+SUMIF('10'!$D$7:$D$159,$C9,'10'!R$7:R$159)+SUMIF('11'!$D$7:$D$159,$C9,'11'!R$7:R$159)+SUMIF('12'!$D$7:$D$159,$C9,'12'!R$7:R$159)+SUMIF('01'!$D$7:$D$159,$C9,'01'!R$7:R$159)</f>
        <v>0</v>
      </c>
      <c r="Q10" s="282">
        <f>SUMIF('09'!$D$7:$D$159,$C9,'09'!S$7:S$159)+SUMIF('10'!$D$7:$D$159,$C9,'10'!S$7:S$159)+SUMIF('11'!$D$7:$D$159,$C9,'11'!S$7:S$159)+SUMIF('12'!$D$7:$D$159,$C9,'12'!S$7:S$159)+SUMIF('01'!$D$7:$D$159,$C9,'01'!S$7:S$159)</f>
        <v>0</v>
      </c>
      <c r="R10" s="283">
        <f>SUMIF('09'!$D$7:$D$159,$C9,'09'!T$7:T$159)+SUMIF('10'!$D$7:$D$159,$C9,'10'!T$7:T$159)+SUMIF('11'!$D$7:$D$159,$C9,'11'!T$7:T$159)+SUMIF('12'!$D$7:$D$159,$C9,'12'!T$7:T$159)+SUMIF('01'!$D$7:$D$159,$C9,'01'!T$7:T$159)</f>
        <v>0</v>
      </c>
      <c r="S10" s="281">
        <f>SUMIF('09'!$D$7:$D$159,$C9,'09'!U$7:U$159)+SUMIF('10'!$D$7:$D$159,$C9,'10'!U$7:U$159)+SUMIF('11'!$D$7:$D$159,$C9,'11'!U$7:U$159)+SUMIF('12'!$D$7:$D$159,$C9,'12'!U$7:U$159)+SUMIF('01'!$D$7:$D$159,$C9,'01'!U$7:U$159)</f>
        <v>0</v>
      </c>
      <c r="T10" s="282">
        <f>SUMIF('09'!$D$7:$D$159,$C9,'09'!V$7:V$159)+SUMIF('10'!$D$7:$D$159,$C9,'10'!V$7:V$159)+SUMIF('11'!$D$7:$D$159,$C9,'11'!V$7:V$159)+SUMIF('12'!$D$7:$D$159,$C9,'12'!V$7:V$159)+SUMIF('01'!$D$7:$D$159,$C9,'01'!V$7:V$159)</f>
        <v>0</v>
      </c>
      <c r="U10" s="285">
        <f>SUMIF('09'!$D$7:$D$159,$C9,'09'!W$7:W$159)+SUMIF('10'!$D$7:$D$159,$C9,'10'!W$7:W$159)+SUMIF('11'!$D$7:$D$159,$C9,'11'!W$7:W$159)+SUMIF('12'!$D$7:$D$159,$C9,'12'!W$7:W$159)+SUMIF('01'!$D$7:$D$159,$C9,'01'!W$7:W$159)</f>
        <v>0</v>
      </c>
      <c r="V10" s="284">
        <f>SUMIF('09'!$D$7:$D$159,$C9,'09'!X$7:X$159)+SUMIF('10'!$D$7:$D$159,$C9,'10'!X$7:X$159)+SUMIF('11'!$D$7:$D$159,$C9,'11'!X$7:X$159)+SUMIF('12'!$D$7:$D$159,$C9,'12'!X$7:X$159)+SUMIF('01'!$D$7:$D$159,$C9,'01'!X$7:X$159)</f>
        <v>0</v>
      </c>
      <c r="W10" s="284">
        <f>SUMIF('09'!$D$7:$D$159,$C9,'09'!Y$7:Y$159)+SUMIF('10'!$D$7:$D$159,$C9,'10'!Y$7:Y$159)+SUMIF('11'!$D$7:$D$159,$C9,'11'!Y$7:Y$159)+SUMIF('12'!$D$7:$D$159,$C9,'12'!Y$7:Y$159)+SUMIF('01'!$D$7:$D$159,$C9,'01'!Y$7:Y$159)</f>
        <v>0</v>
      </c>
      <c r="X10" s="286">
        <f t="shared" si="1"/>
        <v>0</v>
      </c>
      <c r="Y10" s="345"/>
      <c r="Z10" s="347"/>
    </row>
    <row r="11" spans="1:26" ht="14.25" customHeight="1" x14ac:dyDescent="0.3">
      <c r="A11" s="178">
        <f>IF(OR(C11="0",COUNTIF(КлючОсень,C11)&gt;1),0,MATCH(F11,ВидыНагр,0))</f>
        <v>0</v>
      </c>
      <c r="B11" s="178" t="b">
        <f>(COUNTA(D11:F12,J11:W11,H11:I12)=0)</f>
        <v>1</v>
      </c>
      <c r="C11" s="179" t="str">
        <f>IF(OR(TRIM(D11)="",COUNTIF(ВидыНагр,F11)&lt;&gt;1),"0",CONCATENATE("$",TRIM(D11),"$",TRIM(E11),"$",F11,"$"))</f>
        <v>0</v>
      </c>
      <c r="D11" s="340"/>
      <c r="E11" s="338"/>
      <c r="F11" s="342"/>
      <c r="G11" s="180" t="s">
        <v>7</v>
      </c>
      <c r="H11" s="181"/>
      <c r="I11" s="182"/>
      <c r="J11" s="183"/>
      <c r="K11" s="184"/>
      <c r="L11" s="185"/>
      <c r="M11" s="183"/>
      <c r="N11" s="184"/>
      <c r="O11" s="186"/>
      <c r="P11" s="183"/>
      <c r="Q11" s="184"/>
      <c r="R11" s="185"/>
      <c r="S11" s="183"/>
      <c r="T11" s="184"/>
      <c r="U11" s="187"/>
      <c r="V11" s="186"/>
      <c r="W11" s="186"/>
      <c r="X11" s="279">
        <f t="shared" si="1"/>
        <v>0</v>
      </c>
      <c r="Y11" s="344">
        <f>X12-X11</f>
        <v>0</v>
      </c>
      <c r="Z11" s="346"/>
    </row>
    <row r="12" spans="1:26" ht="14.25" customHeight="1" x14ac:dyDescent="0.3">
      <c r="A12" s="178">
        <f>-A11</f>
        <v>0</v>
      </c>
      <c r="B12" s="178" t="b">
        <f>B11</f>
        <v>1</v>
      </c>
      <c r="C12" s="188"/>
      <c r="D12" s="341"/>
      <c r="E12" s="339"/>
      <c r="F12" s="343"/>
      <c r="G12" s="189" t="s">
        <v>8</v>
      </c>
      <c r="H12" s="190"/>
      <c r="I12" s="280"/>
      <c r="J12" s="281">
        <f>SUMIF('09'!$D$7:$D$159,$C11,'09'!L$7:L$159)+SUMIF('10'!$D$7:$D$159,$C11,'10'!L$7:L$159)+SUMIF('11'!$D$7:$D$159,$C11,'11'!L$7:L$159)+SUMIF('12'!$D$7:$D$159,$C11,'12'!L$7:L$159)+SUMIF('01'!$D$7:$D$159,$C11,'01'!L$7:L$159)</f>
        <v>0</v>
      </c>
      <c r="K12" s="282">
        <f>SUMIF('09'!$D$7:$D$159,$C11,'09'!M$7:M$159)+SUMIF('10'!$D$7:$D$159,$C11,'10'!M$7:M$159)+SUMIF('11'!$D$7:$D$159,$C11,'11'!M$7:M$159)+SUMIF('12'!$D$7:$D$159,$C11,'12'!M$7:M$159)+SUMIF('01'!$D$7:$D$159,$C11,'01'!M$7:M$159)</f>
        <v>0</v>
      </c>
      <c r="L12" s="283">
        <f>SUMIF('09'!$D$7:$D$159,$C11,'09'!N$7:N$159)+SUMIF('10'!$D$7:$D$159,$C11,'10'!N$7:N$159)+SUMIF('11'!$D$7:$D$159,$C11,'11'!N$7:N$159)+SUMIF('12'!$D$7:$D$159,$C11,'12'!N$7:N$159)+SUMIF('01'!$D$7:$D$159,$C11,'01'!N$7:N$159)</f>
        <v>0</v>
      </c>
      <c r="M12" s="281">
        <f>SUMIF('09'!$D$7:$D$159,$C11,'09'!O$7:O$159)+SUMIF('10'!$D$7:$D$159,$C11,'10'!O$7:O$159)+SUMIF('11'!$D$7:$D$159,$C11,'11'!O$7:O$159)+SUMIF('12'!$D$7:$D$159,$C11,'12'!O$7:O$159)+SUMIF('01'!$D$7:$D$159,$C11,'01'!O$7:O$159)</f>
        <v>0</v>
      </c>
      <c r="N12" s="282">
        <f>SUMIF('09'!$D$7:$D$159,$C11,'09'!P$7:P$159)+SUMIF('10'!$D$7:$D$159,$C11,'10'!P$7:P$159)+SUMIF('11'!$D$7:$D$159,$C11,'11'!P$7:P$159)+SUMIF('12'!$D$7:$D$159,$C11,'12'!P$7:P$159)+SUMIF('01'!$D$7:$D$159,$C11,'01'!P$7:P$159)</f>
        <v>0</v>
      </c>
      <c r="O12" s="284">
        <f>SUMIF('09'!$D$7:$D$159,$C11,'09'!Q$7:Q$159)+SUMIF('10'!$D$7:$D$159,$C11,'10'!Q$7:Q$159)+SUMIF('11'!$D$7:$D$159,$C11,'11'!Q$7:Q$159)+SUMIF('12'!$D$7:$D$159,$C11,'12'!Q$7:Q$159)+SUMIF('01'!$D$7:$D$159,$C11,'01'!Q$7:Q$159)</f>
        <v>0</v>
      </c>
      <c r="P12" s="281">
        <f>SUMIF('09'!$D$7:$D$159,$C11,'09'!R$7:R$159)+SUMIF('10'!$D$7:$D$159,$C11,'10'!R$7:R$159)+SUMIF('11'!$D$7:$D$159,$C11,'11'!R$7:R$159)+SUMIF('12'!$D$7:$D$159,$C11,'12'!R$7:R$159)+SUMIF('01'!$D$7:$D$159,$C11,'01'!R$7:R$159)</f>
        <v>0</v>
      </c>
      <c r="Q12" s="282">
        <f>SUMIF('09'!$D$7:$D$159,$C11,'09'!S$7:S$159)+SUMIF('10'!$D$7:$D$159,$C11,'10'!S$7:S$159)+SUMIF('11'!$D$7:$D$159,$C11,'11'!S$7:S$159)+SUMIF('12'!$D$7:$D$159,$C11,'12'!S$7:S$159)+SUMIF('01'!$D$7:$D$159,$C11,'01'!S$7:S$159)</f>
        <v>0</v>
      </c>
      <c r="R12" s="283">
        <f>SUMIF('09'!$D$7:$D$159,$C11,'09'!T$7:T$159)+SUMIF('10'!$D$7:$D$159,$C11,'10'!T$7:T$159)+SUMIF('11'!$D$7:$D$159,$C11,'11'!T$7:T$159)+SUMIF('12'!$D$7:$D$159,$C11,'12'!T$7:T$159)+SUMIF('01'!$D$7:$D$159,$C11,'01'!T$7:T$159)</f>
        <v>0</v>
      </c>
      <c r="S12" s="281">
        <f>SUMIF('09'!$D$7:$D$159,$C11,'09'!U$7:U$159)+SUMIF('10'!$D$7:$D$159,$C11,'10'!U$7:U$159)+SUMIF('11'!$D$7:$D$159,$C11,'11'!U$7:U$159)+SUMIF('12'!$D$7:$D$159,$C11,'12'!U$7:U$159)+SUMIF('01'!$D$7:$D$159,$C11,'01'!U$7:U$159)</f>
        <v>0</v>
      </c>
      <c r="T12" s="282">
        <f>SUMIF('09'!$D$7:$D$159,$C11,'09'!V$7:V$159)+SUMIF('10'!$D$7:$D$159,$C11,'10'!V$7:V$159)+SUMIF('11'!$D$7:$D$159,$C11,'11'!V$7:V$159)+SUMIF('12'!$D$7:$D$159,$C11,'12'!V$7:V$159)+SUMIF('01'!$D$7:$D$159,$C11,'01'!V$7:V$159)</f>
        <v>0</v>
      </c>
      <c r="U12" s="285">
        <f>SUMIF('09'!$D$7:$D$159,$C11,'09'!W$7:W$159)+SUMIF('10'!$D$7:$D$159,$C11,'10'!W$7:W$159)+SUMIF('11'!$D$7:$D$159,$C11,'11'!W$7:W$159)+SUMIF('12'!$D$7:$D$159,$C11,'12'!W$7:W$159)+SUMIF('01'!$D$7:$D$159,$C11,'01'!W$7:W$159)</f>
        <v>0</v>
      </c>
      <c r="V12" s="284">
        <f>SUMIF('09'!$D$7:$D$159,$C11,'09'!X$7:X$159)+SUMIF('10'!$D$7:$D$159,$C11,'10'!X$7:X$159)+SUMIF('11'!$D$7:$D$159,$C11,'11'!X$7:X$159)+SUMIF('12'!$D$7:$D$159,$C11,'12'!X$7:X$159)+SUMIF('01'!$D$7:$D$159,$C11,'01'!X$7:X$159)</f>
        <v>0</v>
      </c>
      <c r="W12" s="284">
        <f>SUMIF('09'!$D$7:$D$159,$C11,'09'!Y$7:Y$159)+SUMIF('10'!$D$7:$D$159,$C11,'10'!Y$7:Y$159)+SUMIF('11'!$D$7:$D$159,$C11,'11'!Y$7:Y$159)+SUMIF('12'!$D$7:$D$159,$C11,'12'!Y$7:Y$159)+SUMIF('01'!$D$7:$D$159,$C11,'01'!Y$7:Y$159)</f>
        <v>0</v>
      </c>
      <c r="X12" s="286">
        <f t="shared" si="1"/>
        <v>0</v>
      </c>
      <c r="Y12" s="345"/>
      <c r="Z12" s="347"/>
    </row>
    <row r="13" spans="1:26" ht="14.25" customHeight="1" x14ac:dyDescent="0.3">
      <c r="A13" s="178">
        <f>IF(OR(C13="0",COUNTIF(КлючОсень,C13)&gt;1),0,MATCH(F13,ВидыНагр,0))</f>
        <v>0</v>
      </c>
      <c r="B13" s="178" t="b">
        <f>(COUNTA(D13:F14,J13:W13,H13:I14)=0)</f>
        <v>1</v>
      </c>
      <c r="C13" s="179" t="str">
        <f>IF(OR(TRIM(D13)="",COUNTIF(ВидыНагр,F13)&lt;&gt;1),"0",CONCATENATE("$",TRIM(D13),"$",TRIM(E13),"$",F13,"$"))</f>
        <v>0</v>
      </c>
      <c r="D13" s="340"/>
      <c r="E13" s="338"/>
      <c r="F13" s="342"/>
      <c r="G13" s="180" t="s">
        <v>7</v>
      </c>
      <c r="H13" s="181"/>
      <c r="I13" s="182"/>
      <c r="J13" s="183"/>
      <c r="K13" s="184"/>
      <c r="L13" s="185"/>
      <c r="M13" s="183"/>
      <c r="N13" s="184"/>
      <c r="O13" s="186"/>
      <c r="P13" s="183"/>
      <c r="Q13" s="184"/>
      <c r="R13" s="185"/>
      <c r="S13" s="183"/>
      <c r="T13" s="184"/>
      <c r="U13" s="187"/>
      <c r="V13" s="186"/>
      <c r="W13" s="186"/>
      <c r="X13" s="279">
        <f t="shared" si="1"/>
        <v>0</v>
      </c>
      <c r="Y13" s="344">
        <f>X14-X13</f>
        <v>0</v>
      </c>
      <c r="Z13" s="346"/>
    </row>
    <row r="14" spans="1:26" ht="14.25" customHeight="1" x14ac:dyDescent="0.3">
      <c r="A14" s="178">
        <f>-A13</f>
        <v>0</v>
      </c>
      <c r="B14" s="178" t="b">
        <f>B13</f>
        <v>1</v>
      </c>
      <c r="C14" s="188"/>
      <c r="D14" s="341"/>
      <c r="E14" s="339"/>
      <c r="F14" s="343"/>
      <c r="G14" s="189" t="s">
        <v>8</v>
      </c>
      <c r="H14" s="190"/>
      <c r="I14" s="280"/>
      <c r="J14" s="281">
        <f>SUMIF('09'!$D$7:$D$159,$C13,'09'!L$7:L$159)+SUMIF('10'!$D$7:$D$159,$C13,'10'!L$7:L$159)+SUMIF('11'!$D$7:$D$159,$C13,'11'!L$7:L$159)+SUMIF('12'!$D$7:$D$159,$C13,'12'!L$7:L$159)+SUMIF('01'!$D$7:$D$159,$C13,'01'!L$7:L$159)</f>
        <v>0</v>
      </c>
      <c r="K14" s="282">
        <f>SUMIF('09'!$D$7:$D$159,$C13,'09'!M$7:M$159)+SUMIF('10'!$D$7:$D$159,$C13,'10'!M$7:M$159)+SUMIF('11'!$D$7:$D$159,$C13,'11'!M$7:M$159)+SUMIF('12'!$D$7:$D$159,$C13,'12'!M$7:M$159)+SUMIF('01'!$D$7:$D$159,$C13,'01'!M$7:M$159)</f>
        <v>0</v>
      </c>
      <c r="L14" s="283">
        <f>SUMIF('09'!$D$7:$D$159,$C13,'09'!N$7:N$159)+SUMIF('10'!$D$7:$D$159,$C13,'10'!N$7:N$159)+SUMIF('11'!$D$7:$D$159,$C13,'11'!N$7:N$159)+SUMIF('12'!$D$7:$D$159,$C13,'12'!N$7:N$159)+SUMIF('01'!$D$7:$D$159,$C13,'01'!N$7:N$159)</f>
        <v>0</v>
      </c>
      <c r="M14" s="281">
        <f>SUMIF('09'!$D$7:$D$159,$C13,'09'!O$7:O$159)+SUMIF('10'!$D$7:$D$159,$C13,'10'!O$7:O$159)+SUMIF('11'!$D$7:$D$159,$C13,'11'!O$7:O$159)+SUMIF('12'!$D$7:$D$159,$C13,'12'!O$7:O$159)+SUMIF('01'!$D$7:$D$159,$C13,'01'!O$7:O$159)</f>
        <v>0</v>
      </c>
      <c r="N14" s="282">
        <f>SUMIF('09'!$D$7:$D$159,$C13,'09'!P$7:P$159)+SUMIF('10'!$D$7:$D$159,$C13,'10'!P$7:P$159)+SUMIF('11'!$D$7:$D$159,$C13,'11'!P$7:P$159)+SUMIF('12'!$D$7:$D$159,$C13,'12'!P$7:P$159)+SUMIF('01'!$D$7:$D$159,$C13,'01'!P$7:P$159)</f>
        <v>0</v>
      </c>
      <c r="O14" s="284">
        <f>SUMIF('09'!$D$7:$D$159,$C13,'09'!Q$7:Q$159)+SUMIF('10'!$D$7:$D$159,$C13,'10'!Q$7:Q$159)+SUMIF('11'!$D$7:$D$159,$C13,'11'!Q$7:Q$159)+SUMIF('12'!$D$7:$D$159,$C13,'12'!Q$7:Q$159)+SUMIF('01'!$D$7:$D$159,$C13,'01'!Q$7:Q$159)</f>
        <v>0</v>
      </c>
      <c r="P14" s="281">
        <f>SUMIF('09'!$D$7:$D$159,$C13,'09'!R$7:R$159)+SUMIF('10'!$D$7:$D$159,$C13,'10'!R$7:R$159)+SUMIF('11'!$D$7:$D$159,$C13,'11'!R$7:R$159)+SUMIF('12'!$D$7:$D$159,$C13,'12'!R$7:R$159)+SUMIF('01'!$D$7:$D$159,$C13,'01'!R$7:R$159)</f>
        <v>0</v>
      </c>
      <c r="Q14" s="282">
        <f>SUMIF('09'!$D$7:$D$159,$C13,'09'!S$7:S$159)+SUMIF('10'!$D$7:$D$159,$C13,'10'!S$7:S$159)+SUMIF('11'!$D$7:$D$159,$C13,'11'!S$7:S$159)+SUMIF('12'!$D$7:$D$159,$C13,'12'!S$7:S$159)+SUMIF('01'!$D$7:$D$159,$C13,'01'!S$7:S$159)</f>
        <v>0</v>
      </c>
      <c r="R14" s="283">
        <f>SUMIF('09'!$D$7:$D$159,$C13,'09'!T$7:T$159)+SUMIF('10'!$D$7:$D$159,$C13,'10'!T$7:T$159)+SUMIF('11'!$D$7:$D$159,$C13,'11'!T$7:T$159)+SUMIF('12'!$D$7:$D$159,$C13,'12'!T$7:T$159)+SUMIF('01'!$D$7:$D$159,$C13,'01'!T$7:T$159)</f>
        <v>0</v>
      </c>
      <c r="S14" s="281">
        <f>SUMIF('09'!$D$7:$D$159,$C13,'09'!U$7:U$159)+SUMIF('10'!$D$7:$D$159,$C13,'10'!U$7:U$159)+SUMIF('11'!$D$7:$D$159,$C13,'11'!U$7:U$159)+SUMIF('12'!$D$7:$D$159,$C13,'12'!U$7:U$159)+SUMIF('01'!$D$7:$D$159,$C13,'01'!U$7:U$159)</f>
        <v>0</v>
      </c>
      <c r="T14" s="282">
        <f>SUMIF('09'!$D$7:$D$159,$C13,'09'!V$7:V$159)+SUMIF('10'!$D$7:$D$159,$C13,'10'!V$7:V$159)+SUMIF('11'!$D$7:$D$159,$C13,'11'!V$7:V$159)+SUMIF('12'!$D$7:$D$159,$C13,'12'!V$7:V$159)+SUMIF('01'!$D$7:$D$159,$C13,'01'!V$7:V$159)</f>
        <v>0</v>
      </c>
      <c r="U14" s="285">
        <f>SUMIF('09'!$D$7:$D$159,$C13,'09'!W$7:W$159)+SUMIF('10'!$D$7:$D$159,$C13,'10'!W$7:W$159)+SUMIF('11'!$D$7:$D$159,$C13,'11'!W$7:W$159)+SUMIF('12'!$D$7:$D$159,$C13,'12'!W$7:W$159)+SUMIF('01'!$D$7:$D$159,$C13,'01'!W$7:W$159)</f>
        <v>0</v>
      </c>
      <c r="V14" s="284">
        <f>SUMIF('09'!$D$7:$D$159,$C13,'09'!X$7:X$159)+SUMIF('10'!$D$7:$D$159,$C13,'10'!X$7:X$159)+SUMIF('11'!$D$7:$D$159,$C13,'11'!X$7:X$159)+SUMIF('12'!$D$7:$D$159,$C13,'12'!X$7:X$159)+SUMIF('01'!$D$7:$D$159,$C13,'01'!X$7:X$159)</f>
        <v>0</v>
      </c>
      <c r="W14" s="284">
        <f>SUMIF('09'!$D$7:$D$159,$C13,'09'!Y$7:Y$159)+SUMIF('10'!$D$7:$D$159,$C13,'10'!Y$7:Y$159)+SUMIF('11'!$D$7:$D$159,$C13,'11'!Y$7:Y$159)+SUMIF('12'!$D$7:$D$159,$C13,'12'!Y$7:Y$159)+SUMIF('01'!$D$7:$D$159,$C13,'01'!Y$7:Y$159)</f>
        <v>0</v>
      </c>
      <c r="X14" s="286">
        <f t="shared" si="1"/>
        <v>0</v>
      </c>
      <c r="Y14" s="345"/>
      <c r="Z14" s="347"/>
    </row>
    <row r="15" spans="1:26" ht="14.25" customHeight="1" x14ac:dyDescent="0.3">
      <c r="A15" s="178">
        <f>IF(OR(C15="0",COUNTIF(КлючОсень,C15)&gt;1),0,MATCH(F15,ВидыНагр,0))</f>
        <v>0</v>
      </c>
      <c r="B15" s="178" t="b">
        <f>(COUNTA(D15:F16,J15:W15,H15:I16)=0)</f>
        <v>1</v>
      </c>
      <c r="C15" s="179" t="str">
        <f>IF(OR(TRIM(D15)="",COUNTIF(ВидыНагр,F15)&lt;&gt;1),"0",CONCATENATE("$",TRIM(D15),"$",TRIM(E15),"$",F15,"$"))</f>
        <v>0</v>
      </c>
      <c r="D15" s="340"/>
      <c r="E15" s="338"/>
      <c r="F15" s="342"/>
      <c r="G15" s="180" t="s">
        <v>7</v>
      </c>
      <c r="H15" s="181"/>
      <c r="I15" s="182"/>
      <c r="J15" s="183"/>
      <c r="K15" s="184"/>
      <c r="L15" s="185"/>
      <c r="M15" s="183"/>
      <c r="N15" s="184"/>
      <c r="O15" s="186"/>
      <c r="P15" s="183"/>
      <c r="Q15" s="184"/>
      <c r="R15" s="185"/>
      <c r="S15" s="183"/>
      <c r="T15" s="184"/>
      <c r="U15" s="187"/>
      <c r="V15" s="186"/>
      <c r="W15" s="186"/>
      <c r="X15" s="279">
        <f t="shared" si="1"/>
        <v>0</v>
      </c>
      <c r="Y15" s="344">
        <f>X16-X15</f>
        <v>0</v>
      </c>
      <c r="Z15" s="346"/>
    </row>
    <row r="16" spans="1:26" ht="14.25" customHeight="1" x14ac:dyDescent="0.3">
      <c r="A16" s="178">
        <f>-A15</f>
        <v>0</v>
      </c>
      <c r="B16" s="178" t="b">
        <f>B15</f>
        <v>1</v>
      </c>
      <c r="C16" s="188"/>
      <c r="D16" s="341"/>
      <c r="E16" s="339"/>
      <c r="F16" s="343"/>
      <c r="G16" s="189" t="s">
        <v>8</v>
      </c>
      <c r="H16" s="190"/>
      <c r="I16" s="280"/>
      <c r="J16" s="281">
        <f>SUMIF('09'!$D$7:$D$159,$C15,'09'!L$7:L$159)+SUMIF('10'!$D$7:$D$159,$C15,'10'!L$7:L$159)+SUMIF('11'!$D$7:$D$159,$C15,'11'!L$7:L$159)+SUMIF('12'!$D$7:$D$159,$C15,'12'!L$7:L$159)+SUMIF('01'!$D$7:$D$159,$C15,'01'!L$7:L$159)</f>
        <v>0</v>
      </c>
      <c r="K16" s="282">
        <f>SUMIF('09'!$D$7:$D$159,$C15,'09'!M$7:M$159)+SUMIF('10'!$D$7:$D$159,$C15,'10'!M$7:M$159)+SUMIF('11'!$D$7:$D$159,$C15,'11'!M$7:M$159)+SUMIF('12'!$D$7:$D$159,$C15,'12'!M$7:M$159)+SUMIF('01'!$D$7:$D$159,$C15,'01'!M$7:M$159)</f>
        <v>0</v>
      </c>
      <c r="L16" s="283">
        <f>SUMIF('09'!$D$7:$D$159,$C15,'09'!N$7:N$159)+SUMIF('10'!$D$7:$D$159,$C15,'10'!N$7:N$159)+SUMIF('11'!$D$7:$D$159,$C15,'11'!N$7:N$159)+SUMIF('12'!$D$7:$D$159,$C15,'12'!N$7:N$159)+SUMIF('01'!$D$7:$D$159,$C15,'01'!N$7:N$159)</f>
        <v>0</v>
      </c>
      <c r="M16" s="281">
        <f>SUMIF('09'!$D$7:$D$159,$C15,'09'!O$7:O$159)+SUMIF('10'!$D$7:$D$159,$C15,'10'!O$7:O$159)+SUMIF('11'!$D$7:$D$159,$C15,'11'!O$7:O$159)+SUMIF('12'!$D$7:$D$159,$C15,'12'!O$7:O$159)+SUMIF('01'!$D$7:$D$159,$C15,'01'!O$7:O$159)</f>
        <v>0</v>
      </c>
      <c r="N16" s="282">
        <f>SUMIF('09'!$D$7:$D$159,$C15,'09'!P$7:P$159)+SUMIF('10'!$D$7:$D$159,$C15,'10'!P$7:P$159)+SUMIF('11'!$D$7:$D$159,$C15,'11'!P$7:P$159)+SUMIF('12'!$D$7:$D$159,$C15,'12'!P$7:P$159)+SUMIF('01'!$D$7:$D$159,$C15,'01'!P$7:P$159)</f>
        <v>0</v>
      </c>
      <c r="O16" s="284">
        <f>SUMIF('09'!$D$7:$D$159,$C15,'09'!Q$7:Q$159)+SUMIF('10'!$D$7:$D$159,$C15,'10'!Q$7:Q$159)+SUMIF('11'!$D$7:$D$159,$C15,'11'!Q$7:Q$159)+SUMIF('12'!$D$7:$D$159,$C15,'12'!Q$7:Q$159)+SUMIF('01'!$D$7:$D$159,$C15,'01'!Q$7:Q$159)</f>
        <v>0</v>
      </c>
      <c r="P16" s="281">
        <f>SUMIF('09'!$D$7:$D$159,$C15,'09'!R$7:R$159)+SUMIF('10'!$D$7:$D$159,$C15,'10'!R$7:R$159)+SUMIF('11'!$D$7:$D$159,$C15,'11'!R$7:R$159)+SUMIF('12'!$D$7:$D$159,$C15,'12'!R$7:R$159)+SUMIF('01'!$D$7:$D$159,$C15,'01'!R$7:R$159)</f>
        <v>0</v>
      </c>
      <c r="Q16" s="282">
        <f>SUMIF('09'!$D$7:$D$159,$C15,'09'!S$7:S$159)+SUMIF('10'!$D$7:$D$159,$C15,'10'!S$7:S$159)+SUMIF('11'!$D$7:$D$159,$C15,'11'!S$7:S$159)+SUMIF('12'!$D$7:$D$159,$C15,'12'!S$7:S$159)+SUMIF('01'!$D$7:$D$159,$C15,'01'!S$7:S$159)</f>
        <v>0</v>
      </c>
      <c r="R16" s="283">
        <f>SUMIF('09'!$D$7:$D$159,$C15,'09'!T$7:T$159)+SUMIF('10'!$D$7:$D$159,$C15,'10'!T$7:T$159)+SUMIF('11'!$D$7:$D$159,$C15,'11'!T$7:T$159)+SUMIF('12'!$D$7:$D$159,$C15,'12'!T$7:T$159)+SUMIF('01'!$D$7:$D$159,$C15,'01'!T$7:T$159)</f>
        <v>0</v>
      </c>
      <c r="S16" s="281">
        <f>SUMIF('09'!$D$7:$D$159,$C15,'09'!U$7:U$159)+SUMIF('10'!$D$7:$D$159,$C15,'10'!U$7:U$159)+SUMIF('11'!$D$7:$D$159,$C15,'11'!U$7:U$159)+SUMIF('12'!$D$7:$D$159,$C15,'12'!U$7:U$159)+SUMIF('01'!$D$7:$D$159,$C15,'01'!U$7:U$159)</f>
        <v>0</v>
      </c>
      <c r="T16" s="282">
        <f>SUMIF('09'!$D$7:$D$159,$C15,'09'!V$7:V$159)+SUMIF('10'!$D$7:$D$159,$C15,'10'!V$7:V$159)+SUMIF('11'!$D$7:$D$159,$C15,'11'!V$7:V$159)+SUMIF('12'!$D$7:$D$159,$C15,'12'!V$7:V$159)+SUMIF('01'!$D$7:$D$159,$C15,'01'!V$7:V$159)</f>
        <v>0</v>
      </c>
      <c r="U16" s="285">
        <f>SUMIF('09'!$D$7:$D$159,$C15,'09'!W$7:W$159)+SUMIF('10'!$D$7:$D$159,$C15,'10'!W$7:W$159)+SUMIF('11'!$D$7:$D$159,$C15,'11'!W$7:W$159)+SUMIF('12'!$D$7:$D$159,$C15,'12'!W$7:W$159)+SUMIF('01'!$D$7:$D$159,$C15,'01'!W$7:W$159)</f>
        <v>0</v>
      </c>
      <c r="V16" s="284">
        <f>SUMIF('09'!$D$7:$D$159,$C15,'09'!X$7:X$159)+SUMIF('10'!$D$7:$D$159,$C15,'10'!X$7:X$159)+SUMIF('11'!$D$7:$D$159,$C15,'11'!X$7:X$159)+SUMIF('12'!$D$7:$D$159,$C15,'12'!X$7:X$159)+SUMIF('01'!$D$7:$D$159,$C15,'01'!X$7:X$159)</f>
        <v>0</v>
      </c>
      <c r="W16" s="284">
        <f>SUMIF('09'!$D$7:$D$159,$C15,'09'!Y$7:Y$159)+SUMIF('10'!$D$7:$D$159,$C15,'10'!Y$7:Y$159)+SUMIF('11'!$D$7:$D$159,$C15,'11'!Y$7:Y$159)+SUMIF('12'!$D$7:$D$159,$C15,'12'!Y$7:Y$159)+SUMIF('01'!$D$7:$D$159,$C15,'01'!Y$7:Y$159)</f>
        <v>0</v>
      </c>
      <c r="X16" s="286">
        <f t="shared" si="1"/>
        <v>0</v>
      </c>
      <c r="Y16" s="345"/>
      <c r="Z16" s="347"/>
    </row>
    <row r="17" spans="1:26" ht="14.25" customHeight="1" x14ac:dyDescent="0.3">
      <c r="A17" s="178">
        <f>IF(OR(C17="0",COUNTIF(КлючОсень,C17)&gt;1),0,MATCH(F17,ВидыНагр,0))</f>
        <v>0</v>
      </c>
      <c r="B17" s="178" t="b">
        <f>(COUNTA(D17:F18,J17:W17,H17:I18)=0)</f>
        <v>1</v>
      </c>
      <c r="C17" s="179" t="str">
        <f>IF(OR(TRIM(D17)="",COUNTIF(ВидыНагр,F17)&lt;&gt;1),"0",CONCATENATE("$",TRIM(D17),"$",TRIM(E17),"$",F17,"$"))</f>
        <v>0</v>
      </c>
      <c r="D17" s="340"/>
      <c r="E17" s="338"/>
      <c r="F17" s="342"/>
      <c r="G17" s="180" t="s">
        <v>7</v>
      </c>
      <c r="H17" s="181"/>
      <c r="I17" s="182"/>
      <c r="J17" s="183"/>
      <c r="K17" s="184"/>
      <c r="L17" s="185"/>
      <c r="M17" s="183"/>
      <c r="N17" s="184"/>
      <c r="O17" s="186"/>
      <c r="P17" s="183"/>
      <c r="Q17" s="184"/>
      <c r="R17" s="185"/>
      <c r="S17" s="183"/>
      <c r="T17" s="184"/>
      <c r="U17" s="187"/>
      <c r="V17" s="186"/>
      <c r="W17" s="186"/>
      <c r="X17" s="279">
        <f t="shared" si="1"/>
        <v>0</v>
      </c>
      <c r="Y17" s="344">
        <f>X18-X17</f>
        <v>0</v>
      </c>
      <c r="Z17" s="346"/>
    </row>
    <row r="18" spans="1:26" ht="14.25" customHeight="1" x14ac:dyDescent="0.3">
      <c r="A18" s="178">
        <f>-A17</f>
        <v>0</v>
      </c>
      <c r="B18" s="178" t="b">
        <f>B17</f>
        <v>1</v>
      </c>
      <c r="C18" s="188"/>
      <c r="D18" s="341"/>
      <c r="E18" s="339"/>
      <c r="F18" s="343"/>
      <c r="G18" s="189" t="s">
        <v>8</v>
      </c>
      <c r="H18" s="190"/>
      <c r="I18" s="280"/>
      <c r="J18" s="281">
        <f>SUMIF('09'!$D$7:$D$159,$C17,'09'!L$7:L$159)+SUMIF('10'!$D$7:$D$159,$C17,'10'!L$7:L$159)+SUMIF('11'!$D$7:$D$159,$C17,'11'!L$7:L$159)+SUMIF('12'!$D$7:$D$159,$C17,'12'!L$7:L$159)+SUMIF('01'!$D$7:$D$159,$C17,'01'!L$7:L$159)</f>
        <v>0</v>
      </c>
      <c r="K18" s="282">
        <f>SUMIF('09'!$D$7:$D$159,$C17,'09'!M$7:M$159)+SUMIF('10'!$D$7:$D$159,$C17,'10'!M$7:M$159)+SUMIF('11'!$D$7:$D$159,$C17,'11'!M$7:M$159)+SUMIF('12'!$D$7:$D$159,$C17,'12'!M$7:M$159)+SUMIF('01'!$D$7:$D$159,$C17,'01'!M$7:M$159)</f>
        <v>0</v>
      </c>
      <c r="L18" s="283">
        <f>SUMIF('09'!$D$7:$D$159,$C17,'09'!N$7:N$159)+SUMIF('10'!$D$7:$D$159,$C17,'10'!N$7:N$159)+SUMIF('11'!$D$7:$D$159,$C17,'11'!N$7:N$159)+SUMIF('12'!$D$7:$D$159,$C17,'12'!N$7:N$159)+SUMIF('01'!$D$7:$D$159,$C17,'01'!N$7:N$159)</f>
        <v>0</v>
      </c>
      <c r="M18" s="281">
        <f>SUMIF('09'!$D$7:$D$159,$C17,'09'!O$7:O$159)+SUMIF('10'!$D$7:$D$159,$C17,'10'!O$7:O$159)+SUMIF('11'!$D$7:$D$159,$C17,'11'!O$7:O$159)+SUMIF('12'!$D$7:$D$159,$C17,'12'!O$7:O$159)+SUMIF('01'!$D$7:$D$159,$C17,'01'!O$7:O$159)</f>
        <v>0</v>
      </c>
      <c r="N18" s="282">
        <f>SUMIF('09'!$D$7:$D$159,$C17,'09'!P$7:P$159)+SUMIF('10'!$D$7:$D$159,$C17,'10'!P$7:P$159)+SUMIF('11'!$D$7:$D$159,$C17,'11'!P$7:P$159)+SUMIF('12'!$D$7:$D$159,$C17,'12'!P$7:P$159)+SUMIF('01'!$D$7:$D$159,$C17,'01'!P$7:P$159)</f>
        <v>0</v>
      </c>
      <c r="O18" s="284">
        <f>SUMIF('09'!$D$7:$D$159,$C17,'09'!Q$7:Q$159)+SUMIF('10'!$D$7:$D$159,$C17,'10'!Q$7:Q$159)+SUMIF('11'!$D$7:$D$159,$C17,'11'!Q$7:Q$159)+SUMIF('12'!$D$7:$D$159,$C17,'12'!Q$7:Q$159)+SUMIF('01'!$D$7:$D$159,$C17,'01'!Q$7:Q$159)</f>
        <v>0</v>
      </c>
      <c r="P18" s="281">
        <f>SUMIF('09'!$D$7:$D$159,$C17,'09'!R$7:R$159)+SUMIF('10'!$D$7:$D$159,$C17,'10'!R$7:R$159)+SUMIF('11'!$D$7:$D$159,$C17,'11'!R$7:R$159)+SUMIF('12'!$D$7:$D$159,$C17,'12'!R$7:R$159)+SUMIF('01'!$D$7:$D$159,$C17,'01'!R$7:R$159)</f>
        <v>0</v>
      </c>
      <c r="Q18" s="282">
        <f>SUMIF('09'!$D$7:$D$159,$C17,'09'!S$7:S$159)+SUMIF('10'!$D$7:$D$159,$C17,'10'!S$7:S$159)+SUMIF('11'!$D$7:$D$159,$C17,'11'!S$7:S$159)+SUMIF('12'!$D$7:$D$159,$C17,'12'!S$7:S$159)+SUMIF('01'!$D$7:$D$159,$C17,'01'!S$7:S$159)</f>
        <v>0</v>
      </c>
      <c r="R18" s="283">
        <f>SUMIF('09'!$D$7:$D$159,$C17,'09'!T$7:T$159)+SUMIF('10'!$D$7:$D$159,$C17,'10'!T$7:T$159)+SUMIF('11'!$D$7:$D$159,$C17,'11'!T$7:T$159)+SUMIF('12'!$D$7:$D$159,$C17,'12'!T$7:T$159)+SUMIF('01'!$D$7:$D$159,$C17,'01'!T$7:T$159)</f>
        <v>0</v>
      </c>
      <c r="S18" s="281">
        <f>SUMIF('09'!$D$7:$D$159,$C17,'09'!U$7:U$159)+SUMIF('10'!$D$7:$D$159,$C17,'10'!U$7:U$159)+SUMIF('11'!$D$7:$D$159,$C17,'11'!U$7:U$159)+SUMIF('12'!$D$7:$D$159,$C17,'12'!U$7:U$159)+SUMIF('01'!$D$7:$D$159,$C17,'01'!U$7:U$159)</f>
        <v>0</v>
      </c>
      <c r="T18" s="282">
        <f>SUMIF('09'!$D$7:$D$159,$C17,'09'!V$7:V$159)+SUMIF('10'!$D$7:$D$159,$C17,'10'!V$7:V$159)+SUMIF('11'!$D$7:$D$159,$C17,'11'!V$7:V$159)+SUMIF('12'!$D$7:$D$159,$C17,'12'!V$7:V$159)+SUMIF('01'!$D$7:$D$159,$C17,'01'!V$7:V$159)</f>
        <v>0</v>
      </c>
      <c r="U18" s="285">
        <f>SUMIF('09'!$D$7:$D$159,$C17,'09'!W$7:W$159)+SUMIF('10'!$D$7:$D$159,$C17,'10'!W$7:W$159)+SUMIF('11'!$D$7:$D$159,$C17,'11'!W$7:W$159)+SUMIF('12'!$D$7:$D$159,$C17,'12'!W$7:W$159)+SUMIF('01'!$D$7:$D$159,$C17,'01'!W$7:W$159)</f>
        <v>0</v>
      </c>
      <c r="V18" s="284">
        <f>SUMIF('09'!$D$7:$D$159,$C17,'09'!X$7:X$159)+SUMIF('10'!$D$7:$D$159,$C17,'10'!X$7:X$159)+SUMIF('11'!$D$7:$D$159,$C17,'11'!X$7:X$159)+SUMIF('12'!$D$7:$D$159,$C17,'12'!X$7:X$159)+SUMIF('01'!$D$7:$D$159,$C17,'01'!X$7:X$159)</f>
        <v>0</v>
      </c>
      <c r="W18" s="284">
        <f>SUMIF('09'!$D$7:$D$159,$C17,'09'!Y$7:Y$159)+SUMIF('10'!$D$7:$D$159,$C17,'10'!Y$7:Y$159)+SUMIF('11'!$D$7:$D$159,$C17,'11'!Y$7:Y$159)+SUMIF('12'!$D$7:$D$159,$C17,'12'!Y$7:Y$159)+SUMIF('01'!$D$7:$D$159,$C17,'01'!Y$7:Y$159)</f>
        <v>0</v>
      </c>
      <c r="X18" s="286">
        <f t="shared" si="1"/>
        <v>0</v>
      </c>
      <c r="Y18" s="345"/>
      <c r="Z18" s="347"/>
    </row>
    <row r="19" spans="1:26" ht="14.25" customHeight="1" x14ac:dyDescent="0.3">
      <c r="A19" s="178">
        <f>IF(OR(C19="0",COUNTIF(КлючОсень,C19)&gt;1),0,MATCH(F19,ВидыНагр,0))</f>
        <v>0</v>
      </c>
      <c r="B19" s="178" t="b">
        <f>(COUNTA(D19:F20,J19:W19,H19:I20)=0)</f>
        <v>1</v>
      </c>
      <c r="C19" s="179" t="str">
        <f>IF(OR(TRIM(D19)="",COUNTIF(ВидыНагр,F19)&lt;&gt;1),"0",CONCATENATE("$",TRIM(D19),"$",TRIM(E19),"$",F19,"$"))</f>
        <v>0</v>
      </c>
      <c r="D19" s="340"/>
      <c r="E19" s="338"/>
      <c r="F19" s="342"/>
      <c r="G19" s="180" t="s">
        <v>7</v>
      </c>
      <c r="H19" s="181"/>
      <c r="I19" s="182"/>
      <c r="J19" s="183"/>
      <c r="K19" s="184"/>
      <c r="L19" s="185"/>
      <c r="M19" s="183"/>
      <c r="N19" s="184"/>
      <c r="O19" s="186"/>
      <c r="P19" s="183"/>
      <c r="Q19" s="184"/>
      <c r="R19" s="185"/>
      <c r="S19" s="183"/>
      <c r="T19" s="184"/>
      <c r="U19" s="187"/>
      <c r="V19" s="186"/>
      <c r="W19" s="186"/>
      <c r="X19" s="279">
        <f t="shared" si="1"/>
        <v>0</v>
      </c>
      <c r="Y19" s="344">
        <f>X20-X19</f>
        <v>0</v>
      </c>
      <c r="Z19" s="346"/>
    </row>
    <row r="20" spans="1:26" ht="14.25" customHeight="1" x14ac:dyDescent="0.3">
      <c r="A20" s="178">
        <f>-A19</f>
        <v>0</v>
      </c>
      <c r="B20" s="178" t="b">
        <f>B19</f>
        <v>1</v>
      </c>
      <c r="C20" s="188"/>
      <c r="D20" s="341"/>
      <c r="E20" s="339"/>
      <c r="F20" s="343"/>
      <c r="G20" s="189" t="s">
        <v>8</v>
      </c>
      <c r="H20" s="190"/>
      <c r="I20" s="280"/>
      <c r="J20" s="281">
        <f>SUMIF('09'!$D$7:$D$159,$C19,'09'!L$7:L$159)+SUMIF('10'!$D$7:$D$159,$C19,'10'!L$7:L$159)+SUMIF('11'!$D$7:$D$159,$C19,'11'!L$7:L$159)+SUMIF('12'!$D$7:$D$159,$C19,'12'!L$7:L$159)+SUMIF('01'!$D$7:$D$159,$C19,'01'!L$7:L$159)</f>
        <v>0</v>
      </c>
      <c r="K20" s="282">
        <f>SUMIF('09'!$D$7:$D$159,$C19,'09'!M$7:M$159)+SUMIF('10'!$D$7:$D$159,$C19,'10'!M$7:M$159)+SUMIF('11'!$D$7:$D$159,$C19,'11'!M$7:M$159)+SUMIF('12'!$D$7:$D$159,$C19,'12'!M$7:M$159)+SUMIF('01'!$D$7:$D$159,$C19,'01'!M$7:M$159)</f>
        <v>0</v>
      </c>
      <c r="L20" s="283">
        <f>SUMIF('09'!$D$7:$D$159,$C19,'09'!N$7:N$159)+SUMIF('10'!$D$7:$D$159,$C19,'10'!N$7:N$159)+SUMIF('11'!$D$7:$D$159,$C19,'11'!N$7:N$159)+SUMIF('12'!$D$7:$D$159,$C19,'12'!N$7:N$159)+SUMIF('01'!$D$7:$D$159,$C19,'01'!N$7:N$159)</f>
        <v>0</v>
      </c>
      <c r="M20" s="281">
        <f>SUMIF('09'!$D$7:$D$159,$C19,'09'!O$7:O$159)+SUMIF('10'!$D$7:$D$159,$C19,'10'!O$7:O$159)+SUMIF('11'!$D$7:$D$159,$C19,'11'!O$7:O$159)+SUMIF('12'!$D$7:$D$159,$C19,'12'!O$7:O$159)+SUMIF('01'!$D$7:$D$159,$C19,'01'!O$7:O$159)</f>
        <v>0</v>
      </c>
      <c r="N20" s="282">
        <f>SUMIF('09'!$D$7:$D$159,$C19,'09'!P$7:P$159)+SUMIF('10'!$D$7:$D$159,$C19,'10'!P$7:P$159)+SUMIF('11'!$D$7:$D$159,$C19,'11'!P$7:P$159)+SUMIF('12'!$D$7:$D$159,$C19,'12'!P$7:P$159)+SUMIF('01'!$D$7:$D$159,$C19,'01'!P$7:P$159)</f>
        <v>0</v>
      </c>
      <c r="O20" s="284">
        <f>SUMIF('09'!$D$7:$D$159,$C19,'09'!Q$7:Q$159)+SUMIF('10'!$D$7:$D$159,$C19,'10'!Q$7:Q$159)+SUMIF('11'!$D$7:$D$159,$C19,'11'!Q$7:Q$159)+SUMIF('12'!$D$7:$D$159,$C19,'12'!Q$7:Q$159)+SUMIF('01'!$D$7:$D$159,$C19,'01'!Q$7:Q$159)</f>
        <v>0</v>
      </c>
      <c r="P20" s="281">
        <f>SUMIF('09'!$D$7:$D$159,$C19,'09'!R$7:R$159)+SUMIF('10'!$D$7:$D$159,$C19,'10'!R$7:R$159)+SUMIF('11'!$D$7:$D$159,$C19,'11'!R$7:R$159)+SUMIF('12'!$D$7:$D$159,$C19,'12'!R$7:R$159)+SUMIF('01'!$D$7:$D$159,$C19,'01'!R$7:R$159)</f>
        <v>0</v>
      </c>
      <c r="Q20" s="282">
        <f>SUMIF('09'!$D$7:$D$159,$C19,'09'!S$7:S$159)+SUMIF('10'!$D$7:$D$159,$C19,'10'!S$7:S$159)+SUMIF('11'!$D$7:$D$159,$C19,'11'!S$7:S$159)+SUMIF('12'!$D$7:$D$159,$C19,'12'!S$7:S$159)+SUMIF('01'!$D$7:$D$159,$C19,'01'!S$7:S$159)</f>
        <v>0</v>
      </c>
      <c r="R20" s="283">
        <f>SUMIF('09'!$D$7:$D$159,$C19,'09'!T$7:T$159)+SUMIF('10'!$D$7:$D$159,$C19,'10'!T$7:T$159)+SUMIF('11'!$D$7:$D$159,$C19,'11'!T$7:T$159)+SUMIF('12'!$D$7:$D$159,$C19,'12'!T$7:T$159)+SUMIF('01'!$D$7:$D$159,$C19,'01'!T$7:T$159)</f>
        <v>0</v>
      </c>
      <c r="S20" s="281">
        <f>SUMIF('09'!$D$7:$D$159,$C19,'09'!U$7:U$159)+SUMIF('10'!$D$7:$D$159,$C19,'10'!U$7:U$159)+SUMIF('11'!$D$7:$D$159,$C19,'11'!U$7:U$159)+SUMIF('12'!$D$7:$D$159,$C19,'12'!U$7:U$159)+SUMIF('01'!$D$7:$D$159,$C19,'01'!U$7:U$159)</f>
        <v>0</v>
      </c>
      <c r="T20" s="282">
        <f>SUMIF('09'!$D$7:$D$159,$C19,'09'!V$7:V$159)+SUMIF('10'!$D$7:$D$159,$C19,'10'!V$7:V$159)+SUMIF('11'!$D$7:$D$159,$C19,'11'!V$7:V$159)+SUMIF('12'!$D$7:$D$159,$C19,'12'!V$7:V$159)+SUMIF('01'!$D$7:$D$159,$C19,'01'!V$7:V$159)</f>
        <v>0</v>
      </c>
      <c r="U20" s="285">
        <f>SUMIF('09'!$D$7:$D$159,$C19,'09'!W$7:W$159)+SUMIF('10'!$D$7:$D$159,$C19,'10'!W$7:W$159)+SUMIF('11'!$D$7:$D$159,$C19,'11'!W$7:W$159)+SUMIF('12'!$D$7:$D$159,$C19,'12'!W$7:W$159)+SUMIF('01'!$D$7:$D$159,$C19,'01'!W$7:W$159)</f>
        <v>0</v>
      </c>
      <c r="V20" s="284">
        <f>SUMIF('09'!$D$7:$D$159,$C19,'09'!X$7:X$159)+SUMIF('10'!$D$7:$D$159,$C19,'10'!X$7:X$159)+SUMIF('11'!$D$7:$D$159,$C19,'11'!X$7:X$159)+SUMIF('12'!$D$7:$D$159,$C19,'12'!X$7:X$159)+SUMIF('01'!$D$7:$D$159,$C19,'01'!X$7:X$159)</f>
        <v>0</v>
      </c>
      <c r="W20" s="284">
        <f>SUMIF('09'!$D$7:$D$159,$C19,'09'!Y$7:Y$159)+SUMIF('10'!$D$7:$D$159,$C19,'10'!Y$7:Y$159)+SUMIF('11'!$D$7:$D$159,$C19,'11'!Y$7:Y$159)+SUMIF('12'!$D$7:$D$159,$C19,'12'!Y$7:Y$159)+SUMIF('01'!$D$7:$D$159,$C19,'01'!Y$7:Y$159)</f>
        <v>0</v>
      </c>
      <c r="X20" s="286">
        <f t="shared" si="1"/>
        <v>0</v>
      </c>
      <c r="Y20" s="345"/>
      <c r="Z20" s="347"/>
    </row>
    <row r="21" spans="1:26" ht="14.25" customHeight="1" x14ac:dyDescent="0.3">
      <c r="A21" s="178">
        <f>IF(OR(C21="0",COUNTIF(КлючОсень,C21)&gt;1),0,MATCH(F21,ВидыНагр,0))</f>
        <v>0</v>
      </c>
      <c r="B21" s="178" t="b">
        <f>(COUNTA(D21:F22,J21:W21,H21:I22)=0)</f>
        <v>1</v>
      </c>
      <c r="C21" s="179" t="str">
        <f>IF(OR(TRIM(D21)="",COUNTIF(ВидыНагр,F21)&lt;&gt;1),"0",CONCATENATE("$",TRIM(D21),"$",TRIM(E21),"$",F21,"$"))</f>
        <v>0</v>
      </c>
      <c r="D21" s="340"/>
      <c r="E21" s="338"/>
      <c r="F21" s="342"/>
      <c r="G21" s="180" t="s">
        <v>7</v>
      </c>
      <c r="H21" s="181"/>
      <c r="I21" s="182"/>
      <c r="J21" s="183"/>
      <c r="K21" s="184"/>
      <c r="L21" s="185"/>
      <c r="M21" s="183"/>
      <c r="N21" s="184"/>
      <c r="O21" s="186"/>
      <c r="P21" s="183"/>
      <c r="Q21" s="184"/>
      <c r="R21" s="185"/>
      <c r="S21" s="183"/>
      <c r="T21" s="184"/>
      <c r="U21" s="187"/>
      <c r="V21" s="186"/>
      <c r="W21" s="186"/>
      <c r="X21" s="279">
        <f t="shared" si="1"/>
        <v>0</v>
      </c>
      <c r="Y21" s="344">
        <f>X22-X21</f>
        <v>0</v>
      </c>
      <c r="Z21" s="346"/>
    </row>
    <row r="22" spans="1:26" ht="14.25" customHeight="1" x14ac:dyDescent="0.3">
      <c r="A22" s="178">
        <f>-A21</f>
        <v>0</v>
      </c>
      <c r="B22" s="178" t="b">
        <f>B21</f>
        <v>1</v>
      </c>
      <c r="C22" s="188"/>
      <c r="D22" s="341"/>
      <c r="E22" s="339"/>
      <c r="F22" s="343"/>
      <c r="G22" s="189" t="s">
        <v>8</v>
      </c>
      <c r="H22" s="190"/>
      <c r="I22" s="280"/>
      <c r="J22" s="281">
        <f>SUMIF('09'!$D$7:$D$159,$C21,'09'!L$7:L$159)+SUMIF('10'!$D$7:$D$159,$C21,'10'!L$7:L$159)+SUMIF('11'!$D$7:$D$159,$C21,'11'!L$7:L$159)+SUMIF('12'!$D$7:$D$159,$C21,'12'!L$7:L$159)+SUMIF('01'!$D$7:$D$159,$C21,'01'!L$7:L$159)</f>
        <v>0</v>
      </c>
      <c r="K22" s="282">
        <f>SUMIF('09'!$D$7:$D$159,$C21,'09'!M$7:M$159)+SUMIF('10'!$D$7:$D$159,$C21,'10'!M$7:M$159)+SUMIF('11'!$D$7:$D$159,$C21,'11'!M$7:M$159)+SUMIF('12'!$D$7:$D$159,$C21,'12'!M$7:M$159)+SUMIF('01'!$D$7:$D$159,$C21,'01'!M$7:M$159)</f>
        <v>0</v>
      </c>
      <c r="L22" s="283">
        <f>SUMIF('09'!$D$7:$D$159,$C21,'09'!N$7:N$159)+SUMIF('10'!$D$7:$D$159,$C21,'10'!N$7:N$159)+SUMIF('11'!$D$7:$D$159,$C21,'11'!N$7:N$159)+SUMIF('12'!$D$7:$D$159,$C21,'12'!N$7:N$159)+SUMIF('01'!$D$7:$D$159,$C21,'01'!N$7:N$159)</f>
        <v>0</v>
      </c>
      <c r="M22" s="281">
        <f>SUMIF('09'!$D$7:$D$159,$C21,'09'!O$7:O$159)+SUMIF('10'!$D$7:$D$159,$C21,'10'!O$7:O$159)+SUMIF('11'!$D$7:$D$159,$C21,'11'!O$7:O$159)+SUMIF('12'!$D$7:$D$159,$C21,'12'!O$7:O$159)+SUMIF('01'!$D$7:$D$159,$C21,'01'!O$7:O$159)</f>
        <v>0</v>
      </c>
      <c r="N22" s="282">
        <f>SUMIF('09'!$D$7:$D$159,$C21,'09'!P$7:P$159)+SUMIF('10'!$D$7:$D$159,$C21,'10'!P$7:P$159)+SUMIF('11'!$D$7:$D$159,$C21,'11'!P$7:P$159)+SUMIF('12'!$D$7:$D$159,$C21,'12'!P$7:P$159)+SUMIF('01'!$D$7:$D$159,$C21,'01'!P$7:P$159)</f>
        <v>0</v>
      </c>
      <c r="O22" s="284">
        <f>SUMIF('09'!$D$7:$D$159,$C21,'09'!Q$7:Q$159)+SUMIF('10'!$D$7:$D$159,$C21,'10'!Q$7:Q$159)+SUMIF('11'!$D$7:$D$159,$C21,'11'!Q$7:Q$159)+SUMIF('12'!$D$7:$D$159,$C21,'12'!Q$7:Q$159)+SUMIF('01'!$D$7:$D$159,$C21,'01'!Q$7:Q$159)</f>
        <v>0</v>
      </c>
      <c r="P22" s="281">
        <f>SUMIF('09'!$D$7:$D$159,$C21,'09'!R$7:R$159)+SUMIF('10'!$D$7:$D$159,$C21,'10'!R$7:R$159)+SUMIF('11'!$D$7:$D$159,$C21,'11'!R$7:R$159)+SUMIF('12'!$D$7:$D$159,$C21,'12'!R$7:R$159)+SUMIF('01'!$D$7:$D$159,$C21,'01'!R$7:R$159)</f>
        <v>0</v>
      </c>
      <c r="Q22" s="282">
        <f>SUMIF('09'!$D$7:$D$159,$C21,'09'!S$7:S$159)+SUMIF('10'!$D$7:$D$159,$C21,'10'!S$7:S$159)+SUMIF('11'!$D$7:$D$159,$C21,'11'!S$7:S$159)+SUMIF('12'!$D$7:$D$159,$C21,'12'!S$7:S$159)+SUMIF('01'!$D$7:$D$159,$C21,'01'!S$7:S$159)</f>
        <v>0</v>
      </c>
      <c r="R22" s="283">
        <f>SUMIF('09'!$D$7:$D$159,$C21,'09'!T$7:T$159)+SUMIF('10'!$D$7:$D$159,$C21,'10'!T$7:T$159)+SUMIF('11'!$D$7:$D$159,$C21,'11'!T$7:T$159)+SUMIF('12'!$D$7:$D$159,$C21,'12'!T$7:T$159)+SUMIF('01'!$D$7:$D$159,$C21,'01'!T$7:T$159)</f>
        <v>0</v>
      </c>
      <c r="S22" s="281">
        <f>SUMIF('09'!$D$7:$D$159,$C21,'09'!U$7:U$159)+SUMIF('10'!$D$7:$D$159,$C21,'10'!U$7:U$159)+SUMIF('11'!$D$7:$D$159,$C21,'11'!U$7:U$159)+SUMIF('12'!$D$7:$D$159,$C21,'12'!U$7:U$159)+SUMIF('01'!$D$7:$D$159,$C21,'01'!U$7:U$159)</f>
        <v>0</v>
      </c>
      <c r="T22" s="282">
        <f>SUMIF('09'!$D$7:$D$159,$C21,'09'!V$7:V$159)+SUMIF('10'!$D$7:$D$159,$C21,'10'!V$7:V$159)+SUMIF('11'!$D$7:$D$159,$C21,'11'!V$7:V$159)+SUMIF('12'!$D$7:$D$159,$C21,'12'!V$7:V$159)+SUMIF('01'!$D$7:$D$159,$C21,'01'!V$7:V$159)</f>
        <v>0</v>
      </c>
      <c r="U22" s="285">
        <f>SUMIF('09'!$D$7:$D$159,$C21,'09'!W$7:W$159)+SUMIF('10'!$D$7:$D$159,$C21,'10'!W$7:W$159)+SUMIF('11'!$D$7:$D$159,$C21,'11'!W$7:W$159)+SUMIF('12'!$D$7:$D$159,$C21,'12'!W$7:W$159)+SUMIF('01'!$D$7:$D$159,$C21,'01'!W$7:W$159)</f>
        <v>0</v>
      </c>
      <c r="V22" s="284">
        <f>SUMIF('09'!$D$7:$D$159,$C21,'09'!X$7:X$159)+SUMIF('10'!$D$7:$D$159,$C21,'10'!X$7:X$159)+SUMIF('11'!$D$7:$D$159,$C21,'11'!X$7:X$159)+SUMIF('12'!$D$7:$D$159,$C21,'12'!X$7:X$159)+SUMIF('01'!$D$7:$D$159,$C21,'01'!X$7:X$159)</f>
        <v>0</v>
      </c>
      <c r="W22" s="284">
        <f>SUMIF('09'!$D$7:$D$159,$C21,'09'!Y$7:Y$159)+SUMIF('10'!$D$7:$D$159,$C21,'10'!Y$7:Y$159)+SUMIF('11'!$D$7:$D$159,$C21,'11'!Y$7:Y$159)+SUMIF('12'!$D$7:$D$159,$C21,'12'!Y$7:Y$159)+SUMIF('01'!$D$7:$D$159,$C21,'01'!Y$7:Y$159)</f>
        <v>0</v>
      </c>
      <c r="X22" s="286">
        <f t="shared" si="1"/>
        <v>0</v>
      </c>
      <c r="Y22" s="345"/>
      <c r="Z22" s="347"/>
    </row>
    <row r="23" spans="1:26" ht="14.25" customHeight="1" x14ac:dyDescent="0.3">
      <c r="A23" s="178">
        <f>IF(OR(C23="0",COUNTIF(КлючОсень,C23)&gt;1),0,MATCH(F23,ВидыНагр,0))</f>
        <v>0</v>
      </c>
      <c r="B23" s="178" t="b">
        <f>(COUNTA(D23:F24,J23:W23,H23:I24)=0)</f>
        <v>1</v>
      </c>
      <c r="C23" s="179" t="str">
        <f>IF(OR(TRIM(D23)="",COUNTIF(ВидыНагр,F23)&lt;&gt;1),"0",CONCATENATE("$",TRIM(D23),"$",TRIM(E23),"$",F23,"$"))</f>
        <v>0</v>
      </c>
      <c r="D23" s="340"/>
      <c r="E23" s="338"/>
      <c r="F23" s="342"/>
      <c r="G23" s="180" t="s">
        <v>7</v>
      </c>
      <c r="H23" s="181"/>
      <c r="I23" s="182"/>
      <c r="J23" s="183"/>
      <c r="K23" s="184"/>
      <c r="L23" s="185"/>
      <c r="M23" s="183"/>
      <c r="N23" s="184"/>
      <c r="O23" s="186"/>
      <c r="P23" s="183"/>
      <c r="Q23" s="184"/>
      <c r="R23" s="185"/>
      <c r="S23" s="183"/>
      <c r="T23" s="184"/>
      <c r="U23" s="187"/>
      <c r="V23" s="186"/>
      <c r="W23" s="186"/>
      <c r="X23" s="279">
        <f t="shared" si="1"/>
        <v>0</v>
      </c>
      <c r="Y23" s="344">
        <f>X24-X23</f>
        <v>0</v>
      </c>
      <c r="Z23" s="346"/>
    </row>
    <row r="24" spans="1:26" ht="14.25" customHeight="1" x14ac:dyDescent="0.3">
      <c r="A24" s="178">
        <f>-A23</f>
        <v>0</v>
      </c>
      <c r="B24" s="178" t="b">
        <f>B23</f>
        <v>1</v>
      </c>
      <c r="C24" s="188"/>
      <c r="D24" s="341"/>
      <c r="E24" s="339"/>
      <c r="F24" s="343"/>
      <c r="G24" s="189" t="s">
        <v>8</v>
      </c>
      <c r="H24" s="190"/>
      <c r="I24" s="280"/>
      <c r="J24" s="281">
        <f>SUMIF('09'!$D$7:$D$159,$C23,'09'!L$7:L$159)+SUMIF('10'!$D$7:$D$159,$C23,'10'!L$7:L$159)+SUMIF('11'!$D$7:$D$159,$C23,'11'!L$7:L$159)+SUMIF('12'!$D$7:$D$159,$C23,'12'!L$7:L$159)+SUMIF('01'!$D$7:$D$159,$C23,'01'!L$7:L$159)</f>
        <v>0</v>
      </c>
      <c r="K24" s="282">
        <f>SUMIF('09'!$D$7:$D$159,$C23,'09'!M$7:M$159)+SUMIF('10'!$D$7:$D$159,$C23,'10'!M$7:M$159)+SUMIF('11'!$D$7:$D$159,$C23,'11'!M$7:M$159)+SUMIF('12'!$D$7:$D$159,$C23,'12'!M$7:M$159)+SUMIF('01'!$D$7:$D$159,$C23,'01'!M$7:M$159)</f>
        <v>0</v>
      </c>
      <c r="L24" s="283">
        <f>SUMIF('09'!$D$7:$D$159,$C23,'09'!N$7:N$159)+SUMIF('10'!$D$7:$D$159,$C23,'10'!N$7:N$159)+SUMIF('11'!$D$7:$D$159,$C23,'11'!N$7:N$159)+SUMIF('12'!$D$7:$D$159,$C23,'12'!N$7:N$159)+SUMIF('01'!$D$7:$D$159,$C23,'01'!N$7:N$159)</f>
        <v>0</v>
      </c>
      <c r="M24" s="281">
        <f>SUMIF('09'!$D$7:$D$159,$C23,'09'!O$7:O$159)+SUMIF('10'!$D$7:$D$159,$C23,'10'!O$7:O$159)+SUMIF('11'!$D$7:$D$159,$C23,'11'!O$7:O$159)+SUMIF('12'!$D$7:$D$159,$C23,'12'!O$7:O$159)+SUMIF('01'!$D$7:$D$159,$C23,'01'!O$7:O$159)</f>
        <v>0</v>
      </c>
      <c r="N24" s="282">
        <f>SUMIF('09'!$D$7:$D$159,$C23,'09'!P$7:P$159)+SUMIF('10'!$D$7:$D$159,$C23,'10'!P$7:P$159)+SUMIF('11'!$D$7:$D$159,$C23,'11'!P$7:P$159)+SUMIF('12'!$D$7:$D$159,$C23,'12'!P$7:P$159)+SUMIF('01'!$D$7:$D$159,$C23,'01'!P$7:P$159)</f>
        <v>0</v>
      </c>
      <c r="O24" s="284">
        <f>SUMIF('09'!$D$7:$D$159,$C23,'09'!Q$7:Q$159)+SUMIF('10'!$D$7:$D$159,$C23,'10'!Q$7:Q$159)+SUMIF('11'!$D$7:$D$159,$C23,'11'!Q$7:Q$159)+SUMIF('12'!$D$7:$D$159,$C23,'12'!Q$7:Q$159)+SUMIF('01'!$D$7:$D$159,$C23,'01'!Q$7:Q$159)</f>
        <v>0</v>
      </c>
      <c r="P24" s="281">
        <f>SUMIF('09'!$D$7:$D$159,$C23,'09'!R$7:R$159)+SUMIF('10'!$D$7:$D$159,$C23,'10'!R$7:R$159)+SUMIF('11'!$D$7:$D$159,$C23,'11'!R$7:R$159)+SUMIF('12'!$D$7:$D$159,$C23,'12'!R$7:R$159)+SUMIF('01'!$D$7:$D$159,$C23,'01'!R$7:R$159)</f>
        <v>0</v>
      </c>
      <c r="Q24" s="282">
        <f>SUMIF('09'!$D$7:$D$159,$C23,'09'!S$7:S$159)+SUMIF('10'!$D$7:$D$159,$C23,'10'!S$7:S$159)+SUMIF('11'!$D$7:$D$159,$C23,'11'!S$7:S$159)+SUMIF('12'!$D$7:$D$159,$C23,'12'!S$7:S$159)+SUMIF('01'!$D$7:$D$159,$C23,'01'!S$7:S$159)</f>
        <v>0</v>
      </c>
      <c r="R24" s="283">
        <f>SUMIF('09'!$D$7:$D$159,$C23,'09'!T$7:T$159)+SUMIF('10'!$D$7:$D$159,$C23,'10'!T$7:T$159)+SUMIF('11'!$D$7:$D$159,$C23,'11'!T$7:T$159)+SUMIF('12'!$D$7:$D$159,$C23,'12'!T$7:T$159)+SUMIF('01'!$D$7:$D$159,$C23,'01'!T$7:T$159)</f>
        <v>0</v>
      </c>
      <c r="S24" s="281">
        <f>SUMIF('09'!$D$7:$D$159,$C23,'09'!U$7:U$159)+SUMIF('10'!$D$7:$D$159,$C23,'10'!U$7:U$159)+SUMIF('11'!$D$7:$D$159,$C23,'11'!U$7:U$159)+SUMIF('12'!$D$7:$D$159,$C23,'12'!U$7:U$159)+SUMIF('01'!$D$7:$D$159,$C23,'01'!U$7:U$159)</f>
        <v>0</v>
      </c>
      <c r="T24" s="282">
        <f>SUMIF('09'!$D$7:$D$159,$C23,'09'!V$7:V$159)+SUMIF('10'!$D$7:$D$159,$C23,'10'!V$7:V$159)+SUMIF('11'!$D$7:$D$159,$C23,'11'!V$7:V$159)+SUMIF('12'!$D$7:$D$159,$C23,'12'!V$7:V$159)+SUMIF('01'!$D$7:$D$159,$C23,'01'!V$7:V$159)</f>
        <v>0</v>
      </c>
      <c r="U24" s="285">
        <f>SUMIF('09'!$D$7:$D$159,$C23,'09'!W$7:W$159)+SUMIF('10'!$D$7:$D$159,$C23,'10'!W$7:W$159)+SUMIF('11'!$D$7:$D$159,$C23,'11'!W$7:W$159)+SUMIF('12'!$D$7:$D$159,$C23,'12'!W$7:W$159)+SUMIF('01'!$D$7:$D$159,$C23,'01'!W$7:W$159)</f>
        <v>0</v>
      </c>
      <c r="V24" s="284">
        <f>SUMIF('09'!$D$7:$D$159,$C23,'09'!X$7:X$159)+SUMIF('10'!$D$7:$D$159,$C23,'10'!X$7:X$159)+SUMIF('11'!$D$7:$D$159,$C23,'11'!X$7:X$159)+SUMIF('12'!$D$7:$D$159,$C23,'12'!X$7:X$159)+SUMIF('01'!$D$7:$D$159,$C23,'01'!X$7:X$159)</f>
        <v>0</v>
      </c>
      <c r="W24" s="284">
        <f>SUMIF('09'!$D$7:$D$159,$C23,'09'!Y$7:Y$159)+SUMIF('10'!$D$7:$D$159,$C23,'10'!Y$7:Y$159)+SUMIF('11'!$D$7:$D$159,$C23,'11'!Y$7:Y$159)+SUMIF('12'!$D$7:$D$159,$C23,'12'!Y$7:Y$159)+SUMIF('01'!$D$7:$D$159,$C23,'01'!Y$7:Y$159)</f>
        <v>0</v>
      </c>
      <c r="X24" s="286">
        <f t="shared" si="1"/>
        <v>0</v>
      </c>
      <c r="Y24" s="345"/>
      <c r="Z24" s="347"/>
    </row>
    <row r="25" spans="1:26" ht="14.25" customHeight="1" x14ac:dyDescent="0.3">
      <c r="A25" s="178">
        <f>IF(OR(C25="0",COUNTIF(КлючОсень,C25)&gt;1),0,MATCH(F25,ВидыНагр,0))</f>
        <v>0</v>
      </c>
      <c r="B25" s="178" t="b">
        <f>(COUNTA(D25:F26,J25:W25,H25:I26)=0)</f>
        <v>1</v>
      </c>
      <c r="C25" s="179" t="str">
        <f>IF(OR(TRIM(D25)="",COUNTIF(ВидыНагр,F25)&lt;&gt;1),"0",CONCATENATE("$",TRIM(D25),"$",TRIM(E25),"$",F25,"$"))</f>
        <v>0</v>
      </c>
      <c r="D25" s="340"/>
      <c r="E25" s="338"/>
      <c r="F25" s="342"/>
      <c r="G25" s="180" t="s">
        <v>7</v>
      </c>
      <c r="H25" s="181"/>
      <c r="I25" s="182"/>
      <c r="J25" s="183"/>
      <c r="K25" s="184"/>
      <c r="L25" s="185"/>
      <c r="M25" s="183"/>
      <c r="N25" s="184"/>
      <c r="O25" s="186"/>
      <c r="P25" s="183"/>
      <c r="Q25" s="184"/>
      <c r="R25" s="185"/>
      <c r="S25" s="183"/>
      <c r="T25" s="184"/>
      <c r="U25" s="187"/>
      <c r="V25" s="186"/>
      <c r="W25" s="186"/>
      <c r="X25" s="279">
        <f t="shared" si="1"/>
        <v>0</v>
      </c>
      <c r="Y25" s="344">
        <f>X26-X25</f>
        <v>0</v>
      </c>
      <c r="Z25" s="346"/>
    </row>
    <row r="26" spans="1:26" ht="14.25" customHeight="1" x14ac:dyDescent="0.3">
      <c r="A26" s="178">
        <f>-A25</f>
        <v>0</v>
      </c>
      <c r="B26" s="178" t="b">
        <f>B25</f>
        <v>1</v>
      </c>
      <c r="C26" s="188"/>
      <c r="D26" s="341"/>
      <c r="E26" s="339"/>
      <c r="F26" s="343"/>
      <c r="G26" s="189" t="s">
        <v>8</v>
      </c>
      <c r="H26" s="190"/>
      <c r="I26" s="280"/>
      <c r="J26" s="281">
        <f>SUMIF('09'!$D$7:$D$159,$C25,'09'!L$7:L$159)+SUMIF('10'!$D$7:$D$159,$C25,'10'!L$7:L$159)+SUMIF('11'!$D$7:$D$159,$C25,'11'!L$7:L$159)+SUMIF('12'!$D$7:$D$159,$C25,'12'!L$7:L$159)+SUMIF('01'!$D$7:$D$159,$C25,'01'!L$7:L$159)</f>
        <v>0</v>
      </c>
      <c r="K26" s="282">
        <f>SUMIF('09'!$D$7:$D$159,$C25,'09'!M$7:M$159)+SUMIF('10'!$D$7:$D$159,$C25,'10'!M$7:M$159)+SUMIF('11'!$D$7:$D$159,$C25,'11'!M$7:M$159)+SUMIF('12'!$D$7:$D$159,$C25,'12'!M$7:M$159)+SUMIF('01'!$D$7:$D$159,$C25,'01'!M$7:M$159)</f>
        <v>0</v>
      </c>
      <c r="L26" s="283">
        <f>SUMIF('09'!$D$7:$D$159,$C25,'09'!N$7:N$159)+SUMIF('10'!$D$7:$D$159,$C25,'10'!N$7:N$159)+SUMIF('11'!$D$7:$D$159,$C25,'11'!N$7:N$159)+SUMIF('12'!$D$7:$D$159,$C25,'12'!N$7:N$159)+SUMIF('01'!$D$7:$D$159,$C25,'01'!N$7:N$159)</f>
        <v>0</v>
      </c>
      <c r="M26" s="281">
        <f>SUMIF('09'!$D$7:$D$159,$C25,'09'!O$7:O$159)+SUMIF('10'!$D$7:$D$159,$C25,'10'!O$7:O$159)+SUMIF('11'!$D$7:$D$159,$C25,'11'!O$7:O$159)+SUMIF('12'!$D$7:$D$159,$C25,'12'!O$7:O$159)+SUMIF('01'!$D$7:$D$159,$C25,'01'!O$7:O$159)</f>
        <v>0</v>
      </c>
      <c r="N26" s="282">
        <f>SUMIF('09'!$D$7:$D$159,$C25,'09'!P$7:P$159)+SUMIF('10'!$D$7:$D$159,$C25,'10'!P$7:P$159)+SUMIF('11'!$D$7:$D$159,$C25,'11'!P$7:P$159)+SUMIF('12'!$D$7:$D$159,$C25,'12'!P$7:P$159)+SUMIF('01'!$D$7:$D$159,$C25,'01'!P$7:P$159)</f>
        <v>0</v>
      </c>
      <c r="O26" s="284">
        <f>SUMIF('09'!$D$7:$D$159,$C25,'09'!Q$7:Q$159)+SUMIF('10'!$D$7:$D$159,$C25,'10'!Q$7:Q$159)+SUMIF('11'!$D$7:$D$159,$C25,'11'!Q$7:Q$159)+SUMIF('12'!$D$7:$D$159,$C25,'12'!Q$7:Q$159)+SUMIF('01'!$D$7:$D$159,$C25,'01'!Q$7:Q$159)</f>
        <v>0</v>
      </c>
      <c r="P26" s="281">
        <f>SUMIF('09'!$D$7:$D$159,$C25,'09'!R$7:R$159)+SUMIF('10'!$D$7:$D$159,$C25,'10'!R$7:R$159)+SUMIF('11'!$D$7:$D$159,$C25,'11'!R$7:R$159)+SUMIF('12'!$D$7:$D$159,$C25,'12'!R$7:R$159)+SUMIF('01'!$D$7:$D$159,$C25,'01'!R$7:R$159)</f>
        <v>0</v>
      </c>
      <c r="Q26" s="282">
        <f>SUMIF('09'!$D$7:$D$159,$C25,'09'!S$7:S$159)+SUMIF('10'!$D$7:$D$159,$C25,'10'!S$7:S$159)+SUMIF('11'!$D$7:$D$159,$C25,'11'!S$7:S$159)+SUMIF('12'!$D$7:$D$159,$C25,'12'!S$7:S$159)+SUMIF('01'!$D$7:$D$159,$C25,'01'!S$7:S$159)</f>
        <v>0</v>
      </c>
      <c r="R26" s="283">
        <f>SUMIF('09'!$D$7:$D$159,$C25,'09'!T$7:T$159)+SUMIF('10'!$D$7:$D$159,$C25,'10'!T$7:T$159)+SUMIF('11'!$D$7:$D$159,$C25,'11'!T$7:T$159)+SUMIF('12'!$D$7:$D$159,$C25,'12'!T$7:T$159)+SUMIF('01'!$D$7:$D$159,$C25,'01'!T$7:T$159)</f>
        <v>0</v>
      </c>
      <c r="S26" s="281">
        <f>SUMIF('09'!$D$7:$D$159,$C25,'09'!U$7:U$159)+SUMIF('10'!$D$7:$D$159,$C25,'10'!U$7:U$159)+SUMIF('11'!$D$7:$D$159,$C25,'11'!U$7:U$159)+SUMIF('12'!$D$7:$D$159,$C25,'12'!U$7:U$159)+SUMIF('01'!$D$7:$D$159,$C25,'01'!U$7:U$159)</f>
        <v>0</v>
      </c>
      <c r="T26" s="282">
        <f>SUMIF('09'!$D$7:$D$159,$C25,'09'!V$7:V$159)+SUMIF('10'!$D$7:$D$159,$C25,'10'!V$7:V$159)+SUMIF('11'!$D$7:$D$159,$C25,'11'!V$7:V$159)+SUMIF('12'!$D$7:$D$159,$C25,'12'!V$7:V$159)+SUMIF('01'!$D$7:$D$159,$C25,'01'!V$7:V$159)</f>
        <v>0</v>
      </c>
      <c r="U26" s="285">
        <f>SUMIF('09'!$D$7:$D$159,$C25,'09'!W$7:W$159)+SUMIF('10'!$D$7:$D$159,$C25,'10'!W$7:W$159)+SUMIF('11'!$D$7:$D$159,$C25,'11'!W$7:W$159)+SUMIF('12'!$D$7:$D$159,$C25,'12'!W$7:W$159)+SUMIF('01'!$D$7:$D$159,$C25,'01'!W$7:W$159)</f>
        <v>0</v>
      </c>
      <c r="V26" s="284">
        <f>SUMIF('09'!$D$7:$D$159,$C25,'09'!X$7:X$159)+SUMIF('10'!$D$7:$D$159,$C25,'10'!X$7:X$159)+SUMIF('11'!$D$7:$D$159,$C25,'11'!X$7:X$159)+SUMIF('12'!$D$7:$D$159,$C25,'12'!X$7:X$159)+SUMIF('01'!$D$7:$D$159,$C25,'01'!X$7:X$159)</f>
        <v>0</v>
      </c>
      <c r="W26" s="284">
        <f>SUMIF('09'!$D$7:$D$159,$C25,'09'!Y$7:Y$159)+SUMIF('10'!$D$7:$D$159,$C25,'10'!Y$7:Y$159)+SUMIF('11'!$D$7:$D$159,$C25,'11'!Y$7:Y$159)+SUMIF('12'!$D$7:$D$159,$C25,'12'!Y$7:Y$159)+SUMIF('01'!$D$7:$D$159,$C25,'01'!Y$7:Y$159)</f>
        <v>0</v>
      </c>
      <c r="X26" s="286">
        <f t="shared" si="1"/>
        <v>0</v>
      </c>
      <c r="Y26" s="345"/>
      <c r="Z26" s="347"/>
    </row>
    <row r="27" spans="1:26" ht="14.25" customHeight="1" x14ac:dyDescent="0.3">
      <c r="A27" s="178">
        <f>IF(OR(C27="0",COUNTIF(КлючОсень,C27)&gt;1),0,MATCH(F27,ВидыНагр,0))</f>
        <v>0</v>
      </c>
      <c r="B27" s="178" t="b">
        <f>(COUNTA(D27:F28,J27:W27,H27:I28)=0)</f>
        <v>1</v>
      </c>
      <c r="C27" s="179" t="str">
        <f>IF(OR(TRIM(D27)="",COUNTIF(ВидыНагр,F27)&lt;&gt;1),"0",CONCATENATE("$",TRIM(D27),"$",TRIM(E27),"$",F27,"$"))</f>
        <v>0</v>
      </c>
      <c r="D27" s="340"/>
      <c r="E27" s="338"/>
      <c r="F27" s="342"/>
      <c r="G27" s="180" t="s">
        <v>7</v>
      </c>
      <c r="H27" s="181"/>
      <c r="I27" s="182"/>
      <c r="J27" s="183"/>
      <c r="K27" s="184"/>
      <c r="L27" s="185"/>
      <c r="M27" s="183"/>
      <c r="N27" s="184"/>
      <c r="O27" s="186"/>
      <c r="P27" s="183"/>
      <c r="Q27" s="184"/>
      <c r="R27" s="185"/>
      <c r="S27" s="183"/>
      <c r="T27" s="184"/>
      <c r="U27" s="187"/>
      <c r="V27" s="186"/>
      <c r="W27" s="186"/>
      <c r="X27" s="279">
        <f t="shared" si="1"/>
        <v>0</v>
      </c>
      <c r="Y27" s="344">
        <f>X28-X27</f>
        <v>0</v>
      </c>
      <c r="Z27" s="346"/>
    </row>
    <row r="28" spans="1:26" ht="14.25" customHeight="1" x14ac:dyDescent="0.3">
      <c r="A28" s="178">
        <f>-A27</f>
        <v>0</v>
      </c>
      <c r="B28" s="178" t="b">
        <f>B27</f>
        <v>1</v>
      </c>
      <c r="C28" s="188"/>
      <c r="D28" s="341"/>
      <c r="E28" s="339"/>
      <c r="F28" s="343"/>
      <c r="G28" s="189" t="s">
        <v>8</v>
      </c>
      <c r="H28" s="190"/>
      <c r="I28" s="280"/>
      <c r="J28" s="281">
        <f>SUMIF('09'!$D$7:$D$159,$C27,'09'!L$7:L$159)+SUMIF('10'!$D$7:$D$159,$C27,'10'!L$7:L$159)+SUMIF('11'!$D$7:$D$159,$C27,'11'!L$7:L$159)+SUMIF('12'!$D$7:$D$159,$C27,'12'!L$7:L$159)+SUMIF('01'!$D$7:$D$159,$C27,'01'!L$7:L$159)</f>
        <v>0</v>
      </c>
      <c r="K28" s="282">
        <f>SUMIF('09'!$D$7:$D$159,$C27,'09'!M$7:M$159)+SUMIF('10'!$D$7:$D$159,$C27,'10'!M$7:M$159)+SUMIF('11'!$D$7:$D$159,$C27,'11'!M$7:M$159)+SUMIF('12'!$D$7:$D$159,$C27,'12'!M$7:M$159)+SUMIF('01'!$D$7:$D$159,$C27,'01'!M$7:M$159)</f>
        <v>0</v>
      </c>
      <c r="L28" s="283">
        <f>SUMIF('09'!$D$7:$D$159,$C27,'09'!N$7:N$159)+SUMIF('10'!$D$7:$D$159,$C27,'10'!N$7:N$159)+SUMIF('11'!$D$7:$D$159,$C27,'11'!N$7:N$159)+SUMIF('12'!$D$7:$D$159,$C27,'12'!N$7:N$159)+SUMIF('01'!$D$7:$D$159,$C27,'01'!N$7:N$159)</f>
        <v>0</v>
      </c>
      <c r="M28" s="281">
        <f>SUMIF('09'!$D$7:$D$159,$C27,'09'!O$7:O$159)+SUMIF('10'!$D$7:$D$159,$C27,'10'!O$7:O$159)+SUMIF('11'!$D$7:$D$159,$C27,'11'!O$7:O$159)+SUMIF('12'!$D$7:$D$159,$C27,'12'!O$7:O$159)+SUMIF('01'!$D$7:$D$159,$C27,'01'!O$7:O$159)</f>
        <v>0</v>
      </c>
      <c r="N28" s="282">
        <f>SUMIF('09'!$D$7:$D$159,$C27,'09'!P$7:P$159)+SUMIF('10'!$D$7:$D$159,$C27,'10'!P$7:P$159)+SUMIF('11'!$D$7:$D$159,$C27,'11'!P$7:P$159)+SUMIF('12'!$D$7:$D$159,$C27,'12'!P$7:P$159)+SUMIF('01'!$D$7:$D$159,$C27,'01'!P$7:P$159)</f>
        <v>0</v>
      </c>
      <c r="O28" s="284">
        <f>SUMIF('09'!$D$7:$D$159,$C27,'09'!Q$7:Q$159)+SUMIF('10'!$D$7:$D$159,$C27,'10'!Q$7:Q$159)+SUMIF('11'!$D$7:$D$159,$C27,'11'!Q$7:Q$159)+SUMIF('12'!$D$7:$D$159,$C27,'12'!Q$7:Q$159)+SUMIF('01'!$D$7:$D$159,$C27,'01'!Q$7:Q$159)</f>
        <v>0</v>
      </c>
      <c r="P28" s="281">
        <f>SUMIF('09'!$D$7:$D$159,$C27,'09'!R$7:R$159)+SUMIF('10'!$D$7:$D$159,$C27,'10'!R$7:R$159)+SUMIF('11'!$D$7:$D$159,$C27,'11'!R$7:R$159)+SUMIF('12'!$D$7:$D$159,$C27,'12'!R$7:R$159)+SUMIF('01'!$D$7:$D$159,$C27,'01'!R$7:R$159)</f>
        <v>0</v>
      </c>
      <c r="Q28" s="282">
        <f>SUMIF('09'!$D$7:$D$159,$C27,'09'!S$7:S$159)+SUMIF('10'!$D$7:$D$159,$C27,'10'!S$7:S$159)+SUMIF('11'!$D$7:$D$159,$C27,'11'!S$7:S$159)+SUMIF('12'!$D$7:$D$159,$C27,'12'!S$7:S$159)+SUMIF('01'!$D$7:$D$159,$C27,'01'!S$7:S$159)</f>
        <v>0</v>
      </c>
      <c r="R28" s="283">
        <f>SUMIF('09'!$D$7:$D$159,$C27,'09'!T$7:T$159)+SUMIF('10'!$D$7:$D$159,$C27,'10'!T$7:T$159)+SUMIF('11'!$D$7:$D$159,$C27,'11'!T$7:T$159)+SUMIF('12'!$D$7:$D$159,$C27,'12'!T$7:T$159)+SUMIF('01'!$D$7:$D$159,$C27,'01'!T$7:T$159)</f>
        <v>0</v>
      </c>
      <c r="S28" s="281">
        <f>SUMIF('09'!$D$7:$D$159,$C27,'09'!U$7:U$159)+SUMIF('10'!$D$7:$D$159,$C27,'10'!U$7:U$159)+SUMIF('11'!$D$7:$D$159,$C27,'11'!U$7:U$159)+SUMIF('12'!$D$7:$D$159,$C27,'12'!U$7:U$159)+SUMIF('01'!$D$7:$D$159,$C27,'01'!U$7:U$159)</f>
        <v>0</v>
      </c>
      <c r="T28" s="282">
        <f>SUMIF('09'!$D$7:$D$159,$C27,'09'!V$7:V$159)+SUMIF('10'!$D$7:$D$159,$C27,'10'!V$7:V$159)+SUMIF('11'!$D$7:$D$159,$C27,'11'!V$7:V$159)+SUMIF('12'!$D$7:$D$159,$C27,'12'!V$7:V$159)+SUMIF('01'!$D$7:$D$159,$C27,'01'!V$7:V$159)</f>
        <v>0</v>
      </c>
      <c r="U28" s="285">
        <f>SUMIF('09'!$D$7:$D$159,$C27,'09'!W$7:W$159)+SUMIF('10'!$D$7:$D$159,$C27,'10'!W$7:W$159)+SUMIF('11'!$D$7:$D$159,$C27,'11'!W$7:W$159)+SUMIF('12'!$D$7:$D$159,$C27,'12'!W$7:W$159)+SUMIF('01'!$D$7:$D$159,$C27,'01'!W$7:W$159)</f>
        <v>0</v>
      </c>
      <c r="V28" s="284">
        <f>SUMIF('09'!$D$7:$D$159,$C27,'09'!X$7:X$159)+SUMIF('10'!$D$7:$D$159,$C27,'10'!X$7:X$159)+SUMIF('11'!$D$7:$D$159,$C27,'11'!X$7:X$159)+SUMIF('12'!$D$7:$D$159,$C27,'12'!X$7:X$159)+SUMIF('01'!$D$7:$D$159,$C27,'01'!X$7:X$159)</f>
        <v>0</v>
      </c>
      <c r="W28" s="284">
        <f>SUMIF('09'!$D$7:$D$159,$C27,'09'!Y$7:Y$159)+SUMIF('10'!$D$7:$D$159,$C27,'10'!Y$7:Y$159)+SUMIF('11'!$D$7:$D$159,$C27,'11'!Y$7:Y$159)+SUMIF('12'!$D$7:$D$159,$C27,'12'!Y$7:Y$159)+SUMIF('01'!$D$7:$D$159,$C27,'01'!Y$7:Y$159)</f>
        <v>0</v>
      </c>
      <c r="X28" s="286">
        <f t="shared" si="1"/>
        <v>0</v>
      </c>
      <c r="Y28" s="345"/>
      <c r="Z28" s="347"/>
    </row>
    <row r="29" spans="1:26" ht="14.25" customHeight="1" x14ac:dyDescent="0.3">
      <c r="A29" s="178">
        <f>IF(OR(C29="0",COUNTIF(КлючОсень,C29)&gt;1),0,MATCH(F29,ВидыНагр,0))</f>
        <v>0</v>
      </c>
      <c r="B29" s="178" t="b">
        <f>(COUNTA(D29:F30,J29:W29,H29:I30)=0)</f>
        <v>1</v>
      </c>
      <c r="C29" s="179" t="str">
        <f>IF(OR(TRIM(D29)="",COUNTIF(ВидыНагр,F29)&lt;&gt;1),"0",CONCATENATE("$",TRIM(D29),"$",TRIM(E29),"$",F29,"$"))</f>
        <v>0</v>
      </c>
      <c r="D29" s="340"/>
      <c r="E29" s="338"/>
      <c r="F29" s="342"/>
      <c r="G29" s="180" t="s">
        <v>7</v>
      </c>
      <c r="H29" s="181"/>
      <c r="I29" s="182"/>
      <c r="J29" s="183"/>
      <c r="K29" s="184"/>
      <c r="L29" s="185"/>
      <c r="M29" s="183"/>
      <c r="N29" s="184"/>
      <c r="O29" s="186"/>
      <c r="P29" s="183"/>
      <c r="Q29" s="184"/>
      <c r="R29" s="185"/>
      <c r="S29" s="183"/>
      <c r="T29" s="184"/>
      <c r="U29" s="187"/>
      <c r="V29" s="186"/>
      <c r="W29" s="186"/>
      <c r="X29" s="279">
        <f t="shared" si="1"/>
        <v>0</v>
      </c>
      <c r="Y29" s="344">
        <f>X30-X29</f>
        <v>0</v>
      </c>
      <c r="Z29" s="346"/>
    </row>
    <row r="30" spans="1:26" ht="14.25" customHeight="1" x14ac:dyDescent="0.3">
      <c r="A30" s="178">
        <f>-A29</f>
        <v>0</v>
      </c>
      <c r="B30" s="178" t="b">
        <f>B29</f>
        <v>1</v>
      </c>
      <c r="C30" s="188"/>
      <c r="D30" s="341"/>
      <c r="E30" s="339"/>
      <c r="F30" s="343"/>
      <c r="G30" s="189" t="s">
        <v>8</v>
      </c>
      <c r="H30" s="190"/>
      <c r="I30" s="280"/>
      <c r="J30" s="281">
        <f>SUMIF('09'!$D$7:$D$159,$C29,'09'!L$7:L$159)+SUMIF('10'!$D$7:$D$159,$C29,'10'!L$7:L$159)+SUMIF('11'!$D$7:$D$159,$C29,'11'!L$7:L$159)+SUMIF('12'!$D$7:$D$159,$C29,'12'!L$7:L$159)+SUMIF('01'!$D$7:$D$159,$C29,'01'!L$7:L$159)</f>
        <v>0</v>
      </c>
      <c r="K30" s="282">
        <f>SUMIF('09'!$D$7:$D$159,$C29,'09'!M$7:M$159)+SUMIF('10'!$D$7:$D$159,$C29,'10'!M$7:M$159)+SUMIF('11'!$D$7:$D$159,$C29,'11'!M$7:M$159)+SUMIF('12'!$D$7:$D$159,$C29,'12'!M$7:M$159)+SUMIF('01'!$D$7:$D$159,$C29,'01'!M$7:M$159)</f>
        <v>0</v>
      </c>
      <c r="L30" s="283">
        <f>SUMIF('09'!$D$7:$D$159,$C29,'09'!N$7:N$159)+SUMIF('10'!$D$7:$D$159,$C29,'10'!N$7:N$159)+SUMIF('11'!$D$7:$D$159,$C29,'11'!N$7:N$159)+SUMIF('12'!$D$7:$D$159,$C29,'12'!N$7:N$159)+SUMIF('01'!$D$7:$D$159,$C29,'01'!N$7:N$159)</f>
        <v>0</v>
      </c>
      <c r="M30" s="281">
        <f>SUMIF('09'!$D$7:$D$159,$C29,'09'!O$7:O$159)+SUMIF('10'!$D$7:$D$159,$C29,'10'!O$7:O$159)+SUMIF('11'!$D$7:$D$159,$C29,'11'!O$7:O$159)+SUMIF('12'!$D$7:$D$159,$C29,'12'!O$7:O$159)+SUMIF('01'!$D$7:$D$159,$C29,'01'!O$7:O$159)</f>
        <v>0</v>
      </c>
      <c r="N30" s="282">
        <f>SUMIF('09'!$D$7:$D$159,$C29,'09'!P$7:P$159)+SUMIF('10'!$D$7:$D$159,$C29,'10'!P$7:P$159)+SUMIF('11'!$D$7:$D$159,$C29,'11'!P$7:P$159)+SUMIF('12'!$D$7:$D$159,$C29,'12'!P$7:P$159)+SUMIF('01'!$D$7:$D$159,$C29,'01'!P$7:P$159)</f>
        <v>0</v>
      </c>
      <c r="O30" s="284">
        <f>SUMIF('09'!$D$7:$D$159,$C29,'09'!Q$7:Q$159)+SUMIF('10'!$D$7:$D$159,$C29,'10'!Q$7:Q$159)+SUMIF('11'!$D$7:$D$159,$C29,'11'!Q$7:Q$159)+SUMIF('12'!$D$7:$D$159,$C29,'12'!Q$7:Q$159)+SUMIF('01'!$D$7:$D$159,$C29,'01'!Q$7:Q$159)</f>
        <v>0</v>
      </c>
      <c r="P30" s="281">
        <f>SUMIF('09'!$D$7:$D$159,$C29,'09'!R$7:R$159)+SUMIF('10'!$D$7:$D$159,$C29,'10'!R$7:R$159)+SUMIF('11'!$D$7:$D$159,$C29,'11'!R$7:R$159)+SUMIF('12'!$D$7:$D$159,$C29,'12'!R$7:R$159)+SUMIF('01'!$D$7:$D$159,$C29,'01'!R$7:R$159)</f>
        <v>0</v>
      </c>
      <c r="Q30" s="282">
        <f>SUMIF('09'!$D$7:$D$159,$C29,'09'!S$7:S$159)+SUMIF('10'!$D$7:$D$159,$C29,'10'!S$7:S$159)+SUMIF('11'!$D$7:$D$159,$C29,'11'!S$7:S$159)+SUMIF('12'!$D$7:$D$159,$C29,'12'!S$7:S$159)+SUMIF('01'!$D$7:$D$159,$C29,'01'!S$7:S$159)</f>
        <v>0</v>
      </c>
      <c r="R30" s="283">
        <f>SUMIF('09'!$D$7:$D$159,$C29,'09'!T$7:T$159)+SUMIF('10'!$D$7:$D$159,$C29,'10'!T$7:T$159)+SUMIF('11'!$D$7:$D$159,$C29,'11'!T$7:T$159)+SUMIF('12'!$D$7:$D$159,$C29,'12'!T$7:T$159)+SUMIF('01'!$D$7:$D$159,$C29,'01'!T$7:T$159)</f>
        <v>0</v>
      </c>
      <c r="S30" s="281">
        <f>SUMIF('09'!$D$7:$D$159,$C29,'09'!U$7:U$159)+SUMIF('10'!$D$7:$D$159,$C29,'10'!U$7:U$159)+SUMIF('11'!$D$7:$D$159,$C29,'11'!U$7:U$159)+SUMIF('12'!$D$7:$D$159,$C29,'12'!U$7:U$159)+SUMIF('01'!$D$7:$D$159,$C29,'01'!U$7:U$159)</f>
        <v>0</v>
      </c>
      <c r="T30" s="282">
        <f>SUMIF('09'!$D$7:$D$159,$C29,'09'!V$7:V$159)+SUMIF('10'!$D$7:$D$159,$C29,'10'!V$7:V$159)+SUMIF('11'!$D$7:$D$159,$C29,'11'!V$7:V$159)+SUMIF('12'!$D$7:$D$159,$C29,'12'!V$7:V$159)+SUMIF('01'!$D$7:$D$159,$C29,'01'!V$7:V$159)</f>
        <v>0</v>
      </c>
      <c r="U30" s="285">
        <f>SUMIF('09'!$D$7:$D$159,$C29,'09'!W$7:W$159)+SUMIF('10'!$D$7:$D$159,$C29,'10'!W$7:W$159)+SUMIF('11'!$D$7:$D$159,$C29,'11'!W$7:W$159)+SUMIF('12'!$D$7:$D$159,$C29,'12'!W$7:W$159)+SUMIF('01'!$D$7:$D$159,$C29,'01'!W$7:W$159)</f>
        <v>0</v>
      </c>
      <c r="V30" s="284">
        <f>SUMIF('09'!$D$7:$D$159,$C29,'09'!X$7:X$159)+SUMIF('10'!$D$7:$D$159,$C29,'10'!X$7:X$159)+SUMIF('11'!$D$7:$D$159,$C29,'11'!X$7:X$159)+SUMIF('12'!$D$7:$D$159,$C29,'12'!X$7:X$159)+SUMIF('01'!$D$7:$D$159,$C29,'01'!X$7:X$159)</f>
        <v>0</v>
      </c>
      <c r="W30" s="284">
        <f>SUMIF('09'!$D$7:$D$159,$C29,'09'!Y$7:Y$159)+SUMIF('10'!$D$7:$D$159,$C29,'10'!Y$7:Y$159)+SUMIF('11'!$D$7:$D$159,$C29,'11'!Y$7:Y$159)+SUMIF('12'!$D$7:$D$159,$C29,'12'!Y$7:Y$159)+SUMIF('01'!$D$7:$D$159,$C29,'01'!Y$7:Y$159)</f>
        <v>0</v>
      </c>
      <c r="X30" s="286">
        <f t="shared" si="1"/>
        <v>0</v>
      </c>
      <c r="Y30" s="345"/>
      <c r="Z30" s="347"/>
    </row>
    <row r="31" spans="1:26" ht="14.25" customHeight="1" x14ac:dyDescent="0.3">
      <c r="A31" s="178">
        <f>IF(OR(C31="0",COUNTIF(КлючОсень,C31)&gt;1),0,MATCH(F31,ВидыНагр,0))</f>
        <v>0</v>
      </c>
      <c r="B31" s="178" t="b">
        <f>(COUNTA(D31:F32,J31:W31,H31:I32)=0)</f>
        <v>1</v>
      </c>
      <c r="C31" s="179" t="str">
        <f>IF(OR(TRIM(D31)="",COUNTIF(ВидыНагр,F31)&lt;&gt;1),"0",CONCATENATE("$",TRIM(D31),"$",TRIM(E31),"$",F31,"$"))</f>
        <v>0</v>
      </c>
      <c r="D31" s="340"/>
      <c r="E31" s="338"/>
      <c r="F31" s="342"/>
      <c r="G31" s="180" t="s">
        <v>7</v>
      </c>
      <c r="H31" s="181"/>
      <c r="I31" s="182"/>
      <c r="J31" s="183"/>
      <c r="K31" s="184"/>
      <c r="L31" s="185"/>
      <c r="M31" s="183"/>
      <c r="N31" s="184"/>
      <c r="O31" s="186"/>
      <c r="P31" s="183"/>
      <c r="Q31" s="184"/>
      <c r="R31" s="185"/>
      <c r="S31" s="183"/>
      <c r="T31" s="184"/>
      <c r="U31" s="187"/>
      <c r="V31" s="186"/>
      <c r="W31" s="186"/>
      <c r="X31" s="279">
        <f t="shared" ref="X31:X84" si="2">SUM(J31:W31)</f>
        <v>0</v>
      </c>
      <c r="Y31" s="344">
        <f>X32-X31</f>
        <v>0</v>
      </c>
      <c r="Z31" s="346"/>
    </row>
    <row r="32" spans="1:26" ht="14.25" customHeight="1" x14ac:dyDescent="0.3">
      <c r="A32" s="178">
        <f>-A31</f>
        <v>0</v>
      </c>
      <c r="B32" s="178" t="b">
        <f>B31</f>
        <v>1</v>
      </c>
      <c r="C32" s="188"/>
      <c r="D32" s="341"/>
      <c r="E32" s="339"/>
      <c r="F32" s="343"/>
      <c r="G32" s="189" t="s">
        <v>8</v>
      </c>
      <c r="H32" s="190"/>
      <c r="I32" s="280"/>
      <c r="J32" s="281">
        <f>SUMIF('09'!$D$7:$D$159,$C31,'09'!L$7:L$159)+SUMIF('10'!$D$7:$D$159,$C31,'10'!L$7:L$159)+SUMIF('11'!$D$7:$D$159,$C31,'11'!L$7:L$159)+SUMIF('12'!$D$7:$D$159,$C31,'12'!L$7:L$159)+SUMIF('01'!$D$7:$D$159,$C31,'01'!L$7:L$159)</f>
        <v>0</v>
      </c>
      <c r="K32" s="282">
        <f>SUMIF('09'!$D$7:$D$159,$C31,'09'!M$7:M$159)+SUMIF('10'!$D$7:$D$159,$C31,'10'!M$7:M$159)+SUMIF('11'!$D$7:$D$159,$C31,'11'!M$7:M$159)+SUMIF('12'!$D$7:$D$159,$C31,'12'!M$7:M$159)+SUMIF('01'!$D$7:$D$159,$C31,'01'!M$7:M$159)</f>
        <v>0</v>
      </c>
      <c r="L32" s="283">
        <f>SUMIF('09'!$D$7:$D$159,$C31,'09'!N$7:N$159)+SUMIF('10'!$D$7:$D$159,$C31,'10'!N$7:N$159)+SUMIF('11'!$D$7:$D$159,$C31,'11'!N$7:N$159)+SUMIF('12'!$D$7:$D$159,$C31,'12'!N$7:N$159)+SUMIF('01'!$D$7:$D$159,$C31,'01'!N$7:N$159)</f>
        <v>0</v>
      </c>
      <c r="M32" s="281">
        <f>SUMIF('09'!$D$7:$D$159,$C31,'09'!O$7:O$159)+SUMIF('10'!$D$7:$D$159,$C31,'10'!O$7:O$159)+SUMIF('11'!$D$7:$D$159,$C31,'11'!O$7:O$159)+SUMIF('12'!$D$7:$D$159,$C31,'12'!O$7:O$159)+SUMIF('01'!$D$7:$D$159,$C31,'01'!O$7:O$159)</f>
        <v>0</v>
      </c>
      <c r="N32" s="282">
        <f>SUMIF('09'!$D$7:$D$159,$C31,'09'!P$7:P$159)+SUMIF('10'!$D$7:$D$159,$C31,'10'!P$7:P$159)+SUMIF('11'!$D$7:$D$159,$C31,'11'!P$7:P$159)+SUMIF('12'!$D$7:$D$159,$C31,'12'!P$7:P$159)+SUMIF('01'!$D$7:$D$159,$C31,'01'!P$7:P$159)</f>
        <v>0</v>
      </c>
      <c r="O32" s="284">
        <f>SUMIF('09'!$D$7:$D$159,$C31,'09'!Q$7:Q$159)+SUMIF('10'!$D$7:$D$159,$C31,'10'!Q$7:Q$159)+SUMIF('11'!$D$7:$D$159,$C31,'11'!Q$7:Q$159)+SUMIF('12'!$D$7:$D$159,$C31,'12'!Q$7:Q$159)+SUMIF('01'!$D$7:$D$159,$C31,'01'!Q$7:Q$159)</f>
        <v>0</v>
      </c>
      <c r="P32" s="281">
        <f>SUMIF('09'!$D$7:$D$159,$C31,'09'!R$7:R$159)+SUMIF('10'!$D$7:$D$159,$C31,'10'!R$7:R$159)+SUMIF('11'!$D$7:$D$159,$C31,'11'!R$7:R$159)+SUMIF('12'!$D$7:$D$159,$C31,'12'!R$7:R$159)+SUMIF('01'!$D$7:$D$159,$C31,'01'!R$7:R$159)</f>
        <v>0</v>
      </c>
      <c r="Q32" s="282">
        <f>SUMIF('09'!$D$7:$D$159,$C31,'09'!S$7:S$159)+SUMIF('10'!$D$7:$D$159,$C31,'10'!S$7:S$159)+SUMIF('11'!$D$7:$D$159,$C31,'11'!S$7:S$159)+SUMIF('12'!$D$7:$D$159,$C31,'12'!S$7:S$159)+SUMIF('01'!$D$7:$D$159,$C31,'01'!S$7:S$159)</f>
        <v>0</v>
      </c>
      <c r="R32" s="283">
        <f>SUMIF('09'!$D$7:$D$159,$C31,'09'!T$7:T$159)+SUMIF('10'!$D$7:$D$159,$C31,'10'!T$7:T$159)+SUMIF('11'!$D$7:$D$159,$C31,'11'!T$7:T$159)+SUMIF('12'!$D$7:$D$159,$C31,'12'!T$7:T$159)+SUMIF('01'!$D$7:$D$159,$C31,'01'!T$7:T$159)</f>
        <v>0</v>
      </c>
      <c r="S32" s="281">
        <f>SUMIF('09'!$D$7:$D$159,$C31,'09'!U$7:U$159)+SUMIF('10'!$D$7:$D$159,$C31,'10'!U$7:U$159)+SUMIF('11'!$D$7:$D$159,$C31,'11'!U$7:U$159)+SUMIF('12'!$D$7:$D$159,$C31,'12'!U$7:U$159)+SUMIF('01'!$D$7:$D$159,$C31,'01'!U$7:U$159)</f>
        <v>0</v>
      </c>
      <c r="T32" s="282">
        <f>SUMIF('09'!$D$7:$D$159,$C31,'09'!V$7:V$159)+SUMIF('10'!$D$7:$D$159,$C31,'10'!V$7:V$159)+SUMIF('11'!$D$7:$D$159,$C31,'11'!V$7:V$159)+SUMIF('12'!$D$7:$D$159,$C31,'12'!V$7:V$159)+SUMIF('01'!$D$7:$D$159,$C31,'01'!V$7:V$159)</f>
        <v>0</v>
      </c>
      <c r="U32" s="285">
        <f>SUMIF('09'!$D$7:$D$159,$C31,'09'!W$7:W$159)+SUMIF('10'!$D$7:$D$159,$C31,'10'!W$7:W$159)+SUMIF('11'!$D$7:$D$159,$C31,'11'!W$7:W$159)+SUMIF('12'!$D$7:$D$159,$C31,'12'!W$7:W$159)+SUMIF('01'!$D$7:$D$159,$C31,'01'!W$7:W$159)</f>
        <v>0</v>
      </c>
      <c r="V32" s="284">
        <f>SUMIF('09'!$D$7:$D$159,$C31,'09'!X$7:X$159)+SUMIF('10'!$D$7:$D$159,$C31,'10'!X$7:X$159)+SUMIF('11'!$D$7:$D$159,$C31,'11'!X$7:X$159)+SUMIF('12'!$D$7:$D$159,$C31,'12'!X$7:X$159)+SUMIF('01'!$D$7:$D$159,$C31,'01'!X$7:X$159)</f>
        <v>0</v>
      </c>
      <c r="W32" s="284">
        <f>SUMIF('09'!$D$7:$D$159,$C31,'09'!Y$7:Y$159)+SUMIF('10'!$D$7:$D$159,$C31,'10'!Y$7:Y$159)+SUMIF('11'!$D$7:$D$159,$C31,'11'!Y$7:Y$159)+SUMIF('12'!$D$7:$D$159,$C31,'12'!Y$7:Y$159)+SUMIF('01'!$D$7:$D$159,$C31,'01'!Y$7:Y$159)</f>
        <v>0</v>
      </c>
      <c r="X32" s="286">
        <f t="shared" si="2"/>
        <v>0</v>
      </c>
      <c r="Y32" s="345"/>
      <c r="Z32" s="347"/>
    </row>
    <row r="33" spans="1:26" ht="14.25" customHeight="1" x14ac:dyDescent="0.3">
      <c r="A33" s="178">
        <f>IF(OR(C33="0",COUNTIF(КлючОсень,C33)&gt;1),0,MATCH(F33,ВидыНагр,0))</f>
        <v>0</v>
      </c>
      <c r="B33" s="178" t="b">
        <f>(COUNTA(D33:F34,J33:W33,H33:I34)=0)</f>
        <v>1</v>
      </c>
      <c r="C33" s="179" t="str">
        <f>IF(OR(TRIM(D33)="",COUNTIF(ВидыНагр,F33)&lt;&gt;1),"0",CONCATENATE("$",TRIM(D33),"$",TRIM(E33),"$",F33,"$"))</f>
        <v>0</v>
      </c>
      <c r="D33" s="340"/>
      <c r="E33" s="338"/>
      <c r="F33" s="342"/>
      <c r="G33" s="180" t="s">
        <v>7</v>
      </c>
      <c r="H33" s="181"/>
      <c r="I33" s="182"/>
      <c r="J33" s="183"/>
      <c r="K33" s="184"/>
      <c r="L33" s="185"/>
      <c r="M33" s="183"/>
      <c r="N33" s="184"/>
      <c r="O33" s="186"/>
      <c r="P33" s="183"/>
      <c r="Q33" s="184"/>
      <c r="R33" s="185"/>
      <c r="S33" s="183"/>
      <c r="T33" s="184"/>
      <c r="U33" s="187"/>
      <c r="V33" s="186"/>
      <c r="W33" s="186"/>
      <c r="X33" s="279">
        <f t="shared" si="2"/>
        <v>0</v>
      </c>
      <c r="Y33" s="344">
        <f>X34-X33</f>
        <v>0</v>
      </c>
      <c r="Z33" s="346"/>
    </row>
    <row r="34" spans="1:26" ht="14.25" customHeight="1" x14ac:dyDescent="0.3">
      <c r="A34" s="178">
        <f>-A33</f>
        <v>0</v>
      </c>
      <c r="B34" s="178" t="b">
        <f>B33</f>
        <v>1</v>
      </c>
      <c r="C34" s="188"/>
      <c r="D34" s="341"/>
      <c r="E34" s="339"/>
      <c r="F34" s="343"/>
      <c r="G34" s="189" t="s">
        <v>8</v>
      </c>
      <c r="H34" s="190"/>
      <c r="I34" s="280"/>
      <c r="J34" s="281">
        <f>SUMIF('09'!$D$7:$D$159,$C33,'09'!L$7:L$159)+SUMIF('10'!$D$7:$D$159,$C33,'10'!L$7:L$159)+SUMIF('11'!$D$7:$D$159,$C33,'11'!L$7:L$159)+SUMIF('12'!$D$7:$D$159,$C33,'12'!L$7:L$159)+SUMIF('01'!$D$7:$D$159,$C33,'01'!L$7:L$159)</f>
        <v>0</v>
      </c>
      <c r="K34" s="282">
        <f>SUMIF('09'!$D$7:$D$159,$C33,'09'!M$7:M$159)+SUMIF('10'!$D$7:$D$159,$C33,'10'!M$7:M$159)+SUMIF('11'!$D$7:$D$159,$C33,'11'!M$7:M$159)+SUMIF('12'!$D$7:$D$159,$C33,'12'!M$7:M$159)+SUMIF('01'!$D$7:$D$159,$C33,'01'!M$7:M$159)</f>
        <v>0</v>
      </c>
      <c r="L34" s="283">
        <f>SUMIF('09'!$D$7:$D$159,$C33,'09'!N$7:N$159)+SUMIF('10'!$D$7:$D$159,$C33,'10'!N$7:N$159)+SUMIF('11'!$D$7:$D$159,$C33,'11'!N$7:N$159)+SUMIF('12'!$D$7:$D$159,$C33,'12'!N$7:N$159)+SUMIF('01'!$D$7:$D$159,$C33,'01'!N$7:N$159)</f>
        <v>0</v>
      </c>
      <c r="M34" s="281">
        <f>SUMIF('09'!$D$7:$D$159,$C33,'09'!O$7:O$159)+SUMIF('10'!$D$7:$D$159,$C33,'10'!O$7:O$159)+SUMIF('11'!$D$7:$D$159,$C33,'11'!O$7:O$159)+SUMIF('12'!$D$7:$D$159,$C33,'12'!O$7:O$159)+SUMIF('01'!$D$7:$D$159,$C33,'01'!O$7:O$159)</f>
        <v>0</v>
      </c>
      <c r="N34" s="282">
        <f>SUMIF('09'!$D$7:$D$159,$C33,'09'!P$7:P$159)+SUMIF('10'!$D$7:$D$159,$C33,'10'!P$7:P$159)+SUMIF('11'!$D$7:$D$159,$C33,'11'!P$7:P$159)+SUMIF('12'!$D$7:$D$159,$C33,'12'!P$7:P$159)+SUMIF('01'!$D$7:$D$159,$C33,'01'!P$7:P$159)</f>
        <v>0</v>
      </c>
      <c r="O34" s="284">
        <f>SUMIF('09'!$D$7:$D$159,$C33,'09'!Q$7:Q$159)+SUMIF('10'!$D$7:$D$159,$C33,'10'!Q$7:Q$159)+SUMIF('11'!$D$7:$D$159,$C33,'11'!Q$7:Q$159)+SUMIF('12'!$D$7:$D$159,$C33,'12'!Q$7:Q$159)+SUMIF('01'!$D$7:$D$159,$C33,'01'!Q$7:Q$159)</f>
        <v>0</v>
      </c>
      <c r="P34" s="281">
        <f>SUMIF('09'!$D$7:$D$159,$C33,'09'!R$7:R$159)+SUMIF('10'!$D$7:$D$159,$C33,'10'!R$7:R$159)+SUMIF('11'!$D$7:$D$159,$C33,'11'!R$7:R$159)+SUMIF('12'!$D$7:$D$159,$C33,'12'!R$7:R$159)+SUMIF('01'!$D$7:$D$159,$C33,'01'!R$7:R$159)</f>
        <v>0</v>
      </c>
      <c r="Q34" s="282">
        <f>SUMIF('09'!$D$7:$D$159,$C33,'09'!S$7:S$159)+SUMIF('10'!$D$7:$D$159,$C33,'10'!S$7:S$159)+SUMIF('11'!$D$7:$D$159,$C33,'11'!S$7:S$159)+SUMIF('12'!$D$7:$D$159,$C33,'12'!S$7:S$159)+SUMIF('01'!$D$7:$D$159,$C33,'01'!S$7:S$159)</f>
        <v>0</v>
      </c>
      <c r="R34" s="283">
        <f>SUMIF('09'!$D$7:$D$159,$C33,'09'!T$7:T$159)+SUMIF('10'!$D$7:$D$159,$C33,'10'!T$7:T$159)+SUMIF('11'!$D$7:$D$159,$C33,'11'!T$7:T$159)+SUMIF('12'!$D$7:$D$159,$C33,'12'!T$7:T$159)+SUMIF('01'!$D$7:$D$159,$C33,'01'!T$7:T$159)</f>
        <v>0</v>
      </c>
      <c r="S34" s="281">
        <f>SUMIF('09'!$D$7:$D$159,$C33,'09'!U$7:U$159)+SUMIF('10'!$D$7:$D$159,$C33,'10'!U$7:U$159)+SUMIF('11'!$D$7:$D$159,$C33,'11'!U$7:U$159)+SUMIF('12'!$D$7:$D$159,$C33,'12'!U$7:U$159)+SUMIF('01'!$D$7:$D$159,$C33,'01'!U$7:U$159)</f>
        <v>0</v>
      </c>
      <c r="T34" s="282">
        <f>SUMIF('09'!$D$7:$D$159,$C33,'09'!V$7:V$159)+SUMIF('10'!$D$7:$D$159,$C33,'10'!V$7:V$159)+SUMIF('11'!$D$7:$D$159,$C33,'11'!V$7:V$159)+SUMIF('12'!$D$7:$D$159,$C33,'12'!V$7:V$159)+SUMIF('01'!$D$7:$D$159,$C33,'01'!V$7:V$159)</f>
        <v>0</v>
      </c>
      <c r="U34" s="285">
        <f>SUMIF('09'!$D$7:$D$159,$C33,'09'!W$7:W$159)+SUMIF('10'!$D$7:$D$159,$C33,'10'!W$7:W$159)+SUMIF('11'!$D$7:$D$159,$C33,'11'!W$7:W$159)+SUMIF('12'!$D$7:$D$159,$C33,'12'!W$7:W$159)+SUMIF('01'!$D$7:$D$159,$C33,'01'!W$7:W$159)</f>
        <v>0</v>
      </c>
      <c r="V34" s="284">
        <f>SUMIF('09'!$D$7:$D$159,$C33,'09'!X$7:X$159)+SUMIF('10'!$D$7:$D$159,$C33,'10'!X$7:X$159)+SUMIF('11'!$D$7:$D$159,$C33,'11'!X$7:X$159)+SUMIF('12'!$D$7:$D$159,$C33,'12'!X$7:X$159)+SUMIF('01'!$D$7:$D$159,$C33,'01'!X$7:X$159)</f>
        <v>0</v>
      </c>
      <c r="W34" s="284">
        <f>SUMIF('09'!$D$7:$D$159,$C33,'09'!Y$7:Y$159)+SUMIF('10'!$D$7:$D$159,$C33,'10'!Y$7:Y$159)+SUMIF('11'!$D$7:$D$159,$C33,'11'!Y$7:Y$159)+SUMIF('12'!$D$7:$D$159,$C33,'12'!Y$7:Y$159)+SUMIF('01'!$D$7:$D$159,$C33,'01'!Y$7:Y$159)</f>
        <v>0</v>
      </c>
      <c r="X34" s="286">
        <f t="shared" si="2"/>
        <v>0</v>
      </c>
      <c r="Y34" s="345"/>
      <c r="Z34" s="347"/>
    </row>
    <row r="35" spans="1:26" ht="14.25" customHeight="1" x14ac:dyDescent="0.3">
      <c r="A35" s="178">
        <f>IF(OR(C35="0",COUNTIF(КлючОсень,C35)&gt;1),0,MATCH(F35,ВидыНагр,0))</f>
        <v>0</v>
      </c>
      <c r="B35" s="178" t="b">
        <f>(COUNTA(D35:F36,J35:W35,H35:I36)=0)</f>
        <v>1</v>
      </c>
      <c r="C35" s="179" t="str">
        <f>IF(OR(TRIM(D35)="",COUNTIF(ВидыНагр,F35)&lt;&gt;1),"0",CONCATENATE("$",TRIM(D35),"$",TRIM(E35),"$",F35,"$"))</f>
        <v>0</v>
      </c>
      <c r="D35" s="340"/>
      <c r="E35" s="338"/>
      <c r="F35" s="342"/>
      <c r="G35" s="180" t="s">
        <v>7</v>
      </c>
      <c r="H35" s="181"/>
      <c r="I35" s="182"/>
      <c r="J35" s="183"/>
      <c r="K35" s="184"/>
      <c r="L35" s="185"/>
      <c r="M35" s="183"/>
      <c r="N35" s="184"/>
      <c r="O35" s="186"/>
      <c r="P35" s="183"/>
      <c r="Q35" s="184"/>
      <c r="R35" s="185"/>
      <c r="S35" s="183"/>
      <c r="T35" s="184"/>
      <c r="U35" s="187"/>
      <c r="V35" s="186"/>
      <c r="W35" s="186"/>
      <c r="X35" s="279">
        <f t="shared" si="2"/>
        <v>0</v>
      </c>
      <c r="Y35" s="344">
        <f>X36-X35</f>
        <v>0</v>
      </c>
      <c r="Z35" s="346"/>
    </row>
    <row r="36" spans="1:26" ht="14.25" customHeight="1" x14ac:dyDescent="0.3">
      <c r="A36" s="178">
        <f>-A35</f>
        <v>0</v>
      </c>
      <c r="B36" s="178" t="b">
        <f>B35</f>
        <v>1</v>
      </c>
      <c r="C36" s="188"/>
      <c r="D36" s="341"/>
      <c r="E36" s="339"/>
      <c r="F36" s="343"/>
      <c r="G36" s="189" t="s">
        <v>8</v>
      </c>
      <c r="H36" s="190"/>
      <c r="I36" s="280"/>
      <c r="J36" s="281">
        <f>SUMIF('09'!$D$7:$D$159,$C35,'09'!L$7:L$159)+SUMIF('10'!$D$7:$D$159,$C35,'10'!L$7:L$159)+SUMIF('11'!$D$7:$D$159,$C35,'11'!L$7:L$159)+SUMIF('12'!$D$7:$D$159,$C35,'12'!L$7:L$159)+SUMIF('01'!$D$7:$D$159,$C35,'01'!L$7:L$159)</f>
        <v>0</v>
      </c>
      <c r="K36" s="282">
        <f>SUMIF('09'!$D$7:$D$159,$C35,'09'!M$7:M$159)+SUMIF('10'!$D$7:$D$159,$C35,'10'!M$7:M$159)+SUMIF('11'!$D$7:$D$159,$C35,'11'!M$7:M$159)+SUMIF('12'!$D$7:$D$159,$C35,'12'!M$7:M$159)+SUMIF('01'!$D$7:$D$159,$C35,'01'!M$7:M$159)</f>
        <v>0</v>
      </c>
      <c r="L36" s="283">
        <f>SUMIF('09'!$D$7:$D$159,$C35,'09'!N$7:N$159)+SUMIF('10'!$D$7:$D$159,$C35,'10'!N$7:N$159)+SUMIF('11'!$D$7:$D$159,$C35,'11'!N$7:N$159)+SUMIF('12'!$D$7:$D$159,$C35,'12'!N$7:N$159)+SUMIF('01'!$D$7:$D$159,$C35,'01'!N$7:N$159)</f>
        <v>0</v>
      </c>
      <c r="M36" s="281">
        <f>SUMIF('09'!$D$7:$D$159,$C35,'09'!O$7:O$159)+SUMIF('10'!$D$7:$D$159,$C35,'10'!O$7:O$159)+SUMIF('11'!$D$7:$D$159,$C35,'11'!O$7:O$159)+SUMIF('12'!$D$7:$D$159,$C35,'12'!O$7:O$159)+SUMIF('01'!$D$7:$D$159,$C35,'01'!O$7:O$159)</f>
        <v>0</v>
      </c>
      <c r="N36" s="282">
        <f>SUMIF('09'!$D$7:$D$159,$C35,'09'!P$7:P$159)+SUMIF('10'!$D$7:$D$159,$C35,'10'!P$7:P$159)+SUMIF('11'!$D$7:$D$159,$C35,'11'!P$7:P$159)+SUMIF('12'!$D$7:$D$159,$C35,'12'!P$7:P$159)+SUMIF('01'!$D$7:$D$159,$C35,'01'!P$7:P$159)</f>
        <v>0</v>
      </c>
      <c r="O36" s="284">
        <f>SUMIF('09'!$D$7:$D$159,$C35,'09'!Q$7:Q$159)+SUMIF('10'!$D$7:$D$159,$C35,'10'!Q$7:Q$159)+SUMIF('11'!$D$7:$D$159,$C35,'11'!Q$7:Q$159)+SUMIF('12'!$D$7:$D$159,$C35,'12'!Q$7:Q$159)+SUMIF('01'!$D$7:$D$159,$C35,'01'!Q$7:Q$159)</f>
        <v>0</v>
      </c>
      <c r="P36" s="281">
        <f>SUMIF('09'!$D$7:$D$159,$C35,'09'!R$7:R$159)+SUMIF('10'!$D$7:$D$159,$C35,'10'!R$7:R$159)+SUMIF('11'!$D$7:$D$159,$C35,'11'!R$7:R$159)+SUMIF('12'!$D$7:$D$159,$C35,'12'!R$7:R$159)+SUMIF('01'!$D$7:$D$159,$C35,'01'!R$7:R$159)</f>
        <v>0</v>
      </c>
      <c r="Q36" s="282">
        <f>SUMIF('09'!$D$7:$D$159,$C35,'09'!S$7:S$159)+SUMIF('10'!$D$7:$D$159,$C35,'10'!S$7:S$159)+SUMIF('11'!$D$7:$D$159,$C35,'11'!S$7:S$159)+SUMIF('12'!$D$7:$D$159,$C35,'12'!S$7:S$159)+SUMIF('01'!$D$7:$D$159,$C35,'01'!S$7:S$159)</f>
        <v>0</v>
      </c>
      <c r="R36" s="283">
        <f>SUMIF('09'!$D$7:$D$159,$C35,'09'!T$7:T$159)+SUMIF('10'!$D$7:$D$159,$C35,'10'!T$7:T$159)+SUMIF('11'!$D$7:$D$159,$C35,'11'!T$7:T$159)+SUMIF('12'!$D$7:$D$159,$C35,'12'!T$7:T$159)+SUMIF('01'!$D$7:$D$159,$C35,'01'!T$7:T$159)</f>
        <v>0</v>
      </c>
      <c r="S36" s="281">
        <f>SUMIF('09'!$D$7:$D$159,$C35,'09'!U$7:U$159)+SUMIF('10'!$D$7:$D$159,$C35,'10'!U$7:U$159)+SUMIF('11'!$D$7:$D$159,$C35,'11'!U$7:U$159)+SUMIF('12'!$D$7:$D$159,$C35,'12'!U$7:U$159)+SUMIF('01'!$D$7:$D$159,$C35,'01'!U$7:U$159)</f>
        <v>0</v>
      </c>
      <c r="T36" s="282">
        <f>SUMIF('09'!$D$7:$D$159,$C35,'09'!V$7:V$159)+SUMIF('10'!$D$7:$D$159,$C35,'10'!V$7:V$159)+SUMIF('11'!$D$7:$D$159,$C35,'11'!V$7:V$159)+SUMIF('12'!$D$7:$D$159,$C35,'12'!V$7:V$159)+SUMIF('01'!$D$7:$D$159,$C35,'01'!V$7:V$159)</f>
        <v>0</v>
      </c>
      <c r="U36" s="285">
        <f>SUMIF('09'!$D$7:$D$159,$C35,'09'!W$7:W$159)+SUMIF('10'!$D$7:$D$159,$C35,'10'!W$7:W$159)+SUMIF('11'!$D$7:$D$159,$C35,'11'!W$7:W$159)+SUMIF('12'!$D$7:$D$159,$C35,'12'!W$7:W$159)+SUMIF('01'!$D$7:$D$159,$C35,'01'!W$7:W$159)</f>
        <v>0</v>
      </c>
      <c r="V36" s="284">
        <f>SUMIF('09'!$D$7:$D$159,$C35,'09'!X$7:X$159)+SUMIF('10'!$D$7:$D$159,$C35,'10'!X$7:X$159)+SUMIF('11'!$D$7:$D$159,$C35,'11'!X$7:X$159)+SUMIF('12'!$D$7:$D$159,$C35,'12'!X$7:X$159)+SUMIF('01'!$D$7:$D$159,$C35,'01'!X$7:X$159)</f>
        <v>0</v>
      </c>
      <c r="W36" s="284">
        <f>SUMIF('09'!$D$7:$D$159,$C35,'09'!Y$7:Y$159)+SUMIF('10'!$D$7:$D$159,$C35,'10'!Y$7:Y$159)+SUMIF('11'!$D$7:$D$159,$C35,'11'!Y$7:Y$159)+SUMIF('12'!$D$7:$D$159,$C35,'12'!Y$7:Y$159)+SUMIF('01'!$D$7:$D$159,$C35,'01'!Y$7:Y$159)</f>
        <v>0</v>
      </c>
      <c r="X36" s="286">
        <f t="shared" si="2"/>
        <v>0</v>
      </c>
      <c r="Y36" s="345"/>
      <c r="Z36" s="347"/>
    </row>
    <row r="37" spans="1:26" ht="14.25" customHeight="1" x14ac:dyDescent="0.3">
      <c r="A37" s="178">
        <f>IF(OR(C37="0",COUNTIF(КлючОсень,C37)&gt;1),0,MATCH(F37,ВидыНагр,0))</f>
        <v>0</v>
      </c>
      <c r="B37" s="178" t="b">
        <f>(COUNTA(D37:F38,J37:W37,H37:I38)=0)</f>
        <v>1</v>
      </c>
      <c r="C37" s="179" t="str">
        <f>IF(OR(TRIM(D37)="",COUNTIF(ВидыНагр,F37)&lt;&gt;1),"0",CONCATENATE("$",TRIM(D37),"$",TRIM(E37),"$",F37,"$"))</f>
        <v>0</v>
      </c>
      <c r="D37" s="340"/>
      <c r="E37" s="338"/>
      <c r="F37" s="342"/>
      <c r="G37" s="180" t="s">
        <v>7</v>
      </c>
      <c r="H37" s="181"/>
      <c r="I37" s="182"/>
      <c r="J37" s="183"/>
      <c r="K37" s="184"/>
      <c r="L37" s="185"/>
      <c r="M37" s="183"/>
      <c r="N37" s="184"/>
      <c r="O37" s="186"/>
      <c r="P37" s="183"/>
      <c r="Q37" s="184"/>
      <c r="R37" s="185"/>
      <c r="S37" s="183"/>
      <c r="T37" s="184"/>
      <c r="U37" s="187"/>
      <c r="V37" s="186"/>
      <c r="W37" s="186"/>
      <c r="X37" s="279">
        <f t="shared" si="2"/>
        <v>0</v>
      </c>
      <c r="Y37" s="344">
        <f>X38-X37</f>
        <v>0</v>
      </c>
      <c r="Z37" s="346"/>
    </row>
    <row r="38" spans="1:26" ht="14.25" customHeight="1" x14ac:dyDescent="0.3">
      <c r="A38" s="178">
        <f>-A37</f>
        <v>0</v>
      </c>
      <c r="B38" s="178" t="b">
        <f>B37</f>
        <v>1</v>
      </c>
      <c r="C38" s="188"/>
      <c r="D38" s="341"/>
      <c r="E38" s="339"/>
      <c r="F38" s="343"/>
      <c r="G38" s="189" t="s">
        <v>8</v>
      </c>
      <c r="H38" s="190"/>
      <c r="I38" s="280"/>
      <c r="J38" s="281">
        <f>SUMIF('09'!$D$7:$D$159,$C37,'09'!L$7:L$159)+SUMIF('10'!$D$7:$D$159,$C37,'10'!L$7:L$159)+SUMIF('11'!$D$7:$D$159,$C37,'11'!L$7:L$159)+SUMIF('12'!$D$7:$D$159,$C37,'12'!L$7:L$159)+SUMIF('01'!$D$7:$D$159,$C37,'01'!L$7:L$159)</f>
        <v>0</v>
      </c>
      <c r="K38" s="282">
        <f>SUMIF('09'!$D$7:$D$159,$C37,'09'!M$7:M$159)+SUMIF('10'!$D$7:$D$159,$C37,'10'!M$7:M$159)+SUMIF('11'!$D$7:$D$159,$C37,'11'!M$7:M$159)+SUMIF('12'!$D$7:$D$159,$C37,'12'!M$7:M$159)+SUMIF('01'!$D$7:$D$159,$C37,'01'!M$7:M$159)</f>
        <v>0</v>
      </c>
      <c r="L38" s="283">
        <f>SUMIF('09'!$D$7:$D$159,$C37,'09'!N$7:N$159)+SUMIF('10'!$D$7:$D$159,$C37,'10'!N$7:N$159)+SUMIF('11'!$D$7:$D$159,$C37,'11'!N$7:N$159)+SUMIF('12'!$D$7:$D$159,$C37,'12'!N$7:N$159)+SUMIF('01'!$D$7:$D$159,$C37,'01'!N$7:N$159)</f>
        <v>0</v>
      </c>
      <c r="M38" s="281">
        <f>SUMIF('09'!$D$7:$D$159,$C37,'09'!O$7:O$159)+SUMIF('10'!$D$7:$D$159,$C37,'10'!O$7:O$159)+SUMIF('11'!$D$7:$D$159,$C37,'11'!O$7:O$159)+SUMIF('12'!$D$7:$D$159,$C37,'12'!O$7:O$159)+SUMIF('01'!$D$7:$D$159,$C37,'01'!O$7:O$159)</f>
        <v>0</v>
      </c>
      <c r="N38" s="282">
        <f>SUMIF('09'!$D$7:$D$159,$C37,'09'!P$7:P$159)+SUMIF('10'!$D$7:$D$159,$C37,'10'!P$7:P$159)+SUMIF('11'!$D$7:$D$159,$C37,'11'!P$7:P$159)+SUMIF('12'!$D$7:$D$159,$C37,'12'!P$7:P$159)+SUMIF('01'!$D$7:$D$159,$C37,'01'!P$7:P$159)</f>
        <v>0</v>
      </c>
      <c r="O38" s="284">
        <f>SUMIF('09'!$D$7:$D$159,$C37,'09'!Q$7:Q$159)+SUMIF('10'!$D$7:$D$159,$C37,'10'!Q$7:Q$159)+SUMIF('11'!$D$7:$D$159,$C37,'11'!Q$7:Q$159)+SUMIF('12'!$D$7:$D$159,$C37,'12'!Q$7:Q$159)+SUMIF('01'!$D$7:$D$159,$C37,'01'!Q$7:Q$159)</f>
        <v>0</v>
      </c>
      <c r="P38" s="281">
        <f>SUMIF('09'!$D$7:$D$159,$C37,'09'!R$7:R$159)+SUMIF('10'!$D$7:$D$159,$C37,'10'!R$7:R$159)+SUMIF('11'!$D$7:$D$159,$C37,'11'!R$7:R$159)+SUMIF('12'!$D$7:$D$159,$C37,'12'!R$7:R$159)+SUMIF('01'!$D$7:$D$159,$C37,'01'!R$7:R$159)</f>
        <v>0</v>
      </c>
      <c r="Q38" s="282">
        <f>SUMIF('09'!$D$7:$D$159,$C37,'09'!S$7:S$159)+SUMIF('10'!$D$7:$D$159,$C37,'10'!S$7:S$159)+SUMIF('11'!$D$7:$D$159,$C37,'11'!S$7:S$159)+SUMIF('12'!$D$7:$D$159,$C37,'12'!S$7:S$159)+SUMIF('01'!$D$7:$D$159,$C37,'01'!S$7:S$159)</f>
        <v>0</v>
      </c>
      <c r="R38" s="283">
        <f>SUMIF('09'!$D$7:$D$159,$C37,'09'!T$7:T$159)+SUMIF('10'!$D$7:$D$159,$C37,'10'!T$7:T$159)+SUMIF('11'!$D$7:$D$159,$C37,'11'!T$7:T$159)+SUMIF('12'!$D$7:$D$159,$C37,'12'!T$7:T$159)+SUMIF('01'!$D$7:$D$159,$C37,'01'!T$7:T$159)</f>
        <v>0</v>
      </c>
      <c r="S38" s="281">
        <f>SUMIF('09'!$D$7:$D$159,$C37,'09'!U$7:U$159)+SUMIF('10'!$D$7:$D$159,$C37,'10'!U$7:U$159)+SUMIF('11'!$D$7:$D$159,$C37,'11'!U$7:U$159)+SUMIF('12'!$D$7:$D$159,$C37,'12'!U$7:U$159)+SUMIF('01'!$D$7:$D$159,$C37,'01'!U$7:U$159)</f>
        <v>0</v>
      </c>
      <c r="T38" s="282">
        <f>SUMIF('09'!$D$7:$D$159,$C37,'09'!V$7:V$159)+SUMIF('10'!$D$7:$D$159,$C37,'10'!V$7:V$159)+SUMIF('11'!$D$7:$D$159,$C37,'11'!V$7:V$159)+SUMIF('12'!$D$7:$D$159,$C37,'12'!V$7:V$159)+SUMIF('01'!$D$7:$D$159,$C37,'01'!V$7:V$159)</f>
        <v>0</v>
      </c>
      <c r="U38" s="285">
        <f>SUMIF('09'!$D$7:$D$159,$C37,'09'!W$7:W$159)+SUMIF('10'!$D$7:$D$159,$C37,'10'!W$7:W$159)+SUMIF('11'!$D$7:$D$159,$C37,'11'!W$7:W$159)+SUMIF('12'!$D$7:$D$159,$C37,'12'!W$7:W$159)+SUMIF('01'!$D$7:$D$159,$C37,'01'!W$7:W$159)</f>
        <v>0</v>
      </c>
      <c r="V38" s="284">
        <f>SUMIF('09'!$D$7:$D$159,$C37,'09'!X$7:X$159)+SUMIF('10'!$D$7:$D$159,$C37,'10'!X$7:X$159)+SUMIF('11'!$D$7:$D$159,$C37,'11'!X$7:X$159)+SUMIF('12'!$D$7:$D$159,$C37,'12'!X$7:X$159)+SUMIF('01'!$D$7:$D$159,$C37,'01'!X$7:X$159)</f>
        <v>0</v>
      </c>
      <c r="W38" s="284">
        <f>SUMIF('09'!$D$7:$D$159,$C37,'09'!Y$7:Y$159)+SUMIF('10'!$D$7:$D$159,$C37,'10'!Y$7:Y$159)+SUMIF('11'!$D$7:$D$159,$C37,'11'!Y$7:Y$159)+SUMIF('12'!$D$7:$D$159,$C37,'12'!Y$7:Y$159)+SUMIF('01'!$D$7:$D$159,$C37,'01'!Y$7:Y$159)</f>
        <v>0</v>
      </c>
      <c r="X38" s="286">
        <f t="shared" si="2"/>
        <v>0</v>
      </c>
      <c r="Y38" s="345"/>
      <c r="Z38" s="347"/>
    </row>
    <row r="39" spans="1:26" ht="14.25" customHeight="1" x14ac:dyDescent="0.3">
      <c r="A39" s="178">
        <f>IF(OR(C39="0",COUNTIF(КлючОсень,C39)&gt;1),0,MATCH(F39,ВидыНагр,0))</f>
        <v>0</v>
      </c>
      <c r="B39" s="178" t="b">
        <f>(COUNTA(D39:F40,J39:W39,H39:I40)=0)</f>
        <v>1</v>
      </c>
      <c r="C39" s="179" t="str">
        <f>IF(OR(TRIM(D39)="",COUNTIF(ВидыНагр,F39)&lt;&gt;1),"0",CONCATENATE("$",TRIM(D39),"$",TRIM(E39),"$",F39,"$"))</f>
        <v>0</v>
      </c>
      <c r="D39" s="340"/>
      <c r="E39" s="338"/>
      <c r="F39" s="342"/>
      <c r="G39" s="180" t="s">
        <v>7</v>
      </c>
      <c r="H39" s="181"/>
      <c r="I39" s="182"/>
      <c r="J39" s="183"/>
      <c r="K39" s="184"/>
      <c r="L39" s="185"/>
      <c r="M39" s="183"/>
      <c r="N39" s="184"/>
      <c r="O39" s="186"/>
      <c r="P39" s="183"/>
      <c r="Q39" s="184"/>
      <c r="R39" s="185"/>
      <c r="S39" s="183"/>
      <c r="T39" s="184"/>
      <c r="U39" s="187"/>
      <c r="V39" s="186"/>
      <c r="W39" s="186"/>
      <c r="X39" s="279">
        <f t="shared" si="2"/>
        <v>0</v>
      </c>
      <c r="Y39" s="344">
        <f>X40-X39</f>
        <v>0</v>
      </c>
      <c r="Z39" s="346"/>
    </row>
    <row r="40" spans="1:26" ht="14.25" customHeight="1" x14ac:dyDescent="0.3">
      <c r="A40" s="178">
        <f>-A39</f>
        <v>0</v>
      </c>
      <c r="B40" s="178" t="b">
        <f>B39</f>
        <v>1</v>
      </c>
      <c r="C40" s="188"/>
      <c r="D40" s="341"/>
      <c r="E40" s="339"/>
      <c r="F40" s="343"/>
      <c r="G40" s="189" t="s">
        <v>8</v>
      </c>
      <c r="H40" s="190"/>
      <c r="I40" s="280"/>
      <c r="J40" s="281">
        <f>SUMIF('09'!$D$7:$D$159,$C39,'09'!L$7:L$159)+SUMIF('10'!$D$7:$D$159,$C39,'10'!L$7:L$159)+SUMIF('11'!$D$7:$D$159,$C39,'11'!L$7:L$159)+SUMIF('12'!$D$7:$D$159,$C39,'12'!L$7:L$159)+SUMIF('01'!$D$7:$D$159,$C39,'01'!L$7:L$159)</f>
        <v>0</v>
      </c>
      <c r="K40" s="282">
        <f>SUMIF('09'!$D$7:$D$159,$C39,'09'!M$7:M$159)+SUMIF('10'!$D$7:$D$159,$C39,'10'!M$7:M$159)+SUMIF('11'!$D$7:$D$159,$C39,'11'!M$7:M$159)+SUMIF('12'!$D$7:$D$159,$C39,'12'!M$7:M$159)+SUMIF('01'!$D$7:$D$159,$C39,'01'!M$7:M$159)</f>
        <v>0</v>
      </c>
      <c r="L40" s="283">
        <f>SUMIF('09'!$D$7:$D$159,$C39,'09'!N$7:N$159)+SUMIF('10'!$D$7:$D$159,$C39,'10'!N$7:N$159)+SUMIF('11'!$D$7:$D$159,$C39,'11'!N$7:N$159)+SUMIF('12'!$D$7:$D$159,$C39,'12'!N$7:N$159)+SUMIF('01'!$D$7:$D$159,$C39,'01'!N$7:N$159)</f>
        <v>0</v>
      </c>
      <c r="M40" s="281">
        <f>SUMIF('09'!$D$7:$D$159,$C39,'09'!O$7:O$159)+SUMIF('10'!$D$7:$D$159,$C39,'10'!O$7:O$159)+SUMIF('11'!$D$7:$D$159,$C39,'11'!O$7:O$159)+SUMIF('12'!$D$7:$D$159,$C39,'12'!O$7:O$159)+SUMIF('01'!$D$7:$D$159,$C39,'01'!O$7:O$159)</f>
        <v>0</v>
      </c>
      <c r="N40" s="282">
        <f>SUMIF('09'!$D$7:$D$159,$C39,'09'!P$7:P$159)+SUMIF('10'!$D$7:$D$159,$C39,'10'!P$7:P$159)+SUMIF('11'!$D$7:$D$159,$C39,'11'!P$7:P$159)+SUMIF('12'!$D$7:$D$159,$C39,'12'!P$7:P$159)+SUMIF('01'!$D$7:$D$159,$C39,'01'!P$7:P$159)</f>
        <v>0</v>
      </c>
      <c r="O40" s="284">
        <f>SUMIF('09'!$D$7:$D$159,$C39,'09'!Q$7:Q$159)+SUMIF('10'!$D$7:$D$159,$C39,'10'!Q$7:Q$159)+SUMIF('11'!$D$7:$D$159,$C39,'11'!Q$7:Q$159)+SUMIF('12'!$D$7:$D$159,$C39,'12'!Q$7:Q$159)+SUMIF('01'!$D$7:$D$159,$C39,'01'!Q$7:Q$159)</f>
        <v>0</v>
      </c>
      <c r="P40" s="281">
        <f>SUMIF('09'!$D$7:$D$159,$C39,'09'!R$7:R$159)+SUMIF('10'!$D$7:$D$159,$C39,'10'!R$7:R$159)+SUMIF('11'!$D$7:$D$159,$C39,'11'!R$7:R$159)+SUMIF('12'!$D$7:$D$159,$C39,'12'!R$7:R$159)+SUMIF('01'!$D$7:$D$159,$C39,'01'!R$7:R$159)</f>
        <v>0</v>
      </c>
      <c r="Q40" s="282">
        <f>SUMIF('09'!$D$7:$D$159,$C39,'09'!S$7:S$159)+SUMIF('10'!$D$7:$D$159,$C39,'10'!S$7:S$159)+SUMIF('11'!$D$7:$D$159,$C39,'11'!S$7:S$159)+SUMIF('12'!$D$7:$D$159,$C39,'12'!S$7:S$159)+SUMIF('01'!$D$7:$D$159,$C39,'01'!S$7:S$159)</f>
        <v>0</v>
      </c>
      <c r="R40" s="283">
        <f>SUMIF('09'!$D$7:$D$159,$C39,'09'!T$7:T$159)+SUMIF('10'!$D$7:$D$159,$C39,'10'!T$7:T$159)+SUMIF('11'!$D$7:$D$159,$C39,'11'!T$7:T$159)+SUMIF('12'!$D$7:$D$159,$C39,'12'!T$7:T$159)+SUMIF('01'!$D$7:$D$159,$C39,'01'!T$7:T$159)</f>
        <v>0</v>
      </c>
      <c r="S40" s="281">
        <f>SUMIF('09'!$D$7:$D$159,$C39,'09'!U$7:U$159)+SUMIF('10'!$D$7:$D$159,$C39,'10'!U$7:U$159)+SUMIF('11'!$D$7:$D$159,$C39,'11'!U$7:U$159)+SUMIF('12'!$D$7:$D$159,$C39,'12'!U$7:U$159)+SUMIF('01'!$D$7:$D$159,$C39,'01'!U$7:U$159)</f>
        <v>0</v>
      </c>
      <c r="T40" s="282">
        <f>SUMIF('09'!$D$7:$D$159,$C39,'09'!V$7:V$159)+SUMIF('10'!$D$7:$D$159,$C39,'10'!V$7:V$159)+SUMIF('11'!$D$7:$D$159,$C39,'11'!V$7:V$159)+SUMIF('12'!$D$7:$D$159,$C39,'12'!V$7:V$159)+SUMIF('01'!$D$7:$D$159,$C39,'01'!V$7:V$159)</f>
        <v>0</v>
      </c>
      <c r="U40" s="285">
        <f>SUMIF('09'!$D$7:$D$159,$C39,'09'!W$7:W$159)+SUMIF('10'!$D$7:$D$159,$C39,'10'!W$7:W$159)+SUMIF('11'!$D$7:$D$159,$C39,'11'!W$7:W$159)+SUMIF('12'!$D$7:$D$159,$C39,'12'!W$7:W$159)+SUMIF('01'!$D$7:$D$159,$C39,'01'!W$7:W$159)</f>
        <v>0</v>
      </c>
      <c r="V40" s="284">
        <f>SUMIF('09'!$D$7:$D$159,$C39,'09'!X$7:X$159)+SUMIF('10'!$D$7:$D$159,$C39,'10'!X$7:X$159)+SUMIF('11'!$D$7:$D$159,$C39,'11'!X$7:X$159)+SUMIF('12'!$D$7:$D$159,$C39,'12'!X$7:X$159)+SUMIF('01'!$D$7:$D$159,$C39,'01'!X$7:X$159)</f>
        <v>0</v>
      </c>
      <c r="W40" s="284">
        <f>SUMIF('09'!$D$7:$D$159,$C39,'09'!Y$7:Y$159)+SUMIF('10'!$D$7:$D$159,$C39,'10'!Y$7:Y$159)+SUMIF('11'!$D$7:$D$159,$C39,'11'!Y$7:Y$159)+SUMIF('12'!$D$7:$D$159,$C39,'12'!Y$7:Y$159)+SUMIF('01'!$D$7:$D$159,$C39,'01'!Y$7:Y$159)</f>
        <v>0</v>
      </c>
      <c r="X40" s="286">
        <f t="shared" si="2"/>
        <v>0</v>
      </c>
      <c r="Y40" s="345"/>
      <c r="Z40" s="347"/>
    </row>
    <row r="41" spans="1:26" ht="14.25" customHeight="1" x14ac:dyDescent="0.3">
      <c r="A41" s="178">
        <f>IF(OR(C41="0",COUNTIF(КлючОсень,C41)&gt;1),0,MATCH(F41,ВидыНагр,0))</f>
        <v>0</v>
      </c>
      <c r="B41" s="178" t="b">
        <f>(COUNTA(D41:F42,J41:W41,H41:I42)=0)</f>
        <v>1</v>
      </c>
      <c r="C41" s="179" t="str">
        <f>IF(OR(TRIM(D41)="",COUNTIF(ВидыНагр,F41)&lt;&gt;1),"0",CONCATENATE("$",TRIM(D41),"$",TRIM(E41),"$",F41,"$"))</f>
        <v>0</v>
      </c>
      <c r="D41" s="340"/>
      <c r="E41" s="338"/>
      <c r="F41" s="342"/>
      <c r="G41" s="180" t="s">
        <v>7</v>
      </c>
      <c r="H41" s="181"/>
      <c r="I41" s="182"/>
      <c r="J41" s="183"/>
      <c r="K41" s="184"/>
      <c r="L41" s="185"/>
      <c r="M41" s="183"/>
      <c r="N41" s="184"/>
      <c r="O41" s="186"/>
      <c r="P41" s="183"/>
      <c r="Q41" s="184"/>
      <c r="R41" s="185"/>
      <c r="S41" s="183"/>
      <c r="T41" s="184"/>
      <c r="U41" s="187"/>
      <c r="V41" s="186"/>
      <c r="W41" s="186"/>
      <c r="X41" s="279">
        <f t="shared" si="2"/>
        <v>0</v>
      </c>
      <c r="Y41" s="344">
        <f>X42-X41</f>
        <v>0</v>
      </c>
      <c r="Z41" s="346"/>
    </row>
    <row r="42" spans="1:26" ht="14.25" customHeight="1" x14ac:dyDescent="0.3">
      <c r="A42" s="178">
        <f>-A41</f>
        <v>0</v>
      </c>
      <c r="B42" s="178" t="b">
        <f>B41</f>
        <v>1</v>
      </c>
      <c r="C42" s="188"/>
      <c r="D42" s="341"/>
      <c r="E42" s="339"/>
      <c r="F42" s="343"/>
      <c r="G42" s="189" t="s">
        <v>8</v>
      </c>
      <c r="H42" s="190"/>
      <c r="I42" s="280"/>
      <c r="J42" s="281">
        <f>SUMIF('09'!$D$7:$D$159,$C41,'09'!L$7:L$159)+SUMIF('10'!$D$7:$D$159,$C41,'10'!L$7:L$159)+SUMIF('11'!$D$7:$D$159,$C41,'11'!L$7:L$159)+SUMIF('12'!$D$7:$D$159,$C41,'12'!L$7:L$159)+SUMIF('01'!$D$7:$D$159,$C41,'01'!L$7:L$159)</f>
        <v>0</v>
      </c>
      <c r="K42" s="282">
        <f>SUMIF('09'!$D$7:$D$159,$C41,'09'!M$7:M$159)+SUMIF('10'!$D$7:$D$159,$C41,'10'!M$7:M$159)+SUMIF('11'!$D$7:$D$159,$C41,'11'!M$7:M$159)+SUMIF('12'!$D$7:$D$159,$C41,'12'!M$7:M$159)+SUMIF('01'!$D$7:$D$159,$C41,'01'!M$7:M$159)</f>
        <v>0</v>
      </c>
      <c r="L42" s="283">
        <f>SUMIF('09'!$D$7:$D$159,$C41,'09'!N$7:N$159)+SUMIF('10'!$D$7:$D$159,$C41,'10'!N$7:N$159)+SUMIF('11'!$D$7:$D$159,$C41,'11'!N$7:N$159)+SUMIF('12'!$D$7:$D$159,$C41,'12'!N$7:N$159)+SUMIF('01'!$D$7:$D$159,$C41,'01'!N$7:N$159)</f>
        <v>0</v>
      </c>
      <c r="M42" s="281">
        <f>SUMIF('09'!$D$7:$D$159,$C41,'09'!O$7:O$159)+SUMIF('10'!$D$7:$D$159,$C41,'10'!O$7:O$159)+SUMIF('11'!$D$7:$D$159,$C41,'11'!O$7:O$159)+SUMIF('12'!$D$7:$D$159,$C41,'12'!O$7:O$159)+SUMIF('01'!$D$7:$D$159,$C41,'01'!O$7:O$159)</f>
        <v>0</v>
      </c>
      <c r="N42" s="282">
        <f>SUMIF('09'!$D$7:$D$159,$C41,'09'!P$7:P$159)+SUMIF('10'!$D$7:$D$159,$C41,'10'!P$7:P$159)+SUMIF('11'!$D$7:$D$159,$C41,'11'!P$7:P$159)+SUMIF('12'!$D$7:$D$159,$C41,'12'!P$7:P$159)+SUMIF('01'!$D$7:$D$159,$C41,'01'!P$7:P$159)</f>
        <v>0</v>
      </c>
      <c r="O42" s="284">
        <f>SUMIF('09'!$D$7:$D$159,$C41,'09'!Q$7:Q$159)+SUMIF('10'!$D$7:$D$159,$C41,'10'!Q$7:Q$159)+SUMIF('11'!$D$7:$D$159,$C41,'11'!Q$7:Q$159)+SUMIF('12'!$D$7:$D$159,$C41,'12'!Q$7:Q$159)+SUMIF('01'!$D$7:$D$159,$C41,'01'!Q$7:Q$159)</f>
        <v>0</v>
      </c>
      <c r="P42" s="281">
        <f>SUMIF('09'!$D$7:$D$159,$C41,'09'!R$7:R$159)+SUMIF('10'!$D$7:$D$159,$C41,'10'!R$7:R$159)+SUMIF('11'!$D$7:$D$159,$C41,'11'!R$7:R$159)+SUMIF('12'!$D$7:$D$159,$C41,'12'!R$7:R$159)+SUMIF('01'!$D$7:$D$159,$C41,'01'!R$7:R$159)</f>
        <v>0</v>
      </c>
      <c r="Q42" s="282">
        <f>SUMIF('09'!$D$7:$D$159,$C41,'09'!S$7:S$159)+SUMIF('10'!$D$7:$D$159,$C41,'10'!S$7:S$159)+SUMIF('11'!$D$7:$D$159,$C41,'11'!S$7:S$159)+SUMIF('12'!$D$7:$D$159,$C41,'12'!S$7:S$159)+SUMIF('01'!$D$7:$D$159,$C41,'01'!S$7:S$159)</f>
        <v>0</v>
      </c>
      <c r="R42" s="283">
        <f>SUMIF('09'!$D$7:$D$159,$C41,'09'!T$7:T$159)+SUMIF('10'!$D$7:$D$159,$C41,'10'!T$7:T$159)+SUMIF('11'!$D$7:$D$159,$C41,'11'!T$7:T$159)+SUMIF('12'!$D$7:$D$159,$C41,'12'!T$7:T$159)+SUMIF('01'!$D$7:$D$159,$C41,'01'!T$7:T$159)</f>
        <v>0</v>
      </c>
      <c r="S42" s="281">
        <f>SUMIF('09'!$D$7:$D$159,$C41,'09'!U$7:U$159)+SUMIF('10'!$D$7:$D$159,$C41,'10'!U$7:U$159)+SUMIF('11'!$D$7:$D$159,$C41,'11'!U$7:U$159)+SUMIF('12'!$D$7:$D$159,$C41,'12'!U$7:U$159)+SUMIF('01'!$D$7:$D$159,$C41,'01'!U$7:U$159)</f>
        <v>0</v>
      </c>
      <c r="T42" s="282">
        <f>SUMIF('09'!$D$7:$D$159,$C41,'09'!V$7:V$159)+SUMIF('10'!$D$7:$D$159,$C41,'10'!V$7:V$159)+SUMIF('11'!$D$7:$D$159,$C41,'11'!V$7:V$159)+SUMIF('12'!$D$7:$D$159,$C41,'12'!V$7:V$159)+SUMIF('01'!$D$7:$D$159,$C41,'01'!V$7:V$159)</f>
        <v>0</v>
      </c>
      <c r="U42" s="285">
        <f>SUMIF('09'!$D$7:$D$159,$C41,'09'!W$7:W$159)+SUMIF('10'!$D$7:$D$159,$C41,'10'!W$7:W$159)+SUMIF('11'!$D$7:$D$159,$C41,'11'!W$7:W$159)+SUMIF('12'!$D$7:$D$159,$C41,'12'!W$7:W$159)+SUMIF('01'!$D$7:$D$159,$C41,'01'!W$7:W$159)</f>
        <v>0</v>
      </c>
      <c r="V42" s="284">
        <f>SUMIF('09'!$D$7:$D$159,$C41,'09'!X$7:X$159)+SUMIF('10'!$D$7:$D$159,$C41,'10'!X$7:X$159)+SUMIF('11'!$D$7:$D$159,$C41,'11'!X$7:X$159)+SUMIF('12'!$D$7:$D$159,$C41,'12'!X$7:X$159)+SUMIF('01'!$D$7:$D$159,$C41,'01'!X$7:X$159)</f>
        <v>0</v>
      </c>
      <c r="W42" s="284">
        <f>SUMIF('09'!$D$7:$D$159,$C41,'09'!Y$7:Y$159)+SUMIF('10'!$D$7:$D$159,$C41,'10'!Y$7:Y$159)+SUMIF('11'!$D$7:$D$159,$C41,'11'!Y$7:Y$159)+SUMIF('12'!$D$7:$D$159,$C41,'12'!Y$7:Y$159)+SUMIF('01'!$D$7:$D$159,$C41,'01'!Y$7:Y$159)</f>
        <v>0</v>
      </c>
      <c r="X42" s="286">
        <f t="shared" si="2"/>
        <v>0</v>
      </c>
      <c r="Y42" s="345"/>
      <c r="Z42" s="347"/>
    </row>
    <row r="43" spans="1:26" ht="14.25" customHeight="1" x14ac:dyDescent="0.3">
      <c r="A43" s="178">
        <f>IF(OR(C43="0",COUNTIF(КлючОсень,C43)&gt;1),0,MATCH(F43,ВидыНагр,0))</f>
        <v>0</v>
      </c>
      <c r="B43" s="178" t="b">
        <f>(COUNTA(D43:F44,J43:W43,H43:I44)=0)</f>
        <v>1</v>
      </c>
      <c r="C43" s="179" t="str">
        <f>IF(OR(TRIM(D43)="",COUNTIF(ВидыНагр,F43)&lt;&gt;1),"0",CONCATENATE("$",TRIM(D43),"$",TRIM(E43),"$",F43,"$"))</f>
        <v>0</v>
      </c>
      <c r="D43" s="340"/>
      <c r="E43" s="338"/>
      <c r="F43" s="342"/>
      <c r="G43" s="180" t="s">
        <v>7</v>
      </c>
      <c r="H43" s="181"/>
      <c r="I43" s="182"/>
      <c r="J43" s="183"/>
      <c r="K43" s="184"/>
      <c r="L43" s="185"/>
      <c r="M43" s="183"/>
      <c r="N43" s="184"/>
      <c r="O43" s="186"/>
      <c r="P43" s="183"/>
      <c r="Q43" s="184"/>
      <c r="R43" s="185"/>
      <c r="S43" s="183"/>
      <c r="T43" s="184"/>
      <c r="U43" s="187"/>
      <c r="V43" s="186"/>
      <c r="W43" s="186"/>
      <c r="X43" s="279">
        <f t="shared" si="2"/>
        <v>0</v>
      </c>
      <c r="Y43" s="344">
        <f>X44-X43</f>
        <v>0</v>
      </c>
      <c r="Z43" s="346"/>
    </row>
    <row r="44" spans="1:26" ht="14.25" customHeight="1" x14ac:dyDescent="0.3">
      <c r="A44" s="178">
        <f>-A43</f>
        <v>0</v>
      </c>
      <c r="B44" s="178" t="b">
        <f>B43</f>
        <v>1</v>
      </c>
      <c r="C44" s="188"/>
      <c r="D44" s="341"/>
      <c r="E44" s="339"/>
      <c r="F44" s="343"/>
      <c r="G44" s="189" t="s">
        <v>8</v>
      </c>
      <c r="H44" s="190"/>
      <c r="I44" s="280"/>
      <c r="J44" s="281">
        <f>SUMIF('09'!$D$7:$D$159,$C43,'09'!L$7:L$159)+SUMIF('10'!$D$7:$D$159,$C43,'10'!L$7:L$159)+SUMIF('11'!$D$7:$D$159,$C43,'11'!L$7:L$159)+SUMIF('12'!$D$7:$D$159,$C43,'12'!L$7:L$159)+SUMIF('01'!$D$7:$D$159,$C43,'01'!L$7:L$159)</f>
        <v>0</v>
      </c>
      <c r="K44" s="282">
        <f>SUMIF('09'!$D$7:$D$159,$C43,'09'!M$7:M$159)+SUMIF('10'!$D$7:$D$159,$C43,'10'!M$7:M$159)+SUMIF('11'!$D$7:$D$159,$C43,'11'!M$7:M$159)+SUMIF('12'!$D$7:$D$159,$C43,'12'!M$7:M$159)+SUMIF('01'!$D$7:$D$159,$C43,'01'!M$7:M$159)</f>
        <v>0</v>
      </c>
      <c r="L44" s="283">
        <f>SUMIF('09'!$D$7:$D$159,$C43,'09'!N$7:N$159)+SUMIF('10'!$D$7:$D$159,$C43,'10'!N$7:N$159)+SUMIF('11'!$D$7:$D$159,$C43,'11'!N$7:N$159)+SUMIF('12'!$D$7:$D$159,$C43,'12'!N$7:N$159)+SUMIF('01'!$D$7:$D$159,$C43,'01'!N$7:N$159)</f>
        <v>0</v>
      </c>
      <c r="M44" s="281">
        <f>SUMIF('09'!$D$7:$D$159,$C43,'09'!O$7:O$159)+SUMIF('10'!$D$7:$D$159,$C43,'10'!O$7:O$159)+SUMIF('11'!$D$7:$D$159,$C43,'11'!O$7:O$159)+SUMIF('12'!$D$7:$D$159,$C43,'12'!O$7:O$159)+SUMIF('01'!$D$7:$D$159,$C43,'01'!O$7:O$159)</f>
        <v>0</v>
      </c>
      <c r="N44" s="282">
        <f>SUMIF('09'!$D$7:$D$159,$C43,'09'!P$7:P$159)+SUMIF('10'!$D$7:$D$159,$C43,'10'!P$7:P$159)+SUMIF('11'!$D$7:$D$159,$C43,'11'!P$7:P$159)+SUMIF('12'!$D$7:$D$159,$C43,'12'!P$7:P$159)+SUMIF('01'!$D$7:$D$159,$C43,'01'!P$7:P$159)</f>
        <v>0</v>
      </c>
      <c r="O44" s="284">
        <f>SUMIF('09'!$D$7:$D$159,$C43,'09'!Q$7:Q$159)+SUMIF('10'!$D$7:$D$159,$C43,'10'!Q$7:Q$159)+SUMIF('11'!$D$7:$D$159,$C43,'11'!Q$7:Q$159)+SUMIF('12'!$D$7:$D$159,$C43,'12'!Q$7:Q$159)+SUMIF('01'!$D$7:$D$159,$C43,'01'!Q$7:Q$159)</f>
        <v>0</v>
      </c>
      <c r="P44" s="281">
        <f>SUMIF('09'!$D$7:$D$159,$C43,'09'!R$7:R$159)+SUMIF('10'!$D$7:$D$159,$C43,'10'!R$7:R$159)+SUMIF('11'!$D$7:$D$159,$C43,'11'!R$7:R$159)+SUMIF('12'!$D$7:$D$159,$C43,'12'!R$7:R$159)+SUMIF('01'!$D$7:$D$159,$C43,'01'!R$7:R$159)</f>
        <v>0</v>
      </c>
      <c r="Q44" s="282">
        <f>SUMIF('09'!$D$7:$D$159,$C43,'09'!S$7:S$159)+SUMIF('10'!$D$7:$D$159,$C43,'10'!S$7:S$159)+SUMIF('11'!$D$7:$D$159,$C43,'11'!S$7:S$159)+SUMIF('12'!$D$7:$D$159,$C43,'12'!S$7:S$159)+SUMIF('01'!$D$7:$D$159,$C43,'01'!S$7:S$159)</f>
        <v>0</v>
      </c>
      <c r="R44" s="283">
        <f>SUMIF('09'!$D$7:$D$159,$C43,'09'!T$7:T$159)+SUMIF('10'!$D$7:$D$159,$C43,'10'!T$7:T$159)+SUMIF('11'!$D$7:$D$159,$C43,'11'!T$7:T$159)+SUMIF('12'!$D$7:$D$159,$C43,'12'!T$7:T$159)+SUMIF('01'!$D$7:$D$159,$C43,'01'!T$7:T$159)</f>
        <v>0</v>
      </c>
      <c r="S44" s="281">
        <f>SUMIF('09'!$D$7:$D$159,$C43,'09'!U$7:U$159)+SUMIF('10'!$D$7:$D$159,$C43,'10'!U$7:U$159)+SUMIF('11'!$D$7:$D$159,$C43,'11'!U$7:U$159)+SUMIF('12'!$D$7:$D$159,$C43,'12'!U$7:U$159)+SUMIF('01'!$D$7:$D$159,$C43,'01'!U$7:U$159)</f>
        <v>0</v>
      </c>
      <c r="T44" s="282">
        <f>SUMIF('09'!$D$7:$D$159,$C43,'09'!V$7:V$159)+SUMIF('10'!$D$7:$D$159,$C43,'10'!V$7:V$159)+SUMIF('11'!$D$7:$D$159,$C43,'11'!V$7:V$159)+SUMIF('12'!$D$7:$D$159,$C43,'12'!V$7:V$159)+SUMIF('01'!$D$7:$D$159,$C43,'01'!V$7:V$159)</f>
        <v>0</v>
      </c>
      <c r="U44" s="285">
        <f>SUMIF('09'!$D$7:$D$159,$C43,'09'!W$7:W$159)+SUMIF('10'!$D$7:$D$159,$C43,'10'!W$7:W$159)+SUMIF('11'!$D$7:$D$159,$C43,'11'!W$7:W$159)+SUMIF('12'!$D$7:$D$159,$C43,'12'!W$7:W$159)+SUMIF('01'!$D$7:$D$159,$C43,'01'!W$7:W$159)</f>
        <v>0</v>
      </c>
      <c r="V44" s="284">
        <f>SUMIF('09'!$D$7:$D$159,$C43,'09'!X$7:X$159)+SUMIF('10'!$D$7:$D$159,$C43,'10'!X$7:X$159)+SUMIF('11'!$D$7:$D$159,$C43,'11'!X$7:X$159)+SUMIF('12'!$D$7:$D$159,$C43,'12'!X$7:X$159)+SUMIF('01'!$D$7:$D$159,$C43,'01'!X$7:X$159)</f>
        <v>0</v>
      </c>
      <c r="W44" s="284">
        <f>SUMIF('09'!$D$7:$D$159,$C43,'09'!Y$7:Y$159)+SUMIF('10'!$D$7:$D$159,$C43,'10'!Y$7:Y$159)+SUMIF('11'!$D$7:$D$159,$C43,'11'!Y$7:Y$159)+SUMIF('12'!$D$7:$D$159,$C43,'12'!Y$7:Y$159)+SUMIF('01'!$D$7:$D$159,$C43,'01'!Y$7:Y$159)</f>
        <v>0</v>
      </c>
      <c r="X44" s="286">
        <f t="shared" si="2"/>
        <v>0</v>
      </c>
      <c r="Y44" s="345"/>
      <c r="Z44" s="347"/>
    </row>
    <row r="45" spans="1:26" ht="14.25" customHeight="1" x14ac:dyDescent="0.3">
      <c r="A45" s="178">
        <f>IF(OR(C45="0",COUNTIF(КлючОсень,C45)&gt;1),0,MATCH(F45,ВидыНагр,0))</f>
        <v>0</v>
      </c>
      <c r="B45" s="178" t="b">
        <f>(COUNTA(D45:F46,J45:W45,H45:I46)=0)</f>
        <v>1</v>
      </c>
      <c r="C45" s="179" t="str">
        <f>IF(OR(TRIM(D45)="",COUNTIF(ВидыНагр,F45)&lt;&gt;1),"0",CONCATENATE("$",TRIM(D45),"$",TRIM(E45),"$",F45,"$"))</f>
        <v>0</v>
      </c>
      <c r="D45" s="340"/>
      <c r="E45" s="338"/>
      <c r="F45" s="342"/>
      <c r="G45" s="180" t="s">
        <v>7</v>
      </c>
      <c r="H45" s="181"/>
      <c r="I45" s="182"/>
      <c r="J45" s="183"/>
      <c r="K45" s="184"/>
      <c r="L45" s="185"/>
      <c r="M45" s="183"/>
      <c r="N45" s="184"/>
      <c r="O45" s="186"/>
      <c r="P45" s="183"/>
      <c r="Q45" s="184"/>
      <c r="R45" s="185"/>
      <c r="S45" s="183"/>
      <c r="T45" s="184"/>
      <c r="U45" s="187"/>
      <c r="V45" s="186"/>
      <c r="W45" s="186"/>
      <c r="X45" s="279">
        <f t="shared" si="2"/>
        <v>0</v>
      </c>
      <c r="Y45" s="344">
        <f>X46-X45</f>
        <v>0</v>
      </c>
      <c r="Z45" s="346"/>
    </row>
    <row r="46" spans="1:26" ht="14.25" customHeight="1" x14ac:dyDescent="0.3">
      <c r="A46" s="178">
        <f>-A45</f>
        <v>0</v>
      </c>
      <c r="B46" s="178" t="b">
        <f>B45</f>
        <v>1</v>
      </c>
      <c r="C46" s="188"/>
      <c r="D46" s="341"/>
      <c r="E46" s="339"/>
      <c r="F46" s="343"/>
      <c r="G46" s="189" t="s">
        <v>8</v>
      </c>
      <c r="H46" s="190"/>
      <c r="I46" s="280"/>
      <c r="J46" s="281">
        <f>SUMIF('09'!$D$7:$D$159,$C45,'09'!L$7:L$159)+SUMIF('10'!$D$7:$D$159,$C45,'10'!L$7:L$159)+SUMIF('11'!$D$7:$D$159,$C45,'11'!L$7:L$159)+SUMIF('12'!$D$7:$D$159,$C45,'12'!L$7:L$159)+SUMIF('01'!$D$7:$D$159,$C45,'01'!L$7:L$159)</f>
        <v>0</v>
      </c>
      <c r="K46" s="282">
        <f>SUMIF('09'!$D$7:$D$159,$C45,'09'!M$7:M$159)+SUMIF('10'!$D$7:$D$159,$C45,'10'!M$7:M$159)+SUMIF('11'!$D$7:$D$159,$C45,'11'!M$7:M$159)+SUMIF('12'!$D$7:$D$159,$C45,'12'!M$7:M$159)+SUMIF('01'!$D$7:$D$159,$C45,'01'!M$7:M$159)</f>
        <v>0</v>
      </c>
      <c r="L46" s="283">
        <f>SUMIF('09'!$D$7:$D$159,$C45,'09'!N$7:N$159)+SUMIF('10'!$D$7:$D$159,$C45,'10'!N$7:N$159)+SUMIF('11'!$D$7:$D$159,$C45,'11'!N$7:N$159)+SUMIF('12'!$D$7:$D$159,$C45,'12'!N$7:N$159)+SUMIF('01'!$D$7:$D$159,$C45,'01'!N$7:N$159)</f>
        <v>0</v>
      </c>
      <c r="M46" s="281">
        <f>SUMIF('09'!$D$7:$D$159,$C45,'09'!O$7:O$159)+SUMIF('10'!$D$7:$D$159,$C45,'10'!O$7:O$159)+SUMIF('11'!$D$7:$D$159,$C45,'11'!O$7:O$159)+SUMIF('12'!$D$7:$D$159,$C45,'12'!O$7:O$159)+SUMIF('01'!$D$7:$D$159,$C45,'01'!O$7:O$159)</f>
        <v>0</v>
      </c>
      <c r="N46" s="282">
        <f>SUMIF('09'!$D$7:$D$159,$C45,'09'!P$7:P$159)+SUMIF('10'!$D$7:$D$159,$C45,'10'!P$7:P$159)+SUMIF('11'!$D$7:$D$159,$C45,'11'!P$7:P$159)+SUMIF('12'!$D$7:$D$159,$C45,'12'!P$7:P$159)+SUMIF('01'!$D$7:$D$159,$C45,'01'!P$7:P$159)</f>
        <v>0</v>
      </c>
      <c r="O46" s="284">
        <f>SUMIF('09'!$D$7:$D$159,$C45,'09'!Q$7:Q$159)+SUMIF('10'!$D$7:$D$159,$C45,'10'!Q$7:Q$159)+SUMIF('11'!$D$7:$D$159,$C45,'11'!Q$7:Q$159)+SUMIF('12'!$D$7:$D$159,$C45,'12'!Q$7:Q$159)+SUMIF('01'!$D$7:$D$159,$C45,'01'!Q$7:Q$159)</f>
        <v>0</v>
      </c>
      <c r="P46" s="281">
        <f>SUMIF('09'!$D$7:$D$159,$C45,'09'!R$7:R$159)+SUMIF('10'!$D$7:$D$159,$C45,'10'!R$7:R$159)+SUMIF('11'!$D$7:$D$159,$C45,'11'!R$7:R$159)+SUMIF('12'!$D$7:$D$159,$C45,'12'!R$7:R$159)+SUMIF('01'!$D$7:$D$159,$C45,'01'!R$7:R$159)</f>
        <v>0</v>
      </c>
      <c r="Q46" s="282">
        <f>SUMIF('09'!$D$7:$D$159,$C45,'09'!S$7:S$159)+SUMIF('10'!$D$7:$D$159,$C45,'10'!S$7:S$159)+SUMIF('11'!$D$7:$D$159,$C45,'11'!S$7:S$159)+SUMIF('12'!$D$7:$D$159,$C45,'12'!S$7:S$159)+SUMIF('01'!$D$7:$D$159,$C45,'01'!S$7:S$159)</f>
        <v>0</v>
      </c>
      <c r="R46" s="283">
        <f>SUMIF('09'!$D$7:$D$159,$C45,'09'!T$7:T$159)+SUMIF('10'!$D$7:$D$159,$C45,'10'!T$7:T$159)+SUMIF('11'!$D$7:$D$159,$C45,'11'!T$7:T$159)+SUMIF('12'!$D$7:$D$159,$C45,'12'!T$7:T$159)+SUMIF('01'!$D$7:$D$159,$C45,'01'!T$7:T$159)</f>
        <v>0</v>
      </c>
      <c r="S46" s="281">
        <f>SUMIF('09'!$D$7:$D$159,$C45,'09'!U$7:U$159)+SUMIF('10'!$D$7:$D$159,$C45,'10'!U$7:U$159)+SUMIF('11'!$D$7:$D$159,$C45,'11'!U$7:U$159)+SUMIF('12'!$D$7:$D$159,$C45,'12'!U$7:U$159)+SUMIF('01'!$D$7:$D$159,$C45,'01'!U$7:U$159)</f>
        <v>0</v>
      </c>
      <c r="T46" s="282">
        <f>SUMIF('09'!$D$7:$D$159,$C45,'09'!V$7:V$159)+SUMIF('10'!$D$7:$D$159,$C45,'10'!V$7:V$159)+SUMIF('11'!$D$7:$D$159,$C45,'11'!V$7:V$159)+SUMIF('12'!$D$7:$D$159,$C45,'12'!V$7:V$159)+SUMIF('01'!$D$7:$D$159,$C45,'01'!V$7:V$159)</f>
        <v>0</v>
      </c>
      <c r="U46" s="285">
        <f>SUMIF('09'!$D$7:$D$159,$C45,'09'!W$7:W$159)+SUMIF('10'!$D$7:$D$159,$C45,'10'!W$7:W$159)+SUMIF('11'!$D$7:$D$159,$C45,'11'!W$7:W$159)+SUMIF('12'!$D$7:$D$159,$C45,'12'!W$7:W$159)+SUMIF('01'!$D$7:$D$159,$C45,'01'!W$7:W$159)</f>
        <v>0</v>
      </c>
      <c r="V46" s="284">
        <f>SUMIF('09'!$D$7:$D$159,$C45,'09'!X$7:X$159)+SUMIF('10'!$D$7:$D$159,$C45,'10'!X$7:X$159)+SUMIF('11'!$D$7:$D$159,$C45,'11'!X$7:X$159)+SUMIF('12'!$D$7:$D$159,$C45,'12'!X$7:X$159)+SUMIF('01'!$D$7:$D$159,$C45,'01'!X$7:X$159)</f>
        <v>0</v>
      </c>
      <c r="W46" s="284">
        <f>SUMIF('09'!$D$7:$D$159,$C45,'09'!Y$7:Y$159)+SUMIF('10'!$D$7:$D$159,$C45,'10'!Y$7:Y$159)+SUMIF('11'!$D$7:$D$159,$C45,'11'!Y$7:Y$159)+SUMIF('12'!$D$7:$D$159,$C45,'12'!Y$7:Y$159)+SUMIF('01'!$D$7:$D$159,$C45,'01'!Y$7:Y$159)</f>
        <v>0</v>
      </c>
      <c r="X46" s="286">
        <f t="shared" si="2"/>
        <v>0</v>
      </c>
      <c r="Y46" s="345"/>
      <c r="Z46" s="347"/>
    </row>
    <row r="47" spans="1:26" ht="14.25" customHeight="1" x14ac:dyDescent="0.3">
      <c r="A47" s="178">
        <f>IF(OR(C47="0",COUNTIF(КлючОсень,C47)&gt;1),0,MATCH(F47,ВидыНагр,0))</f>
        <v>0</v>
      </c>
      <c r="B47" s="178" t="b">
        <f>(COUNTA(D47:F48,J47:W47,H47:I48)=0)</f>
        <v>1</v>
      </c>
      <c r="C47" s="179" t="str">
        <f>IF(OR(TRIM(D47)="",COUNTIF(ВидыНагр,F47)&lt;&gt;1),"0",CONCATENATE("$",TRIM(D47),"$",TRIM(E47),"$",F47,"$"))</f>
        <v>0</v>
      </c>
      <c r="D47" s="340"/>
      <c r="E47" s="338"/>
      <c r="F47" s="342"/>
      <c r="G47" s="180" t="s">
        <v>7</v>
      </c>
      <c r="H47" s="181"/>
      <c r="I47" s="182"/>
      <c r="J47" s="183"/>
      <c r="K47" s="184"/>
      <c r="L47" s="185"/>
      <c r="M47" s="183"/>
      <c r="N47" s="184"/>
      <c r="O47" s="186"/>
      <c r="P47" s="183"/>
      <c r="Q47" s="184"/>
      <c r="R47" s="185"/>
      <c r="S47" s="183"/>
      <c r="T47" s="184"/>
      <c r="U47" s="187"/>
      <c r="V47" s="186"/>
      <c r="W47" s="186"/>
      <c r="X47" s="279">
        <f t="shared" si="2"/>
        <v>0</v>
      </c>
      <c r="Y47" s="344">
        <f>X48-X47</f>
        <v>0</v>
      </c>
      <c r="Z47" s="346"/>
    </row>
    <row r="48" spans="1:26" ht="14.25" customHeight="1" x14ac:dyDescent="0.3">
      <c r="A48" s="178">
        <f>-A47</f>
        <v>0</v>
      </c>
      <c r="B48" s="178" t="b">
        <f>B47</f>
        <v>1</v>
      </c>
      <c r="C48" s="188"/>
      <c r="D48" s="341"/>
      <c r="E48" s="339"/>
      <c r="F48" s="343"/>
      <c r="G48" s="189" t="s">
        <v>8</v>
      </c>
      <c r="H48" s="190"/>
      <c r="I48" s="280"/>
      <c r="J48" s="281">
        <f>SUMIF('09'!$D$7:$D$159,$C47,'09'!L$7:L$159)+SUMIF('10'!$D$7:$D$159,$C47,'10'!L$7:L$159)+SUMIF('11'!$D$7:$D$159,$C47,'11'!L$7:L$159)+SUMIF('12'!$D$7:$D$159,$C47,'12'!L$7:L$159)+SUMIF('01'!$D$7:$D$159,$C47,'01'!L$7:L$159)</f>
        <v>0</v>
      </c>
      <c r="K48" s="282">
        <f>SUMIF('09'!$D$7:$D$159,$C47,'09'!M$7:M$159)+SUMIF('10'!$D$7:$D$159,$C47,'10'!M$7:M$159)+SUMIF('11'!$D$7:$D$159,$C47,'11'!M$7:M$159)+SUMIF('12'!$D$7:$D$159,$C47,'12'!M$7:M$159)+SUMIF('01'!$D$7:$D$159,$C47,'01'!M$7:M$159)</f>
        <v>0</v>
      </c>
      <c r="L48" s="283">
        <f>SUMIF('09'!$D$7:$D$159,$C47,'09'!N$7:N$159)+SUMIF('10'!$D$7:$D$159,$C47,'10'!N$7:N$159)+SUMIF('11'!$D$7:$D$159,$C47,'11'!N$7:N$159)+SUMIF('12'!$D$7:$D$159,$C47,'12'!N$7:N$159)+SUMIF('01'!$D$7:$D$159,$C47,'01'!N$7:N$159)</f>
        <v>0</v>
      </c>
      <c r="M48" s="281">
        <f>SUMIF('09'!$D$7:$D$159,$C47,'09'!O$7:O$159)+SUMIF('10'!$D$7:$D$159,$C47,'10'!O$7:O$159)+SUMIF('11'!$D$7:$D$159,$C47,'11'!O$7:O$159)+SUMIF('12'!$D$7:$D$159,$C47,'12'!O$7:O$159)+SUMIF('01'!$D$7:$D$159,$C47,'01'!O$7:O$159)</f>
        <v>0</v>
      </c>
      <c r="N48" s="282">
        <f>SUMIF('09'!$D$7:$D$159,$C47,'09'!P$7:P$159)+SUMIF('10'!$D$7:$D$159,$C47,'10'!P$7:P$159)+SUMIF('11'!$D$7:$D$159,$C47,'11'!P$7:P$159)+SUMIF('12'!$D$7:$D$159,$C47,'12'!P$7:P$159)+SUMIF('01'!$D$7:$D$159,$C47,'01'!P$7:P$159)</f>
        <v>0</v>
      </c>
      <c r="O48" s="284">
        <f>SUMIF('09'!$D$7:$D$159,$C47,'09'!Q$7:Q$159)+SUMIF('10'!$D$7:$D$159,$C47,'10'!Q$7:Q$159)+SUMIF('11'!$D$7:$D$159,$C47,'11'!Q$7:Q$159)+SUMIF('12'!$D$7:$D$159,$C47,'12'!Q$7:Q$159)+SUMIF('01'!$D$7:$D$159,$C47,'01'!Q$7:Q$159)</f>
        <v>0</v>
      </c>
      <c r="P48" s="281">
        <f>SUMIF('09'!$D$7:$D$159,$C47,'09'!R$7:R$159)+SUMIF('10'!$D$7:$D$159,$C47,'10'!R$7:R$159)+SUMIF('11'!$D$7:$D$159,$C47,'11'!R$7:R$159)+SUMIF('12'!$D$7:$D$159,$C47,'12'!R$7:R$159)+SUMIF('01'!$D$7:$D$159,$C47,'01'!R$7:R$159)</f>
        <v>0</v>
      </c>
      <c r="Q48" s="282">
        <f>SUMIF('09'!$D$7:$D$159,$C47,'09'!S$7:S$159)+SUMIF('10'!$D$7:$D$159,$C47,'10'!S$7:S$159)+SUMIF('11'!$D$7:$D$159,$C47,'11'!S$7:S$159)+SUMIF('12'!$D$7:$D$159,$C47,'12'!S$7:S$159)+SUMIF('01'!$D$7:$D$159,$C47,'01'!S$7:S$159)</f>
        <v>0</v>
      </c>
      <c r="R48" s="283">
        <f>SUMIF('09'!$D$7:$D$159,$C47,'09'!T$7:T$159)+SUMIF('10'!$D$7:$D$159,$C47,'10'!T$7:T$159)+SUMIF('11'!$D$7:$D$159,$C47,'11'!T$7:T$159)+SUMIF('12'!$D$7:$D$159,$C47,'12'!T$7:T$159)+SUMIF('01'!$D$7:$D$159,$C47,'01'!T$7:T$159)</f>
        <v>0</v>
      </c>
      <c r="S48" s="281">
        <f>SUMIF('09'!$D$7:$D$159,$C47,'09'!U$7:U$159)+SUMIF('10'!$D$7:$D$159,$C47,'10'!U$7:U$159)+SUMIF('11'!$D$7:$D$159,$C47,'11'!U$7:U$159)+SUMIF('12'!$D$7:$D$159,$C47,'12'!U$7:U$159)+SUMIF('01'!$D$7:$D$159,$C47,'01'!U$7:U$159)</f>
        <v>0</v>
      </c>
      <c r="T48" s="282">
        <f>SUMIF('09'!$D$7:$D$159,$C47,'09'!V$7:V$159)+SUMIF('10'!$D$7:$D$159,$C47,'10'!V$7:V$159)+SUMIF('11'!$D$7:$D$159,$C47,'11'!V$7:V$159)+SUMIF('12'!$D$7:$D$159,$C47,'12'!V$7:V$159)+SUMIF('01'!$D$7:$D$159,$C47,'01'!V$7:V$159)</f>
        <v>0</v>
      </c>
      <c r="U48" s="285">
        <f>SUMIF('09'!$D$7:$D$159,$C47,'09'!W$7:W$159)+SUMIF('10'!$D$7:$D$159,$C47,'10'!W$7:W$159)+SUMIF('11'!$D$7:$D$159,$C47,'11'!W$7:W$159)+SUMIF('12'!$D$7:$D$159,$C47,'12'!W$7:W$159)+SUMIF('01'!$D$7:$D$159,$C47,'01'!W$7:W$159)</f>
        <v>0</v>
      </c>
      <c r="V48" s="284">
        <f>SUMIF('09'!$D$7:$D$159,$C47,'09'!X$7:X$159)+SUMIF('10'!$D$7:$D$159,$C47,'10'!X$7:X$159)+SUMIF('11'!$D$7:$D$159,$C47,'11'!X$7:X$159)+SUMIF('12'!$D$7:$D$159,$C47,'12'!X$7:X$159)+SUMIF('01'!$D$7:$D$159,$C47,'01'!X$7:X$159)</f>
        <v>0</v>
      </c>
      <c r="W48" s="284">
        <f>SUMIF('09'!$D$7:$D$159,$C47,'09'!Y$7:Y$159)+SUMIF('10'!$D$7:$D$159,$C47,'10'!Y$7:Y$159)+SUMIF('11'!$D$7:$D$159,$C47,'11'!Y$7:Y$159)+SUMIF('12'!$D$7:$D$159,$C47,'12'!Y$7:Y$159)+SUMIF('01'!$D$7:$D$159,$C47,'01'!Y$7:Y$159)</f>
        <v>0</v>
      </c>
      <c r="X48" s="286">
        <f t="shared" si="2"/>
        <v>0</v>
      </c>
      <c r="Y48" s="345"/>
      <c r="Z48" s="347"/>
    </row>
    <row r="49" spans="1:26" ht="14.25" customHeight="1" x14ac:dyDescent="0.3">
      <c r="A49" s="178">
        <f>IF(OR(C49="0",COUNTIF(КлючОсень,C49)&gt;1),0,MATCH(F49,ВидыНагр,0))</f>
        <v>0</v>
      </c>
      <c r="B49" s="178" t="b">
        <f>(COUNTA(D49:F50,J49:W49,H49:I50)=0)</f>
        <v>1</v>
      </c>
      <c r="C49" s="179" t="str">
        <f>IF(OR(TRIM(D49)="",COUNTIF(ВидыНагр,F49)&lt;&gt;1),"0",CONCATENATE("$",TRIM(D49),"$",TRIM(E49),"$",F49,"$"))</f>
        <v>0</v>
      </c>
      <c r="D49" s="340"/>
      <c r="E49" s="338"/>
      <c r="F49" s="342"/>
      <c r="G49" s="180" t="s">
        <v>7</v>
      </c>
      <c r="H49" s="181"/>
      <c r="I49" s="182"/>
      <c r="J49" s="183"/>
      <c r="K49" s="184"/>
      <c r="L49" s="185"/>
      <c r="M49" s="183"/>
      <c r="N49" s="184"/>
      <c r="O49" s="186"/>
      <c r="P49" s="183"/>
      <c r="Q49" s="184"/>
      <c r="R49" s="185"/>
      <c r="S49" s="183"/>
      <c r="T49" s="184"/>
      <c r="U49" s="187"/>
      <c r="V49" s="186"/>
      <c r="W49" s="186"/>
      <c r="X49" s="279">
        <f t="shared" si="2"/>
        <v>0</v>
      </c>
      <c r="Y49" s="344">
        <f>X50-X49</f>
        <v>0</v>
      </c>
      <c r="Z49" s="346"/>
    </row>
    <row r="50" spans="1:26" ht="14.25" customHeight="1" x14ac:dyDescent="0.3">
      <c r="A50" s="178">
        <f>-A49</f>
        <v>0</v>
      </c>
      <c r="B50" s="178" t="b">
        <f>B49</f>
        <v>1</v>
      </c>
      <c r="C50" s="188"/>
      <c r="D50" s="341"/>
      <c r="E50" s="339"/>
      <c r="F50" s="343"/>
      <c r="G50" s="189" t="s">
        <v>8</v>
      </c>
      <c r="H50" s="190"/>
      <c r="I50" s="280"/>
      <c r="J50" s="281">
        <f>SUMIF('09'!$D$7:$D$159,$C49,'09'!L$7:L$159)+SUMIF('10'!$D$7:$D$159,$C49,'10'!L$7:L$159)+SUMIF('11'!$D$7:$D$159,$C49,'11'!L$7:L$159)+SUMIF('12'!$D$7:$D$159,$C49,'12'!L$7:L$159)+SUMIF('01'!$D$7:$D$159,$C49,'01'!L$7:L$159)</f>
        <v>0</v>
      </c>
      <c r="K50" s="282">
        <f>SUMIF('09'!$D$7:$D$159,$C49,'09'!M$7:M$159)+SUMIF('10'!$D$7:$D$159,$C49,'10'!M$7:M$159)+SUMIF('11'!$D$7:$D$159,$C49,'11'!M$7:M$159)+SUMIF('12'!$D$7:$D$159,$C49,'12'!M$7:M$159)+SUMIF('01'!$D$7:$D$159,$C49,'01'!M$7:M$159)</f>
        <v>0</v>
      </c>
      <c r="L50" s="283">
        <f>SUMIF('09'!$D$7:$D$159,$C49,'09'!N$7:N$159)+SUMIF('10'!$D$7:$D$159,$C49,'10'!N$7:N$159)+SUMIF('11'!$D$7:$D$159,$C49,'11'!N$7:N$159)+SUMIF('12'!$D$7:$D$159,$C49,'12'!N$7:N$159)+SUMIF('01'!$D$7:$D$159,$C49,'01'!N$7:N$159)</f>
        <v>0</v>
      </c>
      <c r="M50" s="281">
        <f>SUMIF('09'!$D$7:$D$159,$C49,'09'!O$7:O$159)+SUMIF('10'!$D$7:$D$159,$C49,'10'!O$7:O$159)+SUMIF('11'!$D$7:$D$159,$C49,'11'!O$7:O$159)+SUMIF('12'!$D$7:$D$159,$C49,'12'!O$7:O$159)+SUMIF('01'!$D$7:$D$159,$C49,'01'!O$7:O$159)</f>
        <v>0</v>
      </c>
      <c r="N50" s="282">
        <f>SUMIF('09'!$D$7:$D$159,$C49,'09'!P$7:P$159)+SUMIF('10'!$D$7:$D$159,$C49,'10'!P$7:P$159)+SUMIF('11'!$D$7:$D$159,$C49,'11'!P$7:P$159)+SUMIF('12'!$D$7:$D$159,$C49,'12'!P$7:P$159)+SUMIF('01'!$D$7:$D$159,$C49,'01'!P$7:P$159)</f>
        <v>0</v>
      </c>
      <c r="O50" s="284">
        <f>SUMIF('09'!$D$7:$D$159,$C49,'09'!Q$7:Q$159)+SUMIF('10'!$D$7:$D$159,$C49,'10'!Q$7:Q$159)+SUMIF('11'!$D$7:$D$159,$C49,'11'!Q$7:Q$159)+SUMIF('12'!$D$7:$D$159,$C49,'12'!Q$7:Q$159)+SUMIF('01'!$D$7:$D$159,$C49,'01'!Q$7:Q$159)</f>
        <v>0</v>
      </c>
      <c r="P50" s="281">
        <f>SUMIF('09'!$D$7:$D$159,$C49,'09'!R$7:R$159)+SUMIF('10'!$D$7:$D$159,$C49,'10'!R$7:R$159)+SUMIF('11'!$D$7:$D$159,$C49,'11'!R$7:R$159)+SUMIF('12'!$D$7:$D$159,$C49,'12'!R$7:R$159)+SUMIF('01'!$D$7:$D$159,$C49,'01'!R$7:R$159)</f>
        <v>0</v>
      </c>
      <c r="Q50" s="282">
        <f>SUMIF('09'!$D$7:$D$159,$C49,'09'!S$7:S$159)+SUMIF('10'!$D$7:$D$159,$C49,'10'!S$7:S$159)+SUMIF('11'!$D$7:$D$159,$C49,'11'!S$7:S$159)+SUMIF('12'!$D$7:$D$159,$C49,'12'!S$7:S$159)+SUMIF('01'!$D$7:$D$159,$C49,'01'!S$7:S$159)</f>
        <v>0</v>
      </c>
      <c r="R50" s="283">
        <f>SUMIF('09'!$D$7:$D$159,$C49,'09'!T$7:T$159)+SUMIF('10'!$D$7:$D$159,$C49,'10'!T$7:T$159)+SUMIF('11'!$D$7:$D$159,$C49,'11'!T$7:T$159)+SUMIF('12'!$D$7:$D$159,$C49,'12'!T$7:T$159)+SUMIF('01'!$D$7:$D$159,$C49,'01'!T$7:T$159)</f>
        <v>0</v>
      </c>
      <c r="S50" s="281">
        <f>SUMIF('09'!$D$7:$D$159,$C49,'09'!U$7:U$159)+SUMIF('10'!$D$7:$D$159,$C49,'10'!U$7:U$159)+SUMIF('11'!$D$7:$D$159,$C49,'11'!U$7:U$159)+SUMIF('12'!$D$7:$D$159,$C49,'12'!U$7:U$159)+SUMIF('01'!$D$7:$D$159,$C49,'01'!U$7:U$159)</f>
        <v>0</v>
      </c>
      <c r="T50" s="282">
        <f>SUMIF('09'!$D$7:$D$159,$C49,'09'!V$7:V$159)+SUMIF('10'!$D$7:$D$159,$C49,'10'!V$7:V$159)+SUMIF('11'!$D$7:$D$159,$C49,'11'!V$7:V$159)+SUMIF('12'!$D$7:$D$159,$C49,'12'!V$7:V$159)+SUMIF('01'!$D$7:$D$159,$C49,'01'!V$7:V$159)</f>
        <v>0</v>
      </c>
      <c r="U50" s="285">
        <f>SUMIF('09'!$D$7:$D$159,$C49,'09'!W$7:W$159)+SUMIF('10'!$D$7:$D$159,$C49,'10'!W$7:W$159)+SUMIF('11'!$D$7:$D$159,$C49,'11'!W$7:W$159)+SUMIF('12'!$D$7:$D$159,$C49,'12'!W$7:W$159)+SUMIF('01'!$D$7:$D$159,$C49,'01'!W$7:W$159)</f>
        <v>0</v>
      </c>
      <c r="V50" s="284">
        <f>SUMIF('09'!$D$7:$D$159,$C49,'09'!X$7:X$159)+SUMIF('10'!$D$7:$D$159,$C49,'10'!X$7:X$159)+SUMIF('11'!$D$7:$D$159,$C49,'11'!X$7:X$159)+SUMIF('12'!$D$7:$D$159,$C49,'12'!X$7:X$159)+SUMIF('01'!$D$7:$D$159,$C49,'01'!X$7:X$159)</f>
        <v>0</v>
      </c>
      <c r="W50" s="284">
        <f>SUMIF('09'!$D$7:$D$159,$C49,'09'!Y$7:Y$159)+SUMIF('10'!$D$7:$D$159,$C49,'10'!Y$7:Y$159)+SUMIF('11'!$D$7:$D$159,$C49,'11'!Y$7:Y$159)+SUMIF('12'!$D$7:$D$159,$C49,'12'!Y$7:Y$159)+SUMIF('01'!$D$7:$D$159,$C49,'01'!Y$7:Y$159)</f>
        <v>0</v>
      </c>
      <c r="X50" s="286">
        <f t="shared" si="2"/>
        <v>0</v>
      </c>
      <c r="Y50" s="345"/>
      <c r="Z50" s="347"/>
    </row>
    <row r="51" spans="1:26" ht="14.25" customHeight="1" x14ac:dyDescent="0.3">
      <c r="A51" s="178">
        <f>IF(OR(C51="0",COUNTIF(КлючОсень,C51)&gt;1),0,MATCH(F51,ВидыНагр,0))</f>
        <v>0</v>
      </c>
      <c r="B51" s="178" t="b">
        <f>(COUNTA(D51:F52,J51:W51,H51:I52)=0)</f>
        <v>1</v>
      </c>
      <c r="C51" s="179" t="str">
        <f>IF(OR(TRIM(D51)="",COUNTIF(ВидыНагр,F51)&lt;&gt;1),"0",CONCATENATE("$",TRIM(D51),"$",TRIM(E51),"$",F51,"$"))</f>
        <v>0</v>
      </c>
      <c r="D51" s="340"/>
      <c r="E51" s="338"/>
      <c r="F51" s="342"/>
      <c r="G51" s="180" t="s">
        <v>7</v>
      </c>
      <c r="H51" s="181"/>
      <c r="I51" s="182"/>
      <c r="J51" s="183"/>
      <c r="K51" s="184"/>
      <c r="L51" s="185"/>
      <c r="M51" s="183"/>
      <c r="N51" s="184"/>
      <c r="O51" s="186"/>
      <c r="P51" s="183"/>
      <c r="Q51" s="184"/>
      <c r="R51" s="185"/>
      <c r="S51" s="183"/>
      <c r="T51" s="184"/>
      <c r="U51" s="187"/>
      <c r="V51" s="186"/>
      <c r="W51" s="186"/>
      <c r="X51" s="279">
        <f t="shared" si="2"/>
        <v>0</v>
      </c>
      <c r="Y51" s="344">
        <f>X52-X51</f>
        <v>0</v>
      </c>
      <c r="Z51" s="346"/>
    </row>
    <row r="52" spans="1:26" ht="14.25" customHeight="1" x14ac:dyDescent="0.3">
      <c r="A52" s="178">
        <f>-A51</f>
        <v>0</v>
      </c>
      <c r="B52" s="178" t="b">
        <f>B51</f>
        <v>1</v>
      </c>
      <c r="C52" s="188"/>
      <c r="D52" s="341"/>
      <c r="E52" s="339"/>
      <c r="F52" s="343"/>
      <c r="G52" s="189" t="s">
        <v>8</v>
      </c>
      <c r="H52" s="190"/>
      <c r="I52" s="280"/>
      <c r="J52" s="281">
        <f>SUMIF('09'!$D$7:$D$159,$C51,'09'!L$7:L$159)+SUMIF('10'!$D$7:$D$159,$C51,'10'!L$7:L$159)+SUMIF('11'!$D$7:$D$159,$C51,'11'!L$7:L$159)+SUMIF('12'!$D$7:$D$159,$C51,'12'!L$7:L$159)+SUMIF('01'!$D$7:$D$159,$C51,'01'!L$7:L$159)</f>
        <v>0</v>
      </c>
      <c r="K52" s="282">
        <f>SUMIF('09'!$D$7:$D$159,$C51,'09'!M$7:M$159)+SUMIF('10'!$D$7:$D$159,$C51,'10'!M$7:M$159)+SUMIF('11'!$D$7:$D$159,$C51,'11'!M$7:M$159)+SUMIF('12'!$D$7:$D$159,$C51,'12'!M$7:M$159)+SUMIF('01'!$D$7:$D$159,$C51,'01'!M$7:M$159)</f>
        <v>0</v>
      </c>
      <c r="L52" s="283">
        <f>SUMIF('09'!$D$7:$D$159,$C51,'09'!N$7:N$159)+SUMIF('10'!$D$7:$D$159,$C51,'10'!N$7:N$159)+SUMIF('11'!$D$7:$D$159,$C51,'11'!N$7:N$159)+SUMIF('12'!$D$7:$D$159,$C51,'12'!N$7:N$159)+SUMIF('01'!$D$7:$D$159,$C51,'01'!N$7:N$159)</f>
        <v>0</v>
      </c>
      <c r="M52" s="281">
        <f>SUMIF('09'!$D$7:$D$159,$C51,'09'!O$7:O$159)+SUMIF('10'!$D$7:$D$159,$C51,'10'!O$7:O$159)+SUMIF('11'!$D$7:$D$159,$C51,'11'!O$7:O$159)+SUMIF('12'!$D$7:$D$159,$C51,'12'!O$7:O$159)+SUMIF('01'!$D$7:$D$159,$C51,'01'!O$7:O$159)</f>
        <v>0</v>
      </c>
      <c r="N52" s="282">
        <f>SUMIF('09'!$D$7:$D$159,$C51,'09'!P$7:P$159)+SUMIF('10'!$D$7:$D$159,$C51,'10'!P$7:P$159)+SUMIF('11'!$D$7:$D$159,$C51,'11'!P$7:P$159)+SUMIF('12'!$D$7:$D$159,$C51,'12'!P$7:P$159)+SUMIF('01'!$D$7:$D$159,$C51,'01'!P$7:P$159)</f>
        <v>0</v>
      </c>
      <c r="O52" s="284">
        <f>SUMIF('09'!$D$7:$D$159,$C51,'09'!Q$7:Q$159)+SUMIF('10'!$D$7:$D$159,$C51,'10'!Q$7:Q$159)+SUMIF('11'!$D$7:$D$159,$C51,'11'!Q$7:Q$159)+SUMIF('12'!$D$7:$D$159,$C51,'12'!Q$7:Q$159)+SUMIF('01'!$D$7:$D$159,$C51,'01'!Q$7:Q$159)</f>
        <v>0</v>
      </c>
      <c r="P52" s="281">
        <f>SUMIF('09'!$D$7:$D$159,$C51,'09'!R$7:R$159)+SUMIF('10'!$D$7:$D$159,$C51,'10'!R$7:R$159)+SUMIF('11'!$D$7:$D$159,$C51,'11'!R$7:R$159)+SUMIF('12'!$D$7:$D$159,$C51,'12'!R$7:R$159)+SUMIF('01'!$D$7:$D$159,$C51,'01'!R$7:R$159)</f>
        <v>0</v>
      </c>
      <c r="Q52" s="282">
        <f>SUMIF('09'!$D$7:$D$159,$C51,'09'!S$7:S$159)+SUMIF('10'!$D$7:$D$159,$C51,'10'!S$7:S$159)+SUMIF('11'!$D$7:$D$159,$C51,'11'!S$7:S$159)+SUMIF('12'!$D$7:$D$159,$C51,'12'!S$7:S$159)+SUMIF('01'!$D$7:$D$159,$C51,'01'!S$7:S$159)</f>
        <v>0</v>
      </c>
      <c r="R52" s="283">
        <f>SUMIF('09'!$D$7:$D$159,$C51,'09'!T$7:T$159)+SUMIF('10'!$D$7:$D$159,$C51,'10'!T$7:T$159)+SUMIF('11'!$D$7:$D$159,$C51,'11'!T$7:T$159)+SUMIF('12'!$D$7:$D$159,$C51,'12'!T$7:T$159)+SUMIF('01'!$D$7:$D$159,$C51,'01'!T$7:T$159)</f>
        <v>0</v>
      </c>
      <c r="S52" s="281">
        <f>SUMIF('09'!$D$7:$D$159,$C51,'09'!U$7:U$159)+SUMIF('10'!$D$7:$D$159,$C51,'10'!U$7:U$159)+SUMIF('11'!$D$7:$D$159,$C51,'11'!U$7:U$159)+SUMIF('12'!$D$7:$D$159,$C51,'12'!U$7:U$159)+SUMIF('01'!$D$7:$D$159,$C51,'01'!U$7:U$159)</f>
        <v>0</v>
      </c>
      <c r="T52" s="282">
        <f>SUMIF('09'!$D$7:$D$159,$C51,'09'!V$7:V$159)+SUMIF('10'!$D$7:$D$159,$C51,'10'!V$7:V$159)+SUMIF('11'!$D$7:$D$159,$C51,'11'!V$7:V$159)+SUMIF('12'!$D$7:$D$159,$C51,'12'!V$7:V$159)+SUMIF('01'!$D$7:$D$159,$C51,'01'!V$7:V$159)</f>
        <v>0</v>
      </c>
      <c r="U52" s="285">
        <f>SUMIF('09'!$D$7:$D$159,$C51,'09'!W$7:W$159)+SUMIF('10'!$D$7:$D$159,$C51,'10'!W$7:W$159)+SUMIF('11'!$D$7:$D$159,$C51,'11'!W$7:W$159)+SUMIF('12'!$D$7:$D$159,$C51,'12'!W$7:W$159)+SUMIF('01'!$D$7:$D$159,$C51,'01'!W$7:W$159)</f>
        <v>0</v>
      </c>
      <c r="V52" s="284">
        <f>SUMIF('09'!$D$7:$D$159,$C51,'09'!X$7:X$159)+SUMIF('10'!$D$7:$D$159,$C51,'10'!X$7:X$159)+SUMIF('11'!$D$7:$D$159,$C51,'11'!X$7:X$159)+SUMIF('12'!$D$7:$D$159,$C51,'12'!X$7:X$159)+SUMIF('01'!$D$7:$D$159,$C51,'01'!X$7:X$159)</f>
        <v>0</v>
      </c>
      <c r="W52" s="284">
        <f>SUMIF('09'!$D$7:$D$159,$C51,'09'!Y$7:Y$159)+SUMIF('10'!$D$7:$D$159,$C51,'10'!Y$7:Y$159)+SUMIF('11'!$D$7:$D$159,$C51,'11'!Y$7:Y$159)+SUMIF('12'!$D$7:$D$159,$C51,'12'!Y$7:Y$159)+SUMIF('01'!$D$7:$D$159,$C51,'01'!Y$7:Y$159)</f>
        <v>0</v>
      </c>
      <c r="X52" s="286">
        <f t="shared" si="2"/>
        <v>0</v>
      </c>
      <c r="Y52" s="345"/>
      <c r="Z52" s="347"/>
    </row>
    <row r="53" spans="1:26" ht="14.25" customHeight="1" x14ac:dyDescent="0.3">
      <c r="A53" s="178">
        <f>IF(OR(C53="0",COUNTIF(КлючОсень,C53)&gt;1),0,MATCH(F53,ВидыНагр,0))</f>
        <v>0</v>
      </c>
      <c r="B53" s="178" t="b">
        <f>(COUNTA(D53:F54,J53:W53,H53:I54)=0)</f>
        <v>1</v>
      </c>
      <c r="C53" s="179" t="str">
        <f>IF(OR(TRIM(D53)="",COUNTIF(ВидыНагр,F53)&lt;&gt;1),"0",CONCATENATE("$",TRIM(D53),"$",TRIM(E53),"$",F53,"$"))</f>
        <v>0</v>
      </c>
      <c r="D53" s="340"/>
      <c r="E53" s="338"/>
      <c r="F53" s="342"/>
      <c r="G53" s="180" t="s">
        <v>7</v>
      </c>
      <c r="H53" s="181"/>
      <c r="I53" s="182"/>
      <c r="J53" s="183"/>
      <c r="K53" s="184"/>
      <c r="L53" s="185"/>
      <c r="M53" s="183"/>
      <c r="N53" s="184"/>
      <c r="O53" s="186"/>
      <c r="P53" s="183"/>
      <c r="Q53" s="184"/>
      <c r="R53" s="185"/>
      <c r="S53" s="183"/>
      <c r="T53" s="184"/>
      <c r="U53" s="187"/>
      <c r="V53" s="186"/>
      <c r="W53" s="186"/>
      <c r="X53" s="279">
        <f t="shared" si="2"/>
        <v>0</v>
      </c>
      <c r="Y53" s="344">
        <f>X54-X53</f>
        <v>0</v>
      </c>
      <c r="Z53" s="346"/>
    </row>
    <row r="54" spans="1:26" ht="14.25" customHeight="1" x14ac:dyDescent="0.3">
      <c r="A54" s="178">
        <f>-A53</f>
        <v>0</v>
      </c>
      <c r="B54" s="178" t="b">
        <f>B53</f>
        <v>1</v>
      </c>
      <c r="C54" s="188"/>
      <c r="D54" s="341"/>
      <c r="E54" s="339"/>
      <c r="F54" s="343"/>
      <c r="G54" s="189" t="s">
        <v>8</v>
      </c>
      <c r="H54" s="190"/>
      <c r="I54" s="280"/>
      <c r="J54" s="281">
        <f>SUMIF('09'!$D$7:$D$159,$C53,'09'!L$7:L$159)+SUMIF('10'!$D$7:$D$159,$C53,'10'!L$7:L$159)+SUMIF('11'!$D$7:$D$159,$C53,'11'!L$7:L$159)+SUMIF('12'!$D$7:$D$159,$C53,'12'!L$7:L$159)+SUMIF('01'!$D$7:$D$159,$C53,'01'!L$7:L$159)</f>
        <v>0</v>
      </c>
      <c r="K54" s="282">
        <f>SUMIF('09'!$D$7:$D$159,$C53,'09'!M$7:M$159)+SUMIF('10'!$D$7:$D$159,$C53,'10'!M$7:M$159)+SUMIF('11'!$D$7:$D$159,$C53,'11'!M$7:M$159)+SUMIF('12'!$D$7:$D$159,$C53,'12'!M$7:M$159)+SUMIF('01'!$D$7:$D$159,$C53,'01'!M$7:M$159)</f>
        <v>0</v>
      </c>
      <c r="L54" s="283">
        <f>SUMIF('09'!$D$7:$D$159,$C53,'09'!N$7:N$159)+SUMIF('10'!$D$7:$D$159,$C53,'10'!N$7:N$159)+SUMIF('11'!$D$7:$D$159,$C53,'11'!N$7:N$159)+SUMIF('12'!$D$7:$D$159,$C53,'12'!N$7:N$159)+SUMIF('01'!$D$7:$D$159,$C53,'01'!N$7:N$159)</f>
        <v>0</v>
      </c>
      <c r="M54" s="281">
        <f>SUMIF('09'!$D$7:$D$159,$C53,'09'!O$7:O$159)+SUMIF('10'!$D$7:$D$159,$C53,'10'!O$7:O$159)+SUMIF('11'!$D$7:$D$159,$C53,'11'!O$7:O$159)+SUMIF('12'!$D$7:$D$159,$C53,'12'!O$7:O$159)+SUMIF('01'!$D$7:$D$159,$C53,'01'!O$7:O$159)</f>
        <v>0</v>
      </c>
      <c r="N54" s="282">
        <f>SUMIF('09'!$D$7:$D$159,$C53,'09'!P$7:P$159)+SUMIF('10'!$D$7:$D$159,$C53,'10'!P$7:P$159)+SUMIF('11'!$D$7:$D$159,$C53,'11'!P$7:P$159)+SUMIF('12'!$D$7:$D$159,$C53,'12'!P$7:P$159)+SUMIF('01'!$D$7:$D$159,$C53,'01'!P$7:P$159)</f>
        <v>0</v>
      </c>
      <c r="O54" s="284">
        <f>SUMIF('09'!$D$7:$D$159,$C53,'09'!Q$7:Q$159)+SUMIF('10'!$D$7:$D$159,$C53,'10'!Q$7:Q$159)+SUMIF('11'!$D$7:$D$159,$C53,'11'!Q$7:Q$159)+SUMIF('12'!$D$7:$D$159,$C53,'12'!Q$7:Q$159)+SUMIF('01'!$D$7:$D$159,$C53,'01'!Q$7:Q$159)</f>
        <v>0</v>
      </c>
      <c r="P54" s="281">
        <f>SUMIF('09'!$D$7:$D$159,$C53,'09'!R$7:R$159)+SUMIF('10'!$D$7:$D$159,$C53,'10'!R$7:R$159)+SUMIF('11'!$D$7:$D$159,$C53,'11'!R$7:R$159)+SUMIF('12'!$D$7:$D$159,$C53,'12'!R$7:R$159)+SUMIF('01'!$D$7:$D$159,$C53,'01'!R$7:R$159)</f>
        <v>0</v>
      </c>
      <c r="Q54" s="282">
        <f>SUMIF('09'!$D$7:$D$159,$C53,'09'!S$7:S$159)+SUMIF('10'!$D$7:$D$159,$C53,'10'!S$7:S$159)+SUMIF('11'!$D$7:$D$159,$C53,'11'!S$7:S$159)+SUMIF('12'!$D$7:$D$159,$C53,'12'!S$7:S$159)+SUMIF('01'!$D$7:$D$159,$C53,'01'!S$7:S$159)</f>
        <v>0</v>
      </c>
      <c r="R54" s="283">
        <f>SUMIF('09'!$D$7:$D$159,$C53,'09'!T$7:T$159)+SUMIF('10'!$D$7:$D$159,$C53,'10'!T$7:T$159)+SUMIF('11'!$D$7:$D$159,$C53,'11'!T$7:T$159)+SUMIF('12'!$D$7:$D$159,$C53,'12'!T$7:T$159)+SUMIF('01'!$D$7:$D$159,$C53,'01'!T$7:T$159)</f>
        <v>0</v>
      </c>
      <c r="S54" s="281">
        <f>SUMIF('09'!$D$7:$D$159,$C53,'09'!U$7:U$159)+SUMIF('10'!$D$7:$D$159,$C53,'10'!U$7:U$159)+SUMIF('11'!$D$7:$D$159,$C53,'11'!U$7:U$159)+SUMIF('12'!$D$7:$D$159,$C53,'12'!U$7:U$159)+SUMIF('01'!$D$7:$D$159,$C53,'01'!U$7:U$159)</f>
        <v>0</v>
      </c>
      <c r="T54" s="282">
        <f>SUMIF('09'!$D$7:$D$159,$C53,'09'!V$7:V$159)+SUMIF('10'!$D$7:$D$159,$C53,'10'!V$7:V$159)+SUMIF('11'!$D$7:$D$159,$C53,'11'!V$7:V$159)+SUMIF('12'!$D$7:$D$159,$C53,'12'!V$7:V$159)+SUMIF('01'!$D$7:$D$159,$C53,'01'!V$7:V$159)</f>
        <v>0</v>
      </c>
      <c r="U54" s="285">
        <f>SUMIF('09'!$D$7:$D$159,$C53,'09'!W$7:W$159)+SUMIF('10'!$D$7:$D$159,$C53,'10'!W$7:W$159)+SUMIF('11'!$D$7:$D$159,$C53,'11'!W$7:W$159)+SUMIF('12'!$D$7:$D$159,$C53,'12'!W$7:W$159)+SUMIF('01'!$D$7:$D$159,$C53,'01'!W$7:W$159)</f>
        <v>0</v>
      </c>
      <c r="V54" s="284">
        <f>SUMIF('09'!$D$7:$D$159,$C53,'09'!X$7:X$159)+SUMIF('10'!$D$7:$D$159,$C53,'10'!X$7:X$159)+SUMIF('11'!$D$7:$D$159,$C53,'11'!X$7:X$159)+SUMIF('12'!$D$7:$D$159,$C53,'12'!X$7:X$159)+SUMIF('01'!$D$7:$D$159,$C53,'01'!X$7:X$159)</f>
        <v>0</v>
      </c>
      <c r="W54" s="284">
        <f>SUMIF('09'!$D$7:$D$159,$C53,'09'!Y$7:Y$159)+SUMIF('10'!$D$7:$D$159,$C53,'10'!Y$7:Y$159)+SUMIF('11'!$D$7:$D$159,$C53,'11'!Y$7:Y$159)+SUMIF('12'!$D$7:$D$159,$C53,'12'!Y$7:Y$159)+SUMIF('01'!$D$7:$D$159,$C53,'01'!Y$7:Y$159)</f>
        <v>0</v>
      </c>
      <c r="X54" s="286">
        <f t="shared" si="2"/>
        <v>0</v>
      </c>
      <c r="Y54" s="345"/>
      <c r="Z54" s="347"/>
    </row>
    <row r="55" spans="1:26" ht="14.25" customHeight="1" x14ac:dyDescent="0.3">
      <c r="A55" s="178">
        <f>IF(OR(C55="0",COUNTIF(КлючОсень,C55)&gt;1),0,MATCH(F55,ВидыНагр,0))</f>
        <v>0</v>
      </c>
      <c r="B55" s="178" t="b">
        <f>(COUNTA(D55:F56,J55:W55,H55:I56)=0)</f>
        <v>1</v>
      </c>
      <c r="C55" s="179" t="str">
        <f>IF(OR(TRIM(D55)="",COUNTIF(ВидыНагр,F55)&lt;&gt;1),"0",CONCATENATE("$",TRIM(D55),"$",TRIM(E55),"$",F55,"$"))</f>
        <v>0</v>
      </c>
      <c r="D55" s="340"/>
      <c r="E55" s="338"/>
      <c r="F55" s="342"/>
      <c r="G55" s="180" t="s">
        <v>7</v>
      </c>
      <c r="H55" s="181"/>
      <c r="I55" s="182"/>
      <c r="J55" s="183"/>
      <c r="K55" s="184"/>
      <c r="L55" s="185"/>
      <c r="M55" s="183"/>
      <c r="N55" s="184"/>
      <c r="O55" s="186"/>
      <c r="P55" s="183"/>
      <c r="Q55" s="184"/>
      <c r="R55" s="185"/>
      <c r="S55" s="183"/>
      <c r="T55" s="184"/>
      <c r="U55" s="187"/>
      <c r="V55" s="186"/>
      <c r="W55" s="186"/>
      <c r="X55" s="279">
        <f t="shared" si="2"/>
        <v>0</v>
      </c>
      <c r="Y55" s="344">
        <f>X56-X55</f>
        <v>0</v>
      </c>
      <c r="Z55" s="346"/>
    </row>
    <row r="56" spans="1:26" ht="14.25" customHeight="1" x14ac:dyDescent="0.3">
      <c r="A56" s="178">
        <f>-A55</f>
        <v>0</v>
      </c>
      <c r="B56" s="178" t="b">
        <f>B55</f>
        <v>1</v>
      </c>
      <c r="C56" s="188"/>
      <c r="D56" s="341"/>
      <c r="E56" s="339"/>
      <c r="F56" s="343"/>
      <c r="G56" s="189" t="s">
        <v>8</v>
      </c>
      <c r="H56" s="190"/>
      <c r="I56" s="280"/>
      <c r="J56" s="281">
        <f>SUMIF('09'!$D$7:$D$159,$C55,'09'!L$7:L$159)+SUMIF('10'!$D$7:$D$159,$C55,'10'!L$7:L$159)+SUMIF('11'!$D$7:$D$159,$C55,'11'!L$7:L$159)+SUMIF('12'!$D$7:$D$159,$C55,'12'!L$7:L$159)+SUMIF('01'!$D$7:$D$159,$C55,'01'!L$7:L$159)</f>
        <v>0</v>
      </c>
      <c r="K56" s="282">
        <f>SUMIF('09'!$D$7:$D$159,$C55,'09'!M$7:M$159)+SUMIF('10'!$D$7:$D$159,$C55,'10'!M$7:M$159)+SUMIF('11'!$D$7:$D$159,$C55,'11'!M$7:M$159)+SUMIF('12'!$D$7:$D$159,$C55,'12'!M$7:M$159)+SUMIF('01'!$D$7:$D$159,$C55,'01'!M$7:M$159)</f>
        <v>0</v>
      </c>
      <c r="L56" s="283">
        <f>SUMIF('09'!$D$7:$D$159,$C55,'09'!N$7:N$159)+SUMIF('10'!$D$7:$D$159,$C55,'10'!N$7:N$159)+SUMIF('11'!$D$7:$D$159,$C55,'11'!N$7:N$159)+SUMIF('12'!$D$7:$D$159,$C55,'12'!N$7:N$159)+SUMIF('01'!$D$7:$D$159,$C55,'01'!N$7:N$159)</f>
        <v>0</v>
      </c>
      <c r="M56" s="281">
        <f>SUMIF('09'!$D$7:$D$159,$C55,'09'!O$7:O$159)+SUMIF('10'!$D$7:$D$159,$C55,'10'!O$7:O$159)+SUMIF('11'!$D$7:$D$159,$C55,'11'!O$7:O$159)+SUMIF('12'!$D$7:$D$159,$C55,'12'!O$7:O$159)+SUMIF('01'!$D$7:$D$159,$C55,'01'!O$7:O$159)</f>
        <v>0</v>
      </c>
      <c r="N56" s="282">
        <f>SUMIF('09'!$D$7:$D$159,$C55,'09'!P$7:P$159)+SUMIF('10'!$D$7:$D$159,$C55,'10'!P$7:P$159)+SUMIF('11'!$D$7:$D$159,$C55,'11'!P$7:P$159)+SUMIF('12'!$D$7:$D$159,$C55,'12'!P$7:P$159)+SUMIF('01'!$D$7:$D$159,$C55,'01'!P$7:P$159)</f>
        <v>0</v>
      </c>
      <c r="O56" s="284">
        <f>SUMIF('09'!$D$7:$D$159,$C55,'09'!Q$7:Q$159)+SUMIF('10'!$D$7:$D$159,$C55,'10'!Q$7:Q$159)+SUMIF('11'!$D$7:$D$159,$C55,'11'!Q$7:Q$159)+SUMIF('12'!$D$7:$D$159,$C55,'12'!Q$7:Q$159)+SUMIF('01'!$D$7:$D$159,$C55,'01'!Q$7:Q$159)</f>
        <v>0</v>
      </c>
      <c r="P56" s="281">
        <f>SUMIF('09'!$D$7:$D$159,$C55,'09'!R$7:R$159)+SUMIF('10'!$D$7:$D$159,$C55,'10'!R$7:R$159)+SUMIF('11'!$D$7:$D$159,$C55,'11'!R$7:R$159)+SUMIF('12'!$D$7:$D$159,$C55,'12'!R$7:R$159)+SUMIF('01'!$D$7:$D$159,$C55,'01'!R$7:R$159)</f>
        <v>0</v>
      </c>
      <c r="Q56" s="282">
        <f>SUMIF('09'!$D$7:$D$159,$C55,'09'!S$7:S$159)+SUMIF('10'!$D$7:$D$159,$C55,'10'!S$7:S$159)+SUMIF('11'!$D$7:$D$159,$C55,'11'!S$7:S$159)+SUMIF('12'!$D$7:$D$159,$C55,'12'!S$7:S$159)+SUMIF('01'!$D$7:$D$159,$C55,'01'!S$7:S$159)</f>
        <v>0</v>
      </c>
      <c r="R56" s="283">
        <f>SUMIF('09'!$D$7:$D$159,$C55,'09'!T$7:T$159)+SUMIF('10'!$D$7:$D$159,$C55,'10'!T$7:T$159)+SUMIF('11'!$D$7:$D$159,$C55,'11'!T$7:T$159)+SUMIF('12'!$D$7:$D$159,$C55,'12'!T$7:T$159)+SUMIF('01'!$D$7:$D$159,$C55,'01'!T$7:T$159)</f>
        <v>0</v>
      </c>
      <c r="S56" s="281">
        <f>SUMIF('09'!$D$7:$D$159,$C55,'09'!U$7:U$159)+SUMIF('10'!$D$7:$D$159,$C55,'10'!U$7:U$159)+SUMIF('11'!$D$7:$D$159,$C55,'11'!U$7:U$159)+SUMIF('12'!$D$7:$D$159,$C55,'12'!U$7:U$159)+SUMIF('01'!$D$7:$D$159,$C55,'01'!U$7:U$159)</f>
        <v>0</v>
      </c>
      <c r="T56" s="282">
        <f>SUMIF('09'!$D$7:$D$159,$C55,'09'!V$7:V$159)+SUMIF('10'!$D$7:$D$159,$C55,'10'!V$7:V$159)+SUMIF('11'!$D$7:$D$159,$C55,'11'!V$7:V$159)+SUMIF('12'!$D$7:$D$159,$C55,'12'!V$7:V$159)+SUMIF('01'!$D$7:$D$159,$C55,'01'!V$7:V$159)</f>
        <v>0</v>
      </c>
      <c r="U56" s="285">
        <f>SUMIF('09'!$D$7:$D$159,$C55,'09'!W$7:W$159)+SUMIF('10'!$D$7:$D$159,$C55,'10'!W$7:W$159)+SUMIF('11'!$D$7:$D$159,$C55,'11'!W$7:W$159)+SUMIF('12'!$D$7:$D$159,$C55,'12'!W$7:W$159)+SUMIF('01'!$D$7:$D$159,$C55,'01'!W$7:W$159)</f>
        <v>0</v>
      </c>
      <c r="V56" s="284">
        <f>SUMIF('09'!$D$7:$D$159,$C55,'09'!X$7:X$159)+SUMIF('10'!$D$7:$D$159,$C55,'10'!X$7:X$159)+SUMIF('11'!$D$7:$D$159,$C55,'11'!X$7:X$159)+SUMIF('12'!$D$7:$D$159,$C55,'12'!X$7:X$159)+SUMIF('01'!$D$7:$D$159,$C55,'01'!X$7:X$159)</f>
        <v>0</v>
      </c>
      <c r="W56" s="284">
        <f>SUMIF('09'!$D$7:$D$159,$C55,'09'!Y$7:Y$159)+SUMIF('10'!$D$7:$D$159,$C55,'10'!Y$7:Y$159)+SUMIF('11'!$D$7:$D$159,$C55,'11'!Y$7:Y$159)+SUMIF('12'!$D$7:$D$159,$C55,'12'!Y$7:Y$159)+SUMIF('01'!$D$7:$D$159,$C55,'01'!Y$7:Y$159)</f>
        <v>0</v>
      </c>
      <c r="X56" s="286">
        <f t="shared" si="2"/>
        <v>0</v>
      </c>
      <c r="Y56" s="345"/>
      <c r="Z56" s="347"/>
    </row>
    <row r="57" spans="1:26" ht="14.25" customHeight="1" x14ac:dyDescent="0.3">
      <c r="A57" s="178">
        <f>IF(OR(C57="0",COUNTIF(КлючОсень,C57)&gt;1),0,MATCH(F57,ВидыНагр,0))</f>
        <v>0</v>
      </c>
      <c r="B57" s="178" t="b">
        <f>(COUNTA(D57:F58,J57:W57,H57:I58)=0)</f>
        <v>1</v>
      </c>
      <c r="C57" s="179" t="str">
        <f>IF(OR(TRIM(D57)="",COUNTIF(ВидыНагр,F57)&lt;&gt;1),"0",CONCATENATE("$",TRIM(D57),"$",TRIM(E57),"$",F57,"$"))</f>
        <v>0</v>
      </c>
      <c r="D57" s="340"/>
      <c r="E57" s="338"/>
      <c r="F57" s="342"/>
      <c r="G57" s="180" t="s">
        <v>7</v>
      </c>
      <c r="H57" s="181"/>
      <c r="I57" s="182"/>
      <c r="J57" s="183"/>
      <c r="K57" s="184"/>
      <c r="L57" s="185"/>
      <c r="M57" s="183"/>
      <c r="N57" s="184"/>
      <c r="O57" s="186"/>
      <c r="P57" s="183"/>
      <c r="Q57" s="184"/>
      <c r="R57" s="185"/>
      <c r="S57" s="183"/>
      <c r="T57" s="184"/>
      <c r="U57" s="187"/>
      <c r="V57" s="186"/>
      <c r="W57" s="186"/>
      <c r="X57" s="279">
        <f t="shared" si="2"/>
        <v>0</v>
      </c>
      <c r="Y57" s="344">
        <f>X58-X57</f>
        <v>0</v>
      </c>
      <c r="Z57" s="346"/>
    </row>
    <row r="58" spans="1:26" ht="14.25" customHeight="1" x14ac:dyDescent="0.3">
      <c r="A58" s="178">
        <f>-A57</f>
        <v>0</v>
      </c>
      <c r="B58" s="178" t="b">
        <f>B57</f>
        <v>1</v>
      </c>
      <c r="C58" s="188"/>
      <c r="D58" s="341"/>
      <c r="E58" s="339"/>
      <c r="F58" s="343"/>
      <c r="G58" s="189" t="s">
        <v>8</v>
      </c>
      <c r="H58" s="190"/>
      <c r="I58" s="280"/>
      <c r="J58" s="281">
        <f>SUMIF('09'!$D$7:$D$159,$C57,'09'!L$7:L$159)+SUMIF('10'!$D$7:$D$159,$C57,'10'!L$7:L$159)+SUMIF('11'!$D$7:$D$159,$C57,'11'!L$7:L$159)+SUMIF('12'!$D$7:$D$159,$C57,'12'!L$7:L$159)+SUMIF('01'!$D$7:$D$159,$C57,'01'!L$7:L$159)</f>
        <v>0</v>
      </c>
      <c r="K58" s="282">
        <f>SUMIF('09'!$D$7:$D$159,$C57,'09'!M$7:M$159)+SUMIF('10'!$D$7:$D$159,$C57,'10'!M$7:M$159)+SUMIF('11'!$D$7:$D$159,$C57,'11'!M$7:M$159)+SUMIF('12'!$D$7:$D$159,$C57,'12'!M$7:M$159)+SUMIF('01'!$D$7:$D$159,$C57,'01'!M$7:M$159)</f>
        <v>0</v>
      </c>
      <c r="L58" s="283">
        <f>SUMIF('09'!$D$7:$D$159,$C57,'09'!N$7:N$159)+SUMIF('10'!$D$7:$D$159,$C57,'10'!N$7:N$159)+SUMIF('11'!$D$7:$D$159,$C57,'11'!N$7:N$159)+SUMIF('12'!$D$7:$D$159,$C57,'12'!N$7:N$159)+SUMIF('01'!$D$7:$D$159,$C57,'01'!N$7:N$159)</f>
        <v>0</v>
      </c>
      <c r="M58" s="281">
        <f>SUMIF('09'!$D$7:$D$159,$C57,'09'!O$7:O$159)+SUMIF('10'!$D$7:$D$159,$C57,'10'!O$7:O$159)+SUMIF('11'!$D$7:$D$159,$C57,'11'!O$7:O$159)+SUMIF('12'!$D$7:$D$159,$C57,'12'!O$7:O$159)+SUMIF('01'!$D$7:$D$159,$C57,'01'!O$7:O$159)</f>
        <v>0</v>
      </c>
      <c r="N58" s="282">
        <f>SUMIF('09'!$D$7:$D$159,$C57,'09'!P$7:P$159)+SUMIF('10'!$D$7:$D$159,$C57,'10'!P$7:P$159)+SUMIF('11'!$D$7:$D$159,$C57,'11'!P$7:P$159)+SUMIF('12'!$D$7:$D$159,$C57,'12'!P$7:P$159)+SUMIF('01'!$D$7:$D$159,$C57,'01'!P$7:P$159)</f>
        <v>0</v>
      </c>
      <c r="O58" s="284">
        <f>SUMIF('09'!$D$7:$D$159,$C57,'09'!Q$7:Q$159)+SUMIF('10'!$D$7:$D$159,$C57,'10'!Q$7:Q$159)+SUMIF('11'!$D$7:$D$159,$C57,'11'!Q$7:Q$159)+SUMIF('12'!$D$7:$D$159,$C57,'12'!Q$7:Q$159)+SUMIF('01'!$D$7:$D$159,$C57,'01'!Q$7:Q$159)</f>
        <v>0</v>
      </c>
      <c r="P58" s="281">
        <f>SUMIF('09'!$D$7:$D$159,$C57,'09'!R$7:R$159)+SUMIF('10'!$D$7:$D$159,$C57,'10'!R$7:R$159)+SUMIF('11'!$D$7:$D$159,$C57,'11'!R$7:R$159)+SUMIF('12'!$D$7:$D$159,$C57,'12'!R$7:R$159)+SUMIF('01'!$D$7:$D$159,$C57,'01'!R$7:R$159)</f>
        <v>0</v>
      </c>
      <c r="Q58" s="282">
        <f>SUMIF('09'!$D$7:$D$159,$C57,'09'!S$7:S$159)+SUMIF('10'!$D$7:$D$159,$C57,'10'!S$7:S$159)+SUMIF('11'!$D$7:$D$159,$C57,'11'!S$7:S$159)+SUMIF('12'!$D$7:$D$159,$C57,'12'!S$7:S$159)+SUMIF('01'!$D$7:$D$159,$C57,'01'!S$7:S$159)</f>
        <v>0</v>
      </c>
      <c r="R58" s="283">
        <f>SUMIF('09'!$D$7:$D$159,$C57,'09'!T$7:T$159)+SUMIF('10'!$D$7:$D$159,$C57,'10'!T$7:T$159)+SUMIF('11'!$D$7:$D$159,$C57,'11'!T$7:T$159)+SUMIF('12'!$D$7:$D$159,$C57,'12'!T$7:T$159)+SUMIF('01'!$D$7:$D$159,$C57,'01'!T$7:T$159)</f>
        <v>0</v>
      </c>
      <c r="S58" s="281">
        <f>SUMIF('09'!$D$7:$D$159,$C57,'09'!U$7:U$159)+SUMIF('10'!$D$7:$D$159,$C57,'10'!U$7:U$159)+SUMIF('11'!$D$7:$D$159,$C57,'11'!U$7:U$159)+SUMIF('12'!$D$7:$D$159,$C57,'12'!U$7:U$159)+SUMIF('01'!$D$7:$D$159,$C57,'01'!U$7:U$159)</f>
        <v>0</v>
      </c>
      <c r="T58" s="282">
        <f>SUMIF('09'!$D$7:$D$159,$C57,'09'!V$7:V$159)+SUMIF('10'!$D$7:$D$159,$C57,'10'!V$7:V$159)+SUMIF('11'!$D$7:$D$159,$C57,'11'!V$7:V$159)+SUMIF('12'!$D$7:$D$159,$C57,'12'!V$7:V$159)+SUMIF('01'!$D$7:$D$159,$C57,'01'!V$7:V$159)</f>
        <v>0</v>
      </c>
      <c r="U58" s="285">
        <f>SUMIF('09'!$D$7:$D$159,$C57,'09'!W$7:W$159)+SUMIF('10'!$D$7:$D$159,$C57,'10'!W$7:W$159)+SUMIF('11'!$D$7:$D$159,$C57,'11'!W$7:W$159)+SUMIF('12'!$D$7:$D$159,$C57,'12'!W$7:W$159)+SUMIF('01'!$D$7:$D$159,$C57,'01'!W$7:W$159)</f>
        <v>0</v>
      </c>
      <c r="V58" s="284">
        <f>SUMIF('09'!$D$7:$D$159,$C57,'09'!X$7:X$159)+SUMIF('10'!$D$7:$D$159,$C57,'10'!X$7:X$159)+SUMIF('11'!$D$7:$D$159,$C57,'11'!X$7:X$159)+SUMIF('12'!$D$7:$D$159,$C57,'12'!X$7:X$159)+SUMIF('01'!$D$7:$D$159,$C57,'01'!X$7:X$159)</f>
        <v>0</v>
      </c>
      <c r="W58" s="284">
        <f>SUMIF('09'!$D$7:$D$159,$C57,'09'!Y$7:Y$159)+SUMIF('10'!$D$7:$D$159,$C57,'10'!Y$7:Y$159)+SUMIF('11'!$D$7:$D$159,$C57,'11'!Y$7:Y$159)+SUMIF('12'!$D$7:$D$159,$C57,'12'!Y$7:Y$159)+SUMIF('01'!$D$7:$D$159,$C57,'01'!Y$7:Y$159)</f>
        <v>0</v>
      </c>
      <c r="X58" s="286">
        <f t="shared" si="2"/>
        <v>0</v>
      </c>
      <c r="Y58" s="345"/>
      <c r="Z58" s="347"/>
    </row>
    <row r="59" spans="1:26" ht="14.25" customHeight="1" x14ac:dyDescent="0.3">
      <c r="A59" s="178">
        <f>IF(OR(C59="0",COUNTIF(КлючОсень,C59)&gt;1),0,MATCH(F59,ВидыНагр,0))</f>
        <v>0</v>
      </c>
      <c r="B59" s="178" t="b">
        <f>(COUNTA(D59:F60,J59:W59,H59:I60)=0)</f>
        <v>1</v>
      </c>
      <c r="C59" s="179" t="str">
        <f>IF(OR(TRIM(D59)="",COUNTIF(ВидыНагр,F59)&lt;&gt;1),"0",CONCATENATE("$",TRIM(D59),"$",TRIM(E59),"$",F59,"$"))</f>
        <v>0</v>
      </c>
      <c r="D59" s="340"/>
      <c r="E59" s="338"/>
      <c r="F59" s="342"/>
      <c r="G59" s="180" t="s">
        <v>7</v>
      </c>
      <c r="H59" s="181"/>
      <c r="I59" s="182"/>
      <c r="J59" s="183"/>
      <c r="K59" s="184"/>
      <c r="L59" s="185"/>
      <c r="M59" s="183"/>
      <c r="N59" s="184"/>
      <c r="O59" s="186"/>
      <c r="P59" s="183"/>
      <c r="Q59" s="184"/>
      <c r="R59" s="185"/>
      <c r="S59" s="183"/>
      <c r="T59" s="184"/>
      <c r="U59" s="187"/>
      <c r="V59" s="186"/>
      <c r="W59" s="186"/>
      <c r="X59" s="279">
        <f t="shared" si="2"/>
        <v>0</v>
      </c>
      <c r="Y59" s="344">
        <f>X60-X59</f>
        <v>0</v>
      </c>
      <c r="Z59" s="346"/>
    </row>
    <row r="60" spans="1:26" ht="14.25" customHeight="1" x14ac:dyDescent="0.3">
      <c r="A60" s="178">
        <f>-A59</f>
        <v>0</v>
      </c>
      <c r="B60" s="178" t="b">
        <f>B59</f>
        <v>1</v>
      </c>
      <c r="C60" s="188"/>
      <c r="D60" s="341"/>
      <c r="E60" s="339"/>
      <c r="F60" s="343"/>
      <c r="G60" s="189" t="s">
        <v>8</v>
      </c>
      <c r="H60" s="190"/>
      <c r="I60" s="280"/>
      <c r="J60" s="281">
        <f>SUMIF('09'!$D$7:$D$159,$C59,'09'!L$7:L$159)+SUMIF('10'!$D$7:$D$159,$C59,'10'!L$7:L$159)+SUMIF('11'!$D$7:$D$159,$C59,'11'!L$7:L$159)+SUMIF('12'!$D$7:$D$159,$C59,'12'!L$7:L$159)+SUMIF('01'!$D$7:$D$159,$C59,'01'!L$7:L$159)</f>
        <v>0</v>
      </c>
      <c r="K60" s="282">
        <f>SUMIF('09'!$D$7:$D$159,$C59,'09'!M$7:M$159)+SUMIF('10'!$D$7:$D$159,$C59,'10'!M$7:M$159)+SUMIF('11'!$D$7:$D$159,$C59,'11'!M$7:M$159)+SUMIF('12'!$D$7:$D$159,$C59,'12'!M$7:M$159)+SUMIF('01'!$D$7:$D$159,$C59,'01'!M$7:M$159)</f>
        <v>0</v>
      </c>
      <c r="L60" s="283">
        <f>SUMIF('09'!$D$7:$D$159,$C59,'09'!N$7:N$159)+SUMIF('10'!$D$7:$D$159,$C59,'10'!N$7:N$159)+SUMIF('11'!$D$7:$D$159,$C59,'11'!N$7:N$159)+SUMIF('12'!$D$7:$D$159,$C59,'12'!N$7:N$159)+SUMIF('01'!$D$7:$D$159,$C59,'01'!N$7:N$159)</f>
        <v>0</v>
      </c>
      <c r="M60" s="281">
        <f>SUMIF('09'!$D$7:$D$159,$C59,'09'!O$7:O$159)+SUMIF('10'!$D$7:$D$159,$C59,'10'!O$7:O$159)+SUMIF('11'!$D$7:$D$159,$C59,'11'!O$7:O$159)+SUMIF('12'!$D$7:$D$159,$C59,'12'!O$7:O$159)+SUMIF('01'!$D$7:$D$159,$C59,'01'!O$7:O$159)</f>
        <v>0</v>
      </c>
      <c r="N60" s="282">
        <f>SUMIF('09'!$D$7:$D$159,$C59,'09'!P$7:P$159)+SUMIF('10'!$D$7:$D$159,$C59,'10'!P$7:P$159)+SUMIF('11'!$D$7:$D$159,$C59,'11'!P$7:P$159)+SUMIF('12'!$D$7:$D$159,$C59,'12'!P$7:P$159)+SUMIF('01'!$D$7:$D$159,$C59,'01'!P$7:P$159)</f>
        <v>0</v>
      </c>
      <c r="O60" s="284">
        <f>SUMIF('09'!$D$7:$D$159,$C59,'09'!Q$7:Q$159)+SUMIF('10'!$D$7:$D$159,$C59,'10'!Q$7:Q$159)+SUMIF('11'!$D$7:$D$159,$C59,'11'!Q$7:Q$159)+SUMIF('12'!$D$7:$D$159,$C59,'12'!Q$7:Q$159)+SUMIF('01'!$D$7:$D$159,$C59,'01'!Q$7:Q$159)</f>
        <v>0</v>
      </c>
      <c r="P60" s="281">
        <f>SUMIF('09'!$D$7:$D$159,$C59,'09'!R$7:R$159)+SUMIF('10'!$D$7:$D$159,$C59,'10'!R$7:R$159)+SUMIF('11'!$D$7:$D$159,$C59,'11'!R$7:R$159)+SUMIF('12'!$D$7:$D$159,$C59,'12'!R$7:R$159)+SUMIF('01'!$D$7:$D$159,$C59,'01'!R$7:R$159)</f>
        <v>0</v>
      </c>
      <c r="Q60" s="282">
        <f>SUMIF('09'!$D$7:$D$159,$C59,'09'!S$7:S$159)+SUMIF('10'!$D$7:$D$159,$C59,'10'!S$7:S$159)+SUMIF('11'!$D$7:$D$159,$C59,'11'!S$7:S$159)+SUMIF('12'!$D$7:$D$159,$C59,'12'!S$7:S$159)+SUMIF('01'!$D$7:$D$159,$C59,'01'!S$7:S$159)</f>
        <v>0</v>
      </c>
      <c r="R60" s="283">
        <f>SUMIF('09'!$D$7:$D$159,$C59,'09'!T$7:T$159)+SUMIF('10'!$D$7:$D$159,$C59,'10'!T$7:T$159)+SUMIF('11'!$D$7:$D$159,$C59,'11'!T$7:T$159)+SUMIF('12'!$D$7:$D$159,$C59,'12'!T$7:T$159)+SUMIF('01'!$D$7:$D$159,$C59,'01'!T$7:T$159)</f>
        <v>0</v>
      </c>
      <c r="S60" s="281">
        <f>SUMIF('09'!$D$7:$D$159,$C59,'09'!U$7:U$159)+SUMIF('10'!$D$7:$D$159,$C59,'10'!U$7:U$159)+SUMIF('11'!$D$7:$D$159,$C59,'11'!U$7:U$159)+SUMIF('12'!$D$7:$D$159,$C59,'12'!U$7:U$159)+SUMIF('01'!$D$7:$D$159,$C59,'01'!U$7:U$159)</f>
        <v>0</v>
      </c>
      <c r="T60" s="282">
        <f>SUMIF('09'!$D$7:$D$159,$C59,'09'!V$7:V$159)+SUMIF('10'!$D$7:$D$159,$C59,'10'!V$7:V$159)+SUMIF('11'!$D$7:$D$159,$C59,'11'!V$7:V$159)+SUMIF('12'!$D$7:$D$159,$C59,'12'!V$7:V$159)+SUMIF('01'!$D$7:$D$159,$C59,'01'!V$7:V$159)</f>
        <v>0</v>
      </c>
      <c r="U60" s="285">
        <f>SUMIF('09'!$D$7:$D$159,$C59,'09'!W$7:W$159)+SUMIF('10'!$D$7:$D$159,$C59,'10'!W$7:W$159)+SUMIF('11'!$D$7:$D$159,$C59,'11'!W$7:W$159)+SUMIF('12'!$D$7:$D$159,$C59,'12'!W$7:W$159)+SUMIF('01'!$D$7:$D$159,$C59,'01'!W$7:W$159)</f>
        <v>0</v>
      </c>
      <c r="V60" s="284">
        <f>SUMIF('09'!$D$7:$D$159,$C59,'09'!X$7:X$159)+SUMIF('10'!$D$7:$D$159,$C59,'10'!X$7:X$159)+SUMIF('11'!$D$7:$D$159,$C59,'11'!X$7:X$159)+SUMIF('12'!$D$7:$D$159,$C59,'12'!X$7:X$159)+SUMIF('01'!$D$7:$D$159,$C59,'01'!X$7:X$159)</f>
        <v>0</v>
      </c>
      <c r="W60" s="284">
        <f>SUMIF('09'!$D$7:$D$159,$C59,'09'!Y$7:Y$159)+SUMIF('10'!$D$7:$D$159,$C59,'10'!Y$7:Y$159)+SUMIF('11'!$D$7:$D$159,$C59,'11'!Y$7:Y$159)+SUMIF('12'!$D$7:$D$159,$C59,'12'!Y$7:Y$159)+SUMIF('01'!$D$7:$D$159,$C59,'01'!Y$7:Y$159)</f>
        <v>0</v>
      </c>
      <c r="X60" s="286">
        <f t="shared" si="2"/>
        <v>0</v>
      </c>
      <c r="Y60" s="345"/>
      <c r="Z60" s="347"/>
    </row>
    <row r="61" spans="1:26" ht="14.25" customHeight="1" x14ac:dyDescent="0.3">
      <c r="A61" s="178">
        <f>IF(OR(C61="0",COUNTIF(КлючОсень,C61)&gt;1),0,MATCH(F61,ВидыНагр,0))</f>
        <v>0</v>
      </c>
      <c r="B61" s="178" t="b">
        <f>(COUNTA(D61:F62,J61:W61,H61:I62)=0)</f>
        <v>1</v>
      </c>
      <c r="C61" s="179" t="str">
        <f>IF(OR(TRIM(D61)="",COUNTIF(ВидыНагр,F61)&lt;&gt;1),"0",CONCATENATE("$",TRIM(D61),"$",TRIM(E61),"$",F61,"$"))</f>
        <v>0</v>
      </c>
      <c r="D61" s="340"/>
      <c r="E61" s="338"/>
      <c r="F61" s="342"/>
      <c r="G61" s="180" t="s">
        <v>7</v>
      </c>
      <c r="H61" s="181"/>
      <c r="I61" s="182"/>
      <c r="J61" s="183"/>
      <c r="K61" s="184"/>
      <c r="L61" s="185"/>
      <c r="M61" s="183"/>
      <c r="N61" s="184"/>
      <c r="O61" s="186"/>
      <c r="P61" s="183"/>
      <c r="Q61" s="184"/>
      <c r="R61" s="185"/>
      <c r="S61" s="183"/>
      <c r="T61" s="184"/>
      <c r="U61" s="187"/>
      <c r="V61" s="186"/>
      <c r="W61" s="186"/>
      <c r="X61" s="279">
        <f t="shared" ref="X61:X70" si="3">SUM(J61:W61)</f>
        <v>0</v>
      </c>
      <c r="Y61" s="344">
        <f>X62-X61</f>
        <v>0</v>
      </c>
      <c r="Z61" s="346"/>
    </row>
    <row r="62" spans="1:26" ht="14.25" customHeight="1" x14ac:dyDescent="0.3">
      <c r="A62" s="178">
        <f>-A61</f>
        <v>0</v>
      </c>
      <c r="B62" s="178" t="b">
        <f>B61</f>
        <v>1</v>
      </c>
      <c r="C62" s="188"/>
      <c r="D62" s="341"/>
      <c r="E62" s="339"/>
      <c r="F62" s="343"/>
      <c r="G62" s="189" t="s">
        <v>8</v>
      </c>
      <c r="H62" s="190"/>
      <c r="I62" s="280"/>
      <c r="J62" s="281">
        <f>SUMIF('09'!$D$7:$D$159,$C61,'09'!L$7:L$159)+SUMIF('10'!$D$7:$D$159,$C61,'10'!L$7:L$159)+SUMIF('11'!$D$7:$D$159,$C61,'11'!L$7:L$159)+SUMIF('12'!$D$7:$D$159,$C61,'12'!L$7:L$159)+SUMIF('01'!$D$7:$D$159,$C61,'01'!L$7:L$159)</f>
        <v>0</v>
      </c>
      <c r="K62" s="282">
        <f>SUMIF('09'!$D$7:$D$159,$C61,'09'!M$7:M$159)+SUMIF('10'!$D$7:$D$159,$C61,'10'!M$7:M$159)+SUMIF('11'!$D$7:$D$159,$C61,'11'!M$7:M$159)+SUMIF('12'!$D$7:$D$159,$C61,'12'!M$7:M$159)+SUMIF('01'!$D$7:$D$159,$C61,'01'!M$7:M$159)</f>
        <v>0</v>
      </c>
      <c r="L62" s="283">
        <f>SUMIF('09'!$D$7:$D$159,$C61,'09'!N$7:N$159)+SUMIF('10'!$D$7:$D$159,$C61,'10'!N$7:N$159)+SUMIF('11'!$D$7:$D$159,$C61,'11'!N$7:N$159)+SUMIF('12'!$D$7:$D$159,$C61,'12'!N$7:N$159)+SUMIF('01'!$D$7:$D$159,$C61,'01'!N$7:N$159)</f>
        <v>0</v>
      </c>
      <c r="M62" s="281">
        <f>SUMIF('09'!$D$7:$D$159,$C61,'09'!O$7:O$159)+SUMIF('10'!$D$7:$D$159,$C61,'10'!O$7:O$159)+SUMIF('11'!$D$7:$D$159,$C61,'11'!O$7:O$159)+SUMIF('12'!$D$7:$D$159,$C61,'12'!O$7:O$159)+SUMIF('01'!$D$7:$D$159,$C61,'01'!O$7:O$159)</f>
        <v>0</v>
      </c>
      <c r="N62" s="282">
        <f>SUMIF('09'!$D$7:$D$159,$C61,'09'!P$7:P$159)+SUMIF('10'!$D$7:$D$159,$C61,'10'!P$7:P$159)+SUMIF('11'!$D$7:$D$159,$C61,'11'!P$7:P$159)+SUMIF('12'!$D$7:$D$159,$C61,'12'!P$7:P$159)+SUMIF('01'!$D$7:$D$159,$C61,'01'!P$7:P$159)</f>
        <v>0</v>
      </c>
      <c r="O62" s="284">
        <f>SUMIF('09'!$D$7:$D$159,$C61,'09'!Q$7:Q$159)+SUMIF('10'!$D$7:$D$159,$C61,'10'!Q$7:Q$159)+SUMIF('11'!$D$7:$D$159,$C61,'11'!Q$7:Q$159)+SUMIF('12'!$D$7:$D$159,$C61,'12'!Q$7:Q$159)+SUMIF('01'!$D$7:$D$159,$C61,'01'!Q$7:Q$159)</f>
        <v>0</v>
      </c>
      <c r="P62" s="281">
        <f>SUMIF('09'!$D$7:$D$159,$C61,'09'!R$7:R$159)+SUMIF('10'!$D$7:$D$159,$C61,'10'!R$7:R$159)+SUMIF('11'!$D$7:$D$159,$C61,'11'!R$7:R$159)+SUMIF('12'!$D$7:$D$159,$C61,'12'!R$7:R$159)+SUMIF('01'!$D$7:$D$159,$C61,'01'!R$7:R$159)</f>
        <v>0</v>
      </c>
      <c r="Q62" s="282">
        <f>SUMIF('09'!$D$7:$D$159,$C61,'09'!S$7:S$159)+SUMIF('10'!$D$7:$D$159,$C61,'10'!S$7:S$159)+SUMIF('11'!$D$7:$D$159,$C61,'11'!S$7:S$159)+SUMIF('12'!$D$7:$D$159,$C61,'12'!S$7:S$159)+SUMIF('01'!$D$7:$D$159,$C61,'01'!S$7:S$159)</f>
        <v>0</v>
      </c>
      <c r="R62" s="283">
        <f>SUMIF('09'!$D$7:$D$159,$C61,'09'!T$7:T$159)+SUMIF('10'!$D$7:$D$159,$C61,'10'!T$7:T$159)+SUMIF('11'!$D$7:$D$159,$C61,'11'!T$7:T$159)+SUMIF('12'!$D$7:$D$159,$C61,'12'!T$7:T$159)+SUMIF('01'!$D$7:$D$159,$C61,'01'!T$7:T$159)</f>
        <v>0</v>
      </c>
      <c r="S62" s="281">
        <f>SUMIF('09'!$D$7:$D$159,$C61,'09'!U$7:U$159)+SUMIF('10'!$D$7:$D$159,$C61,'10'!U$7:U$159)+SUMIF('11'!$D$7:$D$159,$C61,'11'!U$7:U$159)+SUMIF('12'!$D$7:$D$159,$C61,'12'!U$7:U$159)+SUMIF('01'!$D$7:$D$159,$C61,'01'!U$7:U$159)</f>
        <v>0</v>
      </c>
      <c r="T62" s="282">
        <f>SUMIF('09'!$D$7:$D$159,$C61,'09'!V$7:V$159)+SUMIF('10'!$D$7:$D$159,$C61,'10'!V$7:V$159)+SUMIF('11'!$D$7:$D$159,$C61,'11'!V$7:V$159)+SUMIF('12'!$D$7:$D$159,$C61,'12'!V$7:V$159)+SUMIF('01'!$D$7:$D$159,$C61,'01'!V$7:V$159)</f>
        <v>0</v>
      </c>
      <c r="U62" s="285">
        <f>SUMIF('09'!$D$7:$D$159,$C61,'09'!W$7:W$159)+SUMIF('10'!$D$7:$D$159,$C61,'10'!W$7:W$159)+SUMIF('11'!$D$7:$D$159,$C61,'11'!W$7:W$159)+SUMIF('12'!$D$7:$D$159,$C61,'12'!W$7:W$159)+SUMIF('01'!$D$7:$D$159,$C61,'01'!W$7:W$159)</f>
        <v>0</v>
      </c>
      <c r="V62" s="284">
        <f>SUMIF('09'!$D$7:$D$159,$C61,'09'!X$7:X$159)+SUMIF('10'!$D$7:$D$159,$C61,'10'!X$7:X$159)+SUMIF('11'!$D$7:$D$159,$C61,'11'!X$7:X$159)+SUMIF('12'!$D$7:$D$159,$C61,'12'!X$7:X$159)+SUMIF('01'!$D$7:$D$159,$C61,'01'!X$7:X$159)</f>
        <v>0</v>
      </c>
      <c r="W62" s="284">
        <f>SUMIF('09'!$D$7:$D$159,$C61,'09'!Y$7:Y$159)+SUMIF('10'!$D$7:$D$159,$C61,'10'!Y$7:Y$159)+SUMIF('11'!$D$7:$D$159,$C61,'11'!Y$7:Y$159)+SUMIF('12'!$D$7:$D$159,$C61,'12'!Y$7:Y$159)+SUMIF('01'!$D$7:$D$159,$C61,'01'!Y$7:Y$159)</f>
        <v>0</v>
      </c>
      <c r="X62" s="286">
        <f t="shared" si="3"/>
        <v>0</v>
      </c>
      <c r="Y62" s="345"/>
      <c r="Z62" s="347"/>
    </row>
    <row r="63" spans="1:26" ht="14.25" customHeight="1" x14ac:dyDescent="0.3">
      <c r="A63" s="178">
        <f>IF(OR(C63="0",COUNTIF(КлючОсень,C63)&gt;1),0,MATCH(F63,ВидыНагр,0))</f>
        <v>0</v>
      </c>
      <c r="B63" s="178" t="b">
        <f>(COUNTA(D63:F64,J63:W63,H63:I64)=0)</f>
        <v>1</v>
      </c>
      <c r="C63" s="179" t="str">
        <f>IF(OR(TRIM(D63)="",COUNTIF(ВидыНагр,F63)&lt;&gt;1),"0",CONCATENATE("$",TRIM(D63),"$",TRIM(E63),"$",F63,"$"))</f>
        <v>0</v>
      </c>
      <c r="D63" s="340"/>
      <c r="E63" s="338"/>
      <c r="F63" s="342"/>
      <c r="G63" s="180" t="s">
        <v>7</v>
      </c>
      <c r="H63" s="181"/>
      <c r="I63" s="182"/>
      <c r="J63" s="183"/>
      <c r="K63" s="184"/>
      <c r="L63" s="185"/>
      <c r="M63" s="183"/>
      <c r="N63" s="184"/>
      <c r="O63" s="186"/>
      <c r="P63" s="183"/>
      <c r="Q63" s="184"/>
      <c r="R63" s="185"/>
      <c r="S63" s="183"/>
      <c r="T63" s="184"/>
      <c r="U63" s="187"/>
      <c r="V63" s="186"/>
      <c r="W63" s="186"/>
      <c r="X63" s="279">
        <f t="shared" si="3"/>
        <v>0</v>
      </c>
      <c r="Y63" s="344">
        <f>X64-X63</f>
        <v>0</v>
      </c>
      <c r="Z63" s="346"/>
    </row>
    <row r="64" spans="1:26" ht="14.25" customHeight="1" x14ac:dyDescent="0.3">
      <c r="A64" s="178">
        <f>-A63</f>
        <v>0</v>
      </c>
      <c r="B64" s="178" t="b">
        <f>B63</f>
        <v>1</v>
      </c>
      <c r="C64" s="188"/>
      <c r="D64" s="341"/>
      <c r="E64" s="339"/>
      <c r="F64" s="343"/>
      <c r="G64" s="189" t="s">
        <v>8</v>
      </c>
      <c r="H64" s="190"/>
      <c r="I64" s="280"/>
      <c r="J64" s="281">
        <f>SUMIF('09'!$D$7:$D$159,$C63,'09'!L$7:L$159)+SUMIF('10'!$D$7:$D$159,$C63,'10'!L$7:L$159)+SUMIF('11'!$D$7:$D$159,$C63,'11'!L$7:L$159)+SUMIF('12'!$D$7:$D$159,$C63,'12'!L$7:L$159)+SUMIF('01'!$D$7:$D$159,$C63,'01'!L$7:L$159)</f>
        <v>0</v>
      </c>
      <c r="K64" s="282">
        <f>SUMIF('09'!$D$7:$D$159,$C63,'09'!M$7:M$159)+SUMIF('10'!$D$7:$D$159,$C63,'10'!M$7:M$159)+SUMIF('11'!$D$7:$D$159,$C63,'11'!M$7:M$159)+SUMIF('12'!$D$7:$D$159,$C63,'12'!M$7:M$159)+SUMIF('01'!$D$7:$D$159,$C63,'01'!M$7:M$159)</f>
        <v>0</v>
      </c>
      <c r="L64" s="283">
        <f>SUMIF('09'!$D$7:$D$159,$C63,'09'!N$7:N$159)+SUMIF('10'!$D$7:$D$159,$C63,'10'!N$7:N$159)+SUMIF('11'!$D$7:$D$159,$C63,'11'!N$7:N$159)+SUMIF('12'!$D$7:$D$159,$C63,'12'!N$7:N$159)+SUMIF('01'!$D$7:$D$159,$C63,'01'!N$7:N$159)</f>
        <v>0</v>
      </c>
      <c r="M64" s="281">
        <f>SUMIF('09'!$D$7:$D$159,$C63,'09'!O$7:O$159)+SUMIF('10'!$D$7:$D$159,$C63,'10'!O$7:O$159)+SUMIF('11'!$D$7:$D$159,$C63,'11'!O$7:O$159)+SUMIF('12'!$D$7:$D$159,$C63,'12'!O$7:O$159)+SUMIF('01'!$D$7:$D$159,$C63,'01'!O$7:O$159)</f>
        <v>0</v>
      </c>
      <c r="N64" s="282">
        <f>SUMIF('09'!$D$7:$D$159,$C63,'09'!P$7:P$159)+SUMIF('10'!$D$7:$D$159,$C63,'10'!P$7:P$159)+SUMIF('11'!$D$7:$D$159,$C63,'11'!P$7:P$159)+SUMIF('12'!$D$7:$D$159,$C63,'12'!P$7:P$159)+SUMIF('01'!$D$7:$D$159,$C63,'01'!P$7:P$159)</f>
        <v>0</v>
      </c>
      <c r="O64" s="284">
        <f>SUMIF('09'!$D$7:$D$159,$C63,'09'!Q$7:Q$159)+SUMIF('10'!$D$7:$D$159,$C63,'10'!Q$7:Q$159)+SUMIF('11'!$D$7:$D$159,$C63,'11'!Q$7:Q$159)+SUMIF('12'!$D$7:$D$159,$C63,'12'!Q$7:Q$159)+SUMIF('01'!$D$7:$D$159,$C63,'01'!Q$7:Q$159)</f>
        <v>0</v>
      </c>
      <c r="P64" s="281">
        <f>SUMIF('09'!$D$7:$D$159,$C63,'09'!R$7:R$159)+SUMIF('10'!$D$7:$D$159,$C63,'10'!R$7:R$159)+SUMIF('11'!$D$7:$D$159,$C63,'11'!R$7:R$159)+SUMIF('12'!$D$7:$D$159,$C63,'12'!R$7:R$159)+SUMIF('01'!$D$7:$D$159,$C63,'01'!R$7:R$159)</f>
        <v>0</v>
      </c>
      <c r="Q64" s="282">
        <f>SUMIF('09'!$D$7:$D$159,$C63,'09'!S$7:S$159)+SUMIF('10'!$D$7:$D$159,$C63,'10'!S$7:S$159)+SUMIF('11'!$D$7:$D$159,$C63,'11'!S$7:S$159)+SUMIF('12'!$D$7:$D$159,$C63,'12'!S$7:S$159)+SUMIF('01'!$D$7:$D$159,$C63,'01'!S$7:S$159)</f>
        <v>0</v>
      </c>
      <c r="R64" s="283">
        <f>SUMIF('09'!$D$7:$D$159,$C63,'09'!T$7:T$159)+SUMIF('10'!$D$7:$D$159,$C63,'10'!T$7:T$159)+SUMIF('11'!$D$7:$D$159,$C63,'11'!T$7:T$159)+SUMIF('12'!$D$7:$D$159,$C63,'12'!T$7:T$159)+SUMIF('01'!$D$7:$D$159,$C63,'01'!T$7:T$159)</f>
        <v>0</v>
      </c>
      <c r="S64" s="281">
        <f>SUMIF('09'!$D$7:$D$159,$C63,'09'!U$7:U$159)+SUMIF('10'!$D$7:$D$159,$C63,'10'!U$7:U$159)+SUMIF('11'!$D$7:$D$159,$C63,'11'!U$7:U$159)+SUMIF('12'!$D$7:$D$159,$C63,'12'!U$7:U$159)+SUMIF('01'!$D$7:$D$159,$C63,'01'!U$7:U$159)</f>
        <v>0</v>
      </c>
      <c r="T64" s="282">
        <f>SUMIF('09'!$D$7:$D$159,$C63,'09'!V$7:V$159)+SUMIF('10'!$D$7:$D$159,$C63,'10'!V$7:V$159)+SUMIF('11'!$D$7:$D$159,$C63,'11'!V$7:V$159)+SUMIF('12'!$D$7:$D$159,$C63,'12'!V$7:V$159)+SUMIF('01'!$D$7:$D$159,$C63,'01'!V$7:V$159)</f>
        <v>0</v>
      </c>
      <c r="U64" s="285">
        <f>SUMIF('09'!$D$7:$D$159,$C63,'09'!W$7:W$159)+SUMIF('10'!$D$7:$D$159,$C63,'10'!W$7:W$159)+SUMIF('11'!$D$7:$D$159,$C63,'11'!W$7:W$159)+SUMIF('12'!$D$7:$D$159,$C63,'12'!W$7:W$159)+SUMIF('01'!$D$7:$D$159,$C63,'01'!W$7:W$159)</f>
        <v>0</v>
      </c>
      <c r="V64" s="284">
        <f>SUMIF('09'!$D$7:$D$159,$C63,'09'!X$7:X$159)+SUMIF('10'!$D$7:$D$159,$C63,'10'!X$7:X$159)+SUMIF('11'!$D$7:$D$159,$C63,'11'!X$7:X$159)+SUMIF('12'!$D$7:$D$159,$C63,'12'!X$7:X$159)+SUMIF('01'!$D$7:$D$159,$C63,'01'!X$7:X$159)</f>
        <v>0</v>
      </c>
      <c r="W64" s="284">
        <f>SUMIF('09'!$D$7:$D$159,$C63,'09'!Y$7:Y$159)+SUMIF('10'!$D$7:$D$159,$C63,'10'!Y$7:Y$159)+SUMIF('11'!$D$7:$D$159,$C63,'11'!Y$7:Y$159)+SUMIF('12'!$D$7:$D$159,$C63,'12'!Y$7:Y$159)+SUMIF('01'!$D$7:$D$159,$C63,'01'!Y$7:Y$159)</f>
        <v>0</v>
      </c>
      <c r="X64" s="286">
        <f t="shared" si="3"/>
        <v>0</v>
      </c>
      <c r="Y64" s="345"/>
      <c r="Z64" s="347"/>
    </row>
    <row r="65" spans="1:26" ht="14.25" customHeight="1" x14ac:dyDescent="0.3">
      <c r="A65" s="178">
        <f>IF(OR(C65="0",COUNTIF(КлючОсень,C65)&gt;1),0,MATCH(F65,ВидыНагр,0))</f>
        <v>0</v>
      </c>
      <c r="B65" s="178" t="b">
        <f>(COUNTA(D65:F66,J65:W65,H65:I66)=0)</f>
        <v>1</v>
      </c>
      <c r="C65" s="179" t="str">
        <f>IF(OR(TRIM(D65)="",COUNTIF(ВидыНагр,F65)&lt;&gt;1),"0",CONCATENATE("$",TRIM(D65),"$",TRIM(E65),"$",F65,"$"))</f>
        <v>0</v>
      </c>
      <c r="D65" s="340"/>
      <c r="E65" s="338"/>
      <c r="F65" s="342"/>
      <c r="G65" s="180" t="s">
        <v>7</v>
      </c>
      <c r="H65" s="181"/>
      <c r="I65" s="182"/>
      <c r="J65" s="183"/>
      <c r="K65" s="184"/>
      <c r="L65" s="185"/>
      <c r="M65" s="183"/>
      <c r="N65" s="184"/>
      <c r="O65" s="186"/>
      <c r="P65" s="183"/>
      <c r="Q65" s="184"/>
      <c r="R65" s="185"/>
      <c r="S65" s="183"/>
      <c r="T65" s="184"/>
      <c r="U65" s="187"/>
      <c r="V65" s="186"/>
      <c r="W65" s="186"/>
      <c r="X65" s="279">
        <f t="shared" si="3"/>
        <v>0</v>
      </c>
      <c r="Y65" s="344">
        <f>X66-X65</f>
        <v>0</v>
      </c>
      <c r="Z65" s="346"/>
    </row>
    <row r="66" spans="1:26" ht="14.25" customHeight="1" x14ac:dyDescent="0.3">
      <c r="A66" s="178">
        <f>-A65</f>
        <v>0</v>
      </c>
      <c r="B66" s="178" t="b">
        <f>B65</f>
        <v>1</v>
      </c>
      <c r="C66" s="188"/>
      <c r="D66" s="341"/>
      <c r="E66" s="339"/>
      <c r="F66" s="343"/>
      <c r="G66" s="189" t="s">
        <v>8</v>
      </c>
      <c r="H66" s="190"/>
      <c r="I66" s="280"/>
      <c r="J66" s="281">
        <f>SUMIF('09'!$D$7:$D$159,$C65,'09'!L$7:L$159)+SUMIF('10'!$D$7:$D$159,$C65,'10'!L$7:L$159)+SUMIF('11'!$D$7:$D$159,$C65,'11'!L$7:L$159)+SUMIF('12'!$D$7:$D$159,$C65,'12'!L$7:L$159)+SUMIF('01'!$D$7:$D$159,$C65,'01'!L$7:L$159)</f>
        <v>0</v>
      </c>
      <c r="K66" s="282">
        <f>SUMIF('09'!$D$7:$D$159,$C65,'09'!M$7:M$159)+SUMIF('10'!$D$7:$D$159,$C65,'10'!M$7:M$159)+SUMIF('11'!$D$7:$D$159,$C65,'11'!M$7:M$159)+SUMIF('12'!$D$7:$D$159,$C65,'12'!M$7:M$159)+SUMIF('01'!$D$7:$D$159,$C65,'01'!M$7:M$159)</f>
        <v>0</v>
      </c>
      <c r="L66" s="283">
        <f>SUMIF('09'!$D$7:$D$159,$C65,'09'!N$7:N$159)+SUMIF('10'!$D$7:$D$159,$C65,'10'!N$7:N$159)+SUMIF('11'!$D$7:$D$159,$C65,'11'!N$7:N$159)+SUMIF('12'!$D$7:$D$159,$C65,'12'!N$7:N$159)+SUMIF('01'!$D$7:$D$159,$C65,'01'!N$7:N$159)</f>
        <v>0</v>
      </c>
      <c r="M66" s="281">
        <f>SUMIF('09'!$D$7:$D$159,$C65,'09'!O$7:O$159)+SUMIF('10'!$D$7:$D$159,$C65,'10'!O$7:O$159)+SUMIF('11'!$D$7:$D$159,$C65,'11'!O$7:O$159)+SUMIF('12'!$D$7:$D$159,$C65,'12'!O$7:O$159)+SUMIF('01'!$D$7:$D$159,$C65,'01'!O$7:O$159)</f>
        <v>0</v>
      </c>
      <c r="N66" s="282">
        <f>SUMIF('09'!$D$7:$D$159,$C65,'09'!P$7:P$159)+SUMIF('10'!$D$7:$D$159,$C65,'10'!P$7:P$159)+SUMIF('11'!$D$7:$D$159,$C65,'11'!P$7:P$159)+SUMIF('12'!$D$7:$D$159,$C65,'12'!P$7:P$159)+SUMIF('01'!$D$7:$D$159,$C65,'01'!P$7:P$159)</f>
        <v>0</v>
      </c>
      <c r="O66" s="284">
        <f>SUMIF('09'!$D$7:$D$159,$C65,'09'!Q$7:Q$159)+SUMIF('10'!$D$7:$D$159,$C65,'10'!Q$7:Q$159)+SUMIF('11'!$D$7:$D$159,$C65,'11'!Q$7:Q$159)+SUMIF('12'!$D$7:$D$159,$C65,'12'!Q$7:Q$159)+SUMIF('01'!$D$7:$D$159,$C65,'01'!Q$7:Q$159)</f>
        <v>0</v>
      </c>
      <c r="P66" s="281">
        <f>SUMIF('09'!$D$7:$D$159,$C65,'09'!R$7:R$159)+SUMIF('10'!$D$7:$D$159,$C65,'10'!R$7:R$159)+SUMIF('11'!$D$7:$D$159,$C65,'11'!R$7:R$159)+SUMIF('12'!$D$7:$D$159,$C65,'12'!R$7:R$159)+SUMIF('01'!$D$7:$D$159,$C65,'01'!R$7:R$159)</f>
        <v>0</v>
      </c>
      <c r="Q66" s="282">
        <f>SUMIF('09'!$D$7:$D$159,$C65,'09'!S$7:S$159)+SUMIF('10'!$D$7:$D$159,$C65,'10'!S$7:S$159)+SUMIF('11'!$D$7:$D$159,$C65,'11'!S$7:S$159)+SUMIF('12'!$D$7:$D$159,$C65,'12'!S$7:S$159)+SUMIF('01'!$D$7:$D$159,$C65,'01'!S$7:S$159)</f>
        <v>0</v>
      </c>
      <c r="R66" s="283">
        <f>SUMIF('09'!$D$7:$D$159,$C65,'09'!T$7:T$159)+SUMIF('10'!$D$7:$D$159,$C65,'10'!T$7:T$159)+SUMIF('11'!$D$7:$D$159,$C65,'11'!T$7:T$159)+SUMIF('12'!$D$7:$D$159,$C65,'12'!T$7:T$159)+SUMIF('01'!$D$7:$D$159,$C65,'01'!T$7:T$159)</f>
        <v>0</v>
      </c>
      <c r="S66" s="281">
        <f>SUMIF('09'!$D$7:$D$159,$C65,'09'!U$7:U$159)+SUMIF('10'!$D$7:$D$159,$C65,'10'!U$7:U$159)+SUMIF('11'!$D$7:$D$159,$C65,'11'!U$7:U$159)+SUMIF('12'!$D$7:$D$159,$C65,'12'!U$7:U$159)+SUMIF('01'!$D$7:$D$159,$C65,'01'!U$7:U$159)</f>
        <v>0</v>
      </c>
      <c r="T66" s="282">
        <f>SUMIF('09'!$D$7:$D$159,$C65,'09'!V$7:V$159)+SUMIF('10'!$D$7:$D$159,$C65,'10'!V$7:V$159)+SUMIF('11'!$D$7:$D$159,$C65,'11'!V$7:V$159)+SUMIF('12'!$D$7:$D$159,$C65,'12'!V$7:V$159)+SUMIF('01'!$D$7:$D$159,$C65,'01'!V$7:V$159)</f>
        <v>0</v>
      </c>
      <c r="U66" s="285">
        <f>SUMIF('09'!$D$7:$D$159,$C65,'09'!W$7:W$159)+SUMIF('10'!$D$7:$D$159,$C65,'10'!W$7:W$159)+SUMIF('11'!$D$7:$D$159,$C65,'11'!W$7:W$159)+SUMIF('12'!$D$7:$D$159,$C65,'12'!W$7:W$159)+SUMIF('01'!$D$7:$D$159,$C65,'01'!W$7:W$159)</f>
        <v>0</v>
      </c>
      <c r="V66" s="284">
        <f>SUMIF('09'!$D$7:$D$159,$C65,'09'!X$7:X$159)+SUMIF('10'!$D$7:$D$159,$C65,'10'!X$7:X$159)+SUMIF('11'!$D$7:$D$159,$C65,'11'!X$7:X$159)+SUMIF('12'!$D$7:$D$159,$C65,'12'!X$7:X$159)+SUMIF('01'!$D$7:$D$159,$C65,'01'!X$7:X$159)</f>
        <v>0</v>
      </c>
      <c r="W66" s="284">
        <f>SUMIF('09'!$D$7:$D$159,$C65,'09'!Y$7:Y$159)+SUMIF('10'!$D$7:$D$159,$C65,'10'!Y$7:Y$159)+SUMIF('11'!$D$7:$D$159,$C65,'11'!Y$7:Y$159)+SUMIF('12'!$D$7:$D$159,$C65,'12'!Y$7:Y$159)+SUMIF('01'!$D$7:$D$159,$C65,'01'!Y$7:Y$159)</f>
        <v>0</v>
      </c>
      <c r="X66" s="286">
        <f t="shared" si="3"/>
        <v>0</v>
      </c>
      <c r="Y66" s="345"/>
      <c r="Z66" s="347"/>
    </row>
    <row r="67" spans="1:26" ht="14.25" customHeight="1" x14ac:dyDescent="0.3">
      <c r="A67" s="178">
        <f>IF(OR(C67="0",COUNTIF(КлючОсень,C67)&gt;1),0,MATCH(F67,ВидыНагр,0))</f>
        <v>0</v>
      </c>
      <c r="B67" s="178" t="b">
        <f>(COUNTA(D67:F68,J67:W67,H67:I68)=0)</f>
        <v>1</v>
      </c>
      <c r="C67" s="179" t="str">
        <f>IF(OR(TRIM(D67)="",COUNTIF(ВидыНагр,F67)&lt;&gt;1),"0",CONCATENATE("$",TRIM(D67),"$",TRIM(E67),"$",F67,"$"))</f>
        <v>0</v>
      </c>
      <c r="D67" s="340"/>
      <c r="E67" s="338"/>
      <c r="F67" s="342"/>
      <c r="G67" s="180" t="s">
        <v>7</v>
      </c>
      <c r="H67" s="181"/>
      <c r="I67" s="182"/>
      <c r="J67" s="183"/>
      <c r="K67" s="184"/>
      <c r="L67" s="185"/>
      <c r="M67" s="183"/>
      <c r="N67" s="184"/>
      <c r="O67" s="186"/>
      <c r="P67" s="183"/>
      <c r="Q67" s="184"/>
      <c r="R67" s="185"/>
      <c r="S67" s="183"/>
      <c r="T67" s="184"/>
      <c r="U67" s="187"/>
      <c r="V67" s="186"/>
      <c r="W67" s="186"/>
      <c r="X67" s="279">
        <f t="shared" si="3"/>
        <v>0</v>
      </c>
      <c r="Y67" s="344">
        <f>X68-X67</f>
        <v>0</v>
      </c>
      <c r="Z67" s="346"/>
    </row>
    <row r="68" spans="1:26" ht="14.25" customHeight="1" x14ac:dyDescent="0.3">
      <c r="A68" s="178">
        <f>-A67</f>
        <v>0</v>
      </c>
      <c r="B68" s="178" t="b">
        <f>B67</f>
        <v>1</v>
      </c>
      <c r="C68" s="188"/>
      <c r="D68" s="341"/>
      <c r="E68" s="339"/>
      <c r="F68" s="343"/>
      <c r="G68" s="189" t="s">
        <v>8</v>
      </c>
      <c r="H68" s="190"/>
      <c r="I68" s="280"/>
      <c r="J68" s="281">
        <f>SUMIF('09'!$D$7:$D$159,$C67,'09'!L$7:L$159)+SUMIF('10'!$D$7:$D$159,$C67,'10'!L$7:L$159)+SUMIF('11'!$D$7:$D$159,$C67,'11'!L$7:L$159)+SUMIF('12'!$D$7:$D$159,$C67,'12'!L$7:L$159)+SUMIF('01'!$D$7:$D$159,$C67,'01'!L$7:L$159)</f>
        <v>0</v>
      </c>
      <c r="K68" s="282">
        <f>SUMIF('09'!$D$7:$D$159,$C67,'09'!M$7:M$159)+SUMIF('10'!$D$7:$D$159,$C67,'10'!M$7:M$159)+SUMIF('11'!$D$7:$D$159,$C67,'11'!M$7:M$159)+SUMIF('12'!$D$7:$D$159,$C67,'12'!M$7:M$159)+SUMIF('01'!$D$7:$D$159,$C67,'01'!M$7:M$159)</f>
        <v>0</v>
      </c>
      <c r="L68" s="283">
        <f>SUMIF('09'!$D$7:$D$159,$C67,'09'!N$7:N$159)+SUMIF('10'!$D$7:$D$159,$C67,'10'!N$7:N$159)+SUMIF('11'!$D$7:$D$159,$C67,'11'!N$7:N$159)+SUMIF('12'!$D$7:$D$159,$C67,'12'!N$7:N$159)+SUMIF('01'!$D$7:$D$159,$C67,'01'!N$7:N$159)</f>
        <v>0</v>
      </c>
      <c r="M68" s="281">
        <f>SUMIF('09'!$D$7:$D$159,$C67,'09'!O$7:O$159)+SUMIF('10'!$D$7:$D$159,$C67,'10'!O$7:O$159)+SUMIF('11'!$D$7:$D$159,$C67,'11'!O$7:O$159)+SUMIF('12'!$D$7:$D$159,$C67,'12'!O$7:O$159)+SUMIF('01'!$D$7:$D$159,$C67,'01'!O$7:O$159)</f>
        <v>0</v>
      </c>
      <c r="N68" s="282">
        <f>SUMIF('09'!$D$7:$D$159,$C67,'09'!P$7:P$159)+SUMIF('10'!$D$7:$D$159,$C67,'10'!P$7:P$159)+SUMIF('11'!$D$7:$D$159,$C67,'11'!P$7:P$159)+SUMIF('12'!$D$7:$D$159,$C67,'12'!P$7:P$159)+SUMIF('01'!$D$7:$D$159,$C67,'01'!P$7:P$159)</f>
        <v>0</v>
      </c>
      <c r="O68" s="284">
        <f>SUMIF('09'!$D$7:$D$159,$C67,'09'!Q$7:Q$159)+SUMIF('10'!$D$7:$D$159,$C67,'10'!Q$7:Q$159)+SUMIF('11'!$D$7:$D$159,$C67,'11'!Q$7:Q$159)+SUMIF('12'!$D$7:$D$159,$C67,'12'!Q$7:Q$159)+SUMIF('01'!$D$7:$D$159,$C67,'01'!Q$7:Q$159)</f>
        <v>0</v>
      </c>
      <c r="P68" s="281">
        <f>SUMIF('09'!$D$7:$D$159,$C67,'09'!R$7:R$159)+SUMIF('10'!$D$7:$D$159,$C67,'10'!R$7:R$159)+SUMIF('11'!$D$7:$D$159,$C67,'11'!R$7:R$159)+SUMIF('12'!$D$7:$D$159,$C67,'12'!R$7:R$159)+SUMIF('01'!$D$7:$D$159,$C67,'01'!R$7:R$159)</f>
        <v>0</v>
      </c>
      <c r="Q68" s="282">
        <f>SUMIF('09'!$D$7:$D$159,$C67,'09'!S$7:S$159)+SUMIF('10'!$D$7:$D$159,$C67,'10'!S$7:S$159)+SUMIF('11'!$D$7:$D$159,$C67,'11'!S$7:S$159)+SUMIF('12'!$D$7:$D$159,$C67,'12'!S$7:S$159)+SUMIF('01'!$D$7:$D$159,$C67,'01'!S$7:S$159)</f>
        <v>0</v>
      </c>
      <c r="R68" s="283">
        <f>SUMIF('09'!$D$7:$D$159,$C67,'09'!T$7:T$159)+SUMIF('10'!$D$7:$D$159,$C67,'10'!T$7:T$159)+SUMIF('11'!$D$7:$D$159,$C67,'11'!T$7:T$159)+SUMIF('12'!$D$7:$D$159,$C67,'12'!T$7:T$159)+SUMIF('01'!$D$7:$D$159,$C67,'01'!T$7:T$159)</f>
        <v>0</v>
      </c>
      <c r="S68" s="281">
        <f>SUMIF('09'!$D$7:$D$159,$C67,'09'!U$7:U$159)+SUMIF('10'!$D$7:$D$159,$C67,'10'!U$7:U$159)+SUMIF('11'!$D$7:$D$159,$C67,'11'!U$7:U$159)+SUMIF('12'!$D$7:$D$159,$C67,'12'!U$7:U$159)+SUMIF('01'!$D$7:$D$159,$C67,'01'!U$7:U$159)</f>
        <v>0</v>
      </c>
      <c r="T68" s="282">
        <f>SUMIF('09'!$D$7:$D$159,$C67,'09'!V$7:V$159)+SUMIF('10'!$D$7:$D$159,$C67,'10'!V$7:V$159)+SUMIF('11'!$D$7:$D$159,$C67,'11'!V$7:V$159)+SUMIF('12'!$D$7:$D$159,$C67,'12'!V$7:V$159)+SUMIF('01'!$D$7:$D$159,$C67,'01'!V$7:V$159)</f>
        <v>0</v>
      </c>
      <c r="U68" s="285">
        <f>SUMIF('09'!$D$7:$D$159,$C67,'09'!W$7:W$159)+SUMIF('10'!$D$7:$D$159,$C67,'10'!W$7:W$159)+SUMIF('11'!$D$7:$D$159,$C67,'11'!W$7:W$159)+SUMIF('12'!$D$7:$D$159,$C67,'12'!W$7:W$159)+SUMIF('01'!$D$7:$D$159,$C67,'01'!W$7:W$159)</f>
        <v>0</v>
      </c>
      <c r="V68" s="284">
        <f>SUMIF('09'!$D$7:$D$159,$C67,'09'!X$7:X$159)+SUMIF('10'!$D$7:$D$159,$C67,'10'!X$7:X$159)+SUMIF('11'!$D$7:$D$159,$C67,'11'!X$7:X$159)+SUMIF('12'!$D$7:$D$159,$C67,'12'!X$7:X$159)+SUMIF('01'!$D$7:$D$159,$C67,'01'!X$7:X$159)</f>
        <v>0</v>
      </c>
      <c r="W68" s="284">
        <f>SUMIF('09'!$D$7:$D$159,$C67,'09'!Y$7:Y$159)+SUMIF('10'!$D$7:$D$159,$C67,'10'!Y$7:Y$159)+SUMIF('11'!$D$7:$D$159,$C67,'11'!Y$7:Y$159)+SUMIF('12'!$D$7:$D$159,$C67,'12'!Y$7:Y$159)+SUMIF('01'!$D$7:$D$159,$C67,'01'!Y$7:Y$159)</f>
        <v>0</v>
      </c>
      <c r="X68" s="286">
        <f t="shared" si="3"/>
        <v>0</v>
      </c>
      <c r="Y68" s="345"/>
      <c r="Z68" s="347"/>
    </row>
    <row r="69" spans="1:26" ht="14.25" customHeight="1" x14ac:dyDescent="0.3">
      <c r="A69" s="178">
        <f>IF(OR(C69="0",COUNTIF(КлючОсень,C69)&gt;1),0,MATCH(F69,ВидыНагр,0))</f>
        <v>0</v>
      </c>
      <c r="B69" s="178" t="b">
        <f>(COUNTA(D69:F70,J69:W69,H69:I70)=0)</f>
        <v>1</v>
      </c>
      <c r="C69" s="179" t="str">
        <f>IF(OR(TRIM(D69)="",COUNTIF(ВидыНагр,F69)&lt;&gt;1),"0",CONCATENATE("$",TRIM(D69),"$",TRIM(E69),"$",F69,"$"))</f>
        <v>0</v>
      </c>
      <c r="D69" s="340"/>
      <c r="E69" s="338"/>
      <c r="F69" s="342"/>
      <c r="G69" s="180" t="s">
        <v>7</v>
      </c>
      <c r="H69" s="181"/>
      <c r="I69" s="182"/>
      <c r="J69" s="183"/>
      <c r="K69" s="184"/>
      <c r="L69" s="185"/>
      <c r="M69" s="183"/>
      <c r="N69" s="184"/>
      <c r="O69" s="186"/>
      <c r="P69" s="183"/>
      <c r="Q69" s="184"/>
      <c r="R69" s="185"/>
      <c r="S69" s="183"/>
      <c r="T69" s="184"/>
      <c r="U69" s="187"/>
      <c r="V69" s="186"/>
      <c r="W69" s="186"/>
      <c r="X69" s="279">
        <f t="shared" si="3"/>
        <v>0</v>
      </c>
      <c r="Y69" s="344">
        <f>X70-X69</f>
        <v>0</v>
      </c>
      <c r="Z69" s="346"/>
    </row>
    <row r="70" spans="1:26" ht="14.25" customHeight="1" x14ac:dyDescent="0.3">
      <c r="A70" s="178">
        <f>-A69</f>
        <v>0</v>
      </c>
      <c r="B70" s="178" t="b">
        <f>B69</f>
        <v>1</v>
      </c>
      <c r="C70" s="188"/>
      <c r="D70" s="341"/>
      <c r="E70" s="339"/>
      <c r="F70" s="343"/>
      <c r="G70" s="189" t="s">
        <v>8</v>
      </c>
      <c r="H70" s="190"/>
      <c r="I70" s="280"/>
      <c r="J70" s="281">
        <f>SUMIF('09'!$D$7:$D$159,$C69,'09'!L$7:L$159)+SUMIF('10'!$D$7:$D$159,$C69,'10'!L$7:L$159)+SUMIF('11'!$D$7:$D$159,$C69,'11'!L$7:L$159)+SUMIF('12'!$D$7:$D$159,$C69,'12'!L$7:L$159)+SUMIF('01'!$D$7:$D$159,$C69,'01'!L$7:L$159)</f>
        <v>0</v>
      </c>
      <c r="K70" s="282">
        <f>SUMIF('09'!$D$7:$D$159,$C69,'09'!M$7:M$159)+SUMIF('10'!$D$7:$D$159,$C69,'10'!M$7:M$159)+SUMIF('11'!$D$7:$D$159,$C69,'11'!M$7:M$159)+SUMIF('12'!$D$7:$D$159,$C69,'12'!M$7:M$159)+SUMIF('01'!$D$7:$D$159,$C69,'01'!M$7:M$159)</f>
        <v>0</v>
      </c>
      <c r="L70" s="283">
        <f>SUMIF('09'!$D$7:$D$159,$C69,'09'!N$7:N$159)+SUMIF('10'!$D$7:$D$159,$C69,'10'!N$7:N$159)+SUMIF('11'!$D$7:$D$159,$C69,'11'!N$7:N$159)+SUMIF('12'!$D$7:$D$159,$C69,'12'!N$7:N$159)+SUMIF('01'!$D$7:$D$159,$C69,'01'!N$7:N$159)</f>
        <v>0</v>
      </c>
      <c r="M70" s="281">
        <f>SUMIF('09'!$D$7:$D$159,$C69,'09'!O$7:O$159)+SUMIF('10'!$D$7:$D$159,$C69,'10'!O$7:O$159)+SUMIF('11'!$D$7:$D$159,$C69,'11'!O$7:O$159)+SUMIF('12'!$D$7:$D$159,$C69,'12'!O$7:O$159)+SUMIF('01'!$D$7:$D$159,$C69,'01'!O$7:O$159)</f>
        <v>0</v>
      </c>
      <c r="N70" s="282">
        <f>SUMIF('09'!$D$7:$D$159,$C69,'09'!P$7:P$159)+SUMIF('10'!$D$7:$D$159,$C69,'10'!P$7:P$159)+SUMIF('11'!$D$7:$D$159,$C69,'11'!P$7:P$159)+SUMIF('12'!$D$7:$D$159,$C69,'12'!P$7:P$159)+SUMIF('01'!$D$7:$D$159,$C69,'01'!P$7:P$159)</f>
        <v>0</v>
      </c>
      <c r="O70" s="284">
        <f>SUMIF('09'!$D$7:$D$159,$C69,'09'!Q$7:Q$159)+SUMIF('10'!$D$7:$D$159,$C69,'10'!Q$7:Q$159)+SUMIF('11'!$D$7:$D$159,$C69,'11'!Q$7:Q$159)+SUMIF('12'!$D$7:$D$159,$C69,'12'!Q$7:Q$159)+SUMIF('01'!$D$7:$D$159,$C69,'01'!Q$7:Q$159)</f>
        <v>0</v>
      </c>
      <c r="P70" s="281">
        <f>SUMIF('09'!$D$7:$D$159,$C69,'09'!R$7:R$159)+SUMIF('10'!$D$7:$D$159,$C69,'10'!R$7:R$159)+SUMIF('11'!$D$7:$D$159,$C69,'11'!R$7:R$159)+SUMIF('12'!$D$7:$D$159,$C69,'12'!R$7:R$159)+SUMIF('01'!$D$7:$D$159,$C69,'01'!R$7:R$159)</f>
        <v>0</v>
      </c>
      <c r="Q70" s="282">
        <f>SUMIF('09'!$D$7:$D$159,$C69,'09'!S$7:S$159)+SUMIF('10'!$D$7:$D$159,$C69,'10'!S$7:S$159)+SUMIF('11'!$D$7:$D$159,$C69,'11'!S$7:S$159)+SUMIF('12'!$D$7:$D$159,$C69,'12'!S$7:S$159)+SUMIF('01'!$D$7:$D$159,$C69,'01'!S$7:S$159)</f>
        <v>0</v>
      </c>
      <c r="R70" s="283">
        <f>SUMIF('09'!$D$7:$D$159,$C69,'09'!T$7:T$159)+SUMIF('10'!$D$7:$D$159,$C69,'10'!T$7:T$159)+SUMIF('11'!$D$7:$D$159,$C69,'11'!T$7:T$159)+SUMIF('12'!$D$7:$D$159,$C69,'12'!T$7:T$159)+SUMIF('01'!$D$7:$D$159,$C69,'01'!T$7:T$159)</f>
        <v>0</v>
      </c>
      <c r="S70" s="281">
        <f>SUMIF('09'!$D$7:$D$159,$C69,'09'!U$7:U$159)+SUMIF('10'!$D$7:$D$159,$C69,'10'!U$7:U$159)+SUMIF('11'!$D$7:$D$159,$C69,'11'!U$7:U$159)+SUMIF('12'!$D$7:$D$159,$C69,'12'!U$7:U$159)+SUMIF('01'!$D$7:$D$159,$C69,'01'!U$7:U$159)</f>
        <v>0</v>
      </c>
      <c r="T70" s="282">
        <f>SUMIF('09'!$D$7:$D$159,$C69,'09'!V$7:V$159)+SUMIF('10'!$D$7:$D$159,$C69,'10'!V$7:V$159)+SUMIF('11'!$D$7:$D$159,$C69,'11'!V$7:V$159)+SUMIF('12'!$D$7:$D$159,$C69,'12'!V$7:V$159)+SUMIF('01'!$D$7:$D$159,$C69,'01'!V$7:V$159)</f>
        <v>0</v>
      </c>
      <c r="U70" s="285">
        <f>SUMIF('09'!$D$7:$D$159,$C69,'09'!W$7:W$159)+SUMIF('10'!$D$7:$D$159,$C69,'10'!W$7:W$159)+SUMIF('11'!$D$7:$D$159,$C69,'11'!W$7:W$159)+SUMIF('12'!$D$7:$D$159,$C69,'12'!W$7:W$159)+SUMIF('01'!$D$7:$D$159,$C69,'01'!W$7:W$159)</f>
        <v>0</v>
      </c>
      <c r="V70" s="284">
        <f>SUMIF('09'!$D$7:$D$159,$C69,'09'!X$7:X$159)+SUMIF('10'!$D$7:$D$159,$C69,'10'!X$7:X$159)+SUMIF('11'!$D$7:$D$159,$C69,'11'!X$7:X$159)+SUMIF('12'!$D$7:$D$159,$C69,'12'!X$7:X$159)+SUMIF('01'!$D$7:$D$159,$C69,'01'!X$7:X$159)</f>
        <v>0</v>
      </c>
      <c r="W70" s="284">
        <f>SUMIF('09'!$D$7:$D$159,$C69,'09'!Y$7:Y$159)+SUMIF('10'!$D$7:$D$159,$C69,'10'!Y$7:Y$159)+SUMIF('11'!$D$7:$D$159,$C69,'11'!Y$7:Y$159)+SUMIF('12'!$D$7:$D$159,$C69,'12'!Y$7:Y$159)+SUMIF('01'!$D$7:$D$159,$C69,'01'!Y$7:Y$159)</f>
        <v>0</v>
      </c>
      <c r="X70" s="286">
        <f t="shared" si="3"/>
        <v>0</v>
      </c>
      <c r="Y70" s="345"/>
      <c r="Z70" s="347"/>
    </row>
    <row r="71" spans="1:26" ht="14.25" customHeight="1" x14ac:dyDescent="0.3">
      <c r="A71" s="178">
        <f>IF(OR(C71="0",COUNTIF(КлючОсень,C71)&gt;1),0,MATCH(F71,ВидыНагр,0))</f>
        <v>0</v>
      </c>
      <c r="B71" s="178" t="b">
        <f>(COUNTA(D71:F72,J71:W71,H71:I72)=0)</f>
        <v>1</v>
      </c>
      <c r="C71" s="179" t="str">
        <f>IF(OR(TRIM(D71)="",COUNTIF(ВидыНагр,F71)&lt;&gt;1),"0",CONCATENATE("$",TRIM(D71),"$",TRIM(E71),"$",F71,"$"))</f>
        <v>0</v>
      </c>
      <c r="D71" s="340"/>
      <c r="E71" s="338"/>
      <c r="F71" s="342"/>
      <c r="G71" s="180" t="s">
        <v>7</v>
      </c>
      <c r="H71" s="181"/>
      <c r="I71" s="182"/>
      <c r="J71" s="183"/>
      <c r="K71" s="184"/>
      <c r="L71" s="185"/>
      <c r="M71" s="183"/>
      <c r="N71" s="184"/>
      <c r="O71" s="186"/>
      <c r="P71" s="183"/>
      <c r="Q71" s="184"/>
      <c r="R71" s="185"/>
      <c r="S71" s="183"/>
      <c r="T71" s="184"/>
      <c r="U71" s="187"/>
      <c r="V71" s="186"/>
      <c r="W71" s="186"/>
      <c r="X71" s="279">
        <f t="shared" si="2"/>
        <v>0</v>
      </c>
      <c r="Y71" s="344">
        <f>X72-X71</f>
        <v>0</v>
      </c>
      <c r="Z71" s="346"/>
    </row>
    <row r="72" spans="1:26" ht="14.25" customHeight="1" x14ac:dyDescent="0.3">
      <c r="A72" s="178">
        <f>-A71</f>
        <v>0</v>
      </c>
      <c r="B72" s="178" t="b">
        <f>B71</f>
        <v>1</v>
      </c>
      <c r="C72" s="188"/>
      <c r="D72" s="341"/>
      <c r="E72" s="339"/>
      <c r="F72" s="343"/>
      <c r="G72" s="189" t="s">
        <v>8</v>
      </c>
      <c r="H72" s="190"/>
      <c r="I72" s="280"/>
      <c r="J72" s="281">
        <f>SUMIF('09'!$D$7:$D$159,$C71,'09'!L$7:L$159)+SUMIF('10'!$D$7:$D$159,$C71,'10'!L$7:L$159)+SUMIF('11'!$D$7:$D$159,$C71,'11'!L$7:L$159)+SUMIF('12'!$D$7:$D$159,$C71,'12'!L$7:L$159)+SUMIF('01'!$D$7:$D$159,$C71,'01'!L$7:L$159)</f>
        <v>0</v>
      </c>
      <c r="K72" s="282">
        <f>SUMIF('09'!$D$7:$D$159,$C71,'09'!M$7:M$159)+SUMIF('10'!$D$7:$D$159,$C71,'10'!M$7:M$159)+SUMIF('11'!$D$7:$D$159,$C71,'11'!M$7:M$159)+SUMIF('12'!$D$7:$D$159,$C71,'12'!M$7:M$159)+SUMIF('01'!$D$7:$D$159,$C71,'01'!M$7:M$159)</f>
        <v>0</v>
      </c>
      <c r="L72" s="283">
        <f>SUMIF('09'!$D$7:$D$159,$C71,'09'!N$7:N$159)+SUMIF('10'!$D$7:$D$159,$C71,'10'!N$7:N$159)+SUMIF('11'!$D$7:$D$159,$C71,'11'!N$7:N$159)+SUMIF('12'!$D$7:$D$159,$C71,'12'!N$7:N$159)+SUMIF('01'!$D$7:$D$159,$C71,'01'!N$7:N$159)</f>
        <v>0</v>
      </c>
      <c r="M72" s="281">
        <f>SUMIF('09'!$D$7:$D$159,$C71,'09'!O$7:O$159)+SUMIF('10'!$D$7:$D$159,$C71,'10'!O$7:O$159)+SUMIF('11'!$D$7:$D$159,$C71,'11'!O$7:O$159)+SUMIF('12'!$D$7:$D$159,$C71,'12'!O$7:O$159)+SUMIF('01'!$D$7:$D$159,$C71,'01'!O$7:O$159)</f>
        <v>0</v>
      </c>
      <c r="N72" s="282">
        <f>SUMIF('09'!$D$7:$D$159,$C71,'09'!P$7:P$159)+SUMIF('10'!$D$7:$D$159,$C71,'10'!P$7:P$159)+SUMIF('11'!$D$7:$D$159,$C71,'11'!P$7:P$159)+SUMIF('12'!$D$7:$D$159,$C71,'12'!P$7:P$159)+SUMIF('01'!$D$7:$D$159,$C71,'01'!P$7:P$159)</f>
        <v>0</v>
      </c>
      <c r="O72" s="284">
        <f>SUMIF('09'!$D$7:$D$159,$C71,'09'!Q$7:Q$159)+SUMIF('10'!$D$7:$D$159,$C71,'10'!Q$7:Q$159)+SUMIF('11'!$D$7:$D$159,$C71,'11'!Q$7:Q$159)+SUMIF('12'!$D$7:$D$159,$C71,'12'!Q$7:Q$159)+SUMIF('01'!$D$7:$D$159,$C71,'01'!Q$7:Q$159)</f>
        <v>0</v>
      </c>
      <c r="P72" s="281">
        <f>SUMIF('09'!$D$7:$D$159,$C71,'09'!R$7:R$159)+SUMIF('10'!$D$7:$D$159,$C71,'10'!R$7:R$159)+SUMIF('11'!$D$7:$D$159,$C71,'11'!R$7:R$159)+SUMIF('12'!$D$7:$D$159,$C71,'12'!R$7:R$159)+SUMIF('01'!$D$7:$D$159,$C71,'01'!R$7:R$159)</f>
        <v>0</v>
      </c>
      <c r="Q72" s="282">
        <f>SUMIF('09'!$D$7:$D$159,$C71,'09'!S$7:S$159)+SUMIF('10'!$D$7:$D$159,$C71,'10'!S$7:S$159)+SUMIF('11'!$D$7:$D$159,$C71,'11'!S$7:S$159)+SUMIF('12'!$D$7:$D$159,$C71,'12'!S$7:S$159)+SUMIF('01'!$D$7:$D$159,$C71,'01'!S$7:S$159)</f>
        <v>0</v>
      </c>
      <c r="R72" s="283">
        <f>SUMIF('09'!$D$7:$D$159,$C71,'09'!T$7:T$159)+SUMIF('10'!$D$7:$D$159,$C71,'10'!T$7:T$159)+SUMIF('11'!$D$7:$D$159,$C71,'11'!T$7:T$159)+SUMIF('12'!$D$7:$D$159,$C71,'12'!T$7:T$159)+SUMIF('01'!$D$7:$D$159,$C71,'01'!T$7:T$159)</f>
        <v>0</v>
      </c>
      <c r="S72" s="281">
        <f>SUMIF('09'!$D$7:$D$159,$C71,'09'!U$7:U$159)+SUMIF('10'!$D$7:$D$159,$C71,'10'!U$7:U$159)+SUMIF('11'!$D$7:$D$159,$C71,'11'!U$7:U$159)+SUMIF('12'!$D$7:$D$159,$C71,'12'!U$7:U$159)+SUMIF('01'!$D$7:$D$159,$C71,'01'!U$7:U$159)</f>
        <v>0</v>
      </c>
      <c r="T72" s="282">
        <f>SUMIF('09'!$D$7:$D$159,$C71,'09'!V$7:V$159)+SUMIF('10'!$D$7:$D$159,$C71,'10'!V$7:V$159)+SUMIF('11'!$D$7:$D$159,$C71,'11'!V$7:V$159)+SUMIF('12'!$D$7:$D$159,$C71,'12'!V$7:V$159)+SUMIF('01'!$D$7:$D$159,$C71,'01'!V$7:V$159)</f>
        <v>0</v>
      </c>
      <c r="U72" s="285">
        <f>SUMIF('09'!$D$7:$D$159,$C71,'09'!W$7:W$159)+SUMIF('10'!$D$7:$D$159,$C71,'10'!W$7:W$159)+SUMIF('11'!$D$7:$D$159,$C71,'11'!W$7:W$159)+SUMIF('12'!$D$7:$D$159,$C71,'12'!W$7:W$159)+SUMIF('01'!$D$7:$D$159,$C71,'01'!W$7:W$159)</f>
        <v>0</v>
      </c>
      <c r="V72" s="284">
        <f>SUMIF('09'!$D$7:$D$159,$C71,'09'!X$7:X$159)+SUMIF('10'!$D$7:$D$159,$C71,'10'!X$7:X$159)+SUMIF('11'!$D$7:$D$159,$C71,'11'!X$7:X$159)+SUMIF('12'!$D$7:$D$159,$C71,'12'!X$7:X$159)+SUMIF('01'!$D$7:$D$159,$C71,'01'!X$7:X$159)</f>
        <v>0</v>
      </c>
      <c r="W72" s="284">
        <f>SUMIF('09'!$D$7:$D$159,$C71,'09'!Y$7:Y$159)+SUMIF('10'!$D$7:$D$159,$C71,'10'!Y$7:Y$159)+SUMIF('11'!$D$7:$D$159,$C71,'11'!Y$7:Y$159)+SUMIF('12'!$D$7:$D$159,$C71,'12'!Y$7:Y$159)+SUMIF('01'!$D$7:$D$159,$C71,'01'!Y$7:Y$159)</f>
        <v>0</v>
      </c>
      <c r="X72" s="286">
        <f t="shared" si="2"/>
        <v>0</v>
      </c>
      <c r="Y72" s="345"/>
      <c r="Z72" s="347"/>
    </row>
    <row r="73" spans="1:26" ht="14.25" customHeight="1" x14ac:dyDescent="0.3">
      <c r="A73" s="178">
        <f>IF(OR(C73="0",COUNTIF(КлючОсень,C73)&gt;1),0,MATCH(F73,ВидыНагр,0))</f>
        <v>0</v>
      </c>
      <c r="B73" s="178" t="b">
        <f>(COUNTA(D73:F74,J73:W73,H73:I74)=0)</f>
        <v>1</v>
      </c>
      <c r="C73" s="179" t="str">
        <f>IF(OR(TRIM(D73)="",COUNTIF(ВидыНагр,F73)&lt;&gt;1),"0",CONCATENATE("$",TRIM(D73),"$",TRIM(E73),"$",F73,"$"))</f>
        <v>0</v>
      </c>
      <c r="D73" s="340"/>
      <c r="E73" s="338"/>
      <c r="F73" s="342"/>
      <c r="G73" s="180" t="s">
        <v>7</v>
      </c>
      <c r="H73" s="181"/>
      <c r="I73" s="182"/>
      <c r="J73" s="183"/>
      <c r="K73" s="184"/>
      <c r="L73" s="185"/>
      <c r="M73" s="183"/>
      <c r="N73" s="184"/>
      <c r="O73" s="186"/>
      <c r="P73" s="183"/>
      <c r="Q73" s="184"/>
      <c r="R73" s="185"/>
      <c r="S73" s="183"/>
      <c r="T73" s="184"/>
      <c r="U73" s="187"/>
      <c r="V73" s="186"/>
      <c r="W73" s="186"/>
      <c r="X73" s="279">
        <f t="shared" si="2"/>
        <v>0</v>
      </c>
      <c r="Y73" s="344">
        <f>X74-X73</f>
        <v>0</v>
      </c>
      <c r="Z73" s="346"/>
    </row>
    <row r="74" spans="1:26" ht="14.25" customHeight="1" x14ac:dyDescent="0.3">
      <c r="A74" s="178">
        <f>-A73</f>
        <v>0</v>
      </c>
      <c r="B74" s="178" t="b">
        <f>B73</f>
        <v>1</v>
      </c>
      <c r="C74" s="188"/>
      <c r="D74" s="341"/>
      <c r="E74" s="339"/>
      <c r="F74" s="343"/>
      <c r="G74" s="189" t="s">
        <v>8</v>
      </c>
      <c r="H74" s="190"/>
      <c r="I74" s="280"/>
      <c r="J74" s="281">
        <f>SUMIF('09'!$D$7:$D$159,$C73,'09'!L$7:L$159)+SUMIF('10'!$D$7:$D$159,$C73,'10'!L$7:L$159)+SUMIF('11'!$D$7:$D$159,$C73,'11'!L$7:L$159)+SUMIF('12'!$D$7:$D$159,$C73,'12'!L$7:L$159)+SUMIF('01'!$D$7:$D$159,$C73,'01'!L$7:L$159)</f>
        <v>0</v>
      </c>
      <c r="K74" s="282">
        <f>SUMIF('09'!$D$7:$D$159,$C73,'09'!M$7:M$159)+SUMIF('10'!$D$7:$D$159,$C73,'10'!M$7:M$159)+SUMIF('11'!$D$7:$D$159,$C73,'11'!M$7:M$159)+SUMIF('12'!$D$7:$D$159,$C73,'12'!M$7:M$159)+SUMIF('01'!$D$7:$D$159,$C73,'01'!M$7:M$159)</f>
        <v>0</v>
      </c>
      <c r="L74" s="283">
        <f>SUMIF('09'!$D$7:$D$159,$C73,'09'!N$7:N$159)+SUMIF('10'!$D$7:$D$159,$C73,'10'!N$7:N$159)+SUMIF('11'!$D$7:$D$159,$C73,'11'!N$7:N$159)+SUMIF('12'!$D$7:$D$159,$C73,'12'!N$7:N$159)+SUMIF('01'!$D$7:$D$159,$C73,'01'!N$7:N$159)</f>
        <v>0</v>
      </c>
      <c r="M74" s="281">
        <f>SUMIF('09'!$D$7:$D$159,$C73,'09'!O$7:O$159)+SUMIF('10'!$D$7:$D$159,$C73,'10'!O$7:O$159)+SUMIF('11'!$D$7:$D$159,$C73,'11'!O$7:O$159)+SUMIF('12'!$D$7:$D$159,$C73,'12'!O$7:O$159)+SUMIF('01'!$D$7:$D$159,$C73,'01'!O$7:O$159)</f>
        <v>0</v>
      </c>
      <c r="N74" s="282">
        <f>SUMIF('09'!$D$7:$D$159,$C73,'09'!P$7:P$159)+SUMIF('10'!$D$7:$D$159,$C73,'10'!P$7:P$159)+SUMIF('11'!$D$7:$D$159,$C73,'11'!P$7:P$159)+SUMIF('12'!$D$7:$D$159,$C73,'12'!P$7:P$159)+SUMIF('01'!$D$7:$D$159,$C73,'01'!P$7:P$159)</f>
        <v>0</v>
      </c>
      <c r="O74" s="284">
        <f>SUMIF('09'!$D$7:$D$159,$C73,'09'!Q$7:Q$159)+SUMIF('10'!$D$7:$D$159,$C73,'10'!Q$7:Q$159)+SUMIF('11'!$D$7:$D$159,$C73,'11'!Q$7:Q$159)+SUMIF('12'!$D$7:$D$159,$C73,'12'!Q$7:Q$159)+SUMIF('01'!$D$7:$D$159,$C73,'01'!Q$7:Q$159)</f>
        <v>0</v>
      </c>
      <c r="P74" s="281">
        <f>SUMIF('09'!$D$7:$D$159,$C73,'09'!R$7:R$159)+SUMIF('10'!$D$7:$D$159,$C73,'10'!R$7:R$159)+SUMIF('11'!$D$7:$D$159,$C73,'11'!R$7:R$159)+SUMIF('12'!$D$7:$D$159,$C73,'12'!R$7:R$159)+SUMIF('01'!$D$7:$D$159,$C73,'01'!R$7:R$159)</f>
        <v>0</v>
      </c>
      <c r="Q74" s="282">
        <f>SUMIF('09'!$D$7:$D$159,$C73,'09'!S$7:S$159)+SUMIF('10'!$D$7:$D$159,$C73,'10'!S$7:S$159)+SUMIF('11'!$D$7:$D$159,$C73,'11'!S$7:S$159)+SUMIF('12'!$D$7:$D$159,$C73,'12'!S$7:S$159)+SUMIF('01'!$D$7:$D$159,$C73,'01'!S$7:S$159)</f>
        <v>0</v>
      </c>
      <c r="R74" s="283">
        <f>SUMIF('09'!$D$7:$D$159,$C73,'09'!T$7:T$159)+SUMIF('10'!$D$7:$D$159,$C73,'10'!T$7:T$159)+SUMIF('11'!$D$7:$D$159,$C73,'11'!T$7:T$159)+SUMIF('12'!$D$7:$D$159,$C73,'12'!T$7:T$159)+SUMIF('01'!$D$7:$D$159,$C73,'01'!T$7:T$159)</f>
        <v>0</v>
      </c>
      <c r="S74" s="281">
        <f>SUMIF('09'!$D$7:$D$159,$C73,'09'!U$7:U$159)+SUMIF('10'!$D$7:$D$159,$C73,'10'!U$7:U$159)+SUMIF('11'!$D$7:$D$159,$C73,'11'!U$7:U$159)+SUMIF('12'!$D$7:$D$159,$C73,'12'!U$7:U$159)+SUMIF('01'!$D$7:$D$159,$C73,'01'!U$7:U$159)</f>
        <v>0</v>
      </c>
      <c r="T74" s="282">
        <f>SUMIF('09'!$D$7:$D$159,$C73,'09'!V$7:V$159)+SUMIF('10'!$D$7:$D$159,$C73,'10'!V$7:V$159)+SUMIF('11'!$D$7:$D$159,$C73,'11'!V$7:V$159)+SUMIF('12'!$D$7:$D$159,$C73,'12'!V$7:V$159)+SUMIF('01'!$D$7:$D$159,$C73,'01'!V$7:V$159)</f>
        <v>0</v>
      </c>
      <c r="U74" s="285">
        <f>SUMIF('09'!$D$7:$D$159,$C73,'09'!W$7:W$159)+SUMIF('10'!$D$7:$D$159,$C73,'10'!W$7:W$159)+SUMIF('11'!$D$7:$D$159,$C73,'11'!W$7:W$159)+SUMIF('12'!$D$7:$D$159,$C73,'12'!W$7:W$159)+SUMIF('01'!$D$7:$D$159,$C73,'01'!W$7:W$159)</f>
        <v>0</v>
      </c>
      <c r="V74" s="284">
        <f>SUMIF('09'!$D$7:$D$159,$C73,'09'!X$7:X$159)+SUMIF('10'!$D$7:$D$159,$C73,'10'!X$7:X$159)+SUMIF('11'!$D$7:$D$159,$C73,'11'!X$7:X$159)+SUMIF('12'!$D$7:$D$159,$C73,'12'!X$7:X$159)+SUMIF('01'!$D$7:$D$159,$C73,'01'!X$7:X$159)</f>
        <v>0</v>
      </c>
      <c r="W74" s="284">
        <f>SUMIF('09'!$D$7:$D$159,$C73,'09'!Y$7:Y$159)+SUMIF('10'!$D$7:$D$159,$C73,'10'!Y$7:Y$159)+SUMIF('11'!$D$7:$D$159,$C73,'11'!Y$7:Y$159)+SUMIF('12'!$D$7:$D$159,$C73,'12'!Y$7:Y$159)+SUMIF('01'!$D$7:$D$159,$C73,'01'!Y$7:Y$159)</f>
        <v>0</v>
      </c>
      <c r="X74" s="286">
        <f t="shared" si="2"/>
        <v>0</v>
      </c>
      <c r="Y74" s="345"/>
      <c r="Z74" s="347"/>
    </row>
    <row r="75" spans="1:26" ht="14.25" customHeight="1" x14ac:dyDescent="0.3">
      <c r="A75" s="178">
        <f>IF(OR(C75="0",COUNTIF(КлючОсень,C75)&gt;1),0,MATCH(F75,ВидыНагр,0))</f>
        <v>0</v>
      </c>
      <c r="B75" s="178" t="b">
        <f>(COUNTA(D75:F76,J75:W75,H75:I76)=0)</f>
        <v>1</v>
      </c>
      <c r="C75" s="179" t="str">
        <f>IF(OR(TRIM(D75)="",COUNTIF(ВидыНагр,F75)&lt;&gt;1),"0",CONCATENATE("$",TRIM(D75),"$",TRIM(E75),"$",F75,"$"))</f>
        <v>0</v>
      </c>
      <c r="D75" s="340"/>
      <c r="E75" s="338"/>
      <c r="F75" s="342"/>
      <c r="G75" s="180" t="s">
        <v>7</v>
      </c>
      <c r="H75" s="181"/>
      <c r="I75" s="182"/>
      <c r="J75" s="183"/>
      <c r="K75" s="184"/>
      <c r="L75" s="185"/>
      <c r="M75" s="183"/>
      <c r="N75" s="184"/>
      <c r="O75" s="186"/>
      <c r="P75" s="183"/>
      <c r="Q75" s="184"/>
      <c r="R75" s="185"/>
      <c r="S75" s="183"/>
      <c r="T75" s="184"/>
      <c r="U75" s="187"/>
      <c r="V75" s="186"/>
      <c r="W75" s="186"/>
      <c r="X75" s="279">
        <f t="shared" si="2"/>
        <v>0</v>
      </c>
      <c r="Y75" s="344">
        <f>X76-X75</f>
        <v>0</v>
      </c>
      <c r="Z75" s="346"/>
    </row>
    <row r="76" spans="1:26" ht="14.25" customHeight="1" x14ac:dyDescent="0.3">
      <c r="A76" s="178">
        <f>-A75</f>
        <v>0</v>
      </c>
      <c r="B76" s="178" t="b">
        <f>B75</f>
        <v>1</v>
      </c>
      <c r="C76" s="188"/>
      <c r="D76" s="341"/>
      <c r="E76" s="339"/>
      <c r="F76" s="343"/>
      <c r="G76" s="189" t="s">
        <v>8</v>
      </c>
      <c r="H76" s="190"/>
      <c r="I76" s="280"/>
      <c r="J76" s="281">
        <f>SUMIF('09'!$D$7:$D$159,$C75,'09'!L$7:L$159)+SUMIF('10'!$D$7:$D$159,$C75,'10'!L$7:L$159)+SUMIF('11'!$D$7:$D$159,$C75,'11'!L$7:L$159)+SUMIF('12'!$D$7:$D$159,$C75,'12'!L$7:L$159)+SUMIF('01'!$D$7:$D$159,$C75,'01'!L$7:L$159)</f>
        <v>0</v>
      </c>
      <c r="K76" s="282">
        <f>SUMIF('09'!$D$7:$D$159,$C75,'09'!M$7:M$159)+SUMIF('10'!$D$7:$D$159,$C75,'10'!M$7:M$159)+SUMIF('11'!$D$7:$D$159,$C75,'11'!M$7:M$159)+SUMIF('12'!$D$7:$D$159,$C75,'12'!M$7:M$159)+SUMIF('01'!$D$7:$D$159,$C75,'01'!M$7:M$159)</f>
        <v>0</v>
      </c>
      <c r="L76" s="283">
        <f>SUMIF('09'!$D$7:$D$159,$C75,'09'!N$7:N$159)+SUMIF('10'!$D$7:$D$159,$C75,'10'!N$7:N$159)+SUMIF('11'!$D$7:$D$159,$C75,'11'!N$7:N$159)+SUMIF('12'!$D$7:$D$159,$C75,'12'!N$7:N$159)+SUMIF('01'!$D$7:$D$159,$C75,'01'!N$7:N$159)</f>
        <v>0</v>
      </c>
      <c r="M76" s="281">
        <f>SUMIF('09'!$D$7:$D$159,$C75,'09'!O$7:O$159)+SUMIF('10'!$D$7:$D$159,$C75,'10'!O$7:O$159)+SUMIF('11'!$D$7:$D$159,$C75,'11'!O$7:O$159)+SUMIF('12'!$D$7:$D$159,$C75,'12'!O$7:O$159)+SUMIF('01'!$D$7:$D$159,$C75,'01'!O$7:O$159)</f>
        <v>0</v>
      </c>
      <c r="N76" s="282">
        <f>SUMIF('09'!$D$7:$D$159,$C75,'09'!P$7:P$159)+SUMIF('10'!$D$7:$D$159,$C75,'10'!P$7:P$159)+SUMIF('11'!$D$7:$D$159,$C75,'11'!P$7:P$159)+SUMIF('12'!$D$7:$D$159,$C75,'12'!P$7:P$159)+SUMIF('01'!$D$7:$D$159,$C75,'01'!P$7:P$159)</f>
        <v>0</v>
      </c>
      <c r="O76" s="284">
        <f>SUMIF('09'!$D$7:$D$159,$C75,'09'!Q$7:Q$159)+SUMIF('10'!$D$7:$D$159,$C75,'10'!Q$7:Q$159)+SUMIF('11'!$D$7:$D$159,$C75,'11'!Q$7:Q$159)+SUMIF('12'!$D$7:$D$159,$C75,'12'!Q$7:Q$159)+SUMIF('01'!$D$7:$D$159,$C75,'01'!Q$7:Q$159)</f>
        <v>0</v>
      </c>
      <c r="P76" s="281">
        <f>SUMIF('09'!$D$7:$D$159,$C75,'09'!R$7:R$159)+SUMIF('10'!$D$7:$D$159,$C75,'10'!R$7:R$159)+SUMIF('11'!$D$7:$D$159,$C75,'11'!R$7:R$159)+SUMIF('12'!$D$7:$D$159,$C75,'12'!R$7:R$159)+SUMIF('01'!$D$7:$D$159,$C75,'01'!R$7:R$159)</f>
        <v>0</v>
      </c>
      <c r="Q76" s="282">
        <f>SUMIF('09'!$D$7:$D$159,$C75,'09'!S$7:S$159)+SUMIF('10'!$D$7:$D$159,$C75,'10'!S$7:S$159)+SUMIF('11'!$D$7:$D$159,$C75,'11'!S$7:S$159)+SUMIF('12'!$D$7:$D$159,$C75,'12'!S$7:S$159)+SUMIF('01'!$D$7:$D$159,$C75,'01'!S$7:S$159)</f>
        <v>0</v>
      </c>
      <c r="R76" s="283">
        <f>SUMIF('09'!$D$7:$D$159,$C75,'09'!T$7:T$159)+SUMIF('10'!$D$7:$D$159,$C75,'10'!T$7:T$159)+SUMIF('11'!$D$7:$D$159,$C75,'11'!T$7:T$159)+SUMIF('12'!$D$7:$D$159,$C75,'12'!T$7:T$159)+SUMIF('01'!$D$7:$D$159,$C75,'01'!T$7:T$159)</f>
        <v>0</v>
      </c>
      <c r="S76" s="281">
        <f>SUMIF('09'!$D$7:$D$159,$C75,'09'!U$7:U$159)+SUMIF('10'!$D$7:$D$159,$C75,'10'!U$7:U$159)+SUMIF('11'!$D$7:$D$159,$C75,'11'!U$7:U$159)+SUMIF('12'!$D$7:$D$159,$C75,'12'!U$7:U$159)+SUMIF('01'!$D$7:$D$159,$C75,'01'!U$7:U$159)</f>
        <v>0</v>
      </c>
      <c r="T76" s="282">
        <f>SUMIF('09'!$D$7:$D$159,$C75,'09'!V$7:V$159)+SUMIF('10'!$D$7:$D$159,$C75,'10'!V$7:V$159)+SUMIF('11'!$D$7:$D$159,$C75,'11'!V$7:V$159)+SUMIF('12'!$D$7:$D$159,$C75,'12'!V$7:V$159)+SUMIF('01'!$D$7:$D$159,$C75,'01'!V$7:V$159)</f>
        <v>0</v>
      </c>
      <c r="U76" s="285">
        <f>SUMIF('09'!$D$7:$D$159,$C75,'09'!W$7:W$159)+SUMIF('10'!$D$7:$D$159,$C75,'10'!W$7:W$159)+SUMIF('11'!$D$7:$D$159,$C75,'11'!W$7:W$159)+SUMIF('12'!$D$7:$D$159,$C75,'12'!W$7:W$159)+SUMIF('01'!$D$7:$D$159,$C75,'01'!W$7:W$159)</f>
        <v>0</v>
      </c>
      <c r="V76" s="284">
        <f>SUMIF('09'!$D$7:$D$159,$C75,'09'!X$7:X$159)+SUMIF('10'!$D$7:$D$159,$C75,'10'!X$7:X$159)+SUMIF('11'!$D$7:$D$159,$C75,'11'!X$7:X$159)+SUMIF('12'!$D$7:$D$159,$C75,'12'!X$7:X$159)+SUMIF('01'!$D$7:$D$159,$C75,'01'!X$7:X$159)</f>
        <v>0</v>
      </c>
      <c r="W76" s="284">
        <f>SUMIF('09'!$D$7:$D$159,$C75,'09'!Y$7:Y$159)+SUMIF('10'!$D$7:$D$159,$C75,'10'!Y$7:Y$159)+SUMIF('11'!$D$7:$D$159,$C75,'11'!Y$7:Y$159)+SUMIF('12'!$D$7:$D$159,$C75,'12'!Y$7:Y$159)+SUMIF('01'!$D$7:$D$159,$C75,'01'!Y$7:Y$159)</f>
        <v>0</v>
      </c>
      <c r="X76" s="286">
        <f t="shared" si="2"/>
        <v>0</v>
      </c>
      <c r="Y76" s="345"/>
      <c r="Z76" s="347"/>
    </row>
    <row r="77" spans="1:26" ht="14.25" customHeight="1" x14ac:dyDescent="0.3">
      <c r="A77" s="178">
        <f>IF(OR(C77="0",COUNTIF(КлючОсень,C77)&gt;1),0,MATCH(F77,ВидыНагр,0))</f>
        <v>0</v>
      </c>
      <c r="B77" s="178" t="b">
        <f>(COUNTA(D77:F78,J77:W77,H77:I78)=0)</f>
        <v>1</v>
      </c>
      <c r="C77" s="179" t="str">
        <f>IF(OR(TRIM(D77)="",COUNTIF(ВидыНагр,F77)&lt;&gt;1),"0",CONCATENATE("$",TRIM(D77),"$",TRIM(E77),"$",F77,"$"))</f>
        <v>0</v>
      </c>
      <c r="D77" s="340"/>
      <c r="E77" s="338"/>
      <c r="F77" s="342"/>
      <c r="G77" s="180" t="s">
        <v>7</v>
      </c>
      <c r="H77" s="181"/>
      <c r="I77" s="182"/>
      <c r="J77" s="183"/>
      <c r="K77" s="184"/>
      <c r="L77" s="185"/>
      <c r="M77" s="183"/>
      <c r="N77" s="184"/>
      <c r="O77" s="186"/>
      <c r="P77" s="183"/>
      <c r="Q77" s="184"/>
      <c r="R77" s="185"/>
      <c r="S77" s="183"/>
      <c r="T77" s="184"/>
      <c r="U77" s="187"/>
      <c r="V77" s="186"/>
      <c r="W77" s="186"/>
      <c r="X77" s="279">
        <f t="shared" si="2"/>
        <v>0</v>
      </c>
      <c r="Y77" s="344">
        <f>X78-X77</f>
        <v>0</v>
      </c>
      <c r="Z77" s="346"/>
    </row>
    <row r="78" spans="1:26" ht="14.25" customHeight="1" x14ac:dyDescent="0.3">
      <c r="A78" s="178">
        <f>-A77</f>
        <v>0</v>
      </c>
      <c r="B78" s="178" t="b">
        <f>B77</f>
        <v>1</v>
      </c>
      <c r="C78" s="188"/>
      <c r="D78" s="341"/>
      <c r="E78" s="339"/>
      <c r="F78" s="343"/>
      <c r="G78" s="189" t="s">
        <v>8</v>
      </c>
      <c r="H78" s="190"/>
      <c r="I78" s="280"/>
      <c r="J78" s="281">
        <f>SUMIF('09'!$D$7:$D$159,$C77,'09'!L$7:L$159)+SUMIF('10'!$D$7:$D$159,$C77,'10'!L$7:L$159)+SUMIF('11'!$D$7:$D$159,$C77,'11'!L$7:L$159)+SUMIF('12'!$D$7:$D$159,$C77,'12'!L$7:L$159)+SUMIF('01'!$D$7:$D$159,$C77,'01'!L$7:L$159)</f>
        <v>0</v>
      </c>
      <c r="K78" s="282">
        <f>SUMIF('09'!$D$7:$D$159,$C77,'09'!M$7:M$159)+SUMIF('10'!$D$7:$D$159,$C77,'10'!M$7:M$159)+SUMIF('11'!$D$7:$D$159,$C77,'11'!M$7:M$159)+SUMIF('12'!$D$7:$D$159,$C77,'12'!M$7:M$159)+SUMIF('01'!$D$7:$D$159,$C77,'01'!M$7:M$159)</f>
        <v>0</v>
      </c>
      <c r="L78" s="283">
        <f>SUMIF('09'!$D$7:$D$159,$C77,'09'!N$7:N$159)+SUMIF('10'!$D$7:$D$159,$C77,'10'!N$7:N$159)+SUMIF('11'!$D$7:$D$159,$C77,'11'!N$7:N$159)+SUMIF('12'!$D$7:$D$159,$C77,'12'!N$7:N$159)+SUMIF('01'!$D$7:$D$159,$C77,'01'!N$7:N$159)</f>
        <v>0</v>
      </c>
      <c r="M78" s="281">
        <f>SUMIF('09'!$D$7:$D$159,$C77,'09'!O$7:O$159)+SUMIF('10'!$D$7:$D$159,$C77,'10'!O$7:O$159)+SUMIF('11'!$D$7:$D$159,$C77,'11'!O$7:O$159)+SUMIF('12'!$D$7:$D$159,$C77,'12'!O$7:O$159)+SUMIF('01'!$D$7:$D$159,$C77,'01'!O$7:O$159)</f>
        <v>0</v>
      </c>
      <c r="N78" s="282">
        <f>SUMIF('09'!$D$7:$D$159,$C77,'09'!P$7:P$159)+SUMIF('10'!$D$7:$D$159,$C77,'10'!P$7:P$159)+SUMIF('11'!$D$7:$D$159,$C77,'11'!P$7:P$159)+SUMIF('12'!$D$7:$D$159,$C77,'12'!P$7:P$159)+SUMIF('01'!$D$7:$D$159,$C77,'01'!P$7:P$159)</f>
        <v>0</v>
      </c>
      <c r="O78" s="284">
        <f>SUMIF('09'!$D$7:$D$159,$C77,'09'!Q$7:Q$159)+SUMIF('10'!$D$7:$D$159,$C77,'10'!Q$7:Q$159)+SUMIF('11'!$D$7:$D$159,$C77,'11'!Q$7:Q$159)+SUMIF('12'!$D$7:$D$159,$C77,'12'!Q$7:Q$159)+SUMIF('01'!$D$7:$D$159,$C77,'01'!Q$7:Q$159)</f>
        <v>0</v>
      </c>
      <c r="P78" s="281">
        <f>SUMIF('09'!$D$7:$D$159,$C77,'09'!R$7:R$159)+SUMIF('10'!$D$7:$D$159,$C77,'10'!R$7:R$159)+SUMIF('11'!$D$7:$D$159,$C77,'11'!R$7:R$159)+SUMIF('12'!$D$7:$D$159,$C77,'12'!R$7:R$159)+SUMIF('01'!$D$7:$D$159,$C77,'01'!R$7:R$159)</f>
        <v>0</v>
      </c>
      <c r="Q78" s="282">
        <f>SUMIF('09'!$D$7:$D$159,$C77,'09'!S$7:S$159)+SUMIF('10'!$D$7:$D$159,$C77,'10'!S$7:S$159)+SUMIF('11'!$D$7:$D$159,$C77,'11'!S$7:S$159)+SUMIF('12'!$D$7:$D$159,$C77,'12'!S$7:S$159)+SUMIF('01'!$D$7:$D$159,$C77,'01'!S$7:S$159)</f>
        <v>0</v>
      </c>
      <c r="R78" s="283">
        <f>SUMIF('09'!$D$7:$D$159,$C77,'09'!T$7:T$159)+SUMIF('10'!$D$7:$D$159,$C77,'10'!T$7:T$159)+SUMIF('11'!$D$7:$D$159,$C77,'11'!T$7:T$159)+SUMIF('12'!$D$7:$D$159,$C77,'12'!T$7:T$159)+SUMIF('01'!$D$7:$D$159,$C77,'01'!T$7:T$159)</f>
        <v>0</v>
      </c>
      <c r="S78" s="281">
        <f>SUMIF('09'!$D$7:$D$159,$C77,'09'!U$7:U$159)+SUMIF('10'!$D$7:$D$159,$C77,'10'!U$7:U$159)+SUMIF('11'!$D$7:$D$159,$C77,'11'!U$7:U$159)+SUMIF('12'!$D$7:$D$159,$C77,'12'!U$7:U$159)+SUMIF('01'!$D$7:$D$159,$C77,'01'!U$7:U$159)</f>
        <v>0</v>
      </c>
      <c r="T78" s="282">
        <f>SUMIF('09'!$D$7:$D$159,$C77,'09'!V$7:V$159)+SUMIF('10'!$D$7:$D$159,$C77,'10'!V$7:V$159)+SUMIF('11'!$D$7:$D$159,$C77,'11'!V$7:V$159)+SUMIF('12'!$D$7:$D$159,$C77,'12'!V$7:V$159)+SUMIF('01'!$D$7:$D$159,$C77,'01'!V$7:V$159)</f>
        <v>0</v>
      </c>
      <c r="U78" s="285">
        <f>SUMIF('09'!$D$7:$D$159,$C77,'09'!W$7:W$159)+SUMIF('10'!$D$7:$D$159,$C77,'10'!W$7:W$159)+SUMIF('11'!$D$7:$D$159,$C77,'11'!W$7:W$159)+SUMIF('12'!$D$7:$D$159,$C77,'12'!W$7:W$159)+SUMIF('01'!$D$7:$D$159,$C77,'01'!W$7:W$159)</f>
        <v>0</v>
      </c>
      <c r="V78" s="284">
        <f>SUMIF('09'!$D$7:$D$159,$C77,'09'!X$7:X$159)+SUMIF('10'!$D$7:$D$159,$C77,'10'!X$7:X$159)+SUMIF('11'!$D$7:$D$159,$C77,'11'!X$7:X$159)+SUMIF('12'!$D$7:$D$159,$C77,'12'!X$7:X$159)+SUMIF('01'!$D$7:$D$159,$C77,'01'!X$7:X$159)</f>
        <v>0</v>
      </c>
      <c r="W78" s="284">
        <f>SUMIF('09'!$D$7:$D$159,$C77,'09'!Y$7:Y$159)+SUMIF('10'!$D$7:$D$159,$C77,'10'!Y$7:Y$159)+SUMIF('11'!$D$7:$D$159,$C77,'11'!Y$7:Y$159)+SUMIF('12'!$D$7:$D$159,$C77,'12'!Y$7:Y$159)+SUMIF('01'!$D$7:$D$159,$C77,'01'!Y$7:Y$159)</f>
        <v>0</v>
      </c>
      <c r="X78" s="286">
        <f t="shared" si="2"/>
        <v>0</v>
      </c>
      <c r="Y78" s="345"/>
      <c r="Z78" s="347"/>
    </row>
    <row r="79" spans="1:26" ht="14.25" customHeight="1" x14ac:dyDescent="0.3">
      <c r="A79" s="178">
        <f>IF(OR(C79="0",COUNTIF(КлючОсень,C79)&gt;1),0,MATCH(F79,ВидыНагр,0))</f>
        <v>0</v>
      </c>
      <c r="B79" s="178" t="b">
        <f>(COUNTA(D79:F80,J79:W79,H79:I80)=0)</f>
        <v>1</v>
      </c>
      <c r="C79" s="179" t="str">
        <f>IF(OR(TRIM(D79)="",COUNTIF(ВидыНагр,F79)&lt;&gt;1),"0",CONCATENATE("$",TRIM(D79),"$",TRIM(E79),"$",F79,"$"))</f>
        <v>0</v>
      </c>
      <c r="D79" s="340"/>
      <c r="E79" s="338"/>
      <c r="F79" s="342"/>
      <c r="G79" s="180" t="s">
        <v>7</v>
      </c>
      <c r="H79" s="181"/>
      <c r="I79" s="182"/>
      <c r="J79" s="183"/>
      <c r="K79" s="184"/>
      <c r="L79" s="185"/>
      <c r="M79" s="183"/>
      <c r="N79" s="184"/>
      <c r="O79" s="186"/>
      <c r="P79" s="183"/>
      <c r="Q79" s="184"/>
      <c r="R79" s="185"/>
      <c r="S79" s="183"/>
      <c r="T79" s="184"/>
      <c r="U79" s="187"/>
      <c r="V79" s="186"/>
      <c r="W79" s="186"/>
      <c r="X79" s="279">
        <f t="shared" si="2"/>
        <v>0</v>
      </c>
      <c r="Y79" s="344">
        <f>X80-X79</f>
        <v>0</v>
      </c>
      <c r="Z79" s="346"/>
    </row>
    <row r="80" spans="1:26" ht="14.25" customHeight="1" x14ac:dyDescent="0.3">
      <c r="A80" s="178">
        <f>-A79</f>
        <v>0</v>
      </c>
      <c r="B80" s="178" t="b">
        <f>B79</f>
        <v>1</v>
      </c>
      <c r="C80" s="188"/>
      <c r="D80" s="341"/>
      <c r="E80" s="339"/>
      <c r="F80" s="343"/>
      <c r="G80" s="189" t="s">
        <v>8</v>
      </c>
      <c r="H80" s="190"/>
      <c r="I80" s="280"/>
      <c r="J80" s="281">
        <f>SUMIF('09'!$D$7:$D$159,$C79,'09'!L$7:L$159)+SUMIF('10'!$D$7:$D$159,$C79,'10'!L$7:L$159)+SUMIF('11'!$D$7:$D$159,$C79,'11'!L$7:L$159)+SUMIF('12'!$D$7:$D$159,$C79,'12'!L$7:L$159)+SUMIF('01'!$D$7:$D$159,$C79,'01'!L$7:L$159)</f>
        <v>0</v>
      </c>
      <c r="K80" s="282">
        <f>SUMIF('09'!$D$7:$D$159,$C79,'09'!M$7:M$159)+SUMIF('10'!$D$7:$D$159,$C79,'10'!M$7:M$159)+SUMIF('11'!$D$7:$D$159,$C79,'11'!M$7:M$159)+SUMIF('12'!$D$7:$D$159,$C79,'12'!M$7:M$159)+SUMIF('01'!$D$7:$D$159,$C79,'01'!M$7:M$159)</f>
        <v>0</v>
      </c>
      <c r="L80" s="283">
        <f>SUMIF('09'!$D$7:$D$159,$C79,'09'!N$7:N$159)+SUMIF('10'!$D$7:$D$159,$C79,'10'!N$7:N$159)+SUMIF('11'!$D$7:$D$159,$C79,'11'!N$7:N$159)+SUMIF('12'!$D$7:$D$159,$C79,'12'!N$7:N$159)+SUMIF('01'!$D$7:$D$159,$C79,'01'!N$7:N$159)</f>
        <v>0</v>
      </c>
      <c r="M80" s="281">
        <f>SUMIF('09'!$D$7:$D$159,$C79,'09'!O$7:O$159)+SUMIF('10'!$D$7:$D$159,$C79,'10'!O$7:O$159)+SUMIF('11'!$D$7:$D$159,$C79,'11'!O$7:O$159)+SUMIF('12'!$D$7:$D$159,$C79,'12'!O$7:O$159)+SUMIF('01'!$D$7:$D$159,$C79,'01'!O$7:O$159)</f>
        <v>0</v>
      </c>
      <c r="N80" s="282">
        <f>SUMIF('09'!$D$7:$D$159,$C79,'09'!P$7:P$159)+SUMIF('10'!$D$7:$D$159,$C79,'10'!P$7:P$159)+SUMIF('11'!$D$7:$D$159,$C79,'11'!P$7:P$159)+SUMIF('12'!$D$7:$D$159,$C79,'12'!P$7:P$159)+SUMIF('01'!$D$7:$D$159,$C79,'01'!P$7:P$159)</f>
        <v>0</v>
      </c>
      <c r="O80" s="284">
        <f>SUMIF('09'!$D$7:$D$159,$C79,'09'!Q$7:Q$159)+SUMIF('10'!$D$7:$D$159,$C79,'10'!Q$7:Q$159)+SUMIF('11'!$D$7:$D$159,$C79,'11'!Q$7:Q$159)+SUMIF('12'!$D$7:$D$159,$C79,'12'!Q$7:Q$159)+SUMIF('01'!$D$7:$D$159,$C79,'01'!Q$7:Q$159)</f>
        <v>0</v>
      </c>
      <c r="P80" s="281">
        <f>SUMIF('09'!$D$7:$D$159,$C79,'09'!R$7:R$159)+SUMIF('10'!$D$7:$D$159,$C79,'10'!R$7:R$159)+SUMIF('11'!$D$7:$D$159,$C79,'11'!R$7:R$159)+SUMIF('12'!$D$7:$D$159,$C79,'12'!R$7:R$159)+SUMIF('01'!$D$7:$D$159,$C79,'01'!R$7:R$159)</f>
        <v>0</v>
      </c>
      <c r="Q80" s="282">
        <f>SUMIF('09'!$D$7:$D$159,$C79,'09'!S$7:S$159)+SUMIF('10'!$D$7:$D$159,$C79,'10'!S$7:S$159)+SUMIF('11'!$D$7:$D$159,$C79,'11'!S$7:S$159)+SUMIF('12'!$D$7:$D$159,$C79,'12'!S$7:S$159)+SUMIF('01'!$D$7:$D$159,$C79,'01'!S$7:S$159)</f>
        <v>0</v>
      </c>
      <c r="R80" s="283">
        <f>SUMIF('09'!$D$7:$D$159,$C79,'09'!T$7:T$159)+SUMIF('10'!$D$7:$D$159,$C79,'10'!T$7:T$159)+SUMIF('11'!$D$7:$D$159,$C79,'11'!T$7:T$159)+SUMIF('12'!$D$7:$D$159,$C79,'12'!T$7:T$159)+SUMIF('01'!$D$7:$D$159,$C79,'01'!T$7:T$159)</f>
        <v>0</v>
      </c>
      <c r="S80" s="281">
        <f>SUMIF('09'!$D$7:$D$159,$C79,'09'!U$7:U$159)+SUMIF('10'!$D$7:$D$159,$C79,'10'!U$7:U$159)+SUMIF('11'!$D$7:$D$159,$C79,'11'!U$7:U$159)+SUMIF('12'!$D$7:$D$159,$C79,'12'!U$7:U$159)+SUMIF('01'!$D$7:$D$159,$C79,'01'!U$7:U$159)</f>
        <v>0</v>
      </c>
      <c r="T80" s="282">
        <f>SUMIF('09'!$D$7:$D$159,$C79,'09'!V$7:V$159)+SUMIF('10'!$D$7:$D$159,$C79,'10'!V$7:V$159)+SUMIF('11'!$D$7:$D$159,$C79,'11'!V$7:V$159)+SUMIF('12'!$D$7:$D$159,$C79,'12'!V$7:V$159)+SUMIF('01'!$D$7:$D$159,$C79,'01'!V$7:V$159)</f>
        <v>0</v>
      </c>
      <c r="U80" s="285">
        <f>SUMIF('09'!$D$7:$D$159,$C79,'09'!W$7:W$159)+SUMIF('10'!$D$7:$D$159,$C79,'10'!W$7:W$159)+SUMIF('11'!$D$7:$D$159,$C79,'11'!W$7:W$159)+SUMIF('12'!$D$7:$D$159,$C79,'12'!W$7:W$159)+SUMIF('01'!$D$7:$D$159,$C79,'01'!W$7:W$159)</f>
        <v>0</v>
      </c>
      <c r="V80" s="284">
        <f>SUMIF('09'!$D$7:$D$159,$C79,'09'!X$7:X$159)+SUMIF('10'!$D$7:$D$159,$C79,'10'!X$7:X$159)+SUMIF('11'!$D$7:$D$159,$C79,'11'!X$7:X$159)+SUMIF('12'!$D$7:$D$159,$C79,'12'!X$7:X$159)+SUMIF('01'!$D$7:$D$159,$C79,'01'!X$7:X$159)</f>
        <v>0</v>
      </c>
      <c r="W80" s="284">
        <f>SUMIF('09'!$D$7:$D$159,$C79,'09'!Y$7:Y$159)+SUMIF('10'!$D$7:$D$159,$C79,'10'!Y$7:Y$159)+SUMIF('11'!$D$7:$D$159,$C79,'11'!Y$7:Y$159)+SUMIF('12'!$D$7:$D$159,$C79,'12'!Y$7:Y$159)+SUMIF('01'!$D$7:$D$159,$C79,'01'!Y$7:Y$159)</f>
        <v>0</v>
      </c>
      <c r="X80" s="286">
        <f t="shared" si="2"/>
        <v>0</v>
      </c>
      <c r="Y80" s="345"/>
      <c r="Z80" s="347"/>
    </row>
    <row r="81" spans="1:26" ht="14.25" customHeight="1" x14ac:dyDescent="0.3">
      <c r="A81" s="178">
        <f>IF(OR(C81="0",COUNTIF(КлючОсень,C81)&gt;1),0,MATCH(F81,ВидыНагр,0))</f>
        <v>0</v>
      </c>
      <c r="B81" s="178" t="b">
        <f>(COUNTA(D81:F82,J81:W81,H81:I82)=0)</f>
        <v>1</v>
      </c>
      <c r="C81" s="179" t="str">
        <f>IF(OR(TRIM(D81)="",COUNTIF(ВидыНагр,F81)&lt;&gt;1),"0",CONCATENATE("$",TRIM(D81),"$",TRIM(E81),"$",F81,"$"))</f>
        <v>0</v>
      </c>
      <c r="D81" s="340"/>
      <c r="E81" s="338"/>
      <c r="F81" s="342"/>
      <c r="G81" s="180" t="s">
        <v>7</v>
      </c>
      <c r="H81" s="181"/>
      <c r="I81" s="182"/>
      <c r="J81" s="183"/>
      <c r="K81" s="184"/>
      <c r="L81" s="185"/>
      <c r="M81" s="183"/>
      <c r="N81" s="184"/>
      <c r="O81" s="186"/>
      <c r="P81" s="183"/>
      <c r="Q81" s="184"/>
      <c r="R81" s="185"/>
      <c r="S81" s="183"/>
      <c r="T81" s="184"/>
      <c r="U81" s="187"/>
      <c r="V81" s="186"/>
      <c r="W81" s="186"/>
      <c r="X81" s="279">
        <f t="shared" si="2"/>
        <v>0</v>
      </c>
      <c r="Y81" s="344">
        <f>X82-X81</f>
        <v>0</v>
      </c>
      <c r="Z81" s="346"/>
    </row>
    <row r="82" spans="1:26" ht="14.25" customHeight="1" x14ac:dyDescent="0.3">
      <c r="A82" s="178">
        <f>-A81</f>
        <v>0</v>
      </c>
      <c r="B82" s="178" t="b">
        <f>B81</f>
        <v>1</v>
      </c>
      <c r="C82" s="188"/>
      <c r="D82" s="341"/>
      <c r="E82" s="339"/>
      <c r="F82" s="343"/>
      <c r="G82" s="189" t="s">
        <v>8</v>
      </c>
      <c r="H82" s="190"/>
      <c r="I82" s="280"/>
      <c r="J82" s="281">
        <f>SUMIF('09'!$D$7:$D$159,$C81,'09'!L$7:L$159)+SUMIF('10'!$D$7:$D$159,$C81,'10'!L$7:L$159)+SUMIF('11'!$D$7:$D$159,$C81,'11'!L$7:L$159)+SUMIF('12'!$D$7:$D$159,$C81,'12'!L$7:L$159)+SUMIF('01'!$D$7:$D$159,$C81,'01'!L$7:L$159)</f>
        <v>0</v>
      </c>
      <c r="K82" s="282">
        <f>SUMIF('09'!$D$7:$D$159,$C81,'09'!M$7:M$159)+SUMIF('10'!$D$7:$D$159,$C81,'10'!M$7:M$159)+SUMIF('11'!$D$7:$D$159,$C81,'11'!M$7:M$159)+SUMIF('12'!$D$7:$D$159,$C81,'12'!M$7:M$159)+SUMIF('01'!$D$7:$D$159,$C81,'01'!M$7:M$159)</f>
        <v>0</v>
      </c>
      <c r="L82" s="283">
        <f>SUMIF('09'!$D$7:$D$159,$C81,'09'!N$7:N$159)+SUMIF('10'!$D$7:$D$159,$C81,'10'!N$7:N$159)+SUMIF('11'!$D$7:$D$159,$C81,'11'!N$7:N$159)+SUMIF('12'!$D$7:$D$159,$C81,'12'!N$7:N$159)+SUMIF('01'!$D$7:$D$159,$C81,'01'!N$7:N$159)</f>
        <v>0</v>
      </c>
      <c r="M82" s="281">
        <f>SUMIF('09'!$D$7:$D$159,$C81,'09'!O$7:O$159)+SUMIF('10'!$D$7:$D$159,$C81,'10'!O$7:O$159)+SUMIF('11'!$D$7:$D$159,$C81,'11'!O$7:O$159)+SUMIF('12'!$D$7:$D$159,$C81,'12'!O$7:O$159)+SUMIF('01'!$D$7:$D$159,$C81,'01'!O$7:O$159)</f>
        <v>0</v>
      </c>
      <c r="N82" s="282">
        <f>SUMIF('09'!$D$7:$D$159,$C81,'09'!P$7:P$159)+SUMIF('10'!$D$7:$D$159,$C81,'10'!P$7:P$159)+SUMIF('11'!$D$7:$D$159,$C81,'11'!P$7:P$159)+SUMIF('12'!$D$7:$D$159,$C81,'12'!P$7:P$159)+SUMIF('01'!$D$7:$D$159,$C81,'01'!P$7:P$159)</f>
        <v>0</v>
      </c>
      <c r="O82" s="284">
        <f>SUMIF('09'!$D$7:$D$159,$C81,'09'!Q$7:Q$159)+SUMIF('10'!$D$7:$D$159,$C81,'10'!Q$7:Q$159)+SUMIF('11'!$D$7:$D$159,$C81,'11'!Q$7:Q$159)+SUMIF('12'!$D$7:$D$159,$C81,'12'!Q$7:Q$159)+SUMIF('01'!$D$7:$D$159,$C81,'01'!Q$7:Q$159)</f>
        <v>0</v>
      </c>
      <c r="P82" s="281">
        <f>SUMIF('09'!$D$7:$D$159,$C81,'09'!R$7:R$159)+SUMIF('10'!$D$7:$D$159,$C81,'10'!R$7:R$159)+SUMIF('11'!$D$7:$D$159,$C81,'11'!R$7:R$159)+SUMIF('12'!$D$7:$D$159,$C81,'12'!R$7:R$159)+SUMIF('01'!$D$7:$D$159,$C81,'01'!R$7:R$159)</f>
        <v>0</v>
      </c>
      <c r="Q82" s="282">
        <f>SUMIF('09'!$D$7:$D$159,$C81,'09'!S$7:S$159)+SUMIF('10'!$D$7:$D$159,$C81,'10'!S$7:S$159)+SUMIF('11'!$D$7:$D$159,$C81,'11'!S$7:S$159)+SUMIF('12'!$D$7:$D$159,$C81,'12'!S$7:S$159)+SUMIF('01'!$D$7:$D$159,$C81,'01'!S$7:S$159)</f>
        <v>0</v>
      </c>
      <c r="R82" s="283">
        <f>SUMIF('09'!$D$7:$D$159,$C81,'09'!T$7:T$159)+SUMIF('10'!$D$7:$D$159,$C81,'10'!T$7:T$159)+SUMIF('11'!$D$7:$D$159,$C81,'11'!T$7:T$159)+SUMIF('12'!$D$7:$D$159,$C81,'12'!T$7:T$159)+SUMIF('01'!$D$7:$D$159,$C81,'01'!T$7:T$159)</f>
        <v>0</v>
      </c>
      <c r="S82" s="281">
        <f>SUMIF('09'!$D$7:$D$159,$C81,'09'!U$7:U$159)+SUMIF('10'!$D$7:$D$159,$C81,'10'!U$7:U$159)+SUMIF('11'!$D$7:$D$159,$C81,'11'!U$7:U$159)+SUMIF('12'!$D$7:$D$159,$C81,'12'!U$7:U$159)+SUMIF('01'!$D$7:$D$159,$C81,'01'!U$7:U$159)</f>
        <v>0</v>
      </c>
      <c r="T82" s="282">
        <f>SUMIF('09'!$D$7:$D$159,$C81,'09'!V$7:V$159)+SUMIF('10'!$D$7:$D$159,$C81,'10'!V$7:V$159)+SUMIF('11'!$D$7:$D$159,$C81,'11'!V$7:V$159)+SUMIF('12'!$D$7:$D$159,$C81,'12'!V$7:V$159)+SUMIF('01'!$D$7:$D$159,$C81,'01'!V$7:V$159)</f>
        <v>0</v>
      </c>
      <c r="U82" s="285">
        <f>SUMIF('09'!$D$7:$D$159,$C81,'09'!W$7:W$159)+SUMIF('10'!$D$7:$D$159,$C81,'10'!W$7:W$159)+SUMIF('11'!$D$7:$D$159,$C81,'11'!W$7:W$159)+SUMIF('12'!$D$7:$D$159,$C81,'12'!W$7:W$159)+SUMIF('01'!$D$7:$D$159,$C81,'01'!W$7:W$159)</f>
        <v>0</v>
      </c>
      <c r="V82" s="284">
        <f>SUMIF('09'!$D$7:$D$159,$C81,'09'!X$7:X$159)+SUMIF('10'!$D$7:$D$159,$C81,'10'!X$7:X$159)+SUMIF('11'!$D$7:$D$159,$C81,'11'!X$7:X$159)+SUMIF('12'!$D$7:$D$159,$C81,'12'!X$7:X$159)+SUMIF('01'!$D$7:$D$159,$C81,'01'!X$7:X$159)</f>
        <v>0</v>
      </c>
      <c r="W82" s="284">
        <f>SUMIF('09'!$D$7:$D$159,$C81,'09'!Y$7:Y$159)+SUMIF('10'!$D$7:$D$159,$C81,'10'!Y$7:Y$159)+SUMIF('11'!$D$7:$D$159,$C81,'11'!Y$7:Y$159)+SUMIF('12'!$D$7:$D$159,$C81,'12'!Y$7:Y$159)+SUMIF('01'!$D$7:$D$159,$C81,'01'!Y$7:Y$159)</f>
        <v>0</v>
      </c>
      <c r="X82" s="286">
        <f t="shared" si="2"/>
        <v>0</v>
      </c>
      <c r="Y82" s="345"/>
      <c r="Z82" s="347"/>
    </row>
    <row r="83" spans="1:26" ht="14.25" customHeight="1" x14ac:dyDescent="0.3">
      <c r="A83" s="178">
        <f>IF(OR(C83="0",COUNTIF(КлючОсень,C83)&gt;1),0,MATCH(F83,ВидыНагр,0))</f>
        <v>0</v>
      </c>
      <c r="B83" s="178" t="b">
        <f>(COUNTA(D83:F84,J83:W83,H83:I84)=0)</f>
        <v>1</v>
      </c>
      <c r="C83" s="179" t="str">
        <f>IF(OR(TRIM(D83)="",COUNTIF(ВидыНагр,F83)&lt;&gt;1),"0",CONCATENATE("$",TRIM(D83),"$",TRIM(E83),"$",F83,"$"))</f>
        <v>0</v>
      </c>
      <c r="D83" s="340"/>
      <c r="E83" s="338"/>
      <c r="F83" s="342"/>
      <c r="G83" s="180" t="s">
        <v>7</v>
      </c>
      <c r="H83" s="181"/>
      <c r="I83" s="182"/>
      <c r="J83" s="183"/>
      <c r="K83" s="184"/>
      <c r="L83" s="185"/>
      <c r="M83" s="183"/>
      <c r="N83" s="184"/>
      <c r="O83" s="186"/>
      <c r="P83" s="183"/>
      <c r="Q83" s="184"/>
      <c r="R83" s="185"/>
      <c r="S83" s="183"/>
      <c r="T83" s="184"/>
      <c r="U83" s="187"/>
      <c r="V83" s="186"/>
      <c r="W83" s="186"/>
      <c r="X83" s="279">
        <f t="shared" si="2"/>
        <v>0</v>
      </c>
      <c r="Y83" s="344">
        <f>X84-X83</f>
        <v>0</v>
      </c>
      <c r="Z83" s="346"/>
    </row>
    <row r="84" spans="1:26" ht="14.25" customHeight="1" x14ac:dyDescent="0.3">
      <c r="A84" s="178">
        <f>-A83</f>
        <v>0</v>
      </c>
      <c r="B84" s="178" t="b">
        <f>B83</f>
        <v>1</v>
      </c>
      <c r="C84" s="188"/>
      <c r="D84" s="341"/>
      <c r="E84" s="339"/>
      <c r="F84" s="343"/>
      <c r="G84" s="189" t="s">
        <v>8</v>
      </c>
      <c r="H84" s="190"/>
      <c r="I84" s="280"/>
      <c r="J84" s="281">
        <f>SUMIF('09'!$D$7:$D$159,$C83,'09'!L$7:L$159)+SUMIF('10'!$D$7:$D$159,$C83,'10'!L$7:L$159)+SUMIF('11'!$D$7:$D$159,$C83,'11'!L$7:L$159)+SUMIF('12'!$D$7:$D$159,$C83,'12'!L$7:L$159)+SUMIF('01'!$D$7:$D$159,$C83,'01'!L$7:L$159)</f>
        <v>0</v>
      </c>
      <c r="K84" s="282">
        <f>SUMIF('09'!$D$7:$D$159,$C83,'09'!M$7:M$159)+SUMIF('10'!$D$7:$D$159,$C83,'10'!M$7:M$159)+SUMIF('11'!$D$7:$D$159,$C83,'11'!M$7:M$159)+SUMIF('12'!$D$7:$D$159,$C83,'12'!M$7:M$159)+SUMIF('01'!$D$7:$D$159,$C83,'01'!M$7:M$159)</f>
        <v>0</v>
      </c>
      <c r="L84" s="283">
        <f>SUMIF('09'!$D$7:$D$159,$C83,'09'!N$7:N$159)+SUMIF('10'!$D$7:$D$159,$C83,'10'!N$7:N$159)+SUMIF('11'!$D$7:$D$159,$C83,'11'!N$7:N$159)+SUMIF('12'!$D$7:$D$159,$C83,'12'!N$7:N$159)+SUMIF('01'!$D$7:$D$159,$C83,'01'!N$7:N$159)</f>
        <v>0</v>
      </c>
      <c r="M84" s="281">
        <f>SUMIF('09'!$D$7:$D$159,$C83,'09'!O$7:O$159)+SUMIF('10'!$D$7:$D$159,$C83,'10'!O$7:O$159)+SUMIF('11'!$D$7:$D$159,$C83,'11'!O$7:O$159)+SUMIF('12'!$D$7:$D$159,$C83,'12'!O$7:O$159)+SUMIF('01'!$D$7:$D$159,$C83,'01'!O$7:O$159)</f>
        <v>0</v>
      </c>
      <c r="N84" s="282">
        <f>SUMIF('09'!$D$7:$D$159,$C83,'09'!P$7:P$159)+SUMIF('10'!$D$7:$D$159,$C83,'10'!P$7:P$159)+SUMIF('11'!$D$7:$D$159,$C83,'11'!P$7:P$159)+SUMIF('12'!$D$7:$D$159,$C83,'12'!P$7:P$159)+SUMIF('01'!$D$7:$D$159,$C83,'01'!P$7:P$159)</f>
        <v>0</v>
      </c>
      <c r="O84" s="284">
        <f>SUMIF('09'!$D$7:$D$159,$C83,'09'!Q$7:Q$159)+SUMIF('10'!$D$7:$D$159,$C83,'10'!Q$7:Q$159)+SUMIF('11'!$D$7:$D$159,$C83,'11'!Q$7:Q$159)+SUMIF('12'!$D$7:$D$159,$C83,'12'!Q$7:Q$159)+SUMIF('01'!$D$7:$D$159,$C83,'01'!Q$7:Q$159)</f>
        <v>0</v>
      </c>
      <c r="P84" s="281">
        <f>SUMIF('09'!$D$7:$D$159,$C83,'09'!R$7:R$159)+SUMIF('10'!$D$7:$D$159,$C83,'10'!R$7:R$159)+SUMIF('11'!$D$7:$D$159,$C83,'11'!R$7:R$159)+SUMIF('12'!$D$7:$D$159,$C83,'12'!R$7:R$159)+SUMIF('01'!$D$7:$D$159,$C83,'01'!R$7:R$159)</f>
        <v>0</v>
      </c>
      <c r="Q84" s="282">
        <f>SUMIF('09'!$D$7:$D$159,$C83,'09'!S$7:S$159)+SUMIF('10'!$D$7:$D$159,$C83,'10'!S$7:S$159)+SUMIF('11'!$D$7:$D$159,$C83,'11'!S$7:S$159)+SUMIF('12'!$D$7:$D$159,$C83,'12'!S$7:S$159)+SUMIF('01'!$D$7:$D$159,$C83,'01'!S$7:S$159)</f>
        <v>0</v>
      </c>
      <c r="R84" s="283">
        <f>SUMIF('09'!$D$7:$D$159,$C83,'09'!T$7:T$159)+SUMIF('10'!$D$7:$D$159,$C83,'10'!T$7:T$159)+SUMIF('11'!$D$7:$D$159,$C83,'11'!T$7:T$159)+SUMIF('12'!$D$7:$D$159,$C83,'12'!T$7:T$159)+SUMIF('01'!$D$7:$D$159,$C83,'01'!T$7:T$159)</f>
        <v>0</v>
      </c>
      <c r="S84" s="281">
        <f>SUMIF('09'!$D$7:$D$159,$C83,'09'!U$7:U$159)+SUMIF('10'!$D$7:$D$159,$C83,'10'!U$7:U$159)+SUMIF('11'!$D$7:$D$159,$C83,'11'!U$7:U$159)+SUMIF('12'!$D$7:$D$159,$C83,'12'!U$7:U$159)+SUMIF('01'!$D$7:$D$159,$C83,'01'!U$7:U$159)</f>
        <v>0</v>
      </c>
      <c r="T84" s="282">
        <f>SUMIF('09'!$D$7:$D$159,$C83,'09'!V$7:V$159)+SUMIF('10'!$D$7:$D$159,$C83,'10'!V$7:V$159)+SUMIF('11'!$D$7:$D$159,$C83,'11'!V$7:V$159)+SUMIF('12'!$D$7:$D$159,$C83,'12'!V$7:V$159)+SUMIF('01'!$D$7:$D$159,$C83,'01'!V$7:V$159)</f>
        <v>0</v>
      </c>
      <c r="U84" s="285">
        <f>SUMIF('09'!$D$7:$D$159,$C83,'09'!W$7:W$159)+SUMIF('10'!$D$7:$D$159,$C83,'10'!W$7:W$159)+SUMIF('11'!$D$7:$D$159,$C83,'11'!W$7:W$159)+SUMIF('12'!$D$7:$D$159,$C83,'12'!W$7:W$159)+SUMIF('01'!$D$7:$D$159,$C83,'01'!W$7:W$159)</f>
        <v>0</v>
      </c>
      <c r="V84" s="284">
        <f>SUMIF('09'!$D$7:$D$159,$C83,'09'!X$7:X$159)+SUMIF('10'!$D$7:$D$159,$C83,'10'!X$7:X$159)+SUMIF('11'!$D$7:$D$159,$C83,'11'!X$7:X$159)+SUMIF('12'!$D$7:$D$159,$C83,'12'!X$7:X$159)+SUMIF('01'!$D$7:$D$159,$C83,'01'!X$7:X$159)</f>
        <v>0</v>
      </c>
      <c r="W84" s="284">
        <f>SUMIF('09'!$D$7:$D$159,$C83,'09'!Y$7:Y$159)+SUMIF('10'!$D$7:$D$159,$C83,'10'!Y$7:Y$159)+SUMIF('11'!$D$7:$D$159,$C83,'11'!Y$7:Y$159)+SUMIF('12'!$D$7:$D$159,$C83,'12'!Y$7:Y$159)+SUMIF('01'!$D$7:$D$159,$C83,'01'!Y$7:Y$159)</f>
        <v>0</v>
      </c>
      <c r="X84" s="286">
        <f t="shared" si="2"/>
        <v>0</v>
      </c>
      <c r="Y84" s="345"/>
      <c r="Z84" s="347"/>
    </row>
    <row r="85" spans="1:26" ht="14.25" customHeight="1" x14ac:dyDescent="0.3">
      <c r="A85" s="178">
        <f>IF(OR(C85="0",COUNTIF(КлючОсень,C85)&gt;1),0,MATCH(F85,ВидыНагр,0))</f>
        <v>0</v>
      </c>
      <c r="B85" s="178" t="b">
        <f>(COUNTA(D85:F86,J85:W85,H85:I86)=0)</f>
        <v>1</v>
      </c>
      <c r="C85" s="179" t="str">
        <f>IF(OR(TRIM(D85)="",COUNTIF(ВидыНагр,F85)&lt;&gt;1),"0",CONCATENATE("$",TRIM(D85),"$",TRIM(E85),"$",F85,"$"))</f>
        <v>0</v>
      </c>
      <c r="D85" s="340"/>
      <c r="E85" s="338"/>
      <c r="F85" s="342"/>
      <c r="G85" s="180" t="s">
        <v>7</v>
      </c>
      <c r="H85" s="181"/>
      <c r="I85" s="182"/>
      <c r="J85" s="183"/>
      <c r="K85" s="184"/>
      <c r="L85" s="185"/>
      <c r="M85" s="183"/>
      <c r="N85" s="184"/>
      <c r="O85" s="186"/>
      <c r="P85" s="183"/>
      <c r="Q85" s="184"/>
      <c r="R85" s="185"/>
      <c r="S85" s="183"/>
      <c r="T85" s="184"/>
      <c r="U85" s="187"/>
      <c r="V85" s="186"/>
      <c r="W85" s="186"/>
      <c r="X85" s="279">
        <f t="shared" ref="X85:X96" si="4">SUM(J85:W85)</f>
        <v>0</v>
      </c>
      <c r="Y85" s="344">
        <f>X86-X85</f>
        <v>0</v>
      </c>
      <c r="Z85" s="346"/>
    </row>
    <row r="86" spans="1:26" ht="14.25" customHeight="1" x14ac:dyDescent="0.3">
      <c r="A86" s="178">
        <f>-A85</f>
        <v>0</v>
      </c>
      <c r="B86" s="178" t="b">
        <f>B85</f>
        <v>1</v>
      </c>
      <c r="C86" s="188"/>
      <c r="D86" s="341"/>
      <c r="E86" s="339"/>
      <c r="F86" s="343"/>
      <c r="G86" s="189" t="s">
        <v>8</v>
      </c>
      <c r="H86" s="190"/>
      <c r="I86" s="280"/>
      <c r="J86" s="281">
        <f>SUMIF('09'!$D$7:$D$159,$C85,'09'!L$7:L$159)+SUMIF('10'!$D$7:$D$159,$C85,'10'!L$7:L$159)+SUMIF('11'!$D$7:$D$159,$C85,'11'!L$7:L$159)+SUMIF('12'!$D$7:$D$159,$C85,'12'!L$7:L$159)+SUMIF('01'!$D$7:$D$159,$C85,'01'!L$7:L$159)</f>
        <v>0</v>
      </c>
      <c r="K86" s="282">
        <f>SUMIF('09'!$D$7:$D$159,$C85,'09'!M$7:M$159)+SUMIF('10'!$D$7:$D$159,$C85,'10'!M$7:M$159)+SUMIF('11'!$D$7:$D$159,$C85,'11'!M$7:M$159)+SUMIF('12'!$D$7:$D$159,$C85,'12'!M$7:M$159)+SUMIF('01'!$D$7:$D$159,$C85,'01'!M$7:M$159)</f>
        <v>0</v>
      </c>
      <c r="L86" s="283">
        <f>SUMIF('09'!$D$7:$D$159,$C85,'09'!N$7:N$159)+SUMIF('10'!$D$7:$D$159,$C85,'10'!N$7:N$159)+SUMIF('11'!$D$7:$D$159,$C85,'11'!N$7:N$159)+SUMIF('12'!$D$7:$D$159,$C85,'12'!N$7:N$159)+SUMIF('01'!$D$7:$D$159,$C85,'01'!N$7:N$159)</f>
        <v>0</v>
      </c>
      <c r="M86" s="281">
        <f>SUMIF('09'!$D$7:$D$159,$C85,'09'!O$7:O$159)+SUMIF('10'!$D$7:$D$159,$C85,'10'!O$7:O$159)+SUMIF('11'!$D$7:$D$159,$C85,'11'!O$7:O$159)+SUMIF('12'!$D$7:$D$159,$C85,'12'!O$7:O$159)+SUMIF('01'!$D$7:$D$159,$C85,'01'!O$7:O$159)</f>
        <v>0</v>
      </c>
      <c r="N86" s="282">
        <f>SUMIF('09'!$D$7:$D$159,$C85,'09'!P$7:P$159)+SUMIF('10'!$D$7:$D$159,$C85,'10'!P$7:P$159)+SUMIF('11'!$D$7:$D$159,$C85,'11'!P$7:P$159)+SUMIF('12'!$D$7:$D$159,$C85,'12'!P$7:P$159)+SUMIF('01'!$D$7:$D$159,$C85,'01'!P$7:P$159)</f>
        <v>0</v>
      </c>
      <c r="O86" s="284">
        <f>SUMIF('09'!$D$7:$D$159,$C85,'09'!Q$7:Q$159)+SUMIF('10'!$D$7:$D$159,$C85,'10'!Q$7:Q$159)+SUMIF('11'!$D$7:$D$159,$C85,'11'!Q$7:Q$159)+SUMIF('12'!$D$7:$D$159,$C85,'12'!Q$7:Q$159)+SUMIF('01'!$D$7:$D$159,$C85,'01'!Q$7:Q$159)</f>
        <v>0</v>
      </c>
      <c r="P86" s="281">
        <f>SUMIF('09'!$D$7:$D$159,$C85,'09'!R$7:R$159)+SUMIF('10'!$D$7:$D$159,$C85,'10'!R$7:R$159)+SUMIF('11'!$D$7:$D$159,$C85,'11'!R$7:R$159)+SUMIF('12'!$D$7:$D$159,$C85,'12'!R$7:R$159)+SUMIF('01'!$D$7:$D$159,$C85,'01'!R$7:R$159)</f>
        <v>0</v>
      </c>
      <c r="Q86" s="282">
        <f>SUMIF('09'!$D$7:$D$159,$C85,'09'!S$7:S$159)+SUMIF('10'!$D$7:$D$159,$C85,'10'!S$7:S$159)+SUMIF('11'!$D$7:$D$159,$C85,'11'!S$7:S$159)+SUMIF('12'!$D$7:$D$159,$C85,'12'!S$7:S$159)+SUMIF('01'!$D$7:$D$159,$C85,'01'!S$7:S$159)</f>
        <v>0</v>
      </c>
      <c r="R86" s="283">
        <f>SUMIF('09'!$D$7:$D$159,$C85,'09'!T$7:T$159)+SUMIF('10'!$D$7:$D$159,$C85,'10'!T$7:T$159)+SUMIF('11'!$D$7:$D$159,$C85,'11'!T$7:T$159)+SUMIF('12'!$D$7:$D$159,$C85,'12'!T$7:T$159)+SUMIF('01'!$D$7:$D$159,$C85,'01'!T$7:T$159)</f>
        <v>0</v>
      </c>
      <c r="S86" s="281">
        <f>SUMIF('09'!$D$7:$D$159,$C85,'09'!U$7:U$159)+SUMIF('10'!$D$7:$D$159,$C85,'10'!U$7:U$159)+SUMIF('11'!$D$7:$D$159,$C85,'11'!U$7:U$159)+SUMIF('12'!$D$7:$D$159,$C85,'12'!U$7:U$159)+SUMIF('01'!$D$7:$D$159,$C85,'01'!U$7:U$159)</f>
        <v>0</v>
      </c>
      <c r="T86" s="282">
        <f>SUMIF('09'!$D$7:$D$159,$C85,'09'!V$7:V$159)+SUMIF('10'!$D$7:$D$159,$C85,'10'!V$7:V$159)+SUMIF('11'!$D$7:$D$159,$C85,'11'!V$7:V$159)+SUMIF('12'!$D$7:$D$159,$C85,'12'!V$7:V$159)+SUMIF('01'!$D$7:$D$159,$C85,'01'!V$7:V$159)</f>
        <v>0</v>
      </c>
      <c r="U86" s="285">
        <f>SUMIF('09'!$D$7:$D$159,$C85,'09'!W$7:W$159)+SUMIF('10'!$D$7:$D$159,$C85,'10'!W$7:W$159)+SUMIF('11'!$D$7:$D$159,$C85,'11'!W$7:W$159)+SUMIF('12'!$D$7:$D$159,$C85,'12'!W$7:W$159)+SUMIF('01'!$D$7:$D$159,$C85,'01'!W$7:W$159)</f>
        <v>0</v>
      </c>
      <c r="V86" s="284">
        <f>SUMIF('09'!$D$7:$D$159,$C85,'09'!X$7:X$159)+SUMIF('10'!$D$7:$D$159,$C85,'10'!X$7:X$159)+SUMIF('11'!$D$7:$D$159,$C85,'11'!X$7:X$159)+SUMIF('12'!$D$7:$D$159,$C85,'12'!X$7:X$159)+SUMIF('01'!$D$7:$D$159,$C85,'01'!X$7:X$159)</f>
        <v>0</v>
      </c>
      <c r="W86" s="284">
        <f>SUMIF('09'!$D$7:$D$159,$C85,'09'!Y$7:Y$159)+SUMIF('10'!$D$7:$D$159,$C85,'10'!Y$7:Y$159)+SUMIF('11'!$D$7:$D$159,$C85,'11'!Y$7:Y$159)+SUMIF('12'!$D$7:$D$159,$C85,'12'!Y$7:Y$159)+SUMIF('01'!$D$7:$D$159,$C85,'01'!Y$7:Y$159)</f>
        <v>0</v>
      </c>
      <c r="X86" s="286">
        <f t="shared" si="4"/>
        <v>0</v>
      </c>
      <c r="Y86" s="345"/>
      <c r="Z86" s="347"/>
    </row>
    <row r="87" spans="1:26" ht="14.25" customHeight="1" x14ac:dyDescent="0.3">
      <c r="A87" s="178">
        <f>IF(OR(C87="0",COUNTIF(КлючОсень,C87)&gt;1),0,MATCH(F87,ВидыНагр,0))</f>
        <v>0</v>
      </c>
      <c r="B87" s="178" t="b">
        <f>(COUNTA(D87:F88,J87:W87,H87:I88)=0)</f>
        <v>1</v>
      </c>
      <c r="C87" s="179" t="str">
        <f>IF(OR(TRIM(D87)="",COUNTIF(ВидыНагр,F87)&lt;&gt;1),"0",CONCATENATE("$",TRIM(D87),"$",TRIM(E87),"$",F87,"$"))</f>
        <v>0</v>
      </c>
      <c r="D87" s="340"/>
      <c r="E87" s="338"/>
      <c r="F87" s="342"/>
      <c r="G87" s="180" t="s">
        <v>7</v>
      </c>
      <c r="H87" s="181"/>
      <c r="I87" s="182"/>
      <c r="J87" s="183"/>
      <c r="K87" s="184"/>
      <c r="L87" s="185"/>
      <c r="M87" s="183"/>
      <c r="N87" s="184"/>
      <c r="O87" s="186"/>
      <c r="P87" s="183"/>
      <c r="Q87" s="184"/>
      <c r="R87" s="185"/>
      <c r="S87" s="183"/>
      <c r="T87" s="184"/>
      <c r="U87" s="187"/>
      <c r="V87" s="186"/>
      <c r="W87" s="186"/>
      <c r="X87" s="279">
        <f t="shared" si="4"/>
        <v>0</v>
      </c>
      <c r="Y87" s="344">
        <f>X88-X87</f>
        <v>0</v>
      </c>
      <c r="Z87" s="346"/>
    </row>
    <row r="88" spans="1:26" ht="14.25" customHeight="1" x14ac:dyDescent="0.3">
      <c r="A88" s="178">
        <f>-A87</f>
        <v>0</v>
      </c>
      <c r="B88" s="178" t="b">
        <f>B87</f>
        <v>1</v>
      </c>
      <c r="C88" s="188"/>
      <c r="D88" s="341"/>
      <c r="E88" s="339"/>
      <c r="F88" s="343"/>
      <c r="G88" s="189" t="s">
        <v>8</v>
      </c>
      <c r="H88" s="190"/>
      <c r="I88" s="280"/>
      <c r="J88" s="281">
        <f>SUMIF('09'!$D$7:$D$159,$C87,'09'!L$7:L$159)+SUMIF('10'!$D$7:$D$159,$C87,'10'!L$7:L$159)+SUMIF('11'!$D$7:$D$159,$C87,'11'!L$7:L$159)+SUMIF('12'!$D$7:$D$159,$C87,'12'!L$7:L$159)+SUMIF('01'!$D$7:$D$159,$C87,'01'!L$7:L$159)</f>
        <v>0</v>
      </c>
      <c r="K88" s="282">
        <f>SUMIF('09'!$D$7:$D$159,$C87,'09'!M$7:M$159)+SUMIF('10'!$D$7:$D$159,$C87,'10'!M$7:M$159)+SUMIF('11'!$D$7:$D$159,$C87,'11'!M$7:M$159)+SUMIF('12'!$D$7:$D$159,$C87,'12'!M$7:M$159)+SUMIF('01'!$D$7:$D$159,$C87,'01'!M$7:M$159)</f>
        <v>0</v>
      </c>
      <c r="L88" s="283">
        <f>SUMIF('09'!$D$7:$D$159,$C87,'09'!N$7:N$159)+SUMIF('10'!$D$7:$D$159,$C87,'10'!N$7:N$159)+SUMIF('11'!$D$7:$D$159,$C87,'11'!N$7:N$159)+SUMIF('12'!$D$7:$D$159,$C87,'12'!N$7:N$159)+SUMIF('01'!$D$7:$D$159,$C87,'01'!N$7:N$159)</f>
        <v>0</v>
      </c>
      <c r="M88" s="281">
        <f>SUMIF('09'!$D$7:$D$159,$C87,'09'!O$7:O$159)+SUMIF('10'!$D$7:$D$159,$C87,'10'!O$7:O$159)+SUMIF('11'!$D$7:$D$159,$C87,'11'!O$7:O$159)+SUMIF('12'!$D$7:$D$159,$C87,'12'!O$7:O$159)+SUMIF('01'!$D$7:$D$159,$C87,'01'!O$7:O$159)</f>
        <v>0</v>
      </c>
      <c r="N88" s="282">
        <f>SUMIF('09'!$D$7:$D$159,$C87,'09'!P$7:P$159)+SUMIF('10'!$D$7:$D$159,$C87,'10'!P$7:P$159)+SUMIF('11'!$D$7:$D$159,$C87,'11'!P$7:P$159)+SUMIF('12'!$D$7:$D$159,$C87,'12'!P$7:P$159)+SUMIF('01'!$D$7:$D$159,$C87,'01'!P$7:P$159)</f>
        <v>0</v>
      </c>
      <c r="O88" s="284">
        <f>SUMIF('09'!$D$7:$D$159,$C87,'09'!Q$7:Q$159)+SUMIF('10'!$D$7:$D$159,$C87,'10'!Q$7:Q$159)+SUMIF('11'!$D$7:$D$159,$C87,'11'!Q$7:Q$159)+SUMIF('12'!$D$7:$D$159,$C87,'12'!Q$7:Q$159)+SUMIF('01'!$D$7:$D$159,$C87,'01'!Q$7:Q$159)</f>
        <v>0</v>
      </c>
      <c r="P88" s="281">
        <f>SUMIF('09'!$D$7:$D$159,$C87,'09'!R$7:R$159)+SUMIF('10'!$D$7:$D$159,$C87,'10'!R$7:R$159)+SUMIF('11'!$D$7:$D$159,$C87,'11'!R$7:R$159)+SUMIF('12'!$D$7:$D$159,$C87,'12'!R$7:R$159)+SUMIF('01'!$D$7:$D$159,$C87,'01'!R$7:R$159)</f>
        <v>0</v>
      </c>
      <c r="Q88" s="282">
        <f>SUMIF('09'!$D$7:$D$159,$C87,'09'!S$7:S$159)+SUMIF('10'!$D$7:$D$159,$C87,'10'!S$7:S$159)+SUMIF('11'!$D$7:$D$159,$C87,'11'!S$7:S$159)+SUMIF('12'!$D$7:$D$159,$C87,'12'!S$7:S$159)+SUMIF('01'!$D$7:$D$159,$C87,'01'!S$7:S$159)</f>
        <v>0</v>
      </c>
      <c r="R88" s="283">
        <f>SUMIF('09'!$D$7:$D$159,$C87,'09'!T$7:T$159)+SUMIF('10'!$D$7:$D$159,$C87,'10'!T$7:T$159)+SUMIF('11'!$D$7:$D$159,$C87,'11'!T$7:T$159)+SUMIF('12'!$D$7:$D$159,$C87,'12'!T$7:T$159)+SUMIF('01'!$D$7:$D$159,$C87,'01'!T$7:T$159)</f>
        <v>0</v>
      </c>
      <c r="S88" s="281">
        <f>SUMIF('09'!$D$7:$D$159,$C87,'09'!U$7:U$159)+SUMIF('10'!$D$7:$D$159,$C87,'10'!U$7:U$159)+SUMIF('11'!$D$7:$D$159,$C87,'11'!U$7:U$159)+SUMIF('12'!$D$7:$D$159,$C87,'12'!U$7:U$159)+SUMIF('01'!$D$7:$D$159,$C87,'01'!U$7:U$159)</f>
        <v>0</v>
      </c>
      <c r="T88" s="282">
        <f>SUMIF('09'!$D$7:$D$159,$C87,'09'!V$7:V$159)+SUMIF('10'!$D$7:$D$159,$C87,'10'!V$7:V$159)+SUMIF('11'!$D$7:$D$159,$C87,'11'!V$7:V$159)+SUMIF('12'!$D$7:$D$159,$C87,'12'!V$7:V$159)+SUMIF('01'!$D$7:$D$159,$C87,'01'!V$7:V$159)</f>
        <v>0</v>
      </c>
      <c r="U88" s="285">
        <f>SUMIF('09'!$D$7:$D$159,$C87,'09'!W$7:W$159)+SUMIF('10'!$D$7:$D$159,$C87,'10'!W$7:W$159)+SUMIF('11'!$D$7:$D$159,$C87,'11'!W$7:W$159)+SUMIF('12'!$D$7:$D$159,$C87,'12'!W$7:W$159)+SUMIF('01'!$D$7:$D$159,$C87,'01'!W$7:W$159)</f>
        <v>0</v>
      </c>
      <c r="V88" s="284">
        <f>SUMIF('09'!$D$7:$D$159,$C87,'09'!X$7:X$159)+SUMIF('10'!$D$7:$D$159,$C87,'10'!X$7:X$159)+SUMIF('11'!$D$7:$D$159,$C87,'11'!X$7:X$159)+SUMIF('12'!$D$7:$D$159,$C87,'12'!X$7:X$159)+SUMIF('01'!$D$7:$D$159,$C87,'01'!X$7:X$159)</f>
        <v>0</v>
      </c>
      <c r="W88" s="284">
        <f>SUMIF('09'!$D$7:$D$159,$C87,'09'!Y$7:Y$159)+SUMIF('10'!$D$7:$D$159,$C87,'10'!Y$7:Y$159)+SUMIF('11'!$D$7:$D$159,$C87,'11'!Y$7:Y$159)+SUMIF('12'!$D$7:$D$159,$C87,'12'!Y$7:Y$159)+SUMIF('01'!$D$7:$D$159,$C87,'01'!Y$7:Y$159)</f>
        <v>0</v>
      </c>
      <c r="X88" s="286">
        <f t="shared" si="4"/>
        <v>0</v>
      </c>
      <c r="Y88" s="345"/>
      <c r="Z88" s="347"/>
    </row>
    <row r="89" spans="1:26" ht="14.25" customHeight="1" x14ac:dyDescent="0.3">
      <c r="A89" s="178">
        <f>IF(OR(C89="0",COUNTIF(КлючОсень,C89)&gt;1),0,MATCH(F89,ВидыНагр,0))</f>
        <v>0</v>
      </c>
      <c r="B89" s="178" t="b">
        <f>(COUNTA(D89:F90,J89:W89,H89:I90)=0)</f>
        <v>1</v>
      </c>
      <c r="C89" s="179" t="str">
        <f>IF(OR(TRIM(D89)="",COUNTIF(ВидыНагр,F89)&lt;&gt;1),"0",CONCATENATE("$",TRIM(D89),"$",TRIM(E89),"$",F89,"$"))</f>
        <v>0</v>
      </c>
      <c r="D89" s="340"/>
      <c r="E89" s="338"/>
      <c r="F89" s="342"/>
      <c r="G89" s="180" t="s">
        <v>7</v>
      </c>
      <c r="H89" s="181"/>
      <c r="I89" s="182"/>
      <c r="J89" s="183"/>
      <c r="K89" s="184"/>
      <c r="L89" s="185"/>
      <c r="M89" s="183"/>
      <c r="N89" s="184"/>
      <c r="O89" s="186"/>
      <c r="P89" s="183"/>
      <c r="Q89" s="184"/>
      <c r="R89" s="185"/>
      <c r="S89" s="183"/>
      <c r="T89" s="184"/>
      <c r="U89" s="187"/>
      <c r="V89" s="186"/>
      <c r="W89" s="186"/>
      <c r="X89" s="279">
        <f t="shared" si="4"/>
        <v>0</v>
      </c>
      <c r="Y89" s="344">
        <f>X90-X89</f>
        <v>0</v>
      </c>
      <c r="Z89" s="346"/>
    </row>
    <row r="90" spans="1:26" ht="14.25" customHeight="1" x14ac:dyDescent="0.3">
      <c r="A90" s="178">
        <f>-A89</f>
        <v>0</v>
      </c>
      <c r="B90" s="178" t="b">
        <f>B89</f>
        <v>1</v>
      </c>
      <c r="C90" s="188"/>
      <c r="D90" s="341"/>
      <c r="E90" s="339"/>
      <c r="F90" s="343"/>
      <c r="G90" s="189" t="s">
        <v>8</v>
      </c>
      <c r="H90" s="190"/>
      <c r="I90" s="280"/>
      <c r="J90" s="281">
        <f>SUMIF('09'!$D$7:$D$159,$C89,'09'!L$7:L$159)+SUMIF('10'!$D$7:$D$159,$C89,'10'!L$7:L$159)+SUMIF('11'!$D$7:$D$159,$C89,'11'!L$7:L$159)+SUMIF('12'!$D$7:$D$159,$C89,'12'!L$7:L$159)+SUMIF('01'!$D$7:$D$159,$C89,'01'!L$7:L$159)</f>
        <v>0</v>
      </c>
      <c r="K90" s="282">
        <f>SUMIF('09'!$D$7:$D$159,$C89,'09'!M$7:M$159)+SUMIF('10'!$D$7:$D$159,$C89,'10'!M$7:M$159)+SUMIF('11'!$D$7:$D$159,$C89,'11'!M$7:M$159)+SUMIF('12'!$D$7:$D$159,$C89,'12'!M$7:M$159)+SUMIF('01'!$D$7:$D$159,$C89,'01'!M$7:M$159)</f>
        <v>0</v>
      </c>
      <c r="L90" s="283">
        <f>SUMIF('09'!$D$7:$D$159,$C89,'09'!N$7:N$159)+SUMIF('10'!$D$7:$D$159,$C89,'10'!N$7:N$159)+SUMIF('11'!$D$7:$D$159,$C89,'11'!N$7:N$159)+SUMIF('12'!$D$7:$D$159,$C89,'12'!N$7:N$159)+SUMIF('01'!$D$7:$D$159,$C89,'01'!N$7:N$159)</f>
        <v>0</v>
      </c>
      <c r="M90" s="281">
        <f>SUMIF('09'!$D$7:$D$159,$C89,'09'!O$7:O$159)+SUMIF('10'!$D$7:$D$159,$C89,'10'!O$7:O$159)+SUMIF('11'!$D$7:$D$159,$C89,'11'!O$7:O$159)+SUMIF('12'!$D$7:$D$159,$C89,'12'!O$7:O$159)+SUMIF('01'!$D$7:$D$159,$C89,'01'!O$7:O$159)</f>
        <v>0</v>
      </c>
      <c r="N90" s="282">
        <f>SUMIF('09'!$D$7:$D$159,$C89,'09'!P$7:P$159)+SUMIF('10'!$D$7:$D$159,$C89,'10'!P$7:P$159)+SUMIF('11'!$D$7:$D$159,$C89,'11'!P$7:P$159)+SUMIF('12'!$D$7:$D$159,$C89,'12'!P$7:P$159)+SUMIF('01'!$D$7:$D$159,$C89,'01'!P$7:P$159)</f>
        <v>0</v>
      </c>
      <c r="O90" s="284">
        <f>SUMIF('09'!$D$7:$D$159,$C89,'09'!Q$7:Q$159)+SUMIF('10'!$D$7:$D$159,$C89,'10'!Q$7:Q$159)+SUMIF('11'!$D$7:$D$159,$C89,'11'!Q$7:Q$159)+SUMIF('12'!$D$7:$D$159,$C89,'12'!Q$7:Q$159)+SUMIF('01'!$D$7:$D$159,$C89,'01'!Q$7:Q$159)</f>
        <v>0</v>
      </c>
      <c r="P90" s="281">
        <f>SUMIF('09'!$D$7:$D$159,$C89,'09'!R$7:R$159)+SUMIF('10'!$D$7:$D$159,$C89,'10'!R$7:R$159)+SUMIF('11'!$D$7:$D$159,$C89,'11'!R$7:R$159)+SUMIF('12'!$D$7:$D$159,$C89,'12'!R$7:R$159)+SUMIF('01'!$D$7:$D$159,$C89,'01'!R$7:R$159)</f>
        <v>0</v>
      </c>
      <c r="Q90" s="282">
        <f>SUMIF('09'!$D$7:$D$159,$C89,'09'!S$7:S$159)+SUMIF('10'!$D$7:$D$159,$C89,'10'!S$7:S$159)+SUMIF('11'!$D$7:$D$159,$C89,'11'!S$7:S$159)+SUMIF('12'!$D$7:$D$159,$C89,'12'!S$7:S$159)+SUMIF('01'!$D$7:$D$159,$C89,'01'!S$7:S$159)</f>
        <v>0</v>
      </c>
      <c r="R90" s="283">
        <f>SUMIF('09'!$D$7:$D$159,$C89,'09'!T$7:T$159)+SUMIF('10'!$D$7:$D$159,$C89,'10'!T$7:T$159)+SUMIF('11'!$D$7:$D$159,$C89,'11'!T$7:T$159)+SUMIF('12'!$D$7:$D$159,$C89,'12'!T$7:T$159)+SUMIF('01'!$D$7:$D$159,$C89,'01'!T$7:T$159)</f>
        <v>0</v>
      </c>
      <c r="S90" s="281">
        <f>SUMIF('09'!$D$7:$D$159,$C89,'09'!U$7:U$159)+SUMIF('10'!$D$7:$D$159,$C89,'10'!U$7:U$159)+SUMIF('11'!$D$7:$D$159,$C89,'11'!U$7:U$159)+SUMIF('12'!$D$7:$D$159,$C89,'12'!U$7:U$159)+SUMIF('01'!$D$7:$D$159,$C89,'01'!U$7:U$159)</f>
        <v>0</v>
      </c>
      <c r="T90" s="282">
        <f>SUMIF('09'!$D$7:$D$159,$C89,'09'!V$7:V$159)+SUMIF('10'!$D$7:$D$159,$C89,'10'!V$7:V$159)+SUMIF('11'!$D$7:$D$159,$C89,'11'!V$7:V$159)+SUMIF('12'!$D$7:$D$159,$C89,'12'!V$7:V$159)+SUMIF('01'!$D$7:$D$159,$C89,'01'!V$7:V$159)</f>
        <v>0</v>
      </c>
      <c r="U90" s="285">
        <f>SUMIF('09'!$D$7:$D$159,$C89,'09'!W$7:W$159)+SUMIF('10'!$D$7:$D$159,$C89,'10'!W$7:W$159)+SUMIF('11'!$D$7:$D$159,$C89,'11'!W$7:W$159)+SUMIF('12'!$D$7:$D$159,$C89,'12'!W$7:W$159)+SUMIF('01'!$D$7:$D$159,$C89,'01'!W$7:W$159)</f>
        <v>0</v>
      </c>
      <c r="V90" s="284">
        <f>SUMIF('09'!$D$7:$D$159,$C89,'09'!X$7:X$159)+SUMIF('10'!$D$7:$D$159,$C89,'10'!X$7:X$159)+SUMIF('11'!$D$7:$D$159,$C89,'11'!X$7:X$159)+SUMIF('12'!$D$7:$D$159,$C89,'12'!X$7:X$159)+SUMIF('01'!$D$7:$D$159,$C89,'01'!X$7:X$159)</f>
        <v>0</v>
      </c>
      <c r="W90" s="284">
        <f>SUMIF('09'!$D$7:$D$159,$C89,'09'!Y$7:Y$159)+SUMIF('10'!$D$7:$D$159,$C89,'10'!Y$7:Y$159)+SUMIF('11'!$D$7:$D$159,$C89,'11'!Y$7:Y$159)+SUMIF('12'!$D$7:$D$159,$C89,'12'!Y$7:Y$159)+SUMIF('01'!$D$7:$D$159,$C89,'01'!Y$7:Y$159)</f>
        <v>0</v>
      </c>
      <c r="X90" s="286">
        <f t="shared" si="4"/>
        <v>0</v>
      </c>
      <c r="Y90" s="345"/>
      <c r="Z90" s="347"/>
    </row>
    <row r="91" spans="1:26" ht="14.25" customHeight="1" x14ac:dyDescent="0.3">
      <c r="A91" s="178">
        <f>IF(OR(C91="0",COUNTIF(КлючОсень,C91)&gt;1),0,MATCH(F91,ВидыНагр,0))</f>
        <v>0</v>
      </c>
      <c r="B91" s="178" t="b">
        <f>(COUNTA(D91:F92,J91:W91,H91:I92)=0)</f>
        <v>1</v>
      </c>
      <c r="C91" s="179" t="str">
        <f>IF(OR(TRIM(D91)="",COUNTIF(ВидыНагр,F91)&lt;&gt;1),"0",CONCATENATE("$",TRIM(D91),"$",TRIM(E91),"$",F91,"$"))</f>
        <v>0</v>
      </c>
      <c r="D91" s="340"/>
      <c r="E91" s="338"/>
      <c r="F91" s="342"/>
      <c r="G91" s="180" t="s">
        <v>7</v>
      </c>
      <c r="H91" s="181"/>
      <c r="I91" s="182"/>
      <c r="J91" s="183"/>
      <c r="K91" s="184"/>
      <c r="L91" s="185"/>
      <c r="M91" s="183"/>
      <c r="N91" s="184"/>
      <c r="O91" s="186"/>
      <c r="P91" s="183"/>
      <c r="Q91" s="184"/>
      <c r="R91" s="185"/>
      <c r="S91" s="183"/>
      <c r="T91" s="184"/>
      <c r="U91" s="187"/>
      <c r="V91" s="186"/>
      <c r="W91" s="186"/>
      <c r="X91" s="279">
        <f t="shared" si="4"/>
        <v>0</v>
      </c>
      <c r="Y91" s="344">
        <f>X92-X91</f>
        <v>0</v>
      </c>
      <c r="Z91" s="346"/>
    </row>
    <row r="92" spans="1:26" ht="14.25" customHeight="1" x14ac:dyDescent="0.3">
      <c r="A92" s="178">
        <f>-A91</f>
        <v>0</v>
      </c>
      <c r="B92" s="178" t="b">
        <f>B91</f>
        <v>1</v>
      </c>
      <c r="C92" s="188"/>
      <c r="D92" s="341"/>
      <c r="E92" s="339"/>
      <c r="F92" s="343"/>
      <c r="G92" s="189" t="s">
        <v>8</v>
      </c>
      <c r="H92" s="190"/>
      <c r="I92" s="280"/>
      <c r="J92" s="281">
        <f>SUMIF('09'!$D$7:$D$159,$C91,'09'!L$7:L$159)+SUMIF('10'!$D$7:$D$159,$C91,'10'!L$7:L$159)+SUMIF('11'!$D$7:$D$159,$C91,'11'!L$7:L$159)+SUMIF('12'!$D$7:$D$159,$C91,'12'!L$7:L$159)+SUMIF('01'!$D$7:$D$159,$C91,'01'!L$7:L$159)</f>
        <v>0</v>
      </c>
      <c r="K92" s="282">
        <f>SUMIF('09'!$D$7:$D$159,$C91,'09'!M$7:M$159)+SUMIF('10'!$D$7:$D$159,$C91,'10'!M$7:M$159)+SUMIF('11'!$D$7:$D$159,$C91,'11'!M$7:M$159)+SUMIF('12'!$D$7:$D$159,$C91,'12'!M$7:M$159)+SUMIF('01'!$D$7:$D$159,$C91,'01'!M$7:M$159)</f>
        <v>0</v>
      </c>
      <c r="L92" s="283">
        <f>SUMIF('09'!$D$7:$D$159,$C91,'09'!N$7:N$159)+SUMIF('10'!$D$7:$D$159,$C91,'10'!N$7:N$159)+SUMIF('11'!$D$7:$D$159,$C91,'11'!N$7:N$159)+SUMIF('12'!$D$7:$D$159,$C91,'12'!N$7:N$159)+SUMIF('01'!$D$7:$D$159,$C91,'01'!N$7:N$159)</f>
        <v>0</v>
      </c>
      <c r="M92" s="281">
        <f>SUMIF('09'!$D$7:$D$159,$C91,'09'!O$7:O$159)+SUMIF('10'!$D$7:$D$159,$C91,'10'!O$7:O$159)+SUMIF('11'!$D$7:$D$159,$C91,'11'!O$7:O$159)+SUMIF('12'!$D$7:$D$159,$C91,'12'!O$7:O$159)+SUMIF('01'!$D$7:$D$159,$C91,'01'!O$7:O$159)</f>
        <v>0</v>
      </c>
      <c r="N92" s="282">
        <f>SUMIF('09'!$D$7:$D$159,$C91,'09'!P$7:P$159)+SUMIF('10'!$D$7:$D$159,$C91,'10'!P$7:P$159)+SUMIF('11'!$D$7:$D$159,$C91,'11'!P$7:P$159)+SUMIF('12'!$D$7:$D$159,$C91,'12'!P$7:P$159)+SUMIF('01'!$D$7:$D$159,$C91,'01'!P$7:P$159)</f>
        <v>0</v>
      </c>
      <c r="O92" s="284">
        <f>SUMIF('09'!$D$7:$D$159,$C91,'09'!Q$7:Q$159)+SUMIF('10'!$D$7:$D$159,$C91,'10'!Q$7:Q$159)+SUMIF('11'!$D$7:$D$159,$C91,'11'!Q$7:Q$159)+SUMIF('12'!$D$7:$D$159,$C91,'12'!Q$7:Q$159)+SUMIF('01'!$D$7:$D$159,$C91,'01'!Q$7:Q$159)</f>
        <v>0</v>
      </c>
      <c r="P92" s="281">
        <f>SUMIF('09'!$D$7:$D$159,$C91,'09'!R$7:R$159)+SUMIF('10'!$D$7:$D$159,$C91,'10'!R$7:R$159)+SUMIF('11'!$D$7:$D$159,$C91,'11'!R$7:R$159)+SUMIF('12'!$D$7:$D$159,$C91,'12'!R$7:R$159)+SUMIF('01'!$D$7:$D$159,$C91,'01'!R$7:R$159)</f>
        <v>0</v>
      </c>
      <c r="Q92" s="282">
        <f>SUMIF('09'!$D$7:$D$159,$C91,'09'!S$7:S$159)+SUMIF('10'!$D$7:$D$159,$C91,'10'!S$7:S$159)+SUMIF('11'!$D$7:$D$159,$C91,'11'!S$7:S$159)+SUMIF('12'!$D$7:$D$159,$C91,'12'!S$7:S$159)+SUMIF('01'!$D$7:$D$159,$C91,'01'!S$7:S$159)</f>
        <v>0</v>
      </c>
      <c r="R92" s="283">
        <f>SUMIF('09'!$D$7:$D$159,$C91,'09'!T$7:T$159)+SUMIF('10'!$D$7:$D$159,$C91,'10'!T$7:T$159)+SUMIF('11'!$D$7:$D$159,$C91,'11'!T$7:T$159)+SUMIF('12'!$D$7:$D$159,$C91,'12'!T$7:T$159)+SUMIF('01'!$D$7:$D$159,$C91,'01'!T$7:T$159)</f>
        <v>0</v>
      </c>
      <c r="S92" s="281">
        <f>SUMIF('09'!$D$7:$D$159,$C91,'09'!U$7:U$159)+SUMIF('10'!$D$7:$D$159,$C91,'10'!U$7:U$159)+SUMIF('11'!$D$7:$D$159,$C91,'11'!U$7:U$159)+SUMIF('12'!$D$7:$D$159,$C91,'12'!U$7:U$159)+SUMIF('01'!$D$7:$D$159,$C91,'01'!U$7:U$159)</f>
        <v>0</v>
      </c>
      <c r="T92" s="282">
        <f>SUMIF('09'!$D$7:$D$159,$C91,'09'!V$7:V$159)+SUMIF('10'!$D$7:$D$159,$C91,'10'!V$7:V$159)+SUMIF('11'!$D$7:$D$159,$C91,'11'!V$7:V$159)+SUMIF('12'!$D$7:$D$159,$C91,'12'!V$7:V$159)+SUMIF('01'!$D$7:$D$159,$C91,'01'!V$7:V$159)</f>
        <v>0</v>
      </c>
      <c r="U92" s="285">
        <f>SUMIF('09'!$D$7:$D$159,$C91,'09'!W$7:W$159)+SUMIF('10'!$D$7:$D$159,$C91,'10'!W$7:W$159)+SUMIF('11'!$D$7:$D$159,$C91,'11'!W$7:W$159)+SUMIF('12'!$D$7:$D$159,$C91,'12'!W$7:W$159)+SUMIF('01'!$D$7:$D$159,$C91,'01'!W$7:W$159)</f>
        <v>0</v>
      </c>
      <c r="V92" s="284">
        <f>SUMIF('09'!$D$7:$D$159,$C91,'09'!X$7:X$159)+SUMIF('10'!$D$7:$D$159,$C91,'10'!X$7:X$159)+SUMIF('11'!$D$7:$D$159,$C91,'11'!X$7:X$159)+SUMIF('12'!$D$7:$D$159,$C91,'12'!X$7:X$159)+SUMIF('01'!$D$7:$D$159,$C91,'01'!X$7:X$159)</f>
        <v>0</v>
      </c>
      <c r="W92" s="284">
        <f>SUMIF('09'!$D$7:$D$159,$C91,'09'!Y$7:Y$159)+SUMIF('10'!$D$7:$D$159,$C91,'10'!Y$7:Y$159)+SUMIF('11'!$D$7:$D$159,$C91,'11'!Y$7:Y$159)+SUMIF('12'!$D$7:$D$159,$C91,'12'!Y$7:Y$159)+SUMIF('01'!$D$7:$D$159,$C91,'01'!Y$7:Y$159)</f>
        <v>0</v>
      </c>
      <c r="X92" s="286">
        <f t="shared" si="4"/>
        <v>0</v>
      </c>
      <c r="Y92" s="345"/>
      <c r="Z92" s="347"/>
    </row>
    <row r="93" spans="1:26" ht="14.25" customHeight="1" x14ac:dyDescent="0.3">
      <c r="A93" s="178">
        <f>IF(OR(C93="0",COUNTIF(КлючОсень,C93)&gt;1),0,MATCH(F93,ВидыНагр,0))</f>
        <v>0</v>
      </c>
      <c r="B93" s="178" t="b">
        <f>(COUNTA(D93:F94,J93:W93,H93:I94)=0)</f>
        <v>1</v>
      </c>
      <c r="C93" s="179" t="str">
        <f>IF(OR(TRIM(D93)="",COUNTIF(ВидыНагр,F93)&lt;&gt;1),"0",CONCATENATE("$",TRIM(D93),"$",TRIM(E93),"$",F93,"$"))</f>
        <v>0</v>
      </c>
      <c r="D93" s="340"/>
      <c r="E93" s="338"/>
      <c r="F93" s="342"/>
      <c r="G93" s="180" t="s">
        <v>7</v>
      </c>
      <c r="H93" s="181"/>
      <c r="I93" s="182"/>
      <c r="J93" s="183"/>
      <c r="K93" s="184"/>
      <c r="L93" s="185"/>
      <c r="M93" s="183"/>
      <c r="N93" s="184"/>
      <c r="O93" s="186"/>
      <c r="P93" s="183"/>
      <c r="Q93" s="184"/>
      <c r="R93" s="185"/>
      <c r="S93" s="183"/>
      <c r="T93" s="184"/>
      <c r="U93" s="187"/>
      <c r="V93" s="186"/>
      <c r="W93" s="186"/>
      <c r="X93" s="279">
        <f t="shared" si="4"/>
        <v>0</v>
      </c>
      <c r="Y93" s="344">
        <f>X94-X93</f>
        <v>0</v>
      </c>
      <c r="Z93" s="346"/>
    </row>
    <row r="94" spans="1:26" ht="14.25" customHeight="1" x14ac:dyDescent="0.3">
      <c r="A94" s="178">
        <f>-A93</f>
        <v>0</v>
      </c>
      <c r="B94" s="178" t="b">
        <f>B93</f>
        <v>1</v>
      </c>
      <c r="C94" s="188"/>
      <c r="D94" s="341"/>
      <c r="E94" s="339"/>
      <c r="F94" s="343"/>
      <c r="G94" s="189" t="s">
        <v>8</v>
      </c>
      <c r="H94" s="190"/>
      <c r="I94" s="280"/>
      <c r="J94" s="281">
        <f>SUMIF('09'!$D$7:$D$159,$C93,'09'!L$7:L$159)+SUMIF('10'!$D$7:$D$159,$C93,'10'!L$7:L$159)+SUMIF('11'!$D$7:$D$159,$C93,'11'!L$7:L$159)+SUMIF('12'!$D$7:$D$159,$C93,'12'!L$7:L$159)+SUMIF('01'!$D$7:$D$159,$C93,'01'!L$7:L$159)</f>
        <v>0</v>
      </c>
      <c r="K94" s="282">
        <f>SUMIF('09'!$D$7:$D$159,$C93,'09'!M$7:M$159)+SUMIF('10'!$D$7:$D$159,$C93,'10'!M$7:M$159)+SUMIF('11'!$D$7:$D$159,$C93,'11'!M$7:M$159)+SUMIF('12'!$D$7:$D$159,$C93,'12'!M$7:M$159)+SUMIF('01'!$D$7:$D$159,$C93,'01'!M$7:M$159)</f>
        <v>0</v>
      </c>
      <c r="L94" s="283">
        <f>SUMIF('09'!$D$7:$D$159,$C93,'09'!N$7:N$159)+SUMIF('10'!$D$7:$D$159,$C93,'10'!N$7:N$159)+SUMIF('11'!$D$7:$D$159,$C93,'11'!N$7:N$159)+SUMIF('12'!$D$7:$D$159,$C93,'12'!N$7:N$159)+SUMIF('01'!$D$7:$D$159,$C93,'01'!N$7:N$159)</f>
        <v>0</v>
      </c>
      <c r="M94" s="281">
        <f>SUMIF('09'!$D$7:$D$159,$C93,'09'!O$7:O$159)+SUMIF('10'!$D$7:$D$159,$C93,'10'!O$7:O$159)+SUMIF('11'!$D$7:$D$159,$C93,'11'!O$7:O$159)+SUMIF('12'!$D$7:$D$159,$C93,'12'!O$7:O$159)+SUMIF('01'!$D$7:$D$159,$C93,'01'!O$7:O$159)</f>
        <v>0</v>
      </c>
      <c r="N94" s="282">
        <f>SUMIF('09'!$D$7:$D$159,$C93,'09'!P$7:P$159)+SUMIF('10'!$D$7:$D$159,$C93,'10'!P$7:P$159)+SUMIF('11'!$D$7:$D$159,$C93,'11'!P$7:P$159)+SUMIF('12'!$D$7:$D$159,$C93,'12'!P$7:P$159)+SUMIF('01'!$D$7:$D$159,$C93,'01'!P$7:P$159)</f>
        <v>0</v>
      </c>
      <c r="O94" s="284">
        <f>SUMIF('09'!$D$7:$D$159,$C93,'09'!Q$7:Q$159)+SUMIF('10'!$D$7:$D$159,$C93,'10'!Q$7:Q$159)+SUMIF('11'!$D$7:$D$159,$C93,'11'!Q$7:Q$159)+SUMIF('12'!$D$7:$D$159,$C93,'12'!Q$7:Q$159)+SUMIF('01'!$D$7:$D$159,$C93,'01'!Q$7:Q$159)</f>
        <v>0</v>
      </c>
      <c r="P94" s="281">
        <f>SUMIF('09'!$D$7:$D$159,$C93,'09'!R$7:R$159)+SUMIF('10'!$D$7:$D$159,$C93,'10'!R$7:R$159)+SUMIF('11'!$D$7:$D$159,$C93,'11'!R$7:R$159)+SUMIF('12'!$D$7:$D$159,$C93,'12'!R$7:R$159)+SUMIF('01'!$D$7:$D$159,$C93,'01'!R$7:R$159)</f>
        <v>0</v>
      </c>
      <c r="Q94" s="282">
        <f>SUMIF('09'!$D$7:$D$159,$C93,'09'!S$7:S$159)+SUMIF('10'!$D$7:$D$159,$C93,'10'!S$7:S$159)+SUMIF('11'!$D$7:$D$159,$C93,'11'!S$7:S$159)+SUMIF('12'!$D$7:$D$159,$C93,'12'!S$7:S$159)+SUMIF('01'!$D$7:$D$159,$C93,'01'!S$7:S$159)</f>
        <v>0</v>
      </c>
      <c r="R94" s="283">
        <f>SUMIF('09'!$D$7:$D$159,$C93,'09'!T$7:T$159)+SUMIF('10'!$D$7:$D$159,$C93,'10'!T$7:T$159)+SUMIF('11'!$D$7:$D$159,$C93,'11'!T$7:T$159)+SUMIF('12'!$D$7:$D$159,$C93,'12'!T$7:T$159)+SUMIF('01'!$D$7:$D$159,$C93,'01'!T$7:T$159)</f>
        <v>0</v>
      </c>
      <c r="S94" s="281">
        <f>SUMIF('09'!$D$7:$D$159,$C93,'09'!U$7:U$159)+SUMIF('10'!$D$7:$D$159,$C93,'10'!U$7:U$159)+SUMIF('11'!$D$7:$D$159,$C93,'11'!U$7:U$159)+SUMIF('12'!$D$7:$D$159,$C93,'12'!U$7:U$159)+SUMIF('01'!$D$7:$D$159,$C93,'01'!U$7:U$159)</f>
        <v>0</v>
      </c>
      <c r="T94" s="282">
        <f>SUMIF('09'!$D$7:$D$159,$C93,'09'!V$7:V$159)+SUMIF('10'!$D$7:$D$159,$C93,'10'!V$7:V$159)+SUMIF('11'!$D$7:$D$159,$C93,'11'!V$7:V$159)+SUMIF('12'!$D$7:$D$159,$C93,'12'!V$7:V$159)+SUMIF('01'!$D$7:$D$159,$C93,'01'!V$7:V$159)</f>
        <v>0</v>
      </c>
      <c r="U94" s="285">
        <f>SUMIF('09'!$D$7:$D$159,$C93,'09'!W$7:W$159)+SUMIF('10'!$D$7:$D$159,$C93,'10'!W$7:W$159)+SUMIF('11'!$D$7:$D$159,$C93,'11'!W$7:W$159)+SUMIF('12'!$D$7:$D$159,$C93,'12'!W$7:W$159)+SUMIF('01'!$D$7:$D$159,$C93,'01'!W$7:W$159)</f>
        <v>0</v>
      </c>
      <c r="V94" s="284">
        <f>SUMIF('09'!$D$7:$D$159,$C93,'09'!X$7:X$159)+SUMIF('10'!$D$7:$D$159,$C93,'10'!X$7:X$159)+SUMIF('11'!$D$7:$D$159,$C93,'11'!X$7:X$159)+SUMIF('12'!$D$7:$D$159,$C93,'12'!X$7:X$159)+SUMIF('01'!$D$7:$D$159,$C93,'01'!X$7:X$159)</f>
        <v>0</v>
      </c>
      <c r="W94" s="284">
        <f>SUMIF('09'!$D$7:$D$159,$C93,'09'!Y$7:Y$159)+SUMIF('10'!$D$7:$D$159,$C93,'10'!Y$7:Y$159)+SUMIF('11'!$D$7:$D$159,$C93,'11'!Y$7:Y$159)+SUMIF('12'!$D$7:$D$159,$C93,'12'!Y$7:Y$159)+SUMIF('01'!$D$7:$D$159,$C93,'01'!Y$7:Y$159)</f>
        <v>0</v>
      </c>
      <c r="X94" s="286">
        <f t="shared" si="4"/>
        <v>0</v>
      </c>
      <c r="Y94" s="345"/>
      <c r="Z94" s="347"/>
    </row>
    <row r="95" spans="1:26" ht="14.25" customHeight="1" x14ac:dyDescent="0.3">
      <c r="A95" s="178">
        <f>IF(OR(C95="0",COUNTIF(КлючОсень,C95)&gt;1),0,MATCH(F95,ВидыНагр,0))</f>
        <v>0</v>
      </c>
      <c r="B95" s="178" t="b">
        <f>(COUNTA(D95:F96,J95:W95,H95:I96)=0)</f>
        <v>1</v>
      </c>
      <c r="C95" s="179" t="str">
        <f>IF(OR(TRIM(D95)="",COUNTIF(ВидыНагр,F95)&lt;&gt;1),"0",CONCATENATE("$",TRIM(D95),"$",TRIM(E95),"$",F95,"$"))</f>
        <v>0</v>
      </c>
      <c r="D95" s="340"/>
      <c r="E95" s="338"/>
      <c r="F95" s="342"/>
      <c r="G95" s="180" t="s">
        <v>7</v>
      </c>
      <c r="H95" s="181"/>
      <c r="I95" s="182"/>
      <c r="J95" s="183"/>
      <c r="K95" s="184"/>
      <c r="L95" s="185"/>
      <c r="M95" s="183"/>
      <c r="N95" s="184"/>
      <c r="O95" s="186"/>
      <c r="P95" s="183"/>
      <c r="Q95" s="184"/>
      <c r="R95" s="185"/>
      <c r="S95" s="183"/>
      <c r="T95" s="184"/>
      <c r="U95" s="187"/>
      <c r="V95" s="186"/>
      <c r="W95" s="186"/>
      <c r="X95" s="279">
        <f t="shared" si="4"/>
        <v>0</v>
      </c>
      <c r="Y95" s="344">
        <f>X96-X95</f>
        <v>0</v>
      </c>
      <c r="Z95" s="346"/>
    </row>
    <row r="96" spans="1:26" ht="14.25" customHeight="1" x14ac:dyDescent="0.3">
      <c r="A96" s="178">
        <f>-A95</f>
        <v>0</v>
      </c>
      <c r="B96" s="178" t="b">
        <f>B95</f>
        <v>1</v>
      </c>
      <c r="C96" s="188"/>
      <c r="D96" s="341"/>
      <c r="E96" s="339"/>
      <c r="F96" s="343"/>
      <c r="G96" s="189" t="s">
        <v>8</v>
      </c>
      <c r="H96" s="190"/>
      <c r="I96" s="280"/>
      <c r="J96" s="281">
        <f>SUMIF('09'!$D$7:$D$159,$C95,'09'!L$7:L$159)+SUMIF('10'!$D$7:$D$159,$C95,'10'!L$7:L$159)+SUMIF('11'!$D$7:$D$159,$C95,'11'!L$7:L$159)+SUMIF('12'!$D$7:$D$159,$C95,'12'!L$7:L$159)+SUMIF('01'!$D$7:$D$159,$C95,'01'!L$7:L$159)</f>
        <v>0</v>
      </c>
      <c r="K96" s="282">
        <f>SUMIF('09'!$D$7:$D$159,$C95,'09'!M$7:M$159)+SUMIF('10'!$D$7:$D$159,$C95,'10'!M$7:M$159)+SUMIF('11'!$D$7:$D$159,$C95,'11'!M$7:M$159)+SUMIF('12'!$D$7:$D$159,$C95,'12'!M$7:M$159)+SUMIF('01'!$D$7:$D$159,$C95,'01'!M$7:M$159)</f>
        <v>0</v>
      </c>
      <c r="L96" s="283">
        <f>SUMIF('09'!$D$7:$D$159,$C95,'09'!N$7:N$159)+SUMIF('10'!$D$7:$D$159,$C95,'10'!N$7:N$159)+SUMIF('11'!$D$7:$D$159,$C95,'11'!N$7:N$159)+SUMIF('12'!$D$7:$D$159,$C95,'12'!N$7:N$159)+SUMIF('01'!$D$7:$D$159,$C95,'01'!N$7:N$159)</f>
        <v>0</v>
      </c>
      <c r="M96" s="281">
        <f>SUMIF('09'!$D$7:$D$159,$C95,'09'!O$7:O$159)+SUMIF('10'!$D$7:$D$159,$C95,'10'!O$7:O$159)+SUMIF('11'!$D$7:$D$159,$C95,'11'!O$7:O$159)+SUMIF('12'!$D$7:$D$159,$C95,'12'!O$7:O$159)+SUMIF('01'!$D$7:$D$159,$C95,'01'!O$7:O$159)</f>
        <v>0</v>
      </c>
      <c r="N96" s="282">
        <f>SUMIF('09'!$D$7:$D$159,$C95,'09'!P$7:P$159)+SUMIF('10'!$D$7:$D$159,$C95,'10'!P$7:P$159)+SUMIF('11'!$D$7:$D$159,$C95,'11'!P$7:P$159)+SUMIF('12'!$D$7:$D$159,$C95,'12'!P$7:P$159)+SUMIF('01'!$D$7:$D$159,$C95,'01'!P$7:P$159)</f>
        <v>0</v>
      </c>
      <c r="O96" s="284">
        <f>SUMIF('09'!$D$7:$D$159,$C95,'09'!Q$7:Q$159)+SUMIF('10'!$D$7:$D$159,$C95,'10'!Q$7:Q$159)+SUMIF('11'!$D$7:$D$159,$C95,'11'!Q$7:Q$159)+SUMIF('12'!$D$7:$D$159,$C95,'12'!Q$7:Q$159)+SUMIF('01'!$D$7:$D$159,$C95,'01'!Q$7:Q$159)</f>
        <v>0</v>
      </c>
      <c r="P96" s="281">
        <f>SUMIF('09'!$D$7:$D$159,$C95,'09'!R$7:R$159)+SUMIF('10'!$D$7:$D$159,$C95,'10'!R$7:R$159)+SUMIF('11'!$D$7:$D$159,$C95,'11'!R$7:R$159)+SUMIF('12'!$D$7:$D$159,$C95,'12'!R$7:R$159)+SUMIF('01'!$D$7:$D$159,$C95,'01'!R$7:R$159)</f>
        <v>0</v>
      </c>
      <c r="Q96" s="282">
        <f>SUMIF('09'!$D$7:$D$159,$C95,'09'!S$7:S$159)+SUMIF('10'!$D$7:$D$159,$C95,'10'!S$7:S$159)+SUMIF('11'!$D$7:$D$159,$C95,'11'!S$7:S$159)+SUMIF('12'!$D$7:$D$159,$C95,'12'!S$7:S$159)+SUMIF('01'!$D$7:$D$159,$C95,'01'!S$7:S$159)</f>
        <v>0</v>
      </c>
      <c r="R96" s="283">
        <f>SUMIF('09'!$D$7:$D$159,$C95,'09'!T$7:T$159)+SUMIF('10'!$D$7:$D$159,$C95,'10'!T$7:T$159)+SUMIF('11'!$D$7:$D$159,$C95,'11'!T$7:T$159)+SUMIF('12'!$D$7:$D$159,$C95,'12'!T$7:T$159)+SUMIF('01'!$D$7:$D$159,$C95,'01'!T$7:T$159)</f>
        <v>0</v>
      </c>
      <c r="S96" s="281">
        <f>SUMIF('09'!$D$7:$D$159,$C95,'09'!U$7:U$159)+SUMIF('10'!$D$7:$D$159,$C95,'10'!U$7:U$159)+SUMIF('11'!$D$7:$D$159,$C95,'11'!U$7:U$159)+SUMIF('12'!$D$7:$D$159,$C95,'12'!U$7:U$159)+SUMIF('01'!$D$7:$D$159,$C95,'01'!U$7:U$159)</f>
        <v>0</v>
      </c>
      <c r="T96" s="282">
        <f>SUMIF('09'!$D$7:$D$159,$C95,'09'!V$7:V$159)+SUMIF('10'!$D$7:$D$159,$C95,'10'!V$7:V$159)+SUMIF('11'!$D$7:$D$159,$C95,'11'!V$7:V$159)+SUMIF('12'!$D$7:$D$159,$C95,'12'!V$7:V$159)+SUMIF('01'!$D$7:$D$159,$C95,'01'!V$7:V$159)</f>
        <v>0</v>
      </c>
      <c r="U96" s="285">
        <f>SUMIF('09'!$D$7:$D$159,$C95,'09'!W$7:W$159)+SUMIF('10'!$D$7:$D$159,$C95,'10'!W$7:W$159)+SUMIF('11'!$D$7:$D$159,$C95,'11'!W$7:W$159)+SUMIF('12'!$D$7:$D$159,$C95,'12'!W$7:W$159)+SUMIF('01'!$D$7:$D$159,$C95,'01'!W$7:W$159)</f>
        <v>0</v>
      </c>
      <c r="V96" s="284">
        <f>SUMIF('09'!$D$7:$D$159,$C95,'09'!X$7:X$159)+SUMIF('10'!$D$7:$D$159,$C95,'10'!X$7:X$159)+SUMIF('11'!$D$7:$D$159,$C95,'11'!X$7:X$159)+SUMIF('12'!$D$7:$D$159,$C95,'12'!X$7:X$159)+SUMIF('01'!$D$7:$D$159,$C95,'01'!X$7:X$159)</f>
        <v>0</v>
      </c>
      <c r="W96" s="284">
        <f>SUMIF('09'!$D$7:$D$159,$C95,'09'!Y$7:Y$159)+SUMIF('10'!$D$7:$D$159,$C95,'10'!Y$7:Y$159)+SUMIF('11'!$D$7:$D$159,$C95,'11'!Y$7:Y$159)+SUMIF('12'!$D$7:$D$159,$C95,'12'!Y$7:Y$159)+SUMIF('01'!$D$7:$D$159,$C95,'01'!Y$7:Y$159)</f>
        <v>0</v>
      </c>
      <c r="X96" s="286">
        <f t="shared" si="4"/>
        <v>0</v>
      </c>
      <c r="Y96" s="345"/>
      <c r="Z96" s="347"/>
    </row>
    <row r="97" spans="1:26" ht="14.25" customHeight="1" x14ac:dyDescent="0.3">
      <c r="A97" s="178">
        <f>IF(OR(C97="0",COUNTIF(КлючОсень,C97)&gt;1),0,MATCH(F97,ВидыНагр,0))</f>
        <v>0</v>
      </c>
      <c r="B97" s="178" t="b">
        <f>(COUNTA(D97:F98,J97:W97,H97:I98)=0)</f>
        <v>1</v>
      </c>
      <c r="C97" s="179" t="str">
        <f>IF(OR(TRIM(D97)="",COUNTIF(ВидыНагр,F97)&lt;&gt;1),"0",CONCATENATE("$",TRIM(D97),"$",TRIM(E97),"$",F97,"$"))</f>
        <v>0</v>
      </c>
      <c r="D97" s="340"/>
      <c r="E97" s="338"/>
      <c r="F97" s="342"/>
      <c r="G97" s="180" t="s">
        <v>7</v>
      </c>
      <c r="H97" s="181"/>
      <c r="I97" s="182"/>
      <c r="J97" s="183"/>
      <c r="K97" s="184"/>
      <c r="L97" s="185"/>
      <c r="M97" s="183"/>
      <c r="N97" s="184"/>
      <c r="O97" s="186"/>
      <c r="P97" s="183"/>
      <c r="Q97" s="184"/>
      <c r="R97" s="185"/>
      <c r="S97" s="183"/>
      <c r="T97" s="184"/>
      <c r="U97" s="187"/>
      <c r="V97" s="186"/>
      <c r="W97" s="186"/>
      <c r="X97" s="279">
        <f t="shared" ref="X97:X176" si="5">SUM(J97:W97)</f>
        <v>0</v>
      </c>
      <c r="Y97" s="344">
        <f>X98-X97</f>
        <v>0</v>
      </c>
      <c r="Z97" s="346"/>
    </row>
    <row r="98" spans="1:26" ht="14.25" customHeight="1" x14ac:dyDescent="0.3">
      <c r="A98" s="178">
        <f>-A97</f>
        <v>0</v>
      </c>
      <c r="B98" s="178" t="b">
        <f>B97</f>
        <v>1</v>
      </c>
      <c r="C98" s="188"/>
      <c r="D98" s="341"/>
      <c r="E98" s="339"/>
      <c r="F98" s="343"/>
      <c r="G98" s="189" t="s">
        <v>8</v>
      </c>
      <c r="H98" s="190"/>
      <c r="I98" s="280"/>
      <c r="J98" s="281">
        <f>SUMIF('09'!$D$7:$D$159,$C97,'09'!L$7:L$159)+SUMIF('10'!$D$7:$D$159,$C97,'10'!L$7:L$159)+SUMIF('11'!$D$7:$D$159,$C97,'11'!L$7:L$159)+SUMIF('12'!$D$7:$D$159,$C97,'12'!L$7:L$159)+SUMIF('01'!$D$7:$D$159,$C97,'01'!L$7:L$159)</f>
        <v>0</v>
      </c>
      <c r="K98" s="282">
        <f>SUMIF('09'!$D$7:$D$159,$C97,'09'!M$7:M$159)+SUMIF('10'!$D$7:$D$159,$C97,'10'!M$7:M$159)+SUMIF('11'!$D$7:$D$159,$C97,'11'!M$7:M$159)+SUMIF('12'!$D$7:$D$159,$C97,'12'!M$7:M$159)+SUMIF('01'!$D$7:$D$159,$C97,'01'!M$7:M$159)</f>
        <v>0</v>
      </c>
      <c r="L98" s="283">
        <f>SUMIF('09'!$D$7:$D$159,$C97,'09'!N$7:N$159)+SUMIF('10'!$D$7:$D$159,$C97,'10'!N$7:N$159)+SUMIF('11'!$D$7:$D$159,$C97,'11'!N$7:N$159)+SUMIF('12'!$D$7:$D$159,$C97,'12'!N$7:N$159)+SUMIF('01'!$D$7:$D$159,$C97,'01'!N$7:N$159)</f>
        <v>0</v>
      </c>
      <c r="M98" s="281">
        <f>SUMIF('09'!$D$7:$D$159,$C97,'09'!O$7:O$159)+SUMIF('10'!$D$7:$D$159,$C97,'10'!O$7:O$159)+SUMIF('11'!$D$7:$D$159,$C97,'11'!O$7:O$159)+SUMIF('12'!$D$7:$D$159,$C97,'12'!O$7:O$159)+SUMIF('01'!$D$7:$D$159,$C97,'01'!O$7:O$159)</f>
        <v>0</v>
      </c>
      <c r="N98" s="282">
        <f>SUMIF('09'!$D$7:$D$159,$C97,'09'!P$7:P$159)+SUMIF('10'!$D$7:$D$159,$C97,'10'!P$7:P$159)+SUMIF('11'!$D$7:$D$159,$C97,'11'!P$7:P$159)+SUMIF('12'!$D$7:$D$159,$C97,'12'!P$7:P$159)+SUMIF('01'!$D$7:$D$159,$C97,'01'!P$7:P$159)</f>
        <v>0</v>
      </c>
      <c r="O98" s="284">
        <f>SUMIF('09'!$D$7:$D$159,$C97,'09'!Q$7:Q$159)+SUMIF('10'!$D$7:$D$159,$C97,'10'!Q$7:Q$159)+SUMIF('11'!$D$7:$D$159,$C97,'11'!Q$7:Q$159)+SUMIF('12'!$D$7:$D$159,$C97,'12'!Q$7:Q$159)+SUMIF('01'!$D$7:$D$159,$C97,'01'!Q$7:Q$159)</f>
        <v>0</v>
      </c>
      <c r="P98" s="281">
        <f>SUMIF('09'!$D$7:$D$159,$C97,'09'!R$7:R$159)+SUMIF('10'!$D$7:$D$159,$C97,'10'!R$7:R$159)+SUMIF('11'!$D$7:$D$159,$C97,'11'!R$7:R$159)+SUMIF('12'!$D$7:$D$159,$C97,'12'!R$7:R$159)+SUMIF('01'!$D$7:$D$159,$C97,'01'!R$7:R$159)</f>
        <v>0</v>
      </c>
      <c r="Q98" s="282">
        <f>SUMIF('09'!$D$7:$D$159,$C97,'09'!S$7:S$159)+SUMIF('10'!$D$7:$D$159,$C97,'10'!S$7:S$159)+SUMIF('11'!$D$7:$D$159,$C97,'11'!S$7:S$159)+SUMIF('12'!$D$7:$D$159,$C97,'12'!S$7:S$159)+SUMIF('01'!$D$7:$D$159,$C97,'01'!S$7:S$159)</f>
        <v>0</v>
      </c>
      <c r="R98" s="283">
        <f>SUMIF('09'!$D$7:$D$159,$C97,'09'!T$7:T$159)+SUMIF('10'!$D$7:$D$159,$C97,'10'!T$7:T$159)+SUMIF('11'!$D$7:$D$159,$C97,'11'!T$7:T$159)+SUMIF('12'!$D$7:$D$159,$C97,'12'!T$7:T$159)+SUMIF('01'!$D$7:$D$159,$C97,'01'!T$7:T$159)</f>
        <v>0</v>
      </c>
      <c r="S98" s="281">
        <f>SUMIF('09'!$D$7:$D$159,$C97,'09'!U$7:U$159)+SUMIF('10'!$D$7:$D$159,$C97,'10'!U$7:U$159)+SUMIF('11'!$D$7:$D$159,$C97,'11'!U$7:U$159)+SUMIF('12'!$D$7:$D$159,$C97,'12'!U$7:U$159)+SUMIF('01'!$D$7:$D$159,$C97,'01'!U$7:U$159)</f>
        <v>0</v>
      </c>
      <c r="T98" s="282">
        <f>SUMIF('09'!$D$7:$D$159,$C97,'09'!V$7:V$159)+SUMIF('10'!$D$7:$D$159,$C97,'10'!V$7:V$159)+SUMIF('11'!$D$7:$D$159,$C97,'11'!V$7:V$159)+SUMIF('12'!$D$7:$D$159,$C97,'12'!V$7:V$159)+SUMIF('01'!$D$7:$D$159,$C97,'01'!V$7:V$159)</f>
        <v>0</v>
      </c>
      <c r="U98" s="285">
        <f>SUMIF('09'!$D$7:$D$159,$C97,'09'!W$7:W$159)+SUMIF('10'!$D$7:$D$159,$C97,'10'!W$7:W$159)+SUMIF('11'!$D$7:$D$159,$C97,'11'!W$7:W$159)+SUMIF('12'!$D$7:$D$159,$C97,'12'!W$7:W$159)+SUMIF('01'!$D$7:$D$159,$C97,'01'!W$7:W$159)</f>
        <v>0</v>
      </c>
      <c r="V98" s="284">
        <f>SUMIF('09'!$D$7:$D$159,$C97,'09'!X$7:X$159)+SUMIF('10'!$D$7:$D$159,$C97,'10'!X$7:X$159)+SUMIF('11'!$D$7:$D$159,$C97,'11'!X$7:X$159)+SUMIF('12'!$D$7:$D$159,$C97,'12'!X$7:X$159)+SUMIF('01'!$D$7:$D$159,$C97,'01'!X$7:X$159)</f>
        <v>0</v>
      </c>
      <c r="W98" s="284">
        <f>SUMIF('09'!$D$7:$D$159,$C97,'09'!Y$7:Y$159)+SUMIF('10'!$D$7:$D$159,$C97,'10'!Y$7:Y$159)+SUMIF('11'!$D$7:$D$159,$C97,'11'!Y$7:Y$159)+SUMIF('12'!$D$7:$D$159,$C97,'12'!Y$7:Y$159)+SUMIF('01'!$D$7:$D$159,$C97,'01'!Y$7:Y$159)</f>
        <v>0</v>
      </c>
      <c r="X98" s="286">
        <f t="shared" si="5"/>
        <v>0</v>
      </c>
      <c r="Y98" s="345"/>
      <c r="Z98" s="347"/>
    </row>
    <row r="99" spans="1:26" ht="14.25" customHeight="1" x14ac:dyDescent="0.3">
      <c r="A99" s="178">
        <f>IF(OR(C99="0",COUNTIF(КлючОсень,C99)&gt;1),0,MATCH(F99,ВидыНагр,0))</f>
        <v>0</v>
      </c>
      <c r="B99" s="178" t="b">
        <f>(COUNTA(D99:F100,J99:W99,H99:I100)=0)</f>
        <v>1</v>
      </c>
      <c r="C99" s="179" t="str">
        <f>IF(OR(TRIM(D99)="",COUNTIF(ВидыНагр,F99)&lt;&gt;1),"0",CONCATENATE("$",TRIM(D99),"$",TRIM(E99),"$",F99,"$"))</f>
        <v>0</v>
      </c>
      <c r="D99" s="340"/>
      <c r="E99" s="338"/>
      <c r="F99" s="342"/>
      <c r="G99" s="180" t="s">
        <v>7</v>
      </c>
      <c r="H99" s="181"/>
      <c r="I99" s="182"/>
      <c r="J99" s="183"/>
      <c r="K99" s="184"/>
      <c r="L99" s="185"/>
      <c r="M99" s="183"/>
      <c r="N99" s="184"/>
      <c r="O99" s="186"/>
      <c r="P99" s="183"/>
      <c r="Q99" s="184"/>
      <c r="R99" s="185"/>
      <c r="S99" s="183"/>
      <c r="T99" s="184"/>
      <c r="U99" s="187"/>
      <c r="V99" s="186"/>
      <c r="W99" s="186"/>
      <c r="X99" s="279">
        <f t="shared" si="5"/>
        <v>0</v>
      </c>
      <c r="Y99" s="344">
        <f>X100-X99</f>
        <v>0</v>
      </c>
      <c r="Z99" s="346"/>
    </row>
    <row r="100" spans="1:26" ht="14.25" customHeight="1" x14ac:dyDescent="0.3">
      <c r="A100" s="178">
        <f>-A99</f>
        <v>0</v>
      </c>
      <c r="B100" s="178" t="b">
        <f>B99</f>
        <v>1</v>
      </c>
      <c r="C100" s="188"/>
      <c r="D100" s="341"/>
      <c r="E100" s="339"/>
      <c r="F100" s="343"/>
      <c r="G100" s="189" t="s">
        <v>8</v>
      </c>
      <c r="H100" s="190"/>
      <c r="I100" s="280"/>
      <c r="J100" s="281">
        <f>SUMIF('09'!$D$7:$D$159,$C99,'09'!L$7:L$159)+SUMIF('10'!$D$7:$D$159,$C99,'10'!L$7:L$159)+SUMIF('11'!$D$7:$D$159,$C99,'11'!L$7:L$159)+SUMIF('12'!$D$7:$D$159,$C99,'12'!L$7:L$159)+SUMIF('01'!$D$7:$D$159,$C99,'01'!L$7:L$159)</f>
        <v>0</v>
      </c>
      <c r="K100" s="282">
        <f>SUMIF('09'!$D$7:$D$159,$C99,'09'!M$7:M$159)+SUMIF('10'!$D$7:$D$159,$C99,'10'!M$7:M$159)+SUMIF('11'!$D$7:$D$159,$C99,'11'!M$7:M$159)+SUMIF('12'!$D$7:$D$159,$C99,'12'!M$7:M$159)+SUMIF('01'!$D$7:$D$159,$C99,'01'!M$7:M$159)</f>
        <v>0</v>
      </c>
      <c r="L100" s="283">
        <f>SUMIF('09'!$D$7:$D$159,$C99,'09'!N$7:N$159)+SUMIF('10'!$D$7:$D$159,$C99,'10'!N$7:N$159)+SUMIF('11'!$D$7:$D$159,$C99,'11'!N$7:N$159)+SUMIF('12'!$D$7:$D$159,$C99,'12'!N$7:N$159)+SUMIF('01'!$D$7:$D$159,$C99,'01'!N$7:N$159)</f>
        <v>0</v>
      </c>
      <c r="M100" s="281">
        <f>SUMIF('09'!$D$7:$D$159,$C99,'09'!O$7:O$159)+SUMIF('10'!$D$7:$D$159,$C99,'10'!O$7:O$159)+SUMIF('11'!$D$7:$D$159,$C99,'11'!O$7:O$159)+SUMIF('12'!$D$7:$D$159,$C99,'12'!O$7:O$159)+SUMIF('01'!$D$7:$D$159,$C99,'01'!O$7:O$159)</f>
        <v>0</v>
      </c>
      <c r="N100" s="282">
        <f>SUMIF('09'!$D$7:$D$159,$C99,'09'!P$7:P$159)+SUMIF('10'!$D$7:$D$159,$C99,'10'!P$7:P$159)+SUMIF('11'!$D$7:$D$159,$C99,'11'!P$7:P$159)+SUMIF('12'!$D$7:$D$159,$C99,'12'!P$7:P$159)+SUMIF('01'!$D$7:$D$159,$C99,'01'!P$7:P$159)</f>
        <v>0</v>
      </c>
      <c r="O100" s="284">
        <f>SUMIF('09'!$D$7:$D$159,$C99,'09'!Q$7:Q$159)+SUMIF('10'!$D$7:$D$159,$C99,'10'!Q$7:Q$159)+SUMIF('11'!$D$7:$D$159,$C99,'11'!Q$7:Q$159)+SUMIF('12'!$D$7:$D$159,$C99,'12'!Q$7:Q$159)+SUMIF('01'!$D$7:$D$159,$C99,'01'!Q$7:Q$159)</f>
        <v>0</v>
      </c>
      <c r="P100" s="281">
        <f>SUMIF('09'!$D$7:$D$159,$C99,'09'!R$7:R$159)+SUMIF('10'!$D$7:$D$159,$C99,'10'!R$7:R$159)+SUMIF('11'!$D$7:$D$159,$C99,'11'!R$7:R$159)+SUMIF('12'!$D$7:$D$159,$C99,'12'!R$7:R$159)+SUMIF('01'!$D$7:$D$159,$C99,'01'!R$7:R$159)</f>
        <v>0</v>
      </c>
      <c r="Q100" s="282">
        <f>SUMIF('09'!$D$7:$D$159,$C99,'09'!S$7:S$159)+SUMIF('10'!$D$7:$D$159,$C99,'10'!S$7:S$159)+SUMIF('11'!$D$7:$D$159,$C99,'11'!S$7:S$159)+SUMIF('12'!$D$7:$D$159,$C99,'12'!S$7:S$159)+SUMIF('01'!$D$7:$D$159,$C99,'01'!S$7:S$159)</f>
        <v>0</v>
      </c>
      <c r="R100" s="283">
        <f>SUMIF('09'!$D$7:$D$159,$C99,'09'!T$7:T$159)+SUMIF('10'!$D$7:$D$159,$C99,'10'!T$7:T$159)+SUMIF('11'!$D$7:$D$159,$C99,'11'!T$7:T$159)+SUMIF('12'!$D$7:$D$159,$C99,'12'!T$7:T$159)+SUMIF('01'!$D$7:$D$159,$C99,'01'!T$7:T$159)</f>
        <v>0</v>
      </c>
      <c r="S100" s="281">
        <f>SUMIF('09'!$D$7:$D$159,$C99,'09'!U$7:U$159)+SUMIF('10'!$D$7:$D$159,$C99,'10'!U$7:U$159)+SUMIF('11'!$D$7:$D$159,$C99,'11'!U$7:U$159)+SUMIF('12'!$D$7:$D$159,$C99,'12'!U$7:U$159)+SUMIF('01'!$D$7:$D$159,$C99,'01'!U$7:U$159)</f>
        <v>0</v>
      </c>
      <c r="T100" s="282">
        <f>SUMIF('09'!$D$7:$D$159,$C99,'09'!V$7:V$159)+SUMIF('10'!$D$7:$D$159,$C99,'10'!V$7:V$159)+SUMIF('11'!$D$7:$D$159,$C99,'11'!V$7:V$159)+SUMIF('12'!$D$7:$D$159,$C99,'12'!V$7:V$159)+SUMIF('01'!$D$7:$D$159,$C99,'01'!V$7:V$159)</f>
        <v>0</v>
      </c>
      <c r="U100" s="285">
        <f>SUMIF('09'!$D$7:$D$159,$C99,'09'!W$7:W$159)+SUMIF('10'!$D$7:$D$159,$C99,'10'!W$7:W$159)+SUMIF('11'!$D$7:$D$159,$C99,'11'!W$7:W$159)+SUMIF('12'!$D$7:$D$159,$C99,'12'!W$7:W$159)+SUMIF('01'!$D$7:$D$159,$C99,'01'!W$7:W$159)</f>
        <v>0</v>
      </c>
      <c r="V100" s="284">
        <f>SUMIF('09'!$D$7:$D$159,$C99,'09'!X$7:X$159)+SUMIF('10'!$D$7:$D$159,$C99,'10'!X$7:X$159)+SUMIF('11'!$D$7:$D$159,$C99,'11'!X$7:X$159)+SUMIF('12'!$D$7:$D$159,$C99,'12'!X$7:X$159)+SUMIF('01'!$D$7:$D$159,$C99,'01'!X$7:X$159)</f>
        <v>0</v>
      </c>
      <c r="W100" s="284">
        <f>SUMIF('09'!$D$7:$D$159,$C99,'09'!Y$7:Y$159)+SUMIF('10'!$D$7:$D$159,$C99,'10'!Y$7:Y$159)+SUMIF('11'!$D$7:$D$159,$C99,'11'!Y$7:Y$159)+SUMIF('12'!$D$7:$D$159,$C99,'12'!Y$7:Y$159)+SUMIF('01'!$D$7:$D$159,$C99,'01'!Y$7:Y$159)</f>
        <v>0</v>
      </c>
      <c r="X100" s="286">
        <f t="shared" si="5"/>
        <v>0</v>
      </c>
      <c r="Y100" s="345"/>
      <c r="Z100" s="347"/>
    </row>
    <row r="101" spans="1:26" ht="14.25" customHeight="1" x14ac:dyDescent="0.3">
      <c r="A101" s="178">
        <f>IF(OR(C101="0",COUNTIF(КлючОсень,C101)&gt;1),0,MATCH(F101,ВидыНагр,0))</f>
        <v>0</v>
      </c>
      <c r="B101" s="178" t="b">
        <f>(COUNTA(D101:F102,J101:W101,H101:I102)=0)</f>
        <v>1</v>
      </c>
      <c r="C101" s="179" t="str">
        <f>IF(OR(TRIM(D101)="",COUNTIF(ВидыНагр,F101)&lt;&gt;1),"0",CONCATENATE("$",TRIM(D101),"$",TRIM(E101),"$",F101,"$"))</f>
        <v>0</v>
      </c>
      <c r="D101" s="340"/>
      <c r="E101" s="338"/>
      <c r="F101" s="342"/>
      <c r="G101" s="180" t="s">
        <v>7</v>
      </c>
      <c r="H101" s="181"/>
      <c r="I101" s="182"/>
      <c r="J101" s="183"/>
      <c r="K101" s="184"/>
      <c r="L101" s="185"/>
      <c r="M101" s="183"/>
      <c r="N101" s="184"/>
      <c r="O101" s="186"/>
      <c r="P101" s="183"/>
      <c r="Q101" s="184"/>
      <c r="R101" s="185"/>
      <c r="S101" s="183"/>
      <c r="T101" s="184"/>
      <c r="U101" s="187"/>
      <c r="V101" s="186"/>
      <c r="W101" s="186"/>
      <c r="X101" s="279">
        <f t="shared" si="5"/>
        <v>0</v>
      </c>
      <c r="Y101" s="344">
        <f>X102-X101</f>
        <v>0</v>
      </c>
      <c r="Z101" s="346"/>
    </row>
    <row r="102" spans="1:26" ht="14.25" customHeight="1" x14ac:dyDescent="0.3">
      <c r="A102" s="178">
        <f>-A101</f>
        <v>0</v>
      </c>
      <c r="B102" s="178" t="b">
        <f>B101</f>
        <v>1</v>
      </c>
      <c r="C102" s="188"/>
      <c r="D102" s="341"/>
      <c r="E102" s="339"/>
      <c r="F102" s="343"/>
      <c r="G102" s="189" t="s">
        <v>8</v>
      </c>
      <c r="H102" s="190"/>
      <c r="I102" s="280"/>
      <c r="J102" s="281">
        <f>SUMIF('09'!$D$7:$D$159,$C101,'09'!L$7:L$159)+SUMIF('10'!$D$7:$D$159,$C101,'10'!L$7:L$159)+SUMIF('11'!$D$7:$D$159,$C101,'11'!L$7:L$159)+SUMIF('12'!$D$7:$D$159,$C101,'12'!L$7:L$159)+SUMIF('01'!$D$7:$D$159,$C101,'01'!L$7:L$159)</f>
        <v>0</v>
      </c>
      <c r="K102" s="282">
        <f>SUMIF('09'!$D$7:$D$159,$C101,'09'!M$7:M$159)+SUMIF('10'!$D$7:$D$159,$C101,'10'!M$7:M$159)+SUMIF('11'!$D$7:$D$159,$C101,'11'!M$7:M$159)+SUMIF('12'!$D$7:$D$159,$C101,'12'!M$7:M$159)+SUMIF('01'!$D$7:$D$159,$C101,'01'!M$7:M$159)</f>
        <v>0</v>
      </c>
      <c r="L102" s="283">
        <f>SUMIF('09'!$D$7:$D$159,$C101,'09'!N$7:N$159)+SUMIF('10'!$D$7:$D$159,$C101,'10'!N$7:N$159)+SUMIF('11'!$D$7:$D$159,$C101,'11'!N$7:N$159)+SUMIF('12'!$D$7:$D$159,$C101,'12'!N$7:N$159)+SUMIF('01'!$D$7:$D$159,$C101,'01'!N$7:N$159)</f>
        <v>0</v>
      </c>
      <c r="M102" s="281">
        <f>SUMIF('09'!$D$7:$D$159,$C101,'09'!O$7:O$159)+SUMIF('10'!$D$7:$D$159,$C101,'10'!O$7:O$159)+SUMIF('11'!$D$7:$D$159,$C101,'11'!O$7:O$159)+SUMIF('12'!$D$7:$D$159,$C101,'12'!O$7:O$159)+SUMIF('01'!$D$7:$D$159,$C101,'01'!O$7:O$159)</f>
        <v>0</v>
      </c>
      <c r="N102" s="282">
        <f>SUMIF('09'!$D$7:$D$159,$C101,'09'!P$7:P$159)+SUMIF('10'!$D$7:$D$159,$C101,'10'!P$7:P$159)+SUMIF('11'!$D$7:$D$159,$C101,'11'!P$7:P$159)+SUMIF('12'!$D$7:$D$159,$C101,'12'!P$7:P$159)+SUMIF('01'!$D$7:$D$159,$C101,'01'!P$7:P$159)</f>
        <v>0</v>
      </c>
      <c r="O102" s="284">
        <f>SUMIF('09'!$D$7:$D$159,$C101,'09'!Q$7:Q$159)+SUMIF('10'!$D$7:$D$159,$C101,'10'!Q$7:Q$159)+SUMIF('11'!$D$7:$D$159,$C101,'11'!Q$7:Q$159)+SUMIF('12'!$D$7:$D$159,$C101,'12'!Q$7:Q$159)+SUMIF('01'!$D$7:$D$159,$C101,'01'!Q$7:Q$159)</f>
        <v>0</v>
      </c>
      <c r="P102" s="281">
        <f>SUMIF('09'!$D$7:$D$159,$C101,'09'!R$7:R$159)+SUMIF('10'!$D$7:$D$159,$C101,'10'!R$7:R$159)+SUMIF('11'!$D$7:$D$159,$C101,'11'!R$7:R$159)+SUMIF('12'!$D$7:$D$159,$C101,'12'!R$7:R$159)+SUMIF('01'!$D$7:$D$159,$C101,'01'!R$7:R$159)</f>
        <v>0</v>
      </c>
      <c r="Q102" s="282">
        <f>SUMIF('09'!$D$7:$D$159,$C101,'09'!S$7:S$159)+SUMIF('10'!$D$7:$D$159,$C101,'10'!S$7:S$159)+SUMIF('11'!$D$7:$D$159,$C101,'11'!S$7:S$159)+SUMIF('12'!$D$7:$D$159,$C101,'12'!S$7:S$159)+SUMIF('01'!$D$7:$D$159,$C101,'01'!S$7:S$159)</f>
        <v>0</v>
      </c>
      <c r="R102" s="283">
        <f>SUMIF('09'!$D$7:$D$159,$C101,'09'!T$7:T$159)+SUMIF('10'!$D$7:$D$159,$C101,'10'!T$7:T$159)+SUMIF('11'!$D$7:$D$159,$C101,'11'!T$7:T$159)+SUMIF('12'!$D$7:$D$159,$C101,'12'!T$7:T$159)+SUMIF('01'!$D$7:$D$159,$C101,'01'!T$7:T$159)</f>
        <v>0</v>
      </c>
      <c r="S102" s="281">
        <f>SUMIF('09'!$D$7:$D$159,$C101,'09'!U$7:U$159)+SUMIF('10'!$D$7:$D$159,$C101,'10'!U$7:U$159)+SUMIF('11'!$D$7:$D$159,$C101,'11'!U$7:U$159)+SUMIF('12'!$D$7:$D$159,$C101,'12'!U$7:U$159)+SUMIF('01'!$D$7:$D$159,$C101,'01'!U$7:U$159)</f>
        <v>0</v>
      </c>
      <c r="T102" s="282">
        <f>SUMIF('09'!$D$7:$D$159,$C101,'09'!V$7:V$159)+SUMIF('10'!$D$7:$D$159,$C101,'10'!V$7:V$159)+SUMIF('11'!$D$7:$D$159,$C101,'11'!V$7:V$159)+SUMIF('12'!$D$7:$D$159,$C101,'12'!V$7:V$159)+SUMIF('01'!$D$7:$D$159,$C101,'01'!V$7:V$159)</f>
        <v>0</v>
      </c>
      <c r="U102" s="285">
        <f>SUMIF('09'!$D$7:$D$159,$C101,'09'!W$7:W$159)+SUMIF('10'!$D$7:$D$159,$C101,'10'!W$7:W$159)+SUMIF('11'!$D$7:$D$159,$C101,'11'!W$7:W$159)+SUMIF('12'!$D$7:$D$159,$C101,'12'!W$7:W$159)+SUMIF('01'!$D$7:$D$159,$C101,'01'!W$7:W$159)</f>
        <v>0</v>
      </c>
      <c r="V102" s="284">
        <f>SUMIF('09'!$D$7:$D$159,$C101,'09'!X$7:X$159)+SUMIF('10'!$D$7:$D$159,$C101,'10'!X$7:X$159)+SUMIF('11'!$D$7:$D$159,$C101,'11'!X$7:X$159)+SUMIF('12'!$D$7:$D$159,$C101,'12'!X$7:X$159)+SUMIF('01'!$D$7:$D$159,$C101,'01'!X$7:X$159)</f>
        <v>0</v>
      </c>
      <c r="W102" s="284">
        <f>SUMIF('09'!$D$7:$D$159,$C101,'09'!Y$7:Y$159)+SUMIF('10'!$D$7:$D$159,$C101,'10'!Y$7:Y$159)+SUMIF('11'!$D$7:$D$159,$C101,'11'!Y$7:Y$159)+SUMIF('12'!$D$7:$D$159,$C101,'12'!Y$7:Y$159)+SUMIF('01'!$D$7:$D$159,$C101,'01'!Y$7:Y$159)</f>
        <v>0</v>
      </c>
      <c r="X102" s="286">
        <f t="shared" si="5"/>
        <v>0</v>
      </c>
      <c r="Y102" s="345"/>
      <c r="Z102" s="347"/>
    </row>
    <row r="103" spans="1:26" ht="14.25" customHeight="1" x14ac:dyDescent="0.3">
      <c r="A103" s="178">
        <f>IF(OR(C103="0",COUNTIF(КлючОсень,C103)&gt;1),0,MATCH(F103,ВидыНагр,0))</f>
        <v>0</v>
      </c>
      <c r="B103" s="178" t="b">
        <f>(COUNTA(D103:F104,J103:W103,H103:I104)=0)</f>
        <v>1</v>
      </c>
      <c r="C103" s="179" t="str">
        <f>IF(OR(TRIM(D103)="",COUNTIF(ВидыНагр,F103)&lt;&gt;1),"0",CONCATENATE("$",TRIM(D103),"$",TRIM(E103),"$",F103,"$"))</f>
        <v>0</v>
      </c>
      <c r="D103" s="340"/>
      <c r="E103" s="338"/>
      <c r="F103" s="342"/>
      <c r="G103" s="180" t="s">
        <v>7</v>
      </c>
      <c r="H103" s="181"/>
      <c r="I103" s="182"/>
      <c r="J103" s="183"/>
      <c r="K103" s="184"/>
      <c r="L103" s="185"/>
      <c r="M103" s="183"/>
      <c r="N103" s="184"/>
      <c r="O103" s="186"/>
      <c r="P103" s="183"/>
      <c r="Q103" s="184"/>
      <c r="R103" s="185"/>
      <c r="S103" s="183"/>
      <c r="T103" s="184"/>
      <c r="U103" s="187"/>
      <c r="V103" s="186"/>
      <c r="W103" s="186"/>
      <c r="X103" s="279">
        <f t="shared" si="5"/>
        <v>0</v>
      </c>
      <c r="Y103" s="344">
        <f>X104-X103</f>
        <v>0</v>
      </c>
      <c r="Z103" s="346"/>
    </row>
    <row r="104" spans="1:26" ht="14.25" customHeight="1" x14ac:dyDescent="0.3">
      <c r="A104" s="178">
        <f>-A103</f>
        <v>0</v>
      </c>
      <c r="B104" s="178" t="b">
        <f>B103</f>
        <v>1</v>
      </c>
      <c r="C104" s="188"/>
      <c r="D104" s="341"/>
      <c r="E104" s="339"/>
      <c r="F104" s="343"/>
      <c r="G104" s="189" t="s">
        <v>8</v>
      </c>
      <c r="H104" s="190"/>
      <c r="I104" s="280"/>
      <c r="J104" s="281">
        <f>SUMIF('09'!$D$7:$D$159,$C103,'09'!L$7:L$159)+SUMIF('10'!$D$7:$D$159,$C103,'10'!L$7:L$159)+SUMIF('11'!$D$7:$D$159,$C103,'11'!L$7:L$159)+SUMIF('12'!$D$7:$D$159,$C103,'12'!L$7:L$159)+SUMIF('01'!$D$7:$D$159,$C103,'01'!L$7:L$159)</f>
        <v>0</v>
      </c>
      <c r="K104" s="282">
        <f>SUMIF('09'!$D$7:$D$159,$C103,'09'!M$7:M$159)+SUMIF('10'!$D$7:$D$159,$C103,'10'!M$7:M$159)+SUMIF('11'!$D$7:$D$159,$C103,'11'!M$7:M$159)+SUMIF('12'!$D$7:$D$159,$C103,'12'!M$7:M$159)+SUMIF('01'!$D$7:$D$159,$C103,'01'!M$7:M$159)</f>
        <v>0</v>
      </c>
      <c r="L104" s="283">
        <f>SUMIF('09'!$D$7:$D$159,$C103,'09'!N$7:N$159)+SUMIF('10'!$D$7:$D$159,$C103,'10'!N$7:N$159)+SUMIF('11'!$D$7:$D$159,$C103,'11'!N$7:N$159)+SUMIF('12'!$D$7:$D$159,$C103,'12'!N$7:N$159)+SUMIF('01'!$D$7:$D$159,$C103,'01'!N$7:N$159)</f>
        <v>0</v>
      </c>
      <c r="M104" s="281">
        <f>SUMIF('09'!$D$7:$D$159,$C103,'09'!O$7:O$159)+SUMIF('10'!$D$7:$D$159,$C103,'10'!O$7:O$159)+SUMIF('11'!$D$7:$D$159,$C103,'11'!O$7:O$159)+SUMIF('12'!$D$7:$D$159,$C103,'12'!O$7:O$159)+SUMIF('01'!$D$7:$D$159,$C103,'01'!O$7:O$159)</f>
        <v>0</v>
      </c>
      <c r="N104" s="282">
        <f>SUMIF('09'!$D$7:$D$159,$C103,'09'!P$7:P$159)+SUMIF('10'!$D$7:$D$159,$C103,'10'!P$7:P$159)+SUMIF('11'!$D$7:$D$159,$C103,'11'!P$7:P$159)+SUMIF('12'!$D$7:$D$159,$C103,'12'!P$7:P$159)+SUMIF('01'!$D$7:$D$159,$C103,'01'!P$7:P$159)</f>
        <v>0</v>
      </c>
      <c r="O104" s="284">
        <f>SUMIF('09'!$D$7:$D$159,$C103,'09'!Q$7:Q$159)+SUMIF('10'!$D$7:$D$159,$C103,'10'!Q$7:Q$159)+SUMIF('11'!$D$7:$D$159,$C103,'11'!Q$7:Q$159)+SUMIF('12'!$D$7:$D$159,$C103,'12'!Q$7:Q$159)+SUMIF('01'!$D$7:$D$159,$C103,'01'!Q$7:Q$159)</f>
        <v>0</v>
      </c>
      <c r="P104" s="281">
        <f>SUMIF('09'!$D$7:$D$159,$C103,'09'!R$7:R$159)+SUMIF('10'!$D$7:$D$159,$C103,'10'!R$7:R$159)+SUMIF('11'!$D$7:$D$159,$C103,'11'!R$7:R$159)+SUMIF('12'!$D$7:$D$159,$C103,'12'!R$7:R$159)+SUMIF('01'!$D$7:$D$159,$C103,'01'!R$7:R$159)</f>
        <v>0</v>
      </c>
      <c r="Q104" s="282">
        <f>SUMIF('09'!$D$7:$D$159,$C103,'09'!S$7:S$159)+SUMIF('10'!$D$7:$D$159,$C103,'10'!S$7:S$159)+SUMIF('11'!$D$7:$D$159,$C103,'11'!S$7:S$159)+SUMIF('12'!$D$7:$D$159,$C103,'12'!S$7:S$159)+SUMIF('01'!$D$7:$D$159,$C103,'01'!S$7:S$159)</f>
        <v>0</v>
      </c>
      <c r="R104" s="283">
        <f>SUMIF('09'!$D$7:$D$159,$C103,'09'!T$7:T$159)+SUMIF('10'!$D$7:$D$159,$C103,'10'!T$7:T$159)+SUMIF('11'!$D$7:$D$159,$C103,'11'!T$7:T$159)+SUMIF('12'!$D$7:$D$159,$C103,'12'!T$7:T$159)+SUMIF('01'!$D$7:$D$159,$C103,'01'!T$7:T$159)</f>
        <v>0</v>
      </c>
      <c r="S104" s="281">
        <f>SUMIF('09'!$D$7:$D$159,$C103,'09'!U$7:U$159)+SUMIF('10'!$D$7:$D$159,$C103,'10'!U$7:U$159)+SUMIF('11'!$D$7:$D$159,$C103,'11'!U$7:U$159)+SUMIF('12'!$D$7:$D$159,$C103,'12'!U$7:U$159)+SUMIF('01'!$D$7:$D$159,$C103,'01'!U$7:U$159)</f>
        <v>0</v>
      </c>
      <c r="T104" s="282">
        <f>SUMIF('09'!$D$7:$D$159,$C103,'09'!V$7:V$159)+SUMIF('10'!$D$7:$D$159,$C103,'10'!V$7:V$159)+SUMIF('11'!$D$7:$D$159,$C103,'11'!V$7:V$159)+SUMIF('12'!$D$7:$D$159,$C103,'12'!V$7:V$159)+SUMIF('01'!$D$7:$D$159,$C103,'01'!V$7:V$159)</f>
        <v>0</v>
      </c>
      <c r="U104" s="285">
        <f>SUMIF('09'!$D$7:$D$159,$C103,'09'!W$7:W$159)+SUMIF('10'!$D$7:$D$159,$C103,'10'!W$7:W$159)+SUMIF('11'!$D$7:$D$159,$C103,'11'!W$7:W$159)+SUMIF('12'!$D$7:$D$159,$C103,'12'!W$7:W$159)+SUMIF('01'!$D$7:$D$159,$C103,'01'!W$7:W$159)</f>
        <v>0</v>
      </c>
      <c r="V104" s="284">
        <f>SUMIF('09'!$D$7:$D$159,$C103,'09'!X$7:X$159)+SUMIF('10'!$D$7:$D$159,$C103,'10'!X$7:X$159)+SUMIF('11'!$D$7:$D$159,$C103,'11'!X$7:X$159)+SUMIF('12'!$D$7:$D$159,$C103,'12'!X$7:X$159)+SUMIF('01'!$D$7:$D$159,$C103,'01'!X$7:X$159)</f>
        <v>0</v>
      </c>
      <c r="W104" s="284">
        <f>SUMIF('09'!$D$7:$D$159,$C103,'09'!Y$7:Y$159)+SUMIF('10'!$D$7:$D$159,$C103,'10'!Y$7:Y$159)+SUMIF('11'!$D$7:$D$159,$C103,'11'!Y$7:Y$159)+SUMIF('12'!$D$7:$D$159,$C103,'12'!Y$7:Y$159)+SUMIF('01'!$D$7:$D$159,$C103,'01'!Y$7:Y$159)</f>
        <v>0</v>
      </c>
      <c r="X104" s="286">
        <f t="shared" si="5"/>
        <v>0</v>
      </c>
      <c r="Y104" s="345"/>
      <c r="Z104" s="347"/>
    </row>
    <row r="105" spans="1:26" ht="14.25" customHeight="1" x14ac:dyDescent="0.3">
      <c r="A105" s="178">
        <f>IF(OR(C105="0",COUNTIF(КлючОсень,C105)&gt;1),0,MATCH(F105,ВидыНагр,0))</f>
        <v>0</v>
      </c>
      <c r="B105" s="178" t="b">
        <f>(COUNTA(D105:F106,J105:W105,H105:I106)=0)</f>
        <v>1</v>
      </c>
      <c r="C105" s="179" t="str">
        <f>IF(OR(TRIM(D105)="",COUNTIF(ВидыНагр,F105)&lt;&gt;1),"0",CONCATENATE("$",TRIM(D105),"$",TRIM(E105),"$",F105,"$"))</f>
        <v>0</v>
      </c>
      <c r="D105" s="340"/>
      <c r="E105" s="338"/>
      <c r="F105" s="342"/>
      <c r="G105" s="180" t="s">
        <v>7</v>
      </c>
      <c r="H105" s="181"/>
      <c r="I105" s="182"/>
      <c r="J105" s="183"/>
      <c r="K105" s="184"/>
      <c r="L105" s="185"/>
      <c r="M105" s="183"/>
      <c r="N105" s="184"/>
      <c r="O105" s="186"/>
      <c r="P105" s="183"/>
      <c r="Q105" s="184"/>
      <c r="R105" s="185"/>
      <c r="S105" s="183"/>
      <c r="T105" s="184"/>
      <c r="U105" s="187"/>
      <c r="V105" s="186"/>
      <c r="W105" s="186"/>
      <c r="X105" s="279">
        <f t="shared" si="5"/>
        <v>0</v>
      </c>
      <c r="Y105" s="344">
        <f>X106-X105</f>
        <v>0</v>
      </c>
      <c r="Z105" s="346"/>
    </row>
    <row r="106" spans="1:26" ht="14.25" customHeight="1" x14ac:dyDescent="0.3">
      <c r="A106" s="178">
        <f>-A105</f>
        <v>0</v>
      </c>
      <c r="B106" s="178" t="b">
        <f>B105</f>
        <v>1</v>
      </c>
      <c r="C106" s="188"/>
      <c r="D106" s="341"/>
      <c r="E106" s="339"/>
      <c r="F106" s="343"/>
      <c r="G106" s="189" t="s">
        <v>8</v>
      </c>
      <c r="H106" s="190"/>
      <c r="I106" s="280"/>
      <c r="J106" s="281">
        <f>SUMIF('09'!$D$7:$D$159,$C105,'09'!L$7:L$159)+SUMIF('10'!$D$7:$D$159,$C105,'10'!L$7:L$159)+SUMIF('11'!$D$7:$D$159,$C105,'11'!L$7:L$159)+SUMIF('12'!$D$7:$D$159,$C105,'12'!L$7:L$159)+SUMIF('01'!$D$7:$D$159,$C105,'01'!L$7:L$159)</f>
        <v>0</v>
      </c>
      <c r="K106" s="282">
        <f>SUMIF('09'!$D$7:$D$159,$C105,'09'!M$7:M$159)+SUMIF('10'!$D$7:$D$159,$C105,'10'!M$7:M$159)+SUMIF('11'!$D$7:$D$159,$C105,'11'!M$7:M$159)+SUMIF('12'!$D$7:$D$159,$C105,'12'!M$7:M$159)+SUMIF('01'!$D$7:$D$159,$C105,'01'!M$7:M$159)</f>
        <v>0</v>
      </c>
      <c r="L106" s="283">
        <f>SUMIF('09'!$D$7:$D$159,$C105,'09'!N$7:N$159)+SUMIF('10'!$D$7:$D$159,$C105,'10'!N$7:N$159)+SUMIF('11'!$D$7:$D$159,$C105,'11'!N$7:N$159)+SUMIF('12'!$D$7:$D$159,$C105,'12'!N$7:N$159)+SUMIF('01'!$D$7:$D$159,$C105,'01'!N$7:N$159)</f>
        <v>0</v>
      </c>
      <c r="M106" s="281">
        <f>SUMIF('09'!$D$7:$D$159,$C105,'09'!O$7:O$159)+SUMIF('10'!$D$7:$D$159,$C105,'10'!O$7:O$159)+SUMIF('11'!$D$7:$D$159,$C105,'11'!O$7:O$159)+SUMIF('12'!$D$7:$D$159,$C105,'12'!O$7:O$159)+SUMIF('01'!$D$7:$D$159,$C105,'01'!O$7:O$159)</f>
        <v>0</v>
      </c>
      <c r="N106" s="282">
        <f>SUMIF('09'!$D$7:$D$159,$C105,'09'!P$7:P$159)+SUMIF('10'!$D$7:$D$159,$C105,'10'!P$7:P$159)+SUMIF('11'!$D$7:$D$159,$C105,'11'!P$7:P$159)+SUMIF('12'!$D$7:$D$159,$C105,'12'!P$7:P$159)+SUMIF('01'!$D$7:$D$159,$C105,'01'!P$7:P$159)</f>
        <v>0</v>
      </c>
      <c r="O106" s="284">
        <f>SUMIF('09'!$D$7:$D$159,$C105,'09'!Q$7:Q$159)+SUMIF('10'!$D$7:$D$159,$C105,'10'!Q$7:Q$159)+SUMIF('11'!$D$7:$D$159,$C105,'11'!Q$7:Q$159)+SUMIF('12'!$D$7:$D$159,$C105,'12'!Q$7:Q$159)+SUMIF('01'!$D$7:$D$159,$C105,'01'!Q$7:Q$159)</f>
        <v>0</v>
      </c>
      <c r="P106" s="281">
        <f>SUMIF('09'!$D$7:$D$159,$C105,'09'!R$7:R$159)+SUMIF('10'!$D$7:$D$159,$C105,'10'!R$7:R$159)+SUMIF('11'!$D$7:$D$159,$C105,'11'!R$7:R$159)+SUMIF('12'!$D$7:$D$159,$C105,'12'!R$7:R$159)+SUMIF('01'!$D$7:$D$159,$C105,'01'!R$7:R$159)</f>
        <v>0</v>
      </c>
      <c r="Q106" s="282">
        <f>SUMIF('09'!$D$7:$D$159,$C105,'09'!S$7:S$159)+SUMIF('10'!$D$7:$D$159,$C105,'10'!S$7:S$159)+SUMIF('11'!$D$7:$D$159,$C105,'11'!S$7:S$159)+SUMIF('12'!$D$7:$D$159,$C105,'12'!S$7:S$159)+SUMIF('01'!$D$7:$D$159,$C105,'01'!S$7:S$159)</f>
        <v>0</v>
      </c>
      <c r="R106" s="283">
        <f>SUMIF('09'!$D$7:$D$159,$C105,'09'!T$7:T$159)+SUMIF('10'!$D$7:$D$159,$C105,'10'!T$7:T$159)+SUMIF('11'!$D$7:$D$159,$C105,'11'!T$7:T$159)+SUMIF('12'!$D$7:$D$159,$C105,'12'!T$7:T$159)+SUMIF('01'!$D$7:$D$159,$C105,'01'!T$7:T$159)</f>
        <v>0</v>
      </c>
      <c r="S106" s="281">
        <f>SUMIF('09'!$D$7:$D$159,$C105,'09'!U$7:U$159)+SUMIF('10'!$D$7:$D$159,$C105,'10'!U$7:U$159)+SUMIF('11'!$D$7:$D$159,$C105,'11'!U$7:U$159)+SUMIF('12'!$D$7:$D$159,$C105,'12'!U$7:U$159)+SUMIF('01'!$D$7:$D$159,$C105,'01'!U$7:U$159)</f>
        <v>0</v>
      </c>
      <c r="T106" s="282">
        <f>SUMIF('09'!$D$7:$D$159,$C105,'09'!V$7:V$159)+SUMIF('10'!$D$7:$D$159,$C105,'10'!V$7:V$159)+SUMIF('11'!$D$7:$D$159,$C105,'11'!V$7:V$159)+SUMIF('12'!$D$7:$D$159,$C105,'12'!V$7:V$159)+SUMIF('01'!$D$7:$D$159,$C105,'01'!V$7:V$159)</f>
        <v>0</v>
      </c>
      <c r="U106" s="285">
        <f>SUMIF('09'!$D$7:$D$159,$C105,'09'!W$7:W$159)+SUMIF('10'!$D$7:$D$159,$C105,'10'!W$7:W$159)+SUMIF('11'!$D$7:$D$159,$C105,'11'!W$7:W$159)+SUMIF('12'!$D$7:$D$159,$C105,'12'!W$7:W$159)+SUMIF('01'!$D$7:$D$159,$C105,'01'!W$7:W$159)</f>
        <v>0</v>
      </c>
      <c r="V106" s="284">
        <f>SUMIF('09'!$D$7:$D$159,$C105,'09'!X$7:X$159)+SUMIF('10'!$D$7:$D$159,$C105,'10'!X$7:X$159)+SUMIF('11'!$D$7:$D$159,$C105,'11'!X$7:X$159)+SUMIF('12'!$D$7:$D$159,$C105,'12'!X$7:X$159)+SUMIF('01'!$D$7:$D$159,$C105,'01'!X$7:X$159)</f>
        <v>0</v>
      </c>
      <c r="W106" s="284">
        <f>SUMIF('09'!$D$7:$D$159,$C105,'09'!Y$7:Y$159)+SUMIF('10'!$D$7:$D$159,$C105,'10'!Y$7:Y$159)+SUMIF('11'!$D$7:$D$159,$C105,'11'!Y$7:Y$159)+SUMIF('12'!$D$7:$D$159,$C105,'12'!Y$7:Y$159)+SUMIF('01'!$D$7:$D$159,$C105,'01'!Y$7:Y$159)</f>
        <v>0</v>
      </c>
      <c r="X106" s="286">
        <f t="shared" si="5"/>
        <v>0</v>
      </c>
      <c r="Y106" s="345"/>
      <c r="Z106" s="347"/>
    </row>
    <row r="107" spans="1:26" ht="14.25" customHeight="1" x14ac:dyDescent="0.3">
      <c r="A107" s="178">
        <f>IF(OR(C107="0",COUNTIF(КлючОсень,C107)&gt;1),0,MATCH(F107,ВидыНагр,0))</f>
        <v>0</v>
      </c>
      <c r="B107" s="178" t="b">
        <f>(COUNTA(D107:F108,J107:W107,H107:I108)=0)</f>
        <v>1</v>
      </c>
      <c r="C107" s="179" t="str">
        <f>IF(OR(TRIM(D107)="",COUNTIF(ВидыНагр,F107)&lt;&gt;1),"0",CONCATENATE("$",TRIM(D107),"$",TRIM(E107),"$",F107,"$"))</f>
        <v>0</v>
      </c>
      <c r="D107" s="340"/>
      <c r="E107" s="338"/>
      <c r="F107" s="342"/>
      <c r="G107" s="180" t="s">
        <v>7</v>
      </c>
      <c r="H107" s="181"/>
      <c r="I107" s="182"/>
      <c r="J107" s="183"/>
      <c r="K107" s="184"/>
      <c r="L107" s="185"/>
      <c r="M107" s="183"/>
      <c r="N107" s="184"/>
      <c r="O107" s="186"/>
      <c r="P107" s="183"/>
      <c r="Q107" s="184"/>
      <c r="R107" s="185"/>
      <c r="S107" s="183"/>
      <c r="T107" s="184"/>
      <c r="U107" s="187"/>
      <c r="V107" s="186"/>
      <c r="W107" s="186"/>
      <c r="X107" s="279">
        <f t="shared" si="5"/>
        <v>0</v>
      </c>
      <c r="Y107" s="344">
        <f>X108-X107</f>
        <v>0</v>
      </c>
      <c r="Z107" s="346"/>
    </row>
    <row r="108" spans="1:26" ht="14.25" customHeight="1" x14ac:dyDescent="0.3">
      <c r="A108" s="178">
        <f>-A107</f>
        <v>0</v>
      </c>
      <c r="B108" s="178" t="b">
        <f>B107</f>
        <v>1</v>
      </c>
      <c r="C108" s="188"/>
      <c r="D108" s="341"/>
      <c r="E108" s="339"/>
      <c r="F108" s="343"/>
      <c r="G108" s="189" t="s">
        <v>8</v>
      </c>
      <c r="H108" s="190"/>
      <c r="I108" s="280"/>
      <c r="J108" s="281">
        <f>SUMIF('09'!$D$7:$D$159,$C107,'09'!L$7:L$159)+SUMIF('10'!$D$7:$D$159,$C107,'10'!L$7:L$159)+SUMIF('11'!$D$7:$D$159,$C107,'11'!L$7:L$159)+SUMIF('12'!$D$7:$D$159,$C107,'12'!L$7:L$159)+SUMIF('01'!$D$7:$D$159,$C107,'01'!L$7:L$159)</f>
        <v>0</v>
      </c>
      <c r="K108" s="282">
        <f>SUMIF('09'!$D$7:$D$159,$C107,'09'!M$7:M$159)+SUMIF('10'!$D$7:$D$159,$C107,'10'!M$7:M$159)+SUMIF('11'!$D$7:$D$159,$C107,'11'!M$7:M$159)+SUMIF('12'!$D$7:$D$159,$C107,'12'!M$7:M$159)+SUMIF('01'!$D$7:$D$159,$C107,'01'!M$7:M$159)</f>
        <v>0</v>
      </c>
      <c r="L108" s="283">
        <f>SUMIF('09'!$D$7:$D$159,$C107,'09'!N$7:N$159)+SUMIF('10'!$D$7:$D$159,$C107,'10'!N$7:N$159)+SUMIF('11'!$D$7:$D$159,$C107,'11'!N$7:N$159)+SUMIF('12'!$D$7:$D$159,$C107,'12'!N$7:N$159)+SUMIF('01'!$D$7:$D$159,$C107,'01'!N$7:N$159)</f>
        <v>0</v>
      </c>
      <c r="M108" s="281">
        <f>SUMIF('09'!$D$7:$D$159,$C107,'09'!O$7:O$159)+SUMIF('10'!$D$7:$D$159,$C107,'10'!O$7:O$159)+SUMIF('11'!$D$7:$D$159,$C107,'11'!O$7:O$159)+SUMIF('12'!$D$7:$D$159,$C107,'12'!O$7:O$159)+SUMIF('01'!$D$7:$D$159,$C107,'01'!O$7:O$159)</f>
        <v>0</v>
      </c>
      <c r="N108" s="282">
        <f>SUMIF('09'!$D$7:$D$159,$C107,'09'!P$7:P$159)+SUMIF('10'!$D$7:$D$159,$C107,'10'!P$7:P$159)+SUMIF('11'!$D$7:$D$159,$C107,'11'!P$7:P$159)+SUMIF('12'!$D$7:$D$159,$C107,'12'!P$7:P$159)+SUMIF('01'!$D$7:$D$159,$C107,'01'!P$7:P$159)</f>
        <v>0</v>
      </c>
      <c r="O108" s="284">
        <f>SUMIF('09'!$D$7:$D$159,$C107,'09'!Q$7:Q$159)+SUMIF('10'!$D$7:$D$159,$C107,'10'!Q$7:Q$159)+SUMIF('11'!$D$7:$D$159,$C107,'11'!Q$7:Q$159)+SUMIF('12'!$D$7:$D$159,$C107,'12'!Q$7:Q$159)+SUMIF('01'!$D$7:$D$159,$C107,'01'!Q$7:Q$159)</f>
        <v>0</v>
      </c>
      <c r="P108" s="281">
        <f>SUMIF('09'!$D$7:$D$159,$C107,'09'!R$7:R$159)+SUMIF('10'!$D$7:$D$159,$C107,'10'!R$7:R$159)+SUMIF('11'!$D$7:$D$159,$C107,'11'!R$7:R$159)+SUMIF('12'!$D$7:$D$159,$C107,'12'!R$7:R$159)+SUMIF('01'!$D$7:$D$159,$C107,'01'!R$7:R$159)</f>
        <v>0</v>
      </c>
      <c r="Q108" s="282">
        <f>SUMIF('09'!$D$7:$D$159,$C107,'09'!S$7:S$159)+SUMIF('10'!$D$7:$D$159,$C107,'10'!S$7:S$159)+SUMIF('11'!$D$7:$D$159,$C107,'11'!S$7:S$159)+SUMIF('12'!$D$7:$D$159,$C107,'12'!S$7:S$159)+SUMIF('01'!$D$7:$D$159,$C107,'01'!S$7:S$159)</f>
        <v>0</v>
      </c>
      <c r="R108" s="283">
        <f>SUMIF('09'!$D$7:$D$159,$C107,'09'!T$7:T$159)+SUMIF('10'!$D$7:$D$159,$C107,'10'!T$7:T$159)+SUMIF('11'!$D$7:$D$159,$C107,'11'!T$7:T$159)+SUMIF('12'!$D$7:$D$159,$C107,'12'!T$7:T$159)+SUMIF('01'!$D$7:$D$159,$C107,'01'!T$7:T$159)</f>
        <v>0</v>
      </c>
      <c r="S108" s="281">
        <f>SUMIF('09'!$D$7:$D$159,$C107,'09'!U$7:U$159)+SUMIF('10'!$D$7:$D$159,$C107,'10'!U$7:U$159)+SUMIF('11'!$D$7:$D$159,$C107,'11'!U$7:U$159)+SUMIF('12'!$D$7:$D$159,$C107,'12'!U$7:U$159)+SUMIF('01'!$D$7:$D$159,$C107,'01'!U$7:U$159)</f>
        <v>0</v>
      </c>
      <c r="T108" s="282">
        <f>SUMIF('09'!$D$7:$D$159,$C107,'09'!V$7:V$159)+SUMIF('10'!$D$7:$D$159,$C107,'10'!V$7:V$159)+SUMIF('11'!$D$7:$D$159,$C107,'11'!V$7:V$159)+SUMIF('12'!$D$7:$D$159,$C107,'12'!V$7:V$159)+SUMIF('01'!$D$7:$D$159,$C107,'01'!V$7:V$159)</f>
        <v>0</v>
      </c>
      <c r="U108" s="285">
        <f>SUMIF('09'!$D$7:$D$159,$C107,'09'!W$7:W$159)+SUMIF('10'!$D$7:$D$159,$C107,'10'!W$7:W$159)+SUMIF('11'!$D$7:$D$159,$C107,'11'!W$7:W$159)+SUMIF('12'!$D$7:$D$159,$C107,'12'!W$7:W$159)+SUMIF('01'!$D$7:$D$159,$C107,'01'!W$7:W$159)</f>
        <v>0</v>
      </c>
      <c r="V108" s="284">
        <f>SUMIF('09'!$D$7:$D$159,$C107,'09'!X$7:X$159)+SUMIF('10'!$D$7:$D$159,$C107,'10'!X$7:X$159)+SUMIF('11'!$D$7:$D$159,$C107,'11'!X$7:X$159)+SUMIF('12'!$D$7:$D$159,$C107,'12'!X$7:X$159)+SUMIF('01'!$D$7:$D$159,$C107,'01'!X$7:X$159)</f>
        <v>0</v>
      </c>
      <c r="W108" s="284">
        <f>SUMIF('09'!$D$7:$D$159,$C107,'09'!Y$7:Y$159)+SUMIF('10'!$D$7:$D$159,$C107,'10'!Y$7:Y$159)+SUMIF('11'!$D$7:$D$159,$C107,'11'!Y$7:Y$159)+SUMIF('12'!$D$7:$D$159,$C107,'12'!Y$7:Y$159)+SUMIF('01'!$D$7:$D$159,$C107,'01'!Y$7:Y$159)</f>
        <v>0</v>
      </c>
      <c r="X108" s="286">
        <f t="shared" si="5"/>
        <v>0</v>
      </c>
      <c r="Y108" s="345"/>
      <c r="Z108" s="347"/>
    </row>
    <row r="109" spans="1:26" ht="14.25" customHeight="1" x14ac:dyDescent="0.3">
      <c r="A109" s="178">
        <f>IF(OR(C109="0",COUNTIF(КлючОсень,C109)&gt;1),0,MATCH(F109,ВидыНагр,0))</f>
        <v>0</v>
      </c>
      <c r="B109" s="178" t="b">
        <f>(COUNTA(D109:F110,J109:W109,H109:I110)=0)</f>
        <v>1</v>
      </c>
      <c r="C109" s="179" t="str">
        <f>IF(OR(TRIM(D109)="",COUNTIF(ВидыНагр,F109)&lt;&gt;1),"0",CONCATENATE("$",TRIM(D109),"$",TRIM(E109),"$",F109,"$"))</f>
        <v>0</v>
      </c>
      <c r="D109" s="340"/>
      <c r="E109" s="338"/>
      <c r="F109" s="342"/>
      <c r="G109" s="180" t="s">
        <v>7</v>
      </c>
      <c r="H109" s="181"/>
      <c r="I109" s="182"/>
      <c r="J109" s="183"/>
      <c r="K109" s="184"/>
      <c r="L109" s="185"/>
      <c r="M109" s="183"/>
      <c r="N109" s="184"/>
      <c r="O109" s="186"/>
      <c r="P109" s="183"/>
      <c r="Q109" s="184"/>
      <c r="R109" s="185"/>
      <c r="S109" s="183"/>
      <c r="T109" s="184"/>
      <c r="U109" s="187"/>
      <c r="V109" s="186"/>
      <c r="W109" s="186"/>
      <c r="X109" s="279">
        <f t="shared" ref="X109:X120" si="6">SUM(J109:W109)</f>
        <v>0</v>
      </c>
      <c r="Y109" s="344">
        <f>X110-X109</f>
        <v>0</v>
      </c>
      <c r="Z109" s="346"/>
    </row>
    <row r="110" spans="1:26" ht="14.25" customHeight="1" x14ac:dyDescent="0.3">
      <c r="A110" s="178">
        <f>-A109</f>
        <v>0</v>
      </c>
      <c r="B110" s="178" t="b">
        <f>B109</f>
        <v>1</v>
      </c>
      <c r="C110" s="188"/>
      <c r="D110" s="341"/>
      <c r="E110" s="339"/>
      <c r="F110" s="343"/>
      <c r="G110" s="189" t="s">
        <v>8</v>
      </c>
      <c r="H110" s="190"/>
      <c r="I110" s="280"/>
      <c r="J110" s="281">
        <f>SUMIF('09'!$D$7:$D$159,$C109,'09'!L$7:L$159)+SUMIF('10'!$D$7:$D$159,$C109,'10'!L$7:L$159)+SUMIF('11'!$D$7:$D$159,$C109,'11'!L$7:L$159)+SUMIF('12'!$D$7:$D$159,$C109,'12'!L$7:L$159)+SUMIF('01'!$D$7:$D$159,$C109,'01'!L$7:L$159)</f>
        <v>0</v>
      </c>
      <c r="K110" s="282">
        <f>SUMIF('09'!$D$7:$D$159,$C109,'09'!M$7:M$159)+SUMIF('10'!$D$7:$D$159,$C109,'10'!M$7:M$159)+SUMIF('11'!$D$7:$D$159,$C109,'11'!M$7:M$159)+SUMIF('12'!$D$7:$D$159,$C109,'12'!M$7:M$159)+SUMIF('01'!$D$7:$D$159,$C109,'01'!M$7:M$159)</f>
        <v>0</v>
      </c>
      <c r="L110" s="283">
        <f>SUMIF('09'!$D$7:$D$159,$C109,'09'!N$7:N$159)+SUMIF('10'!$D$7:$D$159,$C109,'10'!N$7:N$159)+SUMIF('11'!$D$7:$D$159,$C109,'11'!N$7:N$159)+SUMIF('12'!$D$7:$D$159,$C109,'12'!N$7:N$159)+SUMIF('01'!$D$7:$D$159,$C109,'01'!N$7:N$159)</f>
        <v>0</v>
      </c>
      <c r="M110" s="281">
        <f>SUMIF('09'!$D$7:$D$159,$C109,'09'!O$7:O$159)+SUMIF('10'!$D$7:$D$159,$C109,'10'!O$7:O$159)+SUMIF('11'!$D$7:$D$159,$C109,'11'!O$7:O$159)+SUMIF('12'!$D$7:$D$159,$C109,'12'!O$7:O$159)+SUMIF('01'!$D$7:$D$159,$C109,'01'!O$7:O$159)</f>
        <v>0</v>
      </c>
      <c r="N110" s="282">
        <f>SUMIF('09'!$D$7:$D$159,$C109,'09'!P$7:P$159)+SUMIF('10'!$D$7:$D$159,$C109,'10'!P$7:P$159)+SUMIF('11'!$D$7:$D$159,$C109,'11'!P$7:P$159)+SUMIF('12'!$D$7:$D$159,$C109,'12'!P$7:P$159)+SUMIF('01'!$D$7:$D$159,$C109,'01'!P$7:P$159)</f>
        <v>0</v>
      </c>
      <c r="O110" s="284">
        <f>SUMIF('09'!$D$7:$D$159,$C109,'09'!Q$7:Q$159)+SUMIF('10'!$D$7:$D$159,$C109,'10'!Q$7:Q$159)+SUMIF('11'!$D$7:$D$159,$C109,'11'!Q$7:Q$159)+SUMIF('12'!$D$7:$D$159,$C109,'12'!Q$7:Q$159)+SUMIF('01'!$D$7:$D$159,$C109,'01'!Q$7:Q$159)</f>
        <v>0</v>
      </c>
      <c r="P110" s="281">
        <f>SUMIF('09'!$D$7:$D$159,$C109,'09'!R$7:R$159)+SUMIF('10'!$D$7:$D$159,$C109,'10'!R$7:R$159)+SUMIF('11'!$D$7:$D$159,$C109,'11'!R$7:R$159)+SUMIF('12'!$D$7:$D$159,$C109,'12'!R$7:R$159)+SUMIF('01'!$D$7:$D$159,$C109,'01'!R$7:R$159)</f>
        <v>0</v>
      </c>
      <c r="Q110" s="282">
        <f>SUMIF('09'!$D$7:$D$159,$C109,'09'!S$7:S$159)+SUMIF('10'!$D$7:$D$159,$C109,'10'!S$7:S$159)+SUMIF('11'!$D$7:$D$159,$C109,'11'!S$7:S$159)+SUMIF('12'!$D$7:$D$159,$C109,'12'!S$7:S$159)+SUMIF('01'!$D$7:$D$159,$C109,'01'!S$7:S$159)</f>
        <v>0</v>
      </c>
      <c r="R110" s="283">
        <f>SUMIF('09'!$D$7:$D$159,$C109,'09'!T$7:T$159)+SUMIF('10'!$D$7:$D$159,$C109,'10'!T$7:T$159)+SUMIF('11'!$D$7:$D$159,$C109,'11'!T$7:T$159)+SUMIF('12'!$D$7:$D$159,$C109,'12'!T$7:T$159)+SUMIF('01'!$D$7:$D$159,$C109,'01'!T$7:T$159)</f>
        <v>0</v>
      </c>
      <c r="S110" s="281">
        <f>SUMIF('09'!$D$7:$D$159,$C109,'09'!U$7:U$159)+SUMIF('10'!$D$7:$D$159,$C109,'10'!U$7:U$159)+SUMIF('11'!$D$7:$D$159,$C109,'11'!U$7:U$159)+SUMIF('12'!$D$7:$D$159,$C109,'12'!U$7:U$159)+SUMIF('01'!$D$7:$D$159,$C109,'01'!U$7:U$159)</f>
        <v>0</v>
      </c>
      <c r="T110" s="282">
        <f>SUMIF('09'!$D$7:$D$159,$C109,'09'!V$7:V$159)+SUMIF('10'!$D$7:$D$159,$C109,'10'!V$7:V$159)+SUMIF('11'!$D$7:$D$159,$C109,'11'!V$7:V$159)+SUMIF('12'!$D$7:$D$159,$C109,'12'!V$7:V$159)+SUMIF('01'!$D$7:$D$159,$C109,'01'!V$7:V$159)</f>
        <v>0</v>
      </c>
      <c r="U110" s="285">
        <f>SUMIF('09'!$D$7:$D$159,$C109,'09'!W$7:W$159)+SUMIF('10'!$D$7:$D$159,$C109,'10'!W$7:W$159)+SUMIF('11'!$D$7:$D$159,$C109,'11'!W$7:W$159)+SUMIF('12'!$D$7:$D$159,$C109,'12'!W$7:W$159)+SUMIF('01'!$D$7:$D$159,$C109,'01'!W$7:W$159)</f>
        <v>0</v>
      </c>
      <c r="V110" s="284">
        <f>SUMIF('09'!$D$7:$D$159,$C109,'09'!X$7:X$159)+SUMIF('10'!$D$7:$D$159,$C109,'10'!X$7:X$159)+SUMIF('11'!$D$7:$D$159,$C109,'11'!X$7:X$159)+SUMIF('12'!$D$7:$D$159,$C109,'12'!X$7:X$159)+SUMIF('01'!$D$7:$D$159,$C109,'01'!X$7:X$159)</f>
        <v>0</v>
      </c>
      <c r="W110" s="284">
        <f>SUMIF('09'!$D$7:$D$159,$C109,'09'!Y$7:Y$159)+SUMIF('10'!$D$7:$D$159,$C109,'10'!Y$7:Y$159)+SUMIF('11'!$D$7:$D$159,$C109,'11'!Y$7:Y$159)+SUMIF('12'!$D$7:$D$159,$C109,'12'!Y$7:Y$159)+SUMIF('01'!$D$7:$D$159,$C109,'01'!Y$7:Y$159)</f>
        <v>0</v>
      </c>
      <c r="X110" s="286">
        <f t="shared" si="6"/>
        <v>0</v>
      </c>
      <c r="Y110" s="345"/>
      <c r="Z110" s="347"/>
    </row>
    <row r="111" spans="1:26" ht="14.25" customHeight="1" x14ac:dyDescent="0.3">
      <c r="A111" s="178">
        <f>IF(OR(C111="0",COUNTIF(КлючОсень,C111)&gt;1),0,MATCH(F111,ВидыНагр,0))</f>
        <v>0</v>
      </c>
      <c r="B111" s="178" t="b">
        <f>(COUNTA(D111:F112,J111:W111,H111:I112)=0)</f>
        <v>1</v>
      </c>
      <c r="C111" s="179" t="str">
        <f>IF(OR(TRIM(D111)="",COUNTIF(ВидыНагр,F111)&lt;&gt;1),"0",CONCATENATE("$",TRIM(D111),"$",TRIM(E111),"$",F111,"$"))</f>
        <v>0</v>
      </c>
      <c r="D111" s="340"/>
      <c r="E111" s="338"/>
      <c r="F111" s="342"/>
      <c r="G111" s="180" t="s">
        <v>7</v>
      </c>
      <c r="H111" s="181"/>
      <c r="I111" s="182"/>
      <c r="J111" s="183"/>
      <c r="K111" s="184"/>
      <c r="L111" s="185"/>
      <c r="M111" s="183"/>
      <c r="N111" s="184"/>
      <c r="O111" s="186"/>
      <c r="P111" s="183"/>
      <c r="Q111" s="184"/>
      <c r="R111" s="185"/>
      <c r="S111" s="183"/>
      <c r="T111" s="184"/>
      <c r="U111" s="187"/>
      <c r="V111" s="186"/>
      <c r="W111" s="186"/>
      <c r="X111" s="279">
        <f t="shared" si="6"/>
        <v>0</v>
      </c>
      <c r="Y111" s="344">
        <f>X112-X111</f>
        <v>0</v>
      </c>
      <c r="Z111" s="346"/>
    </row>
    <row r="112" spans="1:26" ht="14.25" customHeight="1" x14ac:dyDescent="0.3">
      <c r="A112" s="178">
        <f>-A111</f>
        <v>0</v>
      </c>
      <c r="B112" s="178" t="b">
        <f>B111</f>
        <v>1</v>
      </c>
      <c r="C112" s="188"/>
      <c r="D112" s="341"/>
      <c r="E112" s="339"/>
      <c r="F112" s="343"/>
      <c r="G112" s="189" t="s">
        <v>8</v>
      </c>
      <c r="H112" s="190"/>
      <c r="I112" s="280"/>
      <c r="J112" s="281">
        <f>SUMIF('09'!$D$7:$D$159,$C111,'09'!L$7:L$159)+SUMIF('10'!$D$7:$D$159,$C111,'10'!L$7:L$159)+SUMIF('11'!$D$7:$D$159,$C111,'11'!L$7:L$159)+SUMIF('12'!$D$7:$D$159,$C111,'12'!L$7:L$159)+SUMIF('01'!$D$7:$D$159,$C111,'01'!L$7:L$159)</f>
        <v>0</v>
      </c>
      <c r="K112" s="282">
        <f>SUMIF('09'!$D$7:$D$159,$C111,'09'!M$7:M$159)+SUMIF('10'!$D$7:$D$159,$C111,'10'!M$7:M$159)+SUMIF('11'!$D$7:$D$159,$C111,'11'!M$7:M$159)+SUMIF('12'!$D$7:$D$159,$C111,'12'!M$7:M$159)+SUMIF('01'!$D$7:$D$159,$C111,'01'!M$7:M$159)</f>
        <v>0</v>
      </c>
      <c r="L112" s="283">
        <f>SUMIF('09'!$D$7:$D$159,$C111,'09'!N$7:N$159)+SUMIF('10'!$D$7:$D$159,$C111,'10'!N$7:N$159)+SUMIF('11'!$D$7:$D$159,$C111,'11'!N$7:N$159)+SUMIF('12'!$D$7:$D$159,$C111,'12'!N$7:N$159)+SUMIF('01'!$D$7:$D$159,$C111,'01'!N$7:N$159)</f>
        <v>0</v>
      </c>
      <c r="M112" s="281">
        <f>SUMIF('09'!$D$7:$D$159,$C111,'09'!O$7:O$159)+SUMIF('10'!$D$7:$D$159,$C111,'10'!O$7:O$159)+SUMIF('11'!$D$7:$D$159,$C111,'11'!O$7:O$159)+SUMIF('12'!$D$7:$D$159,$C111,'12'!O$7:O$159)+SUMIF('01'!$D$7:$D$159,$C111,'01'!O$7:O$159)</f>
        <v>0</v>
      </c>
      <c r="N112" s="282">
        <f>SUMIF('09'!$D$7:$D$159,$C111,'09'!P$7:P$159)+SUMIF('10'!$D$7:$D$159,$C111,'10'!P$7:P$159)+SUMIF('11'!$D$7:$D$159,$C111,'11'!P$7:P$159)+SUMIF('12'!$D$7:$D$159,$C111,'12'!P$7:P$159)+SUMIF('01'!$D$7:$D$159,$C111,'01'!P$7:P$159)</f>
        <v>0</v>
      </c>
      <c r="O112" s="284">
        <f>SUMIF('09'!$D$7:$D$159,$C111,'09'!Q$7:Q$159)+SUMIF('10'!$D$7:$D$159,$C111,'10'!Q$7:Q$159)+SUMIF('11'!$D$7:$D$159,$C111,'11'!Q$7:Q$159)+SUMIF('12'!$D$7:$D$159,$C111,'12'!Q$7:Q$159)+SUMIF('01'!$D$7:$D$159,$C111,'01'!Q$7:Q$159)</f>
        <v>0</v>
      </c>
      <c r="P112" s="281">
        <f>SUMIF('09'!$D$7:$D$159,$C111,'09'!R$7:R$159)+SUMIF('10'!$D$7:$D$159,$C111,'10'!R$7:R$159)+SUMIF('11'!$D$7:$D$159,$C111,'11'!R$7:R$159)+SUMIF('12'!$D$7:$D$159,$C111,'12'!R$7:R$159)+SUMIF('01'!$D$7:$D$159,$C111,'01'!R$7:R$159)</f>
        <v>0</v>
      </c>
      <c r="Q112" s="282">
        <f>SUMIF('09'!$D$7:$D$159,$C111,'09'!S$7:S$159)+SUMIF('10'!$D$7:$D$159,$C111,'10'!S$7:S$159)+SUMIF('11'!$D$7:$D$159,$C111,'11'!S$7:S$159)+SUMIF('12'!$D$7:$D$159,$C111,'12'!S$7:S$159)+SUMIF('01'!$D$7:$D$159,$C111,'01'!S$7:S$159)</f>
        <v>0</v>
      </c>
      <c r="R112" s="283">
        <f>SUMIF('09'!$D$7:$D$159,$C111,'09'!T$7:T$159)+SUMIF('10'!$D$7:$D$159,$C111,'10'!T$7:T$159)+SUMIF('11'!$D$7:$D$159,$C111,'11'!T$7:T$159)+SUMIF('12'!$D$7:$D$159,$C111,'12'!T$7:T$159)+SUMIF('01'!$D$7:$D$159,$C111,'01'!T$7:T$159)</f>
        <v>0</v>
      </c>
      <c r="S112" s="281">
        <f>SUMIF('09'!$D$7:$D$159,$C111,'09'!U$7:U$159)+SUMIF('10'!$D$7:$D$159,$C111,'10'!U$7:U$159)+SUMIF('11'!$D$7:$D$159,$C111,'11'!U$7:U$159)+SUMIF('12'!$D$7:$D$159,$C111,'12'!U$7:U$159)+SUMIF('01'!$D$7:$D$159,$C111,'01'!U$7:U$159)</f>
        <v>0</v>
      </c>
      <c r="T112" s="282">
        <f>SUMIF('09'!$D$7:$D$159,$C111,'09'!V$7:V$159)+SUMIF('10'!$D$7:$D$159,$C111,'10'!V$7:V$159)+SUMIF('11'!$D$7:$D$159,$C111,'11'!V$7:V$159)+SUMIF('12'!$D$7:$D$159,$C111,'12'!V$7:V$159)+SUMIF('01'!$D$7:$D$159,$C111,'01'!V$7:V$159)</f>
        <v>0</v>
      </c>
      <c r="U112" s="285">
        <f>SUMIF('09'!$D$7:$D$159,$C111,'09'!W$7:W$159)+SUMIF('10'!$D$7:$D$159,$C111,'10'!W$7:W$159)+SUMIF('11'!$D$7:$D$159,$C111,'11'!W$7:W$159)+SUMIF('12'!$D$7:$D$159,$C111,'12'!W$7:W$159)+SUMIF('01'!$D$7:$D$159,$C111,'01'!W$7:W$159)</f>
        <v>0</v>
      </c>
      <c r="V112" s="284">
        <f>SUMIF('09'!$D$7:$D$159,$C111,'09'!X$7:X$159)+SUMIF('10'!$D$7:$D$159,$C111,'10'!X$7:X$159)+SUMIF('11'!$D$7:$D$159,$C111,'11'!X$7:X$159)+SUMIF('12'!$D$7:$D$159,$C111,'12'!X$7:X$159)+SUMIF('01'!$D$7:$D$159,$C111,'01'!X$7:X$159)</f>
        <v>0</v>
      </c>
      <c r="W112" s="284">
        <f>SUMIF('09'!$D$7:$D$159,$C111,'09'!Y$7:Y$159)+SUMIF('10'!$D$7:$D$159,$C111,'10'!Y$7:Y$159)+SUMIF('11'!$D$7:$D$159,$C111,'11'!Y$7:Y$159)+SUMIF('12'!$D$7:$D$159,$C111,'12'!Y$7:Y$159)+SUMIF('01'!$D$7:$D$159,$C111,'01'!Y$7:Y$159)</f>
        <v>0</v>
      </c>
      <c r="X112" s="286">
        <f t="shared" si="6"/>
        <v>0</v>
      </c>
      <c r="Y112" s="345"/>
      <c r="Z112" s="347"/>
    </row>
    <row r="113" spans="1:26" ht="14.25" customHeight="1" x14ac:dyDescent="0.3">
      <c r="A113" s="178">
        <f>IF(OR(C113="0",COUNTIF(КлючОсень,C113)&gt;1),0,MATCH(F113,ВидыНагр,0))</f>
        <v>0</v>
      </c>
      <c r="B113" s="178" t="b">
        <f>(COUNTA(D113:F114,J113:W113,H113:I114)=0)</f>
        <v>1</v>
      </c>
      <c r="C113" s="179" t="str">
        <f>IF(OR(TRIM(D113)="",COUNTIF(ВидыНагр,F113)&lt;&gt;1),"0",CONCATENATE("$",TRIM(D113),"$",TRIM(E113),"$",F113,"$"))</f>
        <v>0</v>
      </c>
      <c r="D113" s="340"/>
      <c r="E113" s="338"/>
      <c r="F113" s="342"/>
      <c r="G113" s="180" t="s">
        <v>7</v>
      </c>
      <c r="H113" s="181"/>
      <c r="I113" s="182"/>
      <c r="J113" s="183"/>
      <c r="K113" s="184"/>
      <c r="L113" s="185"/>
      <c r="M113" s="183"/>
      <c r="N113" s="184"/>
      <c r="O113" s="186"/>
      <c r="P113" s="183"/>
      <c r="Q113" s="184"/>
      <c r="R113" s="185"/>
      <c r="S113" s="183"/>
      <c r="T113" s="184"/>
      <c r="U113" s="187"/>
      <c r="V113" s="186"/>
      <c r="W113" s="186"/>
      <c r="X113" s="279">
        <f t="shared" si="6"/>
        <v>0</v>
      </c>
      <c r="Y113" s="344">
        <f>X114-X113</f>
        <v>0</v>
      </c>
      <c r="Z113" s="346"/>
    </row>
    <row r="114" spans="1:26" ht="14.25" customHeight="1" x14ac:dyDescent="0.3">
      <c r="A114" s="178">
        <f>-A113</f>
        <v>0</v>
      </c>
      <c r="B114" s="178" t="b">
        <f>B113</f>
        <v>1</v>
      </c>
      <c r="C114" s="188"/>
      <c r="D114" s="341"/>
      <c r="E114" s="339"/>
      <c r="F114" s="343"/>
      <c r="G114" s="189" t="s">
        <v>8</v>
      </c>
      <c r="H114" s="190"/>
      <c r="I114" s="280"/>
      <c r="J114" s="281">
        <f>SUMIF('09'!$D$7:$D$159,$C113,'09'!L$7:L$159)+SUMIF('10'!$D$7:$D$159,$C113,'10'!L$7:L$159)+SUMIF('11'!$D$7:$D$159,$C113,'11'!L$7:L$159)+SUMIF('12'!$D$7:$D$159,$C113,'12'!L$7:L$159)+SUMIF('01'!$D$7:$D$159,$C113,'01'!L$7:L$159)</f>
        <v>0</v>
      </c>
      <c r="K114" s="282">
        <f>SUMIF('09'!$D$7:$D$159,$C113,'09'!M$7:M$159)+SUMIF('10'!$D$7:$D$159,$C113,'10'!M$7:M$159)+SUMIF('11'!$D$7:$D$159,$C113,'11'!M$7:M$159)+SUMIF('12'!$D$7:$D$159,$C113,'12'!M$7:M$159)+SUMIF('01'!$D$7:$D$159,$C113,'01'!M$7:M$159)</f>
        <v>0</v>
      </c>
      <c r="L114" s="283">
        <f>SUMIF('09'!$D$7:$D$159,$C113,'09'!N$7:N$159)+SUMIF('10'!$D$7:$D$159,$C113,'10'!N$7:N$159)+SUMIF('11'!$D$7:$D$159,$C113,'11'!N$7:N$159)+SUMIF('12'!$D$7:$D$159,$C113,'12'!N$7:N$159)+SUMIF('01'!$D$7:$D$159,$C113,'01'!N$7:N$159)</f>
        <v>0</v>
      </c>
      <c r="M114" s="281">
        <f>SUMIF('09'!$D$7:$D$159,$C113,'09'!O$7:O$159)+SUMIF('10'!$D$7:$D$159,$C113,'10'!O$7:O$159)+SUMIF('11'!$D$7:$D$159,$C113,'11'!O$7:O$159)+SUMIF('12'!$D$7:$D$159,$C113,'12'!O$7:O$159)+SUMIF('01'!$D$7:$D$159,$C113,'01'!O$7:O$159)</f>
        <v>0</v>
      </c>
      <c r="N114" s="282">
        <f>SUMIF('09'!$D$7:$D$159,$C113,'09'!P$7:P$159)+SUMIF('10'!$D$7:$D$159,$C113,'10'!P$7:P$159)+SUMIF('11'!$D$7:$D$159,$C113,'11'!P$7:P$159)+SUMIF('12'!$D$7:$D$159,$C113,'12'!P$7:P$159)+SUMIF('01'!$D$7:$D$159,$C113,'01'!P$7:P$159)</f>
        <v>0</v>
      </c>
      <c r="O114" s="284">
        <f>SUMIF('09'!$D$7:$D$159,$C113,'09'!Q$7:Q$159)+SUMIF('10'!$D$7:$D$159,$C113,'10'!Q$7:Q$159)+SUMIF('11'!$D$7:$D$159,$C113,'11'!Q$7:Q$159)+SUMIF('12'!$D$7:$D$159,$C113,'12'!Q$7:Q$159)+SUMIF('01'!$D$7:$D$159,$C113,'01'!Q$7:Q$159)</f>
        <v>0</v>
      </c>
      <c r="P114" s="281">
        <f>SUMIF('09'!$D$7:$D$159,$C113,'09'!R$7:R$159)+SUMIF('10'!$D$7:$D$159,$C113,'10'!R$7:R$159)+SUMIF('11'!$D$7:$D$159,$C113,'11'!R$7:R$159)+SUMIF('12'!$D$7:$D$159,$C113,'12'!R$7:R$159)+SUMIF('01'!$D$7:$D$159,$C113,'01'!R$7:R$159)</f>
        <v>0</v>
      </c>
      <c r="Q114" s="282">
        <f>SUMIF('09'!$D$7:$D$159,$C113,'09'!S$7:S$159)+SUMIF('10'!$D$7:$D$159,$C113,'10'!S$7:S$159)+SUMIF('11'!$D$7:$D$159,$C113,'11'!S$7:S$159)+SUMIF('12'!$D$7:$D$159,$C113,'12'!S$7:S$159)+SUMIF('01'!$D$7:$D$159,$C113,'01'!S$7:S$159)</f>
        <v>0</v>
      </c>
      <c r="R114" s="283">
        <f>SUMIF('09'!$D$7:$D$159,$C113,'09'!T$7:T$159)+SUMIF('10'!$D$7:$D$159,$C113,'10'!T$7:T$159)+SUMIF('11'!$D$7:$D$159,$C113,'11'!T$7:T$159)+SUMIF('12'!$D$7:$D$159,$C113,'12'!T$7:T$159)+SUMIF('01'!$D$7:$D$159,$C113,'01'!T$7:T$159)</f>
        <v>0</v>
      </c>
      <c r="S114" s="281">
        <f>SUMIF('09'!$D$7:$D$159,$C113,'09'!U$7:U$159)+SUMIF('10'!$D$7:$D$159,$C113,'10'!U$7:U$159)+SUMIF('11'!$D$7:$D$159,$C113,'11'!U$7:U$159)+SUMIF('12'!$D$7:$D$159,$C113,'12'!U$7:U$159)+SUMIF('01'!$D$7:$D$159,$C113,'01'!U$7:U$159)</f>
        <v>0</v>
      </c>
      <c r="T114" s="282">
        <f>SUMIF('09'!$D$7:$D$159,$C113,'09'!V$7:V$159)+SUMIF('10'!$D$7:$D$159,$C113,'10'!V$7:V$159)+SUMIF('11'!$D$7:$D$159,$C113,'11'!V$7:V$159)+SUMIF('12'!$D$7:$D$159,$C113,'12'!V$7:V$159)+SUMIF('01'!$D$7:$D$159,$C113,'01'!V$7:V$159)</f>
        <v>0</v>
      </c>
      <c r="U114" s="285">
        <f>SUMIF('09'!$D$7:$D$159,$C113,'09'!W$7:W$159)+SUMIF('10'!$D$7:$D$159,$C113,'10'!W$7:W$159)+SUMIF('11'!$D$7:$D$159,$C113,'11'!W$7:W$159)+SUMIF('12'!$D$7:$D$159,$C113,'12'!W$7:W$159)+SUMIF('01'!$D$7:$D$159,$C113,'01'!W$7:W$159)</f>
        <v>0</v>
      </c>
      <c r="V114" s="284">
        <f>SUMIF('09'!$D$7:$D$159,$C113,'09'!X$7:X$159)+SUMIF('10'!$D$7:$D$159,$C113,'10'!X$7:X$159)+SUMIF('11'!$D$7:$D$159,$C113,'11'!X$7:X$159)+SUMIF('12'!$D$7:$D$159,$C113,'12'!X$7:X$159)+SUMIF('01'!$D$7:$D$159,$C113,'01'!X$7:X$159)</f>
        <v>0</v>
      </c>
      <c r="W114" s="284">
        <f>SUMIF('09'!$D$7:$D$159,$C113,'09'!Y$7:Y$159)+SUMIF('10'!$D$7:$D$159,$C113,'10'!Y$7:Y$159)+SUMIF('11'!$D$7:$D$159,$C113,'11'!Y$7:Y$159)+SUMIF('12'!$D$7:$D$159,$C113,'12'!Y$7:Y$159)+SUMIF('01'!$D$7:$D$159,$C113,'01'!Y$7:Y$159)</f>
        <v>0</v>
      </c>
      <c r="X114" s="286">
        <f t="shared" si="6"/>
        <v>0</v>
      </c>
      <c r="Y114" s="345"/>
      <c r="Z114" s="347"/>
    </row>
    <row r="115" spans="1:26" ht="14.25" customHeight="1" x14ac:dyDescent="0.3">
      <c r="A115" s="178">
        <f>IF(OR(C115="0",COUNTIF(КлючОсень,C115)&gt;1),0,MATCH(F115,ВидыНагр,0))</f>
        <v>0</v>
      </c>
      <c r="B115" s="178" t="b">
        <f>(COUNTA(D115:F116,J115:W115,H115:I116)=0)</f>
        <v>1</v>
      </c>
      <c r="C115" s="179" t="str">
        <f>IF(OR(TRIM(D115)="",COUNTIF(ВидыНагр,F115)&lt;&gt;1),"0",CONCATENATE("$",TRIM(D115),"$",TRIM(E115),"$",F115,"$"))</f>
        <v>0</v>
      </c>
      <c r="D115" s="340"/>
      <c r="E115" s="338"/>
      <c r="F115" s="342"/>
      <c r="G115" s="180" t="s">
        <v>7</v>
      </c>
      <c r="H115" s="181"/>
      <c r="I115" s="182"/>
      <c r="J115" s="183"/>
      <c r="K115" s="184"/>
      <c r="L115" s="185"/>
      <c r="M115" s="183"/>
      <c r="N115" s="184"/>
      <c r="O115" s="186"/>
      <c r="P115" s="183"/>
      <c r="Q115" s="184"/>
      <c r="R115" s="185"/>
      <c r="S115" s="183"/>
      <c r="T115" s="184"/>
      <c r="U115" s="187"/>
      <c r="V115" s="186"/>
      <c r="W115" s="186"/>
      <c r="X115" s="279">
        <f t="shared" si="6"/>
        <v>0</v>
      </c>
      <c r="Y115" s="344">
        <f>X116-X115</f>
        <v>0</v>
      </c>
      <c r="Z115" s="346"/>
    </row>
    <row r="116" spans="1:26" ht="14.25" customHeight="1" x14ac:dyDescent="0.3">
      <c r="A116" s="178">
        <f>-A115</f>
        <v>0</v>
      </c>
      <c r="B116" s="178" t="b">
        <f>B115</f>
        <v>1</v>
      </c>
      <c r="C116" s="188"/>
      <c r="D116" s="341"/>
      <c r="E116" s="339"/>
      <c r="F116" s="343"/>
      <c r="G116" s="189" t="s">
        <v>8</v>
      </c>
      <c r="H116" s="190"/>
      <c r="I116" s="280"/>
      <c r="J116" s="281">
        <f>SUMIF('09'!$D$7:$D$159,$C115,'09'!L$7:L$159)+SUMIF('10'!$D$7:$D$159,$C115,'10'!L$7:L$159)+SUMIF('11'!$D$7:$D$159,$C115,'11'!L$7:L$159)+SUMIF('12'!$D$7:$D$159,$C115,'12'!L$7:L$159)+SUMIF('01'!$D$7:$D$159,$C115,'01'!L$7:L$159)</f>
        <v>0</v>
      </c>
      <c r="K116" s="282">
        <f>SUMIF('09'!$D$7:$D$159,$C115,'09'!M$7:M$159)+SUMIF('10'!$D$7:$D$159,$C115,'10'!M$7:M$159)+SUMIF('11'!$D$7:$D$159,$C115,'11'!M$7:M$159)+SUMIF('12'!$D$7:$D$159,$C115,'12'!M$7:M$159)+SUMIF('01'!$D$7:$D$159,$C115,'01'!M$7:M$159)</f>
        <v>0</v>
      </c>
      <c r="L116" s="283">
        <f>SUMIF('09'!$D$7:$D$159,$C115,'09'!N$7:N$159)+SUMIF('10'!$D$7:$D$159,$C115,'10'!N$7:N$159)+SUMIF('11'!$D$7:$D$159,$C115,'11'!N$7:N$159)+SUMIF('12'!$D$7:$D$159,$C115,'12'!N$7:N$159)+SUMIF('01'!$D$7:$D$159,$C115,'01'!N$7:N$159)</f>
        <v>0</v>
      </c>
      <c r="M116" s="281">
        <f>SUMIF('09'!$D$7:$D$159,$C115,'09'!O$7:O$159)+SUMIF('10'!$D$7:$D$159,$C115,'10'!O$7:O$159)+SUMIF('11'!$D$7:$D$159,$C115,'11'!O$7:O$159)+SUMIF('12'!$D$7:$D$159,$C115,'12'!O$7:O$159)+SUMIF('01'!$D$7:$D$159,$C115,'01'!O$7:O$159)</f>
        <v>0</v>
      </c>
      <c r="N116" s="282">
        <f>SUMIF('09'!$D$7:$D$159,$C115,'09'!P$7:P$159)+SUMIF('10'!$D$7:$D$159,$C115,'10'!P$7:P$159)+SUMIF('11'!$D$7:$D$159,$C115,'11'!P$7:P$159)+SUMIF('12'!$D$7:$D$159,$C115,'12'!P$7:P$159)+SUMIF('01'!$D$7:$D$159,$C115,'01'!P$7:P$159)</f>
        <v>0</v>
      </c>
      <c r="O116" s="284">
        <f>SUMIF('09'!$D$7:$D$159,$C115,'09'!Q$7:Q$159)+SUMIF('10'!$D$7:$D$159,$C115,'10'!Q$7:Q$159)+SUMIF('11'!$D$7:$D$159,$C115,'11'!Q$7:Q$159)+SUMIF('12'!$D$7:$D$159,$C115,'12'!Q$7:Q$159)+SUMIF('01'!$D$7:$D$159,$C115,'01'!Q$7:Q$159)</f>
        <v>0</v>
      </c>
      <c r="P116" s="281">
        <f>SUMIF('09'!$D$7:$D$159,$C115,'09'!R$7:R$159)+SUMIF('10'!$D$7:$D$159,$C115,'10'!R$7:R$159)+SUMIF('11'!$D$7:$D$159,$C115,'11'!R$7:R$159)+SUMIF('12'!$D$7:$D$159,$C115,'12'!R$7:R$159)+SUMIF('01'!$D$7:$D$159,$C115,'01'!R$7:R$159)</f>
        <v>0</v>
      </c>
      <c r="Q116" s="282">
        <f>SUMIF('09'!$D$7:$D$159,$C115,'09'!S$7:S$159)+SUMIF('10'!$D$7:$D$159,$C115,'10'!S$7:S$159)+SUMIF('11'!$D$7:$D$159,$C115,'11'!S$7:S$159)+SUMIF('12'!$D$7:$D$159,$C115,'12'!S$7:S$159)+SUMIF('01'!$D$7:$D$159,$C115,'01'!S$7:S$159)</f>
        <v>0</v>
      </c>
      <c r="R116" s="283">
        <f>SUMIF('09'!$D$7:$D$159,$C115,'09'!T$7:T$159)+SUMIF('10'!$D$7:$D$159,$C115,'10'!T$7:T$159)+SUMIF('11'!$D$7:$D$159,$C115,'11'!T$7:T$159)+SUMIF('12'!$D$7:$D$159,$C115,'12'!T$7:T$159)+SUMIF('01'!$D$7:$D$159,$C115,'01'!T$7:T$159)</f>
        <v>0</v>
      </c>
      <c r="S116" s="281">
        <f>SUMIF('09'!$D$7:$D$159,$C115,'09'!U$7:U$159)+SUMIF('10'!$D$7:$D$159,$C115,'10'!U$7:U$159)+SUMIF('11'!$D$7:$D$159,$C115,'11'!U$7:U$159)+SUMIF('12'!$D$7:$D$159,$C115,'12'!U$7:U$159)+SUMIF('01'!$D$7:$D$159,$C115,'01'!U$7:U$159)</f>
        <v>0</v>
      </c>
      <c r="T116" s="282">
        <f>SUMIF('09'!$D$7:$D$159,$C115,'09'!V$7:V$159)+SUMIF('10'!$D$7:$D$159,$C115,'10'!V$7:V$159)+SUMIF('11'!$D$7:$D$159,$C115,'11'!V$7:V$159)+SUMIF('12'!$D$7:$D$159,$C115,'12'!V$7:V$159)+SUMIF('01'!$D$7:$D$159,$C115,'01'!V$7:V$159)</f>
        <v>0</v>
      </c>
      <c r="U116" s="285">
        <f>SUMIF('09'!$D$7:$D$159,$C115,'09'!W$7:W$159)+SUMIF('10'!$D$7:$D$159,$C115,'10'!W$7:W$159)+SUMIF('11'!$D$7:$D$159,$C115,'11'!W$7:W$159)+SUMIF('12'!$D$7:$D$159,$C115,'12'!W$7:W$159)+SUMIF('01'!$D$7:$D$159,$C115,'01'!W$7:W$159)</f>
        <v>0</v>
      </c>
      <c r="V116" s="284">
        <f>SUMIF('09'!$D$7:$D$159,$C115,'09'!X$7:X$159)+SUMIF('10'!$D$7:$D$159,$C115,'10'!X$7:X$159)+SUMIF('11'!$D$7:$D$159,$C115,'11'!X$7:X$159)+SUMIF('12'!$D$7:$D$159,$C115,'12'!X$7:X$159)+SUMIF('01'!$D$7:$D$159,$C115,'01'!X$7:X$159)</f>
        <v>0</v>
      </c>
      <c r="W116" s="284">
        <f>SUMIF('09'!$D$7:$D$159,$C115,'09'!Y$7:Y$159)+SUMIF('10'!$D$7:$D$159,$C115,'10'!Y$7:Y$159)+SUMIF('11'!$D$7:$D$159,$C115,'11'!Y$7:Y$159)+SUMIF('12'!$D$7:$D$159,$C115,'12'!Y$7:Y$159)+SUMIF('01'!$D$7:$D$159,$C115,'01'!Y$7:Y$159)</f>
        <v>0</v>
      </c>
      <c r="X116" s="286">
        <f t="shared" si="6"/>
        <v>0</v>
      </c>
      <c r="Y116" s="345"/>
      <c r="Z116" s="347"/>
    </row>
    <row r="117" spans="1:26" ht="14.25" customHeight="1" x14ac:dyDescent="0.3">
      <c r="A117" s="178">
        <f>IF(OR(C117="0",COUNTIF(КлючОсень,C117)&gt;1),0,MATCH(F117,ВидыНагр,0))</f>
        <v>0</v>
      </c>
      <c r="B117" s="178" t="b">
        <f>(COUNTA(D117:F118,J117:W117,H117:I118)=0)</f>
        <v>1</v>
      </c>
      <c r="C117" s="179" t="str">
        <f>IF(OR(TRIM(D117)="",COUNTIF(ВидыНагр,F117)&lt;&gt;1),"0",CONCATENATE("$",TRIM(D117),"$",TRIM(E117),"$",F117,"$"))</f>
        <v>0</v>
      </c>
      <c r="D117" s="340"/>
      <c r="E117" s="338"/>
      <c r="F117" s="342"/>
      <c r="G117" s="180" t="s">
        <v>7</v>
      </c>
      <c r="H117" s="181"/>
      <c r="I117" s="182"/>
      <c r="J117" s="183"/>
      <c r="K117" s="184"/>
      <c r="L117" s="185"/>
      <c r="M117" s="183"/>
      <c r="N117" s="184"/>
      <c r="O117" s="186"/>
      <c r="P117" s="183"/>
      <c r="Q117" s="184"/>
      <c r="R117" s="185"/>
      <c r="S117" s="183"/>
      <c r="T117" s="184"/>
      <c r="U117" s="187"/>
      <c r="V117" s="186"/>
      <c r="W117" s="186"/>
      <c r="X117" s="279">
        <f t="shared" si="6"/>
        <v>0</v>
      </c>
      <c r="Y117" s="344">
        <f>X118-X117</f>
        <v>0</v>
      </c>
      <c r="Z117" s="346"/>
    </row>
    <row r="118" spans="1:26" ht="14.25" customHeight="1" x14ac:dyDescent="0.3">
      <c r="A118" s="178">
        <f>-A117</f>
        <v>0</v>
      </c>
      <c r="B118" s="178" t="b">
        <f>B117</f>
        <v>1</v>
      </c>
      <c r="C118" s="188"/>
      <c r="D118" s="341"/>
      <c r="E118" s="339"/>
      <c r="F118" s="343"/>
      <c r="G118" s="189" t="s">
        <v>8</v>
      </c>
      <c r="H118" s="190"/>
      <c r="I118" s="280"/>
      <c r="J118" s="281">
        <f>SUMIF('09'!$D$7:$D$159,$C117,'09'!L$7:L$159)+SUMIF('10'!$D$7:$D$159,$C117,'10'!L$7:L$159)+SUMIF('11'!$D$7:$D$159,$C117,'11'!L$7:L$159)+SUMIF('12'!$D$7:$D$159,$C117,'12'!L$7:L$159)+SUMIF('01'!$D$7:$D$159,$C117,'01'!L$7:L$159)</f>
        <v>0</v>
      </c>
      <c r="K118" s="282">
        <f>SUMIF('09'!$D$7:$D$159,$C117,'09'!M$7:M$159)+SUMIF('10'!$D$7:$D$159,$C117,'10'!M$7:M$159)+SUMIF('11'!$D$7:$D$159,$C117,'11'!M$7:M$159)+SUMIF('12'!$D$7:$D$159,$C117,'12'!M$7:M$159)+SUMIF('01'!$D$7:$D$159,$C117,'01'!M$7:M$159)</f>
        <v>0</v>
      </c>
      <c r="L118" s="283">
        <f>SUMIF('09'!$D$7:$D$159,$C117,'09'!N$7:N$159)+SUMIF('10'!$D$7:$D$159,$C117,'10'!N$7:N$159)+SUMIF('11'!$D$7:$D$159,$C117,'11'!N$7:N$159)+SUMIF('12'!$D$7:$D$159,$C117,'12'!N$7:N$159)+SUMIF('01'!$D$7:$D$159,$C117,'01'!N$7:N$159)</f>
        <v>0</v>
      </c>
      <c r="M118" s="281">
        <f>SUMIF('09'!$D$7:$D$159,$C117,'09'!O$7:O$159)+SUMIF('10'!$D$7:$D$159,$C117,'10'!O$7:O$159)+SUMIF('11'!$D$7:$D$159,$C117,'11'!O$7:O$159)+SUMIF('12'!$D$7:$D$159,$C117,'12'!O$7:O$159)+SUMIF('01'!$D$7:$D$159,$C117,'01'!O$7:O$159)</f>
        <v>0</v>
      </c>
      <c r="N118" s="282">
        <f>SUMIF('09'!$D$7:$D$159,$C117,'09'!P$7:P$159)+SUMIF('10'!$D$7:$D$159,$C117,'10'!P$7:P$159)+SUMIF('11'!$D$7:$D$159,$C117,'11'!P$7:P$159)+SUMIF('12'!$D$7:$D$159,$C117,'12'!P$7:P$159)+SUMIF('01'!$D$7:$D$159,$C117,'01'!P$7:P$159)</f>
        <v>0</v>
      </c>
      <c r="O118" s="284">
        <f>SUMIF('09'!$D$7:$D$159,$C117,'09'!Q$7:Q$159)+SUMIF('10'!$D$7:$D$159,$C117,'10'!Q$7:Q$159)+SUMIF('11'!$D$7:$D$159,$C117,'11'!Q$7:Q$159)+SUMIF('12'!$D$7:$D$159,$C117,'12'!Q$7:Q$159)+SUMIF('01'!$D$7:$D$159,$C117,'01'!Q$7:Q$159)</f>
        <v>0</v>
      </c>
      <c r="P118" s="281">
        <f>SUMIF('09'!$D$7:$D$159,$C117,'09'!R$7:R$159)+SUMIF('10'!$D$7:$D$159,$C117,'10'!R$7:R$159)+SUMIF('11'!$D$7:$D$159,$C117,'11'!R$7:R$159)+SUMIF('12'!$D$7:$D$159,$C117,'12'!R$7:R$159)+SUMIF('01'!$D$7:$D$159,$C117,'01'!R$7:R$159)</f>
        <v>0</v>
      </c>
      <c r="Q118" s="282">
        <f>SUMIF('09'!$D$7:$D$159,$C117,'09'!S$7:S$159)+SUMIF('10'!$D$7:$D$159,$C117,'10'!S$7:S$159)+SUMIF('11'!$D$7:$D$159,$C117,'11'!S$7:S$159)+SUMIF('12'!$D$7:$D$159,$C117,'12'!S$7:S$159)+SUMIF('01'!$D$7:$D$159,$C117,'01'!S$7:S$159)</f>
        <v>0</v>
      </c>
      <c r="R118" s="283">
        <f>SUMIF('09'!$D$7:$D$159,$C117,'09'!T$7:T$159)+SUMIF('10'!$D$7:$D$159,$C117,'10'!T$7:T$159)+SUMIF('11'!$D$7:$D$159,$C117,'11'!T$7:T$159)+SUMIF('12'!$D$7:$D$159,$C117,'12'!T$7:T$159)+SUMIF('01'!$D$7:$D$159,$C117,'01'!T$7:T$159)</f>
        <v>0</v>
      </c>
      <c r="S118" s="281">
        <f>SUMIF('09'!$D$7:$D$159,$C117,'09'!U$7:U$159)+SUMIF('10'!$D$7:$D$159,$C117,'10'!U$7:U$159)+SUMIF('11'!$D$7:$D$159,$C117,'11'!U$7:U$159)+SUMIF('12'!$D$7:$D$159,$C117,'12'!U$7:U$159)+SUMIF('01'!$D$7:$D$159,$C117,'01'!U$7:U$159)</f>
        <v>0</v>
      </c>
      <c r="T118" s="282">
        <f>SUMIF('09'!$D$7:$D$159,$C117,'09'!V$7:V$159)+SUMIF('10'!$D$7:$D$159,$C117,'10'!V$7:V$159)+SUMIF('11'!$D$7:$D$159,$C117,'11'!V$7:V$159)+SUMIF('12'!$D$7:$D$159,$C117,'12'!V$7:V$159)+SUMIF('01'!$D$7:$D$159,$C117,'01'!V$7:V$159)</f>
        <v>0</v>
      </c>
      <c r="U118" s="285">
        <f>SUMIF('09'!$D$7:$D$159,$C117,'09'!W$7:W$159)+SUMIF('10'!$D$7:$D$159,$C117,'10'!W$7:W$159)+SUMIF('11'!$D$7:$D$159,$C117,'11'!W$7:W$159)+SUMIF('12'!$D$7:$D$159,$C117,'12'!W$7:W$159)+SUMIF('01'!$D$7:$D$159,$C117,'01'!W$7:W$159)</f>
        <v>0</v>
      </c>
      <c r="V118" s="284">
        <f>SUMIF('09'!$D$7:$D$159,$C117,'09'!X$7:X$159)+SUMIF('10'!$D$7:$D$159,$C117,'10'!X$7:X$159)+SUMIF('11'!$D$7:$D$159,$C117,'11'!X$7:X$159)+SUMIF('12'!$D$7:$D$159,$C117,'12'!X$7:X$159)+SUMIF('01'!$D$7:$D$159,$C117,'01'!X$7:X$159)</f>
        <v>0</v>
      </c>
      <c r="W118" s="284">
        <f>SUMIF('09'!$D$7:$D$159,$C117,'09'!Y$7:Y$159)+SUMIF('10'!$D$7:$D$159,$C117,'10'!Y$7:Y$159)+SUMIF('11'!$D$7:$D$159,$C117,'11'!Y$7:Y$159)+SUMIF('12'!$D$7:$D$159,$C117,'12'!Y$7:Y$159)+SUMIF('01'!$D$7:$D$159,$C117,'01'!Y$7:Y$159)</f>
        <v>0</v>
      </c>
      <c r="X118" s="286">
        <f t="shared" si="6"/>
        <v>0</v>
      </c>
      <c r="Y118" s="345"/>
      <c r="Z118" s="347"/>
    </row>
    <row r="119" spans="1:26" ht="14.25" customHeight="1" x14ac:dyDescent="0.3">
      <c r="A119" s="178">
        <f>IF(OR(C119="0",COUNTIF(КлючОсень,C119)&gt;1),0,MATCH(F119,ВидыНагр,0))</f>
        <v>0</v>
      </c>
      <c r="B119" s="178" t="b">
        <f>(COUNTA(D119:F120,J119:W119,H119:I120)=0)</f>
        <v>1</v>
      </c>
      <c r="C119" s="179" t="str">
        <f>IF(OR(TRIM(D119)="",COUNTIF(ВидыНагр,F119)&lt;&gt;1),"0",CONCATENATE("$",TRIM(D119),"$",TRIM(E119),"$",F119,"$"))</f>
        <v>0</v>
      </c>
      <c r="D119" s="340"/>
      <c r="E119" s="338"/>
      <c r="F119" s="342"/>
      <c r="G119" s="180" t="s">
        <v>7</v>
      </c>
      <c r="H119" s="181"/>
      <c r="I119" s="182"/>
      <c r="J119" s="183"/>
      <c r="K119" s="184"/>
      <c r="L119" s="185"/>
      <c r="M119" s="183"/>
      <c r="N119" s="184"/>
      <c r="O119" s="186"/>
      <c r="P119" s="183"/>
      <c r="Q119" s="184"/>
      <c r="R119" s="185"/>
      <c r="S119" s="183"/>
      <c r="T119" s="184"/>
      <c r="U119" s="187"/>
      <c r="V119" s="186"/>
      <c r="W119" s="186"/>
      <c r="X119" s="279">
        <f t="shared" si="6"/>
        <v>0</v>
      </c>
      <c r="Y119" s="344">
        <f>X120-X119</f>
        <v>0</v>
      </c>
      <c r="Z119" s="346"/>
    </row>
    <row r="120" spans="1:26" ht="14.25" customHeight="1" x14ac:dyDescent="0.3">
      <c r="A120" s="178">
        <f>-A119</f>
        <v>0</v>
      </c>
      <c r="B120" s="178" t="b">
        <f>B119</f>
        <v>1</v>
      </c>
      <c r="C120" s="188"/>
      <c r="D120" s="341"/>
      <c r="E120" s="339"/>
      <c r="F120" s="343"/>
      <c r="G120" s="189" t="s">
        <v>8</v>
      </c>
      <c r="H120" s="190"/>
      <c r="I120" s="280"/>
      <c r="J120" s="281">
        <f>SUMIF('09'!$D$7:$D$159,$C119,'09'!L$7:L$159)+SUMIF('10'!$D$7:$D$159,$C119,'10'!L$7:L$159)+SUMIF('11'!$D$7:$D$159,$C119,'11'!L$7:L$159)+SUMIF('12'!$D$7:$D$159,$C119,'12'!L$7:L$159)+SUMIF('01'!$D$7:$D$159,$C119,'01'!L$7:L$159)</f>
        <v>0</v>
      </c>
      <c r="K120" s="282">
        <f>SUMIF('09'!$D$7:$D$159,$C119,'09'!M$7:M$159)+SUMIF('10'!$D$7:$D$159,$C119,'10'!M$7:M$159)+SUMIF('11'!$D$7:$D$159,$C119,'11'!M$7:M$159)+SUMIF('12'!$D$7:$D$159,$C119,'12'!M$7:M$159)+SUMIF('01'!$D$7:$D$159,$C119,'01'!M$7:M$159)</f>
        <v>0</v>
      </c>
      <c r="L120" s="283">
        <f>SUMIF('09'!$D$7:$D$159,$C119,'09'!N$7:N$159)+SUMIF('10'!$D$7:$D$159,$C119,'10'!N$7:N$159)+SUMIF('11'!$D$7:$D$159,$C119,'11'!N$7:N$159)+SUMIF('12'!$D$7:$D$159,$C119,'12'!N$7:N$159)+SUMIF('01'!$D$7:$D$159,$C119,'01'!N$7:N$159)</f>
        <v>0</v>
      </c>
      <c r="M120" s="281">
        <f>SUMIF('09'!$D$7:$D$159,$C119,'09'!O$7:O$159)+SUMIF('10'!$D$7:$D$159,$C119,'10'!O$7:O$159)+SUMIF('11'!$D$7:$D$159,$C119,'11'!O$7:O$159)+SUMIF('12'!$D$7:$D$159,$C119,'12'!O$7:O$159)+SUMIF('01'!$D$7:$D$159,$C119,'01'!O$7:O$159)</f>
        <v>0</v>
      </c>
      <c r="N120" s="282">
        <f>SUMIF('09'!$D$7:$D$159,$C119,'09'!P$7:P$159)+SUMIF('10'!$D$7:$D$159,$C119,'10'!P$7:P$159)+SUMIF('11'!$D$7:$D$159,$C119,'11'!P$7:P$159)+SUMIF('12'!$D$7:$D$159,$C119,'12'!P$7:P$159)+SUMIF('01'!$D$7:$D$159,$C119,'01'!P$7:P$159)</f>
        <v>0</v>
      </c>
      <c r="O120" s="284">
        <f>SUMIF('09'!$D$7:$D$159,$C119,'09'!Q$7:Q$159)+SUMIF('10'!$D$7:$D$159,$C119,'10'!Q$7:Q$159)+SUMIF('11'!$D$7:$D$159,$C119,'11'!Q$7:Q$159)+SUMIF('12'!$D$7:$D$159,$C119,'12'!Q$7:Q$159)+SUMIF('01'!$D$7:$D$159,$C119,'01'!Q$7:Q$159)</f>
        <v>0</v>
      </c>
      <c r="P120" s="281">
        <f>SUMIF('09'!$D$7:$D$159,$C119,'09'!R$7:R$159)+SUMIF('10'!$D$7:$D$159,$C119,'10'!R$7:R$159)+SUMIF('11'!$D$7:$D$159,$C119,'11'!R$7:R$159)+SUMIF('12'!$D$7:$D$159,$C119,'12'!R$7:R$159)+SUMIF('01'!$D$7:$D$159,$C119,'01'!R$7:R$159)</f>
        <v>0</v>
      </c>
      <c r="Q120" s="282">
        <f>SUMIF('09'!$D$7:$D$159,$C119,'09'!S$7:S$159)+SUMIF('10'!$D$7:$D$159,$C119,'10'!S$7:S$159)+SUMIF('11'!$D$7:$D$159,$C119,'11'!S$7:S$159)+SUMIF('12'!$D$7:$D$159,$C119,'12'!S$7:S$159)+SUMIF('01'!$D$7:$D$159,$C119,'01'!S$7:S$159)</f>
        <v>0</v>
      </c>
      <c r="R120" s="283">
        <f>SUMIF('09'!$D$7:$D$159,$C119,'09'!T$7:T$159)+SUMIF('10'!$D$7:$D$159,$C119,'10'!T$7:T$159)+SUMIF('11'!$D$7:$D$159,$C119,'11'!T$7:T$159)+SUMIF('12'!$D$7:$D$159,$C119,'12'!T$7:T$159)+SUMIF('01'!$D$7:$D$159,$C119,'01'!T$7:T$159)</f>
        <v>0</v>
      </c>
      <c r="S120" s="281">
        <f>SUMIF('09'!$D$7:$D$159,$C119,'09'!U$7:U$159)+SUMIF('10'!$D$7:$D$159,$C119,'10'!U$7:U$159)+SUMIF('11'!$D$7:$D$159,$C119,'11'!U$7:U$159)+SUMIF('12'!$D$7:$D$159,$C119,'12'!U$7:U$159)+SUMIF('01'!$D$7:$D$159,$C119,'01'!U$7:U$159)</f>
        <v>0</v>
      </c>
      <c r="T120" s="282">
        <f>SUMIF('09'!$D$7:$D$159,$C119,'09'!V$7:V$159)+SUMIF('10'!$D$7:$D$159,$C119,'10'!V$7:V$159)+SUMIF('11'!$D$7:$D$159,$C119,'11'!V$7:V$159)+SUMIF('12'!$D$7:$D$159,$C119,'12'!V$7:V$159)+SUMIF('01'!$D$7:$D$159,$C119,'01'!V$7:V$159)</f>
        <v>0</v>
      </c>
      <c r="U120" s="285">
        <f>SUMIF('09'!$D$7:$D$159,$C119,'09'!W$7:W$159)+SUMIF('10'!$D$7:$D$159,$C119,'10'!W$7:W$159)+SUMIF('11'!$D$7:$D$159,$C119,'11'!W$7:W$159)+SUMIF('12'!$D$7:$D$159,$C119,'12'!W$7:W$159)+SUMIF('01'!$D$7:$D$159,$C119,'01'!W$7:W$159)</f>
        <v>0</v>
      </c>
      <c r="V120" s="284">
        <f>SUMIF('09'!$D$7:$D$159,$C119,'09'!X$7:X$159)+SUMIF('10'!$D$7:$D$159,$C119,'10'!X$7:X$159)+SUMIF('11'!$D$7:$D$159,$C119,'11'!X$7:X$159)+SUMIF('12'!$D$7:$D$159,$C119,'12'!X$7:X$159)+SUMIF('01'!$D$7:$D$159,$C119,'01'!X$7:X$159)</f>
        <v>0</v>
      </c>
      <c r="W120" s="284">
        <f>SUMIF('09'!$D$7:$D$159,$C119,'09'!Y$7:Y$159)+SUMIF('10'!$D$7:$D$159,$C119,'10'!Y$7:Y$159)+SUMIF('11'!$D$7:$D$159,$C119,'11'!Y$7:Y$159)+SUMIF('12'!$D$7:$D$159,$C119,'12'!Y$7:Y$159)+SUMIF('01'!$D$7:$D$159,$C119,'01'!Y$7:Y$159)</f>
        <v>0</v>
      </c>
      <c r="X120" s="286">
        <f t="shared" si="6"/>
        <v>0</v>
      </c>
      <c r="Y120" s="345"/>
      <c r="Z120" s="347"/>
    </row>
    <row r="121" spans="1:26" ht="14.25" customHeight="1" x14ac:dyDescent="0.3">
      <c r="A121" s="178">
        <f>IF(OR(C121="0",COUNTIF(КлючОсень,C121)&gt;1),0,MATCH(F121,ВидыНагр,0))</f>
        <v>0</v>
      </c>
      <c r="B121" s="178" t="b">
        <f>(COUNTA(D121:F122,J121:W121,H121:I122)=0)</f>
        <v>1</v>
      </c>
      <c r="C121" s="179" t="str">
        <f>IF(OR(TRIM(D121)="",COUNTIF(ВидыНагр,F121)&lt;&gt;1),"0",CONCATENATE("$",TRIM(D121),"$",TRIM(E121),"$",F121,"$"))</f>
        <v>0</v>
      </c>
      <c r="D121" s="340"/>
      <c r="E121" s="338"/>
      <c r="F121" s="342"/>
      <c r="G121" s="180" t="s">
        <v>7</v>
      </c>
      <c r="H121" s="181"/>
      <c r="I121" s="182"/>
      <c r="J121" s="183"/>
      <c r="K121" s="184"/>
      <c r="L121" s="185"/>
      <c r="M121" s="183"/>
      <c r="N121" s="184"/>
      <c r="O121" s="186"/>
      <c r="P121" s="183"/>
      <c r="Q121" s="184"/>
      <c r="R121" s="185"/>
      <c r="S121" s="183"/>
      <c r="T121" s="184"/>
      <c r="U121" s="187"/>
      <c r="V121" s="186"/>
      <c r="W121" s="186"/>
      <c r="X121" s="279">
        <f t="shared" si="5"/>
        <v>0</v>
      </c>
      <c r="Y121" s="344">
        <f>X122-X121</f>
        <v>0</v>
      </c>
      <c r="Z121" s="346"/>
    </row>
    <row r="122" spans="1:26" ht="14.25" customHeight="1" x14ac:dyDescent="0.3">
      <c r="A122" s="178">
        <f>-A121</f>
        <v>0</v>
      </c>
      <c r="B122" s="178" t="b">
        <f>B121</f>
        <v>1</v>
      </c>
      <c r="C122" s="188"/>
      <c r="D122" s="341"/>
      <c r="E122" s="339"/>
      <c r="F122" s="343"/>
      <c r="G122" s="189" t="s">
        <v>8</v>
      </c>
      <c r="H122" s="190"/>
      <c r="I122" s="280"/>
      <c r="J122" s="281">
        <f>SUMIF('09'!$D$7:$D$159,$C121,'09'!L$7:L$159)+SUMIF('10'!$D$7:$D$159,$C121,'10'!L$7:L$159)+SUMIF('11'!$D$7:$D$159,$C121,'11'!L$7:L$159)+SUMIF('12'!$D$7:$D$159,$C121,'12'!L$7:L$159)+SUMIF('01'!$D$7:$D$159,$C121,'01'!L$7:L$159)</f>
        <v>0</v>
      </c>
      <c r="K122" s="282">
        <f>SUMIF('09'!$D$7:$D$159,$C121,'09'!M$7:M$159)+SUMIF('10'!$D$7:$D$159,$C121,'10'!M$7:M$159)+SUMIF('11'!$D$7:$D$159,$C121,'11'!M$7:M$159)+SUMIF('12'!$D$7:$D$159,$C121,'12'!M$7:M$159)+SUMIF('01'!$D$7:$D$159,$C121,'01'!M$7:M$159)</f>
        <v>0</v>
      </c>
      <c r="L122" s="283">
        <f>SUMIF('09'!$D$7:$D$159,$C121,'09'!N$7:N$159)+SUMIF('10'!$D$7:$D$159,$C121,'10'!N$7:N$159)+SUMIF('11'!$D$7:$D$159,$C121,'11'!N$7:N$159)+SUMIF('12'!$D$7:$D$159,$C121,'12'!N$7:N$159)+SUMIF('01'!$D$7:$D$159,$C121,'01'!N$7:N$159)</f>
        <v>0</v>
      </c>
      <c r="M122" s="281">
        <f>SUMIF('09'!$D$7:$D$159,$C121,'09'!O$7:O$159)+SUMIF('10'!$D$7:$D$159,$C121,'10'!O$7:O$159)+SUMIF('11'!$D$7:$D$159,$C121,'11'!O$7:O$159)+SUMIF('12'!$D$7:$D$159,$C121,'12'!O$7:O$159)+SUMIF('01'!$D$7:$D$159,$C121,'01'!O$7:O$159)</f>
        <v>0</v>
      </c>
      <c r="N122" s="282">
        <f>SUMIF('09'!$D$7:$D$159,$C121,'09'!P$7:P$159)+SUMIF('10'!$D$7:$D$159,$C121,'10'!P$7:P$159)+SUMIF('11'!$D$7:$D$159,$C121,'11'!P$7:P$159)+SUMIF('12'!$D$7:$D$159,$C121,'12'!P$7:P$159)+SUMIF('01'!$D$7:$D$159,$C121,'01'!P$7:P$159)</f>
        <v>0</v>
      </c>
      <c r="O122" s="284">
        <f>SUMIF('09'!$D$7:$D$159,$C121,'09'!Q$7:Q$159)+SUMIF('10'!$D$7:$D$159,$C121,'10'!Q$7:Q$159)+SUMIF('11'!$D$7:$D$159,$C121,'11'!Q$7:Q$159)+SUMIF('12'!$D$7:$D$159,$C121,'12'!Q$7:Q$159)+SUMIF('01'!$D$7:$D$159,$C121,'01'!Q$7:Q$159)</f>
        <v>0</v>
      </c>
      <c r="P122" s="281">
        <f>SUMIF('09'!$D$7:$D$159,$C121,'09'!R$7:R$159)+SUMIF('10'!$D$7:$D$159,$C121,'10'!R$7:R$159)+SUMIF('11'!$D$7:$D$159,$C121,'11'!R$7:R$159)+SUMIF('12'!$D$7:$D$159,$C121,'12'!R$7:R$159)+SUMIF('01'!$D$7:$D$159,$C121,'01'!R$7:R$159)</f>
        <v>0</v>
      </c>
      <c r="Q122" s="282">
        <f>SUMIF('09'!$D$7:$D$159,$C121,'09'!S$7:S$159)+SUMIF('10'!$D$7:$D$159,$C121,'10'!S$7:S$159)+SUMIF('11'!$D$7:$D$159,$C121,'11'!S$7:S$159)+SUMIF('12'!$D$7:$D$159,$C121,'12'!S$7:S$159)+SUMIF('01'!$D$7:$D$159,$C121,'01'!S$7:S$159)</f>
        <v>0</v>
      </c>
      <c r="R122" s="283">
        <f>SUMIF('09'!$D$7:$D$159,$C121,'09'!T$7:T$159)+SUMIF('10'!$D$7:$D$159,$C121,'10'!T$7:T$159)+SUMIF('11'!$D$7:$D$159,$C121,'11'!T$7:T$159)+SUMIF('12'!$D$7:$D$159,$C121,'12'!T$7:T$159)+SUMIF('01'!$D$7:$D$159,$C121,'01'!T$7:T$159)</f>
        <v>0</v>
      </c>
      <c r="S122" s="281">
        <f>SUMIF('09'!$D$7:$D$159,$C121,'09'!U$7:U$159)+SUMIF('10'!$D$7:$D$159,$C121,'10'!U$7:U$159)+SUMIF('11'!$D$7:$D$159,$C121,'11'!U$7:U$159)+SUMIF('12'!$D$7:$D$159,$C121,'12'!U$7:U$159)+SUMIF('01'!$D$7:$D$159,$C121,'01'!U$7:U$159)</f>
        <v>0</v>
      </c>
      <c r="T122" s="282">
        <f>SUMIF('09'!$D$7:$D$159,$C121,'09'!V$7:V$159)+SUMIF('10'!$D$7:$D$159,$C121,'10'!V$7:V$159)+SUMIF('11'!$D$7:$D$159,$C121,'11'!V$7:V$159)+SUMIF('12'!$D$7:$D$159,$C121,'12'!V$7:V$159)+SUMIF('01'!$D$7:$D$159,$C121,'01'!V$7:V$159)</f>
        <v>0</v>
      </c>
      <c r="U122" s="285">
        <f>SUMIF('09'!$D$7:$D$159,$C121,'09'!W$7:W$159)+SUMIF('10'!$D$7:$D$159,$C121,'10'!W$7:W$159)+SUMIF('11'!$D$7:$D$159,$C121,'11'!W$7:W$159)+SUMIF('12'!$D$7:$D$159,$C121,'12'!W$7:W$159)+SUMIF('01'!$D$7:$D$159,$C121,'01'!W$7:W$159)</f>
        <v>0</v>
      </c>
      <c r="V122" s="284">
        <f>SUMIF('09'!$D$7:$D$159,$C121,'09'!X$7:X$159)+SUMIF('10'!$D$7:$D$159,$C121,'10'!X$7:X$159)+SUMIF('11'!$D$7:$D$159,$C121,'11'!X$7:X$159)+SUMIF('12'!$D$7:$D$159,$C121,'12'!X$7:X$159)+SUMIF('01'!$D$7:$D$159,$C121,'01'!X$7:X$159)</f>
        <v>0</v>
      </c>
      <c r="W122" s="284">
        <f>SUMIF('09'!$D$7:$D$159,$C121,'09'!Y$7:Y$159)+SUMIF('10'!$D$7:$D$159,$C121,'10'!Y$7:Y$159)+SUMIF('11'!$D$7:$D$159,$C121,'11'!Y$7:Y$159)+SUMIF('12'!$D$7:$D$159,$C121,'12'!Y$7:Y$159)+SUMIF('01'!$D$7:$D$159,$C121,'01'!Y$7:Y$159)</f>
        <v>0</v>
      </c>
      <c r="X122" s="286">
        <f t="shared" si="5"/>
        <v>0</v>
      </c>
      <c r="Y122" s="345"/>
      <c r="Z122" s="347"/>
    </row>
    <row r="123" spans="1:26" ht="14.25" customHeight="1" x14ac:dyDescent="0.3">
      <c r="A123" s="178">
        <f>IF(OR(C123="0",COUNTIF(КлючОсень,C123)&gt;1),0,MATCH(F123,ВидыНагр,0))</f>
        <v>0</v>
      </c>
      <c r="B123" s="178" t="b">
        <f>(COUNTA(D123:F124,J123:W123,H123:I124)=0)</f>
        <v>1</v>
      </c>
      <c r="C123" s="179" t="str">
        <f>IF(OR(TRIM(D123)="",COUNTIF(ВидыНагр,F123)&lt;&gt;1),"0",CONCATENATE("$",TRIM(D123),"$",TRIM(E123),"$",F123,"$"))</f>
        <v>0</v>
      </c>
      <c r="D123" s="340"/>
      <c r="E123" s="338"/>
      <c r="F123" s="342"/>
      <c r="G123" s="180" t="s">
        <v>7</v>
      </c>
      <c r="H123" s="181"/>
      <c r="I123" s="182"/>
      <c r="J123" s="183"/>
      <c r="K123" s="184"/>
      <c r="L123" s="185"/>
      <c r="M123" s="183"/>
      <c r="N123" s="184"/>
      <c r="O123" s="186"/>
      <c r="P123" s="183"/>
      <c r="Q123" s="184"/>
      <c r="R123" s="185"/>
      <c r="S123" s="183"/>
      <c r="T123" s="184"/>
      <c r="U123" s="187"/>
      <c r="V123" s="186"/>
      <c r="W123" s="186"/>
      <c r="X123" s="279">
        <f t="shared" si="5"/>
        <v>0</v>
      </c>
      <c r="Y123" s="344">
        <f>X124-X123</f>
        <v>0</v>
      </c>
      <c r="Z123" s="346"/>
    </row>
    <row r="124" spans="1:26" ht="14.25" customHeight="1" x14ac:dyDescent="0.3">
      <c r="A124" s="178">
        <f>-A123</f>
        <v>0</v>
      </c>
      <c r="B124" s="178" t="b">
        <f>B123</f>
        <v>1</v>
      </c>
      <c r="C124" s="188"/>
      <c r="D124" s="341"/>
      <c r="E124" s="339"/>
      <c r="F124" s="343"/>
      <c r="G124" s="189" t="s">
        <v>8</v>
      </c>
      <c r="H124" s="190"/>
      <c r="I124" s="280"/>
      <c r="J124" s="281">
        <f>SUMIF('09'!$D$7:$D$159,$C123,'09'!L$7:L$159)+SUMIF('10'!$D$7:$D$159,$C123,'10'!L$7:L$159)+SUMIF('11'!$D$7:$D$159,$C123,'11'!L$7:L$159)+SUMIF('12'!$D$7:$D$159,$C123,'12'!L$7:L$159)+SUMIF('01'!$D$7:$D$159,$C123,'01'!L$7:L$159)</f>
        <v>0</v>
      </c>
      <c r="K124" s="282">
        <f>SUMIF('09'!$D$7:$D$159,$C123,'09'!M$7:M$159)+SUMIF('10'!$D$7:$D$159,$C123,'10'!M$7:M$159)+SUMIF('11'!$D$7:$D$159,$C123,'11'!M$7:M$159)+SUMIF('12'!$D$7:$D$159,$C123,'12'!M$7:M$159)+SUMIF('01'!$D$7:$D$159,$C123,'01'!M$7:M$159)</f>
        <v>0</v>
      </c>
      <c r="L124" s="283">
        <f>SUMIF('09'!$D$7:$D$159,$C123,'09'!N$7:N$159)+SUMIF('10'!$D$7:$D$159,$C123,'10'!N$7:N$159)+SUMIF('11'!$D$7:$D$159,$C123,'11'!N$7:N$159)+SUMIF('12'!$D$7:$D$159,$C123,'12'!N$7:N$159)+SUMIF('01'!$D$7:$D$159,$C123,'01'!N$7:N$159)</f>
        <v>0</v>
      </c>
      <c r="M124" s="281">
        <f>SUMIF('09'!$D$7:$D$159,$C123,'09'!O$7:O$159)+SUMIF('10'!$D$7:$D$159,$C123,'10'!O$7:O$159)+SUMIF('11'!$D$7:$D$159,$C123,'11'!O$7:O$159)+SUMIF('12'!$D$7:$D$159,$C123,'12'!O$7:O$159)+SUMIF('01'!$D$7:$D$159,$C123,'01'!O$7:O$159)</f>
        <v>0</v>
      </c>
      <c r="N124" s="282">
        <f>SUMIF('09'!$D$7:$D$159,$C123,'09'!P$7:P$159)+SUMIF('10'!$D$7:$D$159,$C123,'10'!P$7:P$159)+SUMIF('11'!$D$7:$D$159,$C123,'11'!P$7:P$159)+SUMIF('12'!$D$7:$D$159,$C123,'12'!P$7:P$159)+SUMIF('01'!$D$7:$D$159,$C123,'01'!P$7:P$159)</f>
        <v>0</v>
      </c>
      <c r="O124" s="284">
        <f>SUMIF('09'!$D$7:$D$159,$C123,'09'!Q$7:Q$159)+SUMIF('10'!$D$7:$D$159,$C123,'10'!Q$7:Q$159)+SUMIF('11'!$D$7:$D$159,$C123,'11'!Q$7:Q$159)+SUMIF('12'!$D$7:$D$159,$C123,'12'!Q$7:Q$159)+SUMIF('01'!$D$7:$D$159,$C123,'01'!Q$7:Q$159)</f>
        <v>0</v>
      </c>
      <c r="P124" s="281">
        <f>SUMIF('09'!$D$7:$D$159,$C123,'09'!R$7:R$159)+SUMIF('10'!$D$7:$D$159,$C123,'10'!R$7:R$159)+SUMIF('11'!$D$7:$D$159,$C123,'11'!R$7:R$159)+SUMIF('12'!$D$7:$D$159,$C123,'12'!R$7:R$159)+SUMIF('01'!$D$7:$D$159,$C123,'01'!R$7:R$159)</f>
        <v>0</v>
      </c>
      <c r="Q124" s="282">
        <f>SUMIF('09'!$D$7:$D$159,$C123,'09'!S$7:S$159)+SUMIF('10'!$D$7:$D$159,$C123,'10'!S$7:S$159)+SUMIF('11'!$D$7:$D$159,$C123,'11'!S$7:S$159)+SUMIF('12'!$D$7:$D$159,$C123,'12'!S$7:S$159)+SUMIF('01'!$D$7:$D$159,$C123,'01'!S$7:S$159)</f>
        <v>0</v>
      </c>
      <c r="R124" s="283">
        <f>SUMIF('09'!$D$7:$D$159,$C123,'09'!T$7:T$159)+SUMIF('10'!$D$7:$D$159,$C123,'10'!T$7:T$159)+SUMIF('11'!$D$7:$D$159,$C123,'11'!T$7:T$159)+SUMIF('12'!$D$7:$D$159,$C123,'12'!T$7:T$159)+SUMIF('01'!$D$7:$D$159,$C123,'01'!T$7:T$159)</f>
        <v>0</v>
      </c>
      <c r="S124" s="281">
        <f>SUMIF('09'!$D$7:$D$159,$C123,'09'!U$7:U$159)+SUMIF('10'!$D$7:$D$159,$C123,'10'!U$7:U$159)+SUMIF('11'!$D$7:$D$159,$C123,'11'!U$7:U$159)+SUMIF('12'!$D$7:$D$159,$C123,'12'!U$7:U$159)+SUMIF('01'!$D$7:$D$159,$C123,'01'!U$7:U$159)</f>
        <v>0</v>
      </c>
      <c r="T124" s="282">
        <f>SUMIF('09'!$D$7:$D$159,$C123,'09'!V$7:V$159)+SUMIF('10'!$D$7:$D$159,$C123,'10'!V$7:V$159)+SUMIF('11'!$D$7:$D$159,$C123,'11'!V$7:V$159)+SUMIF('12'!$D$7:$D$159,$C123,'12'!V$7:V$159)+SUMIF('01'!$D$7:$D$159,$C123,'01'!V$7:V$159)</f>
        <v>0</v>
      </c>
      <c r="U124" s="285">
        <f>SUMIF('09'!$D$7:$D$159,$C123,'09'!W$7:W$159)+SUMIF('10'!$D$7:$D$159,$C123,'10'!W$7:W$159)+SUMIF('11'!$D$7:$D$159,$C123,'11'!W$7:W$159)+SUMIF('12'!$D$7:$D$159,$C123,'12'!W$7:W$159)+SUMIF('01'!$D$7:$D$159,$C123,'01'!W$7:W$159)</f>
        <v>0</v>
      </c>
      <c r="V124" s="284">
        <f>SUMIF('09'!$D$7:$D$159,$C123,'09'!X$7:X$159)+SUMIF('10'!$D$7:$D$159,$C123,'10'!X$7:X$159)+SUMIF('11'!$D$7:$D$159,$C123,'11'!X$7:X$159)+SUMIF('12'!$D$7:$D$159,$C123,'12'!X$7:X$159)+SUMIF('01'!$D$7:$D$159,$C123,'01'!X$7:X$159)</f>
        <v>0</v>
      </c>
      <c r="W124" s="284">
        <f>SUMIF('09'!$D$7:$D$159,$C123,'09'!Y$7:Y$159)+SUMIF('10'!$D$7:$D$159,$C123,'10'!Y$7:Y$159)+SUMIF('11'!$D$7:$D$159,$C123,'11'!Y$7:Y$159)+SUMIF('12'!$D$7:$D$159,$C123,'12'!Y$7:Y$159)+SUMIF('01'!$D$7:$D$159,$C123,'01'!Y$7:Y$159)</f>
        <v>0</v>
      </c>
      <c r="X124" s="286">
        <f t="shared" si="5"/>
        <v>0</v>
      </c>
      <c r="Y124" s="345"/>
      <c r="Z124" s="347"/>
    </row>
    <row r="125" spans="1:26" ht="14.25" customHeight="1" x14ac:dyDescent="0.3">
      <c r="A125" s="178">
        <f>IF(OR(C125="0",COUNTIF(КлючОсень,C125)&gt;1),0,MATCH(F125,ВидыНагр,0))</f>
        <v>0</v>
      </c>
      <c r="B125" s="178" t="b">
        <f>(COUNTA(D125:F126,J125:W125,H125:I126)=0)</f>
        <v>1</v>
      </c>
      <c r="C125" s="179" t="str">
        <f>IF(OR(TRIM(D125)="",COUNTIF(ВидыНагр,F125)&lt;&gt;1),"0",CONCATENATE("$",TRIM(D125),"$",TRIM(E125),"$",F125,"$"))</f>
        <v>0</v>
      </c>
      <c r="D125" s="340"/>
      <c r="E125" s="338"/>
      <c r="F125" s="342"/>
      <c r="G125" s="180" t="s">
        <v>7</v>
      </c>
      <c r="H125" s="181"/>
      <c r="I125" s="182"/>
      <c r="J125" s="183"/>
      <c r="K125" s="184"/>
      <c r="L125" s="185"/>
      <c r="M125" s="183"/>
      <c r="N125" s="184"/>
      <c r="O125" s="186"/>
      <c r="P125" s="183"/>
      <c r="Q125" s="184"/>
      <c r="R125" s="185"/>
      <c r="S125" s="183"/>
      <c r="T125" s="184"/>
      <c r="U125" s="187"/>
      <c r="V125" s="186"/>
      <c r="W125" s="186"/>
      <c r="X125" s="279">
        <f t="shared" si="5"/>
        <v>0</v>
      </c>
      <c r="Y125" s="344">
        <f>X126-X125</f>
        <v>0</v>
      </c>
      <c r="Z125" s="346"/>
    </row>
    <row r="126" spans="1:26" ht="14.25" customHeight="1" x14ac:dyDescent="0.3">
      <c r="A126" s="178">
        <f>-A125</f>
        <v>0</v>
      </c>
      <c r="B126" s="178" t="b">
        <f>B125</f>
        <v>1</v>
      </c>
      <c r="C126" s="188"/>
      <c r="D126" s="341"/>
      <c r="E126" s="339"/>
      <c r="F126" s="343"/>
      <c r="G126" s="189" t="s">
        <v>8</v>
      </c>
      <c r="H126" s="190"/>
      <c r="I126" s="280"/>
      <c r="J126" s="281">
        <f>SUMIF('09'!$D$7:$D$159,$C125,'09'!L$7:L$159)+SUMIF('10'!$D$7:$D$159,$C125,'10'!L$7:L$159)+SUMIF('11'!$D$7:$D$159,$C125,'11'!L$7:L$159)+SUMIF('12'!$D$7:$D$159,$C125,'12'!L$7:L$159)+SUMIF('01'!$D$7:$D$159,$C125,'01'!L$7:L$159)</f>
        <v>0</v>
      </c>
      <c r="K126" s="282">
        <f>SUMIF('09'!$D$7:$D$159,$C125,'09'!M$7:M$159)+SUMIF('10'!$D$7:$D$159,$C125,'10'!M$7:M$159)+SUMIF('11'!$D$7:$D$159,$C125,'11'!M$7:M$159)+SUMIF('12'!$D$7:$D$159,$C125,'12'!M$7:M$159)+SUMIF('01'!$D$7:$D$159,$C125,'01'!M$7:M$159)</f>
        <v>0</v>
      </c>
      <c r="L126" s="283">
        <f>SUMIF('09'!$D$7:$D$159,$C125,'09'!N$7:N$159)+SUMIF('10'!$D$7:$D$159,$C125,'10'!N$7:N$159)+SUMIF('11'!$D$7:$D$159,$C125,'11'!N$7:N$159)+SUMIF('12'!$D$7:$D$159,$C125,'12'!N$7:N$159)+SUMIF('01'!$D$7:$D$159,$C125,'01'!N$7:N$159)</f>
        <v>0</v>
      </c>
      <c r="M126" s="281">
        <f>SUMIF('09'!$D$7:$D$159,$C125,'09'!O$7:O$159)+SUMIF('10'!$D$7:$D$159,$C125,'10'!O$7:O$159)+SUMIF('11'!$D$7:$D$159,$C125,'11'!O$7:O$159)+SUMIF('12'!$D$7:$D$159,$C125,'12'!O$7:O$159)+SUMIF('01'!$D$7:$D$159,$C125,'01'!O$7:O$159)</f>
        <v>0</v>
      </c>
      <c r="N126" s="282">
        <f>SUMIF('09'!$D$7:$D$159,$C125,'09'!P$7:P$159)+SUMIF('10'!$D$7:$D$159,$C125,'10'!P$7:P$159)+SUMIF('11'!$D$7:$D$159,$C125,'11'!P$7:P$159)+SUMIF('12'!$D$7:$D$159,$C125,'12'!P$7:P$159)+SUMIF('01'!$D$7:$D$159,$C125,'01'!P$7:P$159)</f>
        <v>0</v>
      </c>
      <c r="O126" s="284">
        <f>SUMIF('09'!$D$7:$D$159,$C125,'09'!Q$7:Q$159)+SUMIF('10'!$D$7:$D$159,$C125,'10'!Q$7:Q$159)+SUMIF('11'!$D$7:$D$159,$C125,'11'!Q$7:Q$159)+SUMIF('12'!$D$7:$D$159,$C125,'12'!Q$7:Q$159)+SUMIF('01'!$D$7:$D$159,$C125,'01'!Q$7:Q$159)</f>
        <v>0</v>
      </c>
      <c r="P126" s="281">
        <f>SUMIF('09'!$D$7:$D$159,$C125,'09'!R$7:R$159)+SUMIF('10'!$D$7:$D$159,$C125,'10'!R$7:R$159)+SUMIF('11'!$D$7:$D$159,$C125,'11'!R$7:R$159)+SUMIF('12'!$D$7:$D$159,$C125,'12'!R$7:R$159)+SUMIF('01'!$D$7:$D$159,$C125,'01'!R$7:R$159)</f>
        <v>0</v>
      </c>
      <c r="Q126" s="282">
        <f>SUMIF('09'!$D$7:$D$159,$C125,'09'!S$7:S$159)+SUMIF('10'!$D$7:$D$159,$C125,'10'!S$7:S$159)+SUMIF('11'!$D$7:$D$159,$C125,'11'!S$7:S$159)+SUMIF('12'!$D$7:$D$159,$C125,'12'!S$7:S$159)+SUMIF('01'!$D$7:$D$159,$C125,'01'!S$7:S$159)</f>
        <v>0</v>
      </c>
      <c r="R126" s="283">
        <f>SUMIF('09'!$D$7:$D$159,$C125,'09'!T$7:T$159)+SUMIF('10'!$D$7:$D$159,$C125,'10'!T$7:T$159)+SUMIF('11'!$D$7:$D$159,$C125,'11'!T$7:T$159)+SUMIF('12'!$D$7:$D$159,$C125,'12'!T$7:T$159)+SUMIF('01'!$D$7:$D$159,$C125,'01'!T$7:T$159)</f>
        <v>0</v>
      </c>
      <c r="S126" s="281">
        <f>SUMIF('09'!$D$7:$D$159,$C125,'09'!U$7:U$159)+SUMIF('10'!$D$7:$D$159,$C125,'10'!U$7:U$159)+SUMIF('11'!$D$7:$D$159,$C125,'11'!U$7:U$159)+SUMIF('12'!$D$7:$D$159,$C125,'12'!U$7:U$159)+SUMIF('01'!$D$7:$D$159,$C125,'01'!U$7:U$159)</f>
        <v>0</v>
      </c>
      <c r="T126" s="282">
        <f>SUMIF('09'!$D$7:$D$159,$C125,'09'!V$7:V$159)+SUMIF('10'!$D$7:$D$159,$C125,'10'!V$7:V$159)+SUMIF('11'!$D$7:$D$159,$C125,'11'!V$7:V$159)+SUMIF('12'!$D$7:$D$159,$C125,'12'!V$7:V$159)+SUMIF('01'!$D$7:$D$159,$C125,'01'!V$7:V$159)</f>
        <v>0</v>
      </c>
      <c r="U126" s="285">
        <f>SUMIF('09'!$D$7:$D$159,$C125,'09'!W$7:W$159)+SUMIF('10'!$D$7:$D$159,$C125,'10'!W$7:W$159)+SUMIF('11'!$D$7:$D$159,$C125,'11'!W$7:W$159)+SUMIF('12'!$D$7:$D$159,$C125,'12'!W$7:W$159)+SUMIF('01'!$D$7:$D$159,$C125,'01'!W$7:W$159)</f>
        <v>0</v>
      </c>
      <c r="V126" s="284">
        <f>SUMIF('09'!$D$7:$D$159,$C125,'09'!X$7:X$159)+SUMIF('10'!$D$7:$D$159,$C125,'10'!X$7:X$159)+SUMIF('11'!$D$7:$D$159,$C125,'11'!X$7:X$159)+SUMIF('12'!$D$7:$D$159,$C125,'12'!X$7:X$159)+SUMIF('01'!$D$7:$D$159,$C125,'01'!X$7:X$159)</f>
        <v>0</v>
      </c>
      <c r="W126" s="284">
        <f>SUMIF('09'!$D$7:$D$159,$C125,'09'!Y$7:Y$159)+SUMIF('10'!$D$7:$D$159,$C125,'10'!Y$7:Y$159)+SUMIF('11'!$D$7:$D$159,$C125,'11'!Y$7:Y$159)+SUMIF('12'!$D$7:$D$159,$C125,'12'!Y$7:Y$159)+SUMIF('01'!$D$7:$D$159,$C125,'01'!Y$7:Y$159)</f>
        <v>0</v>
      </c>
      <c r="X126" s="286">
        <f t="shared" si="5"/>
        <v>0</v>
      </c>
      <c r="Y126" s="345"/>
      <c r="Z126" s="347"/>
    </row>
    <row r="127" spans="1:26" ht="14.25" customHeight="1" x14ac:dyDescent="0.3">
      <c r="A127" s="178">
        <f>IF(OR(C127="0",COUNTIF(КлючОсень,C127)&gt;1),0,MATCH(F127,ВидыНагр,0))</f>
        <v>0</v>
      </c>
      <c r="B127" s="178" t="b">
        <f>(COUNTA(D127:F128,J127:W127,H127:I128)=0)</f>
        <v>1</v>
      </c>
      <c r="C127" s="179" t="str">
        <f>IF(OR(TRIM(D127)="",COUNTIF(ВидыНагр,F127)&lt;&gt;1),"0",CONCATENATE("$",TRIM(D127),"$",TRIM(E127),"$",F127,"$"))</f>
        <v>0</v>
      </c>
      <c r="D127" s="340"/>
      <c r="E127" s="338"/>
      <c r="F127" s="342"/>
      <c r="G127" s="180" t="s">
        <v>7</v>
      </c>
      <c r="H127" s="181"/>
      <c r="I127" s="182"/>
      <c r="J127" s="183"/>
      <c r="K127" s="184"/>
      <c r="L127" s="185"/>
      <c r="M127" s="183"/>
      <c r="N127" s="184"/>
      <c r="O127" s="186"/>
      <c r="P127" s="183"/>
      <c r="Q127" s="184"/>
      <c r="R127" s="185"/>
      <c r="S127" s="183"/>
      <c r="T127" s="184"/>
      <c r="U127" s="187"/>
      <c r="V127" s="186"/>
      <c r="W127" s="186"/>
      <c r="X127" s="279">
        <f t="shared" si="5"/>
        <v>0</v>
      </c>
      <c r="Y127" s="344">
        <f>X128-X127</f>
        <v>0</v>
      </c>
      <c r="Z127" s="346"/>
    </row>
    <row r="128" spans="1:26" ht="14.25" customHeight="1" x14ac:dyDescent="0.3">
      <c r="A128" s="178">
        <f>-A127</f>
        <v>0</v>
      </c>
      <c r="B128" s="178" t="b">
        <f>B127</f>
        <v>1</v>
      </c>
      <c r="C128" s="188"/>
      <c r="D128" s="341"/>
      <c r="E128" s="339"/>
      <c r="F128" s="343"/>
      <c r="G128" s="189" t="s">
        <v>8</v>
      </c>
      <c r="H128" s="190"/>
      <c r="I128" s="280"/>
      <c r="J128" s="281">
        <f>SUMIF('09'!$D$7:$D$159,$C127,'09'!L$7:L$159)+SUMIF('10'!$D$7:$D$159,$C127,'10'!L$7:L$159)+SUMIF('11'!$D$7:$D$159,$C127,'11'!L$7:L$159)+SUMIF('12'!$D$7:$D$159,$C127,'12'!L$7:L$159)+SUMIF('01'!$D$7:$D$159,$C127,'01'!L$7:L$159)</f>
        <v>0</v>
      </c>
      <c r="K128" s="282">
        <f>SUMIF('09'!$D$7:$D$159,$C127,'09'!M$7:M$159)+SUMIF('10'!$D$7:$D$159,$C127,'10'!M$7:M$159)+SUMIF('11'!$D$7:$D$159,$C127,'11'!M$7:M$159)+SUMIF('12'!$D$7:$D$159,$C127,'12'!M$7:M$159)+SUMIF('01'!$D$7:$D$159,$C127,'01'!M$7:M$159)</f>
        <v>0</v>
      </c>
      <c r="L128" s="283">
        <f>SUMIF('09'!$D$7:$D$159,$C127,'09'!N$7:N$159)+SUMIF('10'!$D$7:$D$159,$C127,'10'!N$7:N$159)+SUMIF('11'!$D$7:$D$159,$C127,'11'!N$7:N$159)+SUMIF('12'!$D$7:$D$159,$C127,'12'!N$7:N$159)+SUMIF('01'!$D$7:$D$159,$C127,'01'!N$7:N$159)</f>
        <v>0</v>
      </c>
      <c r="M128" s="281">
        <f>SUMIF('09'!$D$7:$D$159,$C127,'09'!O$7:O$159)+SUMIF('10'!$D$7:$D$159,$C127,'10'!O$7:O$159)+SUMIF('11'!$D$7:$D$159,$C127,'11'!O$7:O$159)+SUMIF('12'!$D$7:$D$159,$C127,'12'!O$7:O$159)+SUMIF('01'!$D$7:$D$159,$C127,'01'!O$7:O$159)</f>
        <v>0</v>
      </c>
      <c r="N128" s="282">
        <f>SUMIF('09'!$D$7:$D$159,$C127,'09'!P$7:P$159)+SUMIF('10'!$D$7:$D$159,$C127,'10'!P$7:P$159)+SUMIF('11'!$D$7:$D$159,$C127,'11'!P$7:P$159)+SUMIF('12'!$D$7:$D$159,$C127,'12'!P$7:P$159)+SUMIF('01'!$D$7:$D$159,$C127,'01'!P$7:P$159)</f>
        <v>0</v>
      </c>
      <c r="O128" s="284">
        <f>SUMIF('09'!$D$7:$D$159,$C127,'09'!Q$7:Q$159)+SUMIF('10'!$D$7:$D$159,$C127,'10'!Q$7:Q$159)+SUMIF('11'!$D$7:$D$159,$C127,'11'!Q$7:Q$159)+SUMIF('12'!$D$7:$D$159,$C127,'12'!Q$7:Q$159)+SUMIF('01'!$D$7:$D$159,$C127,'01'!Q$7:Q$159)</f>
        <v>0</v>
      </c>
      <c r="P128" s="281">
        <f>SUMIF('09'!$D$7:$D$159,$C127,'09'!R$7:R$159)+SUMIF('10'!$D$7:$D$159,$C127,'10'!R$7:R$159)+SUMIF('11'!$D$7:$D$159,$C127,'11'!R$7:R$159)+SUMIF('12'!$D$7:$D$159,$C127,'12'!R$7:R$159)+SUMIF('01'!$D$7:$D$159,$C127,'01'!R$7:R$159)</f>
        <v>0</v>
      </c>
      <c r="Q128" s="282">
        <f>SUMIF('09'!$D$7:$D$159,$C127,'09'!S$7:S$159)+SUMIF('10'!$D$7:$D$159,$C127,'10'!S$7:S$159)+SUMIF('11'!$D$7:$D$159,$C127,'11'!S$7:S$159)+SUMIF('12'!$D$7:$D$159,$C127,'12'!S$7:S$159)+SUMIF('01'!$D$7:$D$159,$C127,'01'!S$7:S$159)</f>
        <v>0</v>
      </c>
      <c r="R128" s="283">
        <f>SUMIF('09'!$D$7:$D$159,$C127,'09'!T$7:T$159)+SUMIF('10'!$D$7:$D$159,$C127,'10'!T$7:T$159)+SUMIF('11'!$D$7:$D$159,$C127,'11'!T$7:T$159)+SUMIF('12'!$D$7:$D$159,$C127,'12'!T$7:T$159)+SUMIF('01'!$D$7:$D$159,$C127,'01'!T$7:T$159)</f>
        <v>0</v>
      </c>
      <c r="S128" s="281">
        <f>SUMIF('09'!$D$7:$D$159,$C127,'09'!U$7:U$159)+SUMIF('10'!$D$7:$D$159,$C127,'10'!U$7:U$159)+SUMIF('11'!$D$7:$D$159,$C127,'11'!U$7:U$159)+SUMIF('12'!$D$7:$D$159,$C127,'12'!U$7:U$159)+SUMIF('01'!$D$7:$D$159,$C127,'01'!U$7:U$159)</f>
        <v>0</v>
      </c>
      <c r="T128" s="282">
        <f>SUMIF('09'!$D$7:$D$159,$C127,'09'!V$7:V$159)+SUMIF('10'!$D$7:$D$159,$C127,'10'!V$7:V$159)+SUMIF('11'!$D$7:$D$159,$C127,'11'!V$7:V$159)+SUMIF('12'!$D$7:$D$159,$C127,'12'!V$7:V$159)+SUMIF('01'!$D$7:$D$159,$C127,'01'!V$7:V$159)</f>
        <v>0</v>
      </c>
      <c r="U128" s="285">
        <f>SUMIF('09'!$D$7:$D$159,$C127,'09'!W$7:W$159)+SUMIF('10'!$D$7:$D$159,$C127,'10'!W$7:W$159)+SUMIF('11'!$D$7:$D$159,$C127,'11'!W$7:W$159)+SUMIF('12'!$D$7:$D$159,$C127,'12'!W$7:W$159)+SUMIF('01'!$D$7:$D$159,$C127,'01'!W$7:W$159)</f>
        <v>0</v>
      </c>
      <c r="V128" s="284">
        <f>SUMIF('09'!$D$7:$D$159,$C127,'09'!X$7:X$159)+SUMIF('10'!$D$7:$D$159,$C127,'10'!X$7:X$159)+SUMIF('11'!$D$7:$D$159,$C127,'11'!X$7:X$159)+SUMIF('12'!$D$7:$D$159,$C127,'12'!X$7:X$159)+SUMIF('01'!$D$7:$D$159,$C127,'01'!X$7:X$159)</f>
        <v>0</v>
      </c>
      <c r="W128" s="284">
        <f>SUMIF('09'!$D$7:$D$159,$C127,'09'!Y$7:Y$159)+SUMIF('10'!$D$7:$D$159,$C127,'10'!Y$7:Y$159)+SUMIF('11'!$D$7:$D$159,$C127,'11'!Y$7:Y$159)+SUMIF('12'!$D$7:$D$159,$C127,'12'!Y$7:Y$159)+SUMIF('01'!$D$7:$D$159,$C127,'01'!Y$7:Y$159)</f>
        <v>0</v>
      </c>
      <c r="X128" s="286">
        <f t="shared" si="5"/>
        <v>0</v>
      </c>
      <c r="Y128" s="345"/>
      <c r="Z128" s="347"/>
    </row>
    <row r="129" spans="1:26" ht="14.25" customHeight="1" x14ac:dyDescent="0.3">
      <c r="A129" s="178">
        <f>IF(OR(C129="0",COUNTIF(КлючОсень,C129)&gt;1),0,MATCH(F129,ВидыНагр,0))</f>
        <v>0</v>
      </c>
      <c r="B129" s="178" t="b">
        <f>(COUNTA(D129:F130,J129:W129,H129:I130)=0)</f>
        <v>1</v>
      </c>
      <c r="C129" s="179" t="str">
        <f>IF(OR(TRIM(D129)="",COUNTIF(ВидыНагр,F129)&lt;&gt;1),"0",CONCATENATE("$",TRIM(D129),"$",TRIM(E129),"$",F129,"$"))</f>
        <v>0</v>
      </c>
      <c r="D129" s="340"/>
      <c r="E129" s="338"/>
      <c r="F129" s="342"/>
      <c r="G129" s="180" t="s">
        <v>7</v>
      </c>
      <c r="H129" s="181"/>
      <c r="I129" s="182"/>
      <c r="J129" s="183"/>
      <c r="K129" s="184"/>
      <c r="L129" s="185"/>
      <c r="M129" s="183"/>
      <c r="N129" s="184"/>
      <c r="O129" s="186"/>
      <c r="P129" s="183"/>
      <c r="Q129" s="184"/>
      <c r="R129" s="185"/>
      <c r="S129" s="183"/>
      <c r="T129" s="184"/>
      <c r="U129" s="187"/>
      <c r="V129" s="186"/>
      <c r="W129" s="186"/>
      <c r="X129" s="279">
        <f t="shared" si="5"/>
        <v>0</v>
      </c>
      <c r="Y129" s="344">
        <f>X130-X129</f>
        <v>0</v>
      </c>
      <c r="Z129" s="346"/>
    </row>
    <row r="130" spans="1:26" ht="14.25" customHeight="1" x14ac:dyDescent="0.3">
      <c r="A130" s="178">
        <f>-A129</f>
        <v>0</v>
      </c>
      <c r="B130" s="178" t="b">
        <f>B129</f>
        <v>1</v>
      </c>
      <c r="C130" s="188"/>
      <c r="D130" s="341"/>
      <c r="E130" s="339"/>
      <c r="F130" s="343"/>
      <c r="G130" s="189" t="s">
        <v>8</v>
      </c>
      <c r="H130" s="190"/>
      <c r="I130" s="280"/>
      <c r="J130" s="281">
        <f>SUMIF('09'!$D$7:$D$159,$C129,'09'!L$7:L$159)+SUMIF('10'!$D$7:$D$159,$C129,'10'!L$7:L$159)+SUMIF('11'!$D$7:$D$159,$C129,'11'!L$7:L$159)+SUMIF('12'!$D$7:$D$159,$C129,'12'!L$7:L$159)+SUMIF('01'!$D$7:$D$159,$C129,'01'!L$7:L$159)</f>
        <v>0</v>
      </c>
      <c r="K130" s="282">
        <f>SUMIF('09'!$D$7:$D$159,$C129,'09'!M$7:M$159)+SUMIF('10'!$D$7:$D$159,$C129,'10'!M$7:M$159)+SUMIF('11'!$D$7:$D$159,$C129,'11'!M$7:M$159)+SUMIF('12'!$D$7:$D$159,$C129,'12'!M$7:M$159)+SUMIF('01'!$D$7:$D$159,$C129,'01'!M$7:M$159)</f>
        <v>0</v>
      </c>
      <c r="L130" s="283">
        <f>SUMIF('09'!$D$7:$D$159,$C129,'09'!N$7:N$159)+SUMIF('10'!$D$7:$D$159,$C129,'10'!N$7:N$159)+SUMIF('11'!$D$7:$D$159,$C129,'11'!N$7:N$159)+SUMIF('12'!$D$7:$D$159,$C129,'12'!N$7:N$159)+SUMIF('01'!$D$7:$D$159,$C129,'01'!N$7:N$159)</f>
        <v>0</v>
      </c>
      <c r="M130" s="281">
        <f>SUMIF('09'!$D$7:$D$159,$C129,'09'!O$7:O$159)+SUMIF('10'!$D$7:$D$159,$C129,'10'!O$7:O$159)+SUMIF('11'!$D$7:$D$159,$C129,'11'!O$7:O$159)+SUMIF('12'!$D$7:$D$159,$C129,'12'!O$7:O$159)+SUMIF('01'!$D$7:$D$159,$C129,'01'!O$7:O$159)</f>
        <v>0</v>
      </c>
      <c r="N130" s="282">
        <f>SUMIF('09'!$D$7:$D$159,$C129,'09'!P$7:P$159)+SUMIF('10'!$D$7:$D$159,$C129,'10'!P$7:P$159)+SUMIF('11'!$D$7:$D$159,$C129,'11'!P$7:P$159)+SUMIF('12'!$D$7:$D$159,$C129,'12'!P$7:P$159)+SUMIF('01'!$D$7:$D$159,$C129,'01'!P$7:P$159)</f>
        <v>0</v>
      </c>
      <c r="O130" s="284">
        <f>SUMIF('09'!$D$7:$D$159,$C129,'09'!Q$7:Q$159)+SUMIF('10'!$D$7:$D$159,$C129,'10'!Q$7:Q$159)+SUMIF('11'!$D$7:$D$159,$C129,'11'!Q$7:Q$159)+SUMIF('12'!$D$7:$D$159,$C129,'12'!Q$7:Q$159)+SUMIF('01'!$D$7:$D$159,$C129,'01'!Q$7:Q$159)</f>
        <v>0</v>
      </c>
      <c r="P130" s="281">
        <f>SUMIF('09'!$D$7:$D$159,$C129,'09'!R$7:R$159)+SUMIF('10'!$D$7:$D$159,$C129,'10'!R$7:R$159)+SUMIF('11'!$D$7:$D$159,$C129,'11'!R$7:R$159)+SUMIF('12'!$D$7:$D$159,$C129,'12'!R$7:R$159)+SUMIF('01'!$D$7:$D$159,$C129,'01'!R$7:R$159)</f>
        <v>0</v>
      </c>
      <c r="Q130" s="282">
        <f>SUMIF('09'!$D$7:$D$159,$C129,'09'!S$7:S$159)+SUMIF('10'!$D$7:$D$159,$C129,'10'!S$7:S$159)+SUMIF('11'!$D$7:$D$159,$C129,'11'!S$7:S$159)+SUMIF('12'!$D$7:$D$159,$C129,'12'!S$7:S$159)+SUMIF('01'!$D$7:$D$159,$C129,'01'!S$7:S$159)</f>
        <v>0</v>
      </c>
      <c r="R130" s="283">
        <f>SUMIF('09'!$D$7:$D$159,$C129,'09'!T$7:T$159)+SUMIF('10'!$D$7:$D$159,$C129,'10'!T$7:T$159)+SUMIF('11'!$D$7:$D$159,$C129,'11'!T$7:T$159)+SUMIF('12'!$D$7:$D$159,$C129,'12'!T$7:T$159)+SUMIF('01'!$D$7:$D$159,$C129,'01'!T$7:T$159)</f>
        <v>0</v>
      </c>
      <c r="S130" s="281">
        <f>SUMIF('09'!$D$7:$D$159,$C129,'09'!U$7:U$159)+SUMIF('10'!$D$7:$D$159,$C129,'10'!U$7:U$159)+SUMIF('11'!$D$7:$D$159,$C129,'11'!U$7:U$159)+SUMIF('12'!$D$7:$D$159,$C129,'12'!U$7:U$159)+SUMIF('01'!$D$7:$D$159,$C129,'01'!U$7:U$159)</f>
        <v>0</v>
      </c>
      <c r="T130" s="282">
        <f>SUMIF('09'!$D$7:$D$159,$C129,'09'!V$7:V$159)+SUMIF('10'!$D$7:$D$159,$C129,'10'!V$7:V$159)+SUMIF('11'!$D$7:$D$159,$C129,'11'!V$7:V$159)+SUMIF('12'!$D$7:$D$159,$C129,'12'!V$7:V$159)+SUMIF('01'!$D$7:$D$159,$C129,'01'!V$7:V$159)</f>
        <v>0</v>
      </c>
      <c r="U130" s="285">
        <f>SUMIF('09'!$D$7:$D$159,$C129,'09'!W$7:W$159)+SUMIF('10'!$D$7:$D$159,$C129,'10'!W$7:W$159)+SUMIF('11'!$D$7:$D$159,$C129,'11'!W$7:W$159)+SUMIF('12'!$D$7:$D$159,$C129,'12'!W$7:W$159)+SUMIF('01'!$D$7:$D$159,$C129,'01'!W$7:W$159)</f>
        <v>0</v>
      </c>
      <c r="V130" s="284">
        <f>SUMIF('09'!$D$7:$D$159,$C129,'09'!X$7:X$159)+SUMIF('10'!$D$7:$D$159,$C129,'10'!X$7:X$159)+SUMIF('11'!$D$7:$D$159,$C129,'11'!X$7:X$159)+SUMIF('12'!$D$7:$D$159,$C129,'12'!X$7:X$159)+SUMIF('01'!$D$7:$D$159,$C129,'01'!X$7:X$159)</f>
        <v>0</v>
      </c>
      <c r="W130" s="284">
        <f>SUMIF('09'!$D$7:$D$159,$C129,'09'!Y$7:Y$159)+SUMIF('10'!$D$7:$D$159,$C129,'10'!Y$7:Y$159)+SUMIF('11'!$D$7:$D$159,$C129,'11'!Y$7:Y$159)+SUMIF('12'!$D$7:$D$159,$C129,'12'!Y$7:Y$159)+SUMIF('01'!$D$7:$D$159,$C129,'01'!Y$7:Y$159)</f>
        <v>0</v>
      </c>
      <c r="X130" s="286">
        <f t="shared" si="5"/>
        <v>0</v>
      </c>
      <c r="Y130" s="345"/>
      <c r="Z130" s="347"/>
    </row>
    <row r="131" spans="1:26" ht="14.25" customHeight="1" x14ac:dyDescent="0.3">
      <c r="A131" s="178">
        <f>IF(OR(C131="0",COUNTIF(КлючОсень,C131)&gt;1),0,MATCH(F131,ВидыНагр,0))</f>
        <v>0</v>
      </c>
      <c r="B131" s="178" t="b">
        <f>(COUNTA(D131:F132,J131:W131,H131:I132)=0)</f>
        <v>1</v>
      </c>
      <c r="C131" s="179" t="str">
        <f>IF(OR(TRIM(D131)="",COUNTIF(ВидыНагр,F131)&lt;&gt;1),"0",CONCATENATE("$",TRIM(D131),"$",TRIM(E131),"$",F131,"$"))</f>
        <v>0</v>
      </c>
      <c r="D131" s="340"/>
      <c r="E131" s="338"/>
      <c r="F131" s="342"/>
      <c r="G131" s="180" t="s">
        <v>7</v>
      </c>
      <c r="H131" s="181"/>
      <c r="I131" s="182"/>
      <c r="J131" s="183"/>
      <c r="K131" s="184"/>
      <c r="L131" s="185"/>
      <c r="M131" s="183"/>
      <c r="N131" s="184"/>
      <c r="O131" s="186"/>
      <c r="P131" s="183"/>
      <c r="Q131" s="184"/>
      <c r="R131" s="185"/>
      <c r="S131" s="183"/>
      <c r="T131" s="184"/>
      <c r="U131" s="187"/>
      <c r="V131" s="186"/>
      <c r="W131" s="186"/>
      <c r="X131" s="279">
        <f t="shared" si="5"/>
        <v>0</v>
      </c>
      <c r="Y131" s="344">
        <f>X132-X131</f>
        <v>0</v>
      </c>
      <c r="Z131" s="346"/>
    </row>
    <row r="132" spans="1:26" ht="14.25" customHeight="1" x14ac:dyDescent="0.3">
      <c r="A132" s="178">
        <f>-A131</f>
        <v>0</v>
      </c>
      <c r="B132" s="178" t="b">
        <f>B131</f>
        <v>1</v>
      </c>
      <c r="C132" s="188"/>
      <c r="D132" s="341"/>
      <c r="E132" s="339"/>
      <c r="F132" s="343"/>
      <c r="G132" s="189" t="s">
        <v>8</v>
      </c>
      <c r="H132" s="190"/>
      <c r="I132" s="280"/>
      <c r="J132" s="281">
        <f>SUMIF('09'!$D$7:$D$159,$C131,'09'!L$7:L$159)+SUMIF('10'!$D$7:$D$159,$C131,'10'!L$7:L$159)+SUMIF('11'!$D$7:$D$159,$C131,'11'!L$7:L$159)+SUMIF('12'!$D$7:$D$159,$C131,'12'!L$7:L$159)+SUMIF('01'!$D$7:$D$159,$C131,'01'!L$7:L$159)</f>
        <v>0</v>
      </c>
      <c r="K132" s="282">
        <f>SUMIF('09'!$D$7:$D$159,$C131,'09'!M$7:M$159)+SUMIF('10'!$D$7:$D$159,$C131,'10'!M$7:M$159)+SUMIF('11'!$D$7:$D$159,$C131,'11'!M$7:M$159)+SUMIF('12'!$D$7:$D$159,$C131,'12'!M$7:M$159)+SUMIF('01'!$D$7:$D$159,$C131,'01'!M$7:M$159)</f>
        <v>0</v>
      </c>
      <c r="L132" s="283">
        <f>SUMIF('09'!$D$7:$D$159,$C131,'09'!N$7:N$159)+SUMIF('10'!$D$7:$D$159,$C131,'10'!N$7:N$159)+SUMIF('11'!$D$7:$D$159,$C131,'11'!N$7:N$159)+SUMIF('12'!$D$7:$D$159,$C131,'12'!N$7:N$159)+SUMIF('01'!$D$7:$D$159,$C131,'01'!N$7:N$159)</f>
        <v>0</v>
      </c>
      <c r="M132" s="281">
        <f>SUMIF('09'!$D$7:$D$159,$C131,'09'!O$7:O$159)+SUMIF('10'!$D$7:$D$159,$C131,'10'!O$7:O$159)+SUMIF('11'!$D$7:$D$159,$C131,'11'!O$7:O$159)+SUMIF('12'!$D$7:$D$159,$C131,'12'!O$7:O$159)+SUMIF('01'!$D$7:$D$159,$C131,'01'!O$7:O$159)</f>
        <v>0</v>
      </c>
      <c r="N132" s="282">
        <f>SUMIF('09'!$D$7:$D$159,$C131,'09'!P$7:P$159)+SUMIF('10'!$D$7:$D$159,$C131,'10'!P$7:P$159)+SUMIF('11'!$D$7:$D$159,$C131,'11'!P$7:P$159)+SUMIF('12'!$D$7:$D$159,$C131,'12'!P$7:P$159)+SUMIF('01'!$D$7:$D$159,$C131,'01'!P$7:P$159)</f>
        <v>0</v>
      </c>
      <c r="O132" s="284">
        <f>SUMIF('09'!$D$7:$D$159,$C131,'09'!Q$7:Q$159)+SUMIF('10'!$D$7:$D$159,$C131,'10'!Q$7:Q$159)+SUMIF('11'!$D$7:$D$159,$C131,'11'!Q$7:Q$159)+SUMIF('12'!$D$7:$D$159,$C131,'12'!Q$7:Q$159)+SUMIF('01'!$D$7:$D$159,$C131,'01'!Q$7:Q$159)</f>
        <v>0</v>
      </c>
      <c r="P132" s="281">
        <f>SUMIF('09'!$D$7:$D$159,$C131,'09'!R$7:R$159)+SUMIF('10'!$D$7:$D$159,$C131,'10'!R$7:R$159)+SUMIF('11'!$D$7:$D$159,$C131,'11'!R$7:R$159)+SUMIF('12'!$D$7:$D$159,$C131,'12'!R$7:R$159)+SUMIF('01'!$D$7:$D$159,$C131,'01'!R$7:R$159)</f>
        <v>0</v>
      </c>
      <c r="Q132" s="282">
        <f>SUMIF('09'!$D$7:$D$159,$C131,'09'!S$7:S$159)+SUMIF('10'!$D$7:$D$159,$C131,'10'!S$7:S$159)+SUMIF('11'!$D$7:$D$159,$C131,'11'!S$7:S$159)+SUMIF('12'!$D$7:$D$159,$C131,'12'!S$7:S$159)+SUMIF('01'!$D$7:$D$159,$C131,'01'!S$7:S$159)</f>
        <v>0</v>
      </c>
      <c r="R132" s="283">
        <f>SUMIF('09'!$D$7:$D$159,$C131,'09'!T$7:T$159)+SUMIF('10'!$D$7:$D$159,$C131,'10'!T$7:T$159)+SUMIF('11'!$D$7:$D$159,$C131,'11'!T$7:T$159)+SUMIF('12'!$D$7:$D$159,$C131,'12'!T$7:T$159)+SUMIF('01'!$D$7:$D$159,$C131,'01'!T$7:T$159)</f>
        <v>0</v>
      </c>
      <c r="S132" s="281">
        <f>SUMIF('09'!$D$7:$D$159,$C131,'09'!U$7:U$159)+SUMIF('10'!$D$7:$D$159,$C131,'10'!U$7:U$159)+SUMIF('11'!$D$7:$D$159,$C131,'11'!U$7:U$159)+SUMIF('12'!$D$7:$D$159,$C131,'12'!U$7:U$159)+SUMIF('01'!$D$7:$D$159,$C131,'01'!U$7:U$159)</f>
        <v>0</v>
      </c>
      <c r="T132" s="282">
        <f>SUMIF('09'!$D$7:$D$159,$C131,'09'!V$7:V$159)+SUMIF('10'!$D$7:$D$159,$C131,'10'!V$7:V$159)+SUMIF('11'!$D$7:$D$159,$C131,'11'!V$7:V$159)+SUMIF('12'!$D$7:$D$159,$C131,'12'!V$7:V$159)+SUMIF('01'!$D$7:$D$159,$C131,'01'!V$7:V$159)</f>
        <v>0</v>
      </c>
      <c r="U132" s="285">
        <f>SUMIF('09'!$D$7:$D$159,$C131,'09'!W$7:W$159)+SUMIF('10'!$D$7:$D$159,$C131,'10'!W$7:W$159)+SUMIF('11'!$D$7:$D$159,$C131,'11'!W$7:W$159)+SUMIF('12'!$D$7:$D$159,$C131,'12'!W$7:W$159)+SUMIF('01'!$D$7:$D$159,$C131,'01'!W$7:W$159)</f>
        <v>0</v>
      </c>
      <c r="V132" s="284">
        <f>SUMIF('09'!$D$7:$D$159,$C131,'09'!X$7:X$159)+SUMIF('10'!$D$7:$D$159,$C131,'10'!X$7:X$159)+SUMIF('11'!$D$7:$D$159,$C131,'11'!X$7:X$159)+SUMIF('12'!$D$7:$D$159,$C131,'12'!X$7:X$159)+SUMIF('01'!$D$7:$D$159,$C131,'01'!X$7:X$159)</f>
        <v>0</v>
      </c>
      <c r="W132" s="284">
        <f>SUMIF('09'!$D$7:$D$159,$C131,'09'!Y$7:Y$159)+SUMIF('10'!$D$7:$D$159,$C131,'10'!Y$7:Y$159)+SUMIF('11'!$D$7:$D$159,$C131,'11'!Y$7:Y$159)+SUMIF('12'!$D$7:$D$159,$C131,'12'!Y$7:Y$159)+SUMIF('01'!$D$7:$D$159,$C131,'01'!Y$7:Y$159)</f>
        <v>0</v>
      </c>
      <c r="X132" s="286">
        <f t="shared" si="5"/>
        <v>0</v>
      </c>
      <c r="Y132" s="345"/>
      <c r="Z132" s="347"/>
    </row>
    <row r="133" spans="1:26" ht="14.25" customHeight="1" x14ac:dyDescent="0.3">
      <c r="A133" s="178">
        <f>IF(OR(C133="0",COUNTIF(КлючОсень,C133)&gt;1),0,MATCH(F133,ВидыНагр,0))</f>
        <v>0</v>
      </c>
      <c r="B133" s="178" t="b">
        <f>(COUNTA(D133:F134,J133:W133,H133:I134)=0)</f>
        <v>1</v>
      </c>
      <c r="C133" s="179" t="str">
        <f>IF(OR(TRIM(D133)="",COUNTIF(ВидыНагр,F133)&lt;&gt;1),"0",CONCATENATE("$",TRIM(D133),"$",TRIM(E133),"$",F133,"$"))</f>
        <v>0</v>
      </c>
      <c r="D133" s="340"/>
      <c r="E133" s="338"/>
      <c r="F133" s="342"/>
      <c r="G133" s="180" t="s">
        <v>7</v>
      </c>
      <c r="H133" s="181"/>
      <c r="I133" s="182"/>
      <c r="J133" s="183"/>
      <c r="K133" s="184"/>
      <c r="L133" s="185"/>
      <c r="M133" s="183"/>
      <c r="N133" s="184"/>
      <c r="O133" s="186"/>
      <c r="P133" s="183"/>
      <c r="Q133" s="184"/>
      <c r="R133" s="185"/>
      <c r="S133" s="183"/>
      <c r="T133" s="184"/>
      <c r="U133" s="187"/>
      <c r="V133" s="186"/>
      <c r="W133" s="186"/>
      <c r="X133" s="279">
        <f t="shared" si="5"/>
        <v>0</v>
      </c>
      <c r="Y133" s="344">
        <f>X134-X133</f>
        <v>0</v>
      </c>
      <c r="Z133" s="346"/>
    </row>
    <row r="134" spans="1:26" ht="14.25" customHeight="1" x14ac:dyDescent="0.3">
      <c r="A134" s="178">
        <f>-A133</f>
        <v>0</v>
      </c>
      <c r="B134" s="178" t="b">
        <f>B133</f>
        <v>1</v>
      </c>
      <c r="C134" s="188"/>
      <c r="D134" s="341"/>
      <c r="E134" s="339"/>
      <c r="F134" s="343"/>
      <c r="G134" s="189" t="s">
        <v>8</v>
      </c>
      <c r="H134" s="190"/>
      <c r="I134" s="280"/>
      <c r="J134" s="281">
        <f>SUMIF('09'!$D$7:$D$159,$C133,'09'!L$7:L$159)+SUMIF('10'!$D$7:$D$159,$C133,'10'!L$7:L$159)+SUMIF('11'!$D$7:$D$159,$C133,'11'!L$7:L$159)+SUMIF('12'!$D$7:$D$159,$C133,'12'!L$7:L$159)+SUMIF('01'!$D$7:$D$159,$C133,'01'!L$7:L$159)</f>
        <v>0</v>
      </c>
      <c r="K134" s="282">
        <f>SUMIF('09'!$D$7:$D$159,$C133,'09'!M$7:M$159)+SUMIF('10'!$D$7:$D$159,$C133,'10'!M$7:M$159)+SUMIF('11'!$D$7:$D$159,$C133,'11'!M$7:M$159)+SUMIF('12'!$D$7:$D$159,$C133,'12'!M$7:M$159)+SUMIF('01'!$D$7:$D$159,$C133,'01'!M$7:M$159)</f>
        <v>0</v>
      </c>
      <c r="L134" s="283">
        <f>SUMIF('09'!$D$7:$D$159,$C133,'09'!N$7:N$159)+SUMIF('10'!$D$7:$D$159,$C133,'10'!N$7:N$159)+SUMIF('11'!$D$7:$D$159,$C133,'11'!N$7:N$159)+SUMIF('12'!$D$7:$D$159,$C133,'12'!N$7:N$159)+SUMIF('01'!$D$7:$D$159,$C133,'01'!N$7:N$159)</f>
        <v>0</v>
      </c>
      <c r="M134" s="281">
        <f>SUMIF('09'!$D$7:$D$159,$C133,'09'!O$7:O$159)+SUMIF('10'!$D$7:$D$159,$C133,'10'!O$7:O$159)+SUMIF('11'!$D$7:$D$159,$C133,'11'!O$7:O$159)+SUMIF('12'!$D$7:$D$159,$C133,'12'!O$7:O$159)+SUMIF('01'!$D$7:$D$159,$C133,'01'!O$7:O$159)</f>
        <v>0</v>
      </c>
      <c r="N134" s="282">
        <f>SUMIF('09'!$D$7:$D$159,$C133,'09'!P$7:P$159)+SUMIF('10'!$D$7:$D$159,$C133,'10'!P$7:P$159)+SUMIF('11'!$D$7:$D$159,$C133,'11'!P$7:P$159)+SUMIF('12'!$D$7:$D$159,$C133,'12'!P$7:P$159)+SUMIF('01'!$D$7:$D$159,$C133,'01'!P$7:P$159)</f>
        <v>0</v>
      </c>
      <c r="O134" s="284">
        <f>SUMIF('09'!$D$7:$D$159,$C133,'09'!Q$7:Q$159)+SUMIF('10'!$D$7:$D$159,$C133,'10'!Q$7:Q$159)+SUMIF('11'!$D$7:$D$159,$C133,'11'!Q$7:Q$159)+SUMIF('12'!$D$7:$D$159,$C133,'12'!Q$7:Q$159)+SUMIF('01'!$D$7:$D$159,$C133,'01'!Q$7:Q$159)</f>
        <v>0</v>
      </c>
      <c r="P134" s="281">
        <f>SUMIF('09'!$D$7:$D$159,$C133,'09'!R$7:R$159)+SUMIF('10'!$D$7:$D$159,$C133,'10'!R$7:R$159)+SUMIF('11'!$D$7:$D$159,$C133,'11'!R$7:R$159)+SUMIF('12'!$D$7:$D$159,$C133,'12'!R$7:R$159)+SUMIF('01'!$D$7:$D$159,$C133,'01'!R$7:R$159)</f>
        <v>0</v>
      </c>
      <c r="Q134" s="282">
        <f>SUMIF('09'!$D$7:$D$159,$C133,'09'!S$7:S$159)+SUMIF('10'!$D$7:$D$159,$C133,'10'!S$7:S$159)+SUMIF('11'!$D$7:$D$159,$C133,'11'!S$7:S$159)+SUMIF('12'!$D$7:$D$159,$C133,'12'!S$7:S$159)+SUMIF('01'!$D$7:$D$159,$C133,'01'!S$7:S$159)</f>
        <v>0</v>
      </c>
      <c r="R134" s="283">
        <f>SUMIF('09'!$D$7:$D$159,$C133,'09'!T$7:T$159)+SUMIF('10'!$D$7:$D$159,$C133,'10'!T$7:T$159)+SUMIF('11'!$D$7:$D$159,$C133,'11'!T$7:T$159)+SUMIF('12'!$D$7:$D$159,$C133,'12'!T$7:T$159)+SUMIF('01'!$D$7:$D$159,$C133,'01'!T$7:T$159)</f>
        <v>0</v>
      </c>
      <c r="S134" s="281">
        <f>SUMIF('09'!$D$7:$D$159,$C133,'09'!U$7:U$159)+SUMIF('10'!$D$7:$D$159,$C133,'10'!U$7:U$159)+SUMIF('11'!$D$7:$D$159,$C133,'11'!U$7:U$159)+SUMIF('12'!$D$7:$D$159,$C133,'12'!U$7:U$159)+SUMIF('01'!$D$7:$D$159,$C133,'01'!U$7:U$159)</f>
        <v>0</v>
      </c>
      <c r="T134" s="282">
        <f>SUMIF('09'!$D$7:$D$159,$C133,'09'!V$7:V$159)+SUMIF('10'!$D$7:$D$159,$C133,'10'!V$7:V$159)+SUMIF('11'!$D$7:$D$159,$C133,'11'!V$7:V$159)+SUMIF('12'!$D$7:$D$159,$C133,'12'!V$7:V$159)+SUMIF('01'!$D$7:$D$159,$C133,'01'!V$7:V$159)</f>
        <v>0</v>
      </c>
      <c r="U134" s="285">
        <f>SUMIF('09'!$D$7:$D$159,$C133,'09'!W$7:W$159)+SUMIF('10'!$D$7:$D$159,$C133,'10'!W$7:W$159)+SUMIF('11'!$D$7:$D$159,$C133,'11'!W$7:W$159)+SUMIF('12'!$D$7:$D$159,$C133,'12'!W$7:W$159)+SUMIF('01'!$D$7:$D$159,$C133,'01'!W$7:W$159)</f>
        <v>0</v>
      </c>
      <c r="V134" s="284">
        <f>SUMIF('09'!$D$7:$D$159,$C133,'09'!X$7:X$159)+SUMIF('10'!$D$7:$D$159,$C133,'10'!X$7:X$159)+SUMIF('11'!$D$7:$D$159,$C133,'11'!X$7:X$159)+SUMIF('12'!$D$7:$D$159,$C133,'12'!X$7:X$159)+SUMIF('01'!$D$7:$D$159,$C133,'01'!X$7:X$159)</f>
        <v>0</v>
      </c>
      <c r="W134" s="284">
        <f>SUMIF('09'!$D$7:$D$159,$C133,'09'!Y$7:Y$159)+SUMIF('10'!$D$7:$D$159,$C133,'10'!Y$7:Y$159)+SUMIF('11'!$D$7:$D$159,$C133,'11'!Y$7:Y$159)+SUMIF('12'!$D$7:$D$159,$C133,'12'!Y$7:Y$159)+SUMIF('01'!$D$7:$D$159,$C133,'01'!Y$7:Y$159)</f>
        <v>0</v>
      </c>
      <c r="X134" s="286">
        <f t="shared" si="5"/>
        <v>0</v>
      </c>
      <c r="Y134" s="345"/>
      <c r="Z134" s="347"/>
    </row>
    <row r="135" spans="1:26" ht="14.25" customHeight="1" x14ac:dyDescent="0.3">
      <c r="A135" s="178">
        <f>IF(OR(C135="0",COUNTIF(КлючОсень,C135)&gt;1),0,MATCH(F135,ВидыНагр,0))</f>
        <v>0</v>
      </c>
      <c r="B135" s="178" t="b">
        <f>(COUNTA(D135:F136,J135:W135,H135:I136)=0)</f>
        <v>1</v>
      </c>
      <c r="C135" s="179" t="str">
        <f>IF(OR(TRIM(D135)="",COUNTIF(ВидыНагр,F135)&lt;&gt;1),"0",CONCATENATE("$",TRIM(D135),"$",TRIM(E135),"$",F135,"$"))</f>
        <v>0</v>
      </c>
      <c r="D135" s="340"/>
      <c r="E135" s="338"/>
      <c r="F135" s="342"/>
      <c r="G135" s="180" t="s">
        <v>7</v>
      </c>
      <c r="H135" s="181"/>
      <c r="I135" s="182"/>
      <c r="J135" s="183"/>
      <c r="K135" s="184"/>
      <c r="L135" s="185"/>
      <c r="M135" s="183"/>
      <c r="N135" s="184"/>
      <c r="O135" s="186"/>
      <c r="P135" s="183"/>
      <c r="Q135" s="184"/>
      <c r="R135" s="185"/>
      <c r="S135" s="183"/>
      <c r="T135" s="184"/>
      <c r="U135" s="187"/>
      <c r="V135" s="186"/>
      <c r="W135" s="186"/>
      <c r="X135" s="279">
        <f t="shared" si="5"/>
        <v>0</v>
      </c>
      <c r="Y135" s="344">
        <f>X136-X135</f>
        <v>0</v>
      </c>
      <c r="Z135" s="346"/>
    </row>
    <row r="136" spans="1:26" ht="14.25" customHeight="1" x14ac:dyDescent="0.3">
      <c r="A136" s="178">
        <f>-A135</f>
        <v>0</v>
      </c>
      <c r="B136" s="178" t="b">
        <f>B135</f>
        <v>1</v>
      </c>
      <c r="C136" s="188"/>
      <c r="D136" s="341"/>
      <c r="E136" s="339"/>
      <c r="F136" s="343"/>
      <c r="G136" s="189" t="s">
        <v>8</v>
      </c>
      <c r="H136" s="190"/>
      <c r="I136" s="280"/>
      <c r="J136" s="281">
        <f>SUMIF('09'!$D$7:$D$159,$C135,'09'!L$7:L$159)+SUMIF('10'!$D$7:$D$159,$C135,'10'!L$7:L$159)+SUMIF('11'!$D$7:$D$159,$C135,'11'!L$7:L$159)+SUMIF('12'!$D$7:$D$159,$C135,'12'!L$7:L$159)+SUMIF('01'!$D$7:$D$159,$C135,'01'!L$7:L$159)</f>
        <v>0</v>
      </c>
      <c r="K136" s="282">
        <f>SUMIF('09'!$D$7:$D$159,$C135,'09'!M$7:M$159)+SUMIF('10'!$D$7:$D$159,$C135,'10'!M$7:M$159)+SUMIF('11'!$D$7:$D$159,$C135,'11'!M$7:M$159)+SUMIF('12'!$D$7:$D$159,$C135,'12'!M$7:M$159)+SUMIF('01'!$D$7:$D$159,$C135,'01'!M$7:M$159)</f>
        <v>0</v>
      </c>
      <c r="L136" s="283">
        <f>SUMIF('09'!$D$7:$D$159,$C135,'09'!N$7:N$159)+SUMIF('10'!$D$7:$D$159,$C135,'10'!N$7:N$159)+SUMIF('11'!$D$7:$D$159,$C135,'11'!N$7:N$159)+SUMIF('12'!$D$7:$D$159,$C135,'12'!N$7:N$159)+SUMIF('01'!$D$7:$D$159,$C135,'01'!N$7:N$159)</f>
        <v>0</v>
      </c>
      <c r="M136" s="281">
        <f>SUMIF('09'!$D$7:$D$159,$C135,'09'!O$7:O$159)+SUMIF('10'!$D$7:$D$159,$C135,'10'!O$7:O$159)+SUMIF('11'!$D$7:$D$159,$C135,'11'!O$7:O$159)+SUMIF('12'!$D$7:$D$159,$C135,'12'!O$7:O$159)+SUMIF('01'!$D$7:$D$159,$C135,'01'!O$7:O$159)</f>
        <v>0</v>
      </c>
      <c r="N136" s="282">
        <f>SUMIF('09'!$D$7:$D$159,$C135,'09'!P$7:P$159)+SUMIF('10'!$D$7:$D$159,$C135,'10'!P$7:P$159)+SUMIF('11'!$D$7:$D$159,$C135,'11'!P$7:P$159)+SUMIF('12'!$D$7:$D$159,$C135,'12'!P$7:P$159)+SUMIF('01'!$D$7:$D$159,$C135,'01'!P$7:P$159)</f>
        <v>0</v>
      </c>
      <c r="O136" s="284">
        <f>SUMIF('09'!$D$7:$D$159,$C135,'09'!Q$7:Q$159)+SUMIF('10'!$D$7:$D$159,$C135,'10'!Q$7:Q$159)+SUMIF('11'!$D$7:$D$159,$C135,'11'!Q$7:Q$159)+SUMIF('12'!$D$7:$D$159,$C135,'12'!Q$7:Q$159)+SUMIF('01'!$D$7:$D$159,$C135,'01'!Q$7:Q$159)</f>
        <v>0</v>
      </c>
      <c r="P136" s="281">
        <f>SUMIF('09'!$D$7:$D$159,$C135,'09'!R$7:R$159)+SUMIF('10'!$D$7:$D$159,$C135,'10'!R$7:R$159)+SUMIF('11'!$D$7:$D$159,$C135,'11'!R$7:R$159)+SUMIF('12'!$D$7:$D$159,$C135,'12'!R$7:R$159)+SUMIF('01'!$D$7:$D$159,$C135,'01'!R$7:R$159)</f>
        <v>0</v>
      </c>
      <c r="Q136" s="282">
        <f>SUMIF('09'!$D$7:$D$159,$C135,'09'!S$7:S$159)+SUMIF('10'!$D$7:$D$159,$C135,'10'!S$7:S$159)+SUMIF('11'!$D$7:$D$159,$C135,'11'!S$7:S$159)+SUMIF('12'!$D$7:$D$159,$C135,'12'!S$7:S$159)+SUMIF('01'!$D$7:$D$159,$C135,'01'!S$7:S$159)</f>
        <v>0</v>
      </c>
      <c r="R136" s="283">
        <f>SUMIF('09'!$D$7:$D$159,$C135,'09'!T$7:T$159)+SUMIF('10'!$D$7:$D$159,$C135,'10'!T$7:T$159)+SUMIF('11'!$D$7:$D$159,$C135,'11'!T$7:T$159)+SUMIF('12'!$D$7:$D$159,$C135,'12'!T$7:T$159)+SUMIF('01'!$D$7:$D$159,$C135,'01'!T$7:T$159)</f>
        <v>0</v>
      </c>
      <c r="S136" s="281">
        <f>SUMIF('09'!$D$7:$D$159,$C135,'09'!U$7:U$159)+SUMIF('10'!$D$7:$D$159,$C135,'10'!U$7:U$159)+SUMIF('11'!$D$7:$D$159,$C135,'11'!U$7:U$159)+SUMIF('12'!$D$7:$D$159,$C135,'12'!U$7:U$159)+SUMIF('01'!$D$7:$D$159,$C135,'01'!U$7:U$159)</f>
        <v>0</v>
      </c>
      <c r="T136" s="282">
        <f>SUMIF('09'!$D$7:$D$159,$C135,'09'!V$7:V$159)+SUMIF('10'!$D$7:$D$159,$C135,'10'!V$7:V$159)+SUMIF('11'!$D$7:$D$159,$C135,'11'!V$7:V$159)+SUMIF('12'!$D$7:$D$159,$C135,'12'!V$7:V$159)+SUMIF('01'!$D$7:$D$159,$C135,'01'!V$7:V$159)</f>
        <v>0</v>
      </c>
      <c r="U136" s="285">
        <f>SUMIF('09'!$D$7:$D$159,$C135,'09'!W$7:W$159)+SUMIF('10'!$D$7:$D$159,$C135,'10'!W$7:W$159)+SUMIF('11'!$D$7:$D$159,$C135,'11'!W$7:W$159)+SUMIF('12'!$D$7:$D$159,$C135,'12'!W$7:W$159)+SUMIF('01'!$D$7:$D$159,$C135,'01'!W$7:W$159)</f>
        <v>0</v>
      </c>
      <c r="V136" s="284">
        <f>SUMIF('09'!$D$7:$D$159,$C135,'09'!X$7:X$159)+SUMIF('10'!$D$7:$D$159,$C135,'10'!X$7:X$159)+SUMIF('11'!$D$7:$D$159,$C135,'11'!X$7:X$159)+SUMIF('12'!$D$7:$D$159,$C135,'12'!X$7:X$159)+SUMIF('01'!$D$7:$D$159,$C135,'01'!X$7:X$159)</f>
        <v>0</v>
      </c>
      <c r="W136" s="284">
        <f>SUMIF('09'!$D$7:$D$159,$C135,'09'!Y$7:Y$159)+SUMIF('10'!$D$7:$D$159,$C135,'10'!Y$7:Y$159)+SUMIF('11'!$D$7:$D$159,$C135,'11'!Y$7:Y$159)+SUMIF('12'!$D$7:$D$159,$C135,'12'!Y$7:Y$159)+SUMIF('01'!$D$7:$D$159,$C135,'01'!Y$7:Y$159)</f>
        <v>0</v>
      </c>
      <c r="X136" s="286">
        <f t="shared" si="5"/>
        <v>0</v>
      </c>
      <c r="Y136" s="345"/>
      <c r="Z136" s="347"/>
    </row>
    <row r="137" spans="1:26" ht="14.25" customHeight="1" x14ac:dyDescent="0.3">
      <c r="A137" s="178">
        <f>IF(OR(C137="0",COUNTIF(КлючОсень,C137)&gt;1),0,MATCH(F137,ВидыНагр,0))</f>
        <v>0</v>
      </c>
      <c r="B137" s="178" t="b">
        <f>(COUNTA(D137:F138,J137:W137,H137:I138)=0)</f>
        <v>1</v>
      </c>
      <c r="C137" s="179" t="str">
        <f>IF(OR(TRIM(D137)="",COUNTIF(ВидыНагр,F137)&lt;&gt;1),"0",CONCATENATE("$",TRIM(D137),"$",TRIM(E137),"$",F137,"$"))</f>
        <v>0</v>
      </c>
      <c r="D137" s="340"/>
      <c r="E137" s="338"/>
      <c r="F137" s="342"/>
      <c r="G137" s="180" t="s">
        <v>7</v>
      </c>
      <c r="H137" s="181"/>
      <c r="I137" s="182"/>
      <c r="J137" s="183"/>
      <c r="K137" s="184"/>
      <c r="L137" s="185"/>
      <c r="M137" s="183"/>
      <c r="N137" s="184"/>
      <c r="O137" s="186"/>
      <c r="P137" s="183"/>
      <c r="Q137" s="184"/>
      <c r="R137" s="185"/>
      <c r="S137" s="183"/>
      <c r="T137" s="184"/>
      <c r="U137" s="187"/>
      <c r="V137" s="186"/>
      <c r="W137" s="186"/>
      <c r="X137" s="279">
        <f t="shared" si="5"/>
        <v>0</v>
      </c>
      <c r="Y137" s="344">
        <f>X138-X137</f>
        <v>0</v>
      </c>
      <c r="Z137" s="346"/>
    </row>
    <row r="138" spans="1:26" ht="14.25" customHeight="1" x14ac:dyDescent="0.3">
      <c r="A138" s="178">
        <f>-A137</f>
        <v>0</v>
      </c>
      <c r="B138" s="178" t="b">
        <f>B137</f>
        <v>1</v>
      </c>
      <c r="C138" s="188"/>
      <c r="D138" s="341"/>
      <c r="E138" s="339"/>
      <c r="F138" s="343"/>
      <c r="G138" s="189" t="s">
        <v>8</v>
      </c>
      <c r="H138" s="190"/>
      <c r="I138" s="280"/>
      <c r="J138" s="281">
        <f>SUMIF('09'!$D$7:$D$159,$C137,'09'!L$7:L$159)+SUMIF('10'!$D$7:$D$159,$C137,'10'!L$7:L$159)+SUMIF('11'!$D$7:$D$159,$C137,'11'!L$7:L$159)+SUMIF('12'!$D$7:$D$159,$C137,'12'!L$7:L$159)+SUMIF('01'!$D$7:$D$159,$C137,'01'!L$7:L$159)</f>
        <v>0</v>
      </c>
      <c r="K138" s="282">
        <f>SUMIF('09'!$D$7:$D$159,$C137,'09'!M$7:M$159)+SUMIF('10'!$D$7:$D$159,$C137,'10'!M$7:M$159)+SUMIF('11'!$D$7:$D$159,$C137,'11'!M$7:M$159)+SUMIF('12'!$D$7:$D$159,$C137,'12'!M$7:M$159)+SUMIF('01'!$D$7:$D$159,$C137,'01'!M$7:M$159)</f>
        <v>0</v>
      </c>
      <c r="L138" s="283">
        <f>SUMIF('09'!$D$7:$D$159,$C137,'09'!N$7:N$159)+SUMIF('10'!$D$7:$D$159,$C137,'10'!N$7:N$159)+SUMIF('11'!$D$7:$D$159,$C137,'11'!N$7:N$159)+SUMIF('12'!$D$7:$D$159,$C137,'12'!N$7:N$159)+SUMIF('01'!$D$7:$D$159,$C137,'01'!N$7:N$159)</f>
        <v>0</v>
      </c>
      <c r="M138" s="281">
        <f>SUMIF('09'!$D$7:$D$159,$C137,'09'!O$7:O$159)+SUMIF('10'!$D$7:$D$159,$C137,'10'!O$7:O$159)+SUMIF('11'!$D$7:$D$159,$C137,'11'!O$7:O$159)+SUMIF('12'!$D$7:$D$159,$C137,'12'!O$7:O$159)+SUMIF('01'!$D$7:$D$159,$C137,'01'!O$7:O$159)</f>
        <v>0</v>
      </c>
      <c r="N138" s="282">
        <f>SUMIF('09'!$D$7:$D$159,$C137,'09'!P$7:P$159)+SUMIF('10'!$D$7:$D$159,$C137,'10'!P$7:P$159)+SUMIF('11'!$D$7:$D$159,$C137,'11'!P$7:P$159)+SUMIF('12'!$D$7:$D$159,$C137,'12'!P$7:P$159)+SUMIF('01'!$D$7:$D$159,$C137,'01'!P$7:P$159)</f>
        <v>0</v>
      </c>
      <c r="O138" s="284">
        <f>SUMIF('09'!$D$7:$D$159,$C137,'09'!Q$7:Q$159)+SUMIF('10'!$D$7:$D$159,$C137,'10'!Q$7:Q$159)+SUMIF('11'!$D$7:$D$159,$C137,'11'!Q$7:Q$159)+SUMIF('12'!$D$7:$D$159,$C137,'12'!Q$7:Q$159)+SUMIF('01'!$D$7:$D$159,$C137,'01'!Q$7:Q$159)</f>
        <v>0</v>
      </c>
      <c r="P138" s="281">
        <f>SUMIF('09'!$D$7:$D$159,$C137,'09'!R$7:R$159)+SUMIF('10'!$D$7:$D$159,$C137,'10'!R$7:R$159)+SUMIF('11'!$D$7:$D$159,$C137,'11'!R$7:R$159)+SUMIF('12'!$D$7:$D$159,$C137,'12'!R$7:R$159)+SUMIF('01'!$D$7:$D$159,$C137,'01'!R$7:R$159)</f>
        <v>0</v>
      </c>
      <c r="Q138" s="282">
        <f>SUMIF('09'!$D$7:$D$159,$C137,'09'!S$7:S$159)+SUMIF('10'!$D$7:$D$159,$C137,'10'!S$7:S$159)+SUMIF('11'!$D$7:$D$159,$C137,'11'!S$7:S$159)+SUMIF('12'!$D$7:$D$159,$C137,'12'!S$7:S$159)+SUMIF('01'!$D$7:$D$159,$C137,'01'!S$7:S$159)</f>
        <v>0</v>
      </c>
      <c r="R138" s="283">
        <f>SUMIF('09'!$D$7:$D$159,$C137,'09'!T$7:T$159)+SUMIF('10'!$D$7:$D$159,$C137,'10'!T$7:T$159)+SUMIF('11'!$D$7:$D$159,$C137,'11'!T$7:T$159)+SUMIF('12'!$D$7:$D$159,$C137,'12'!T$7:T$159)+SUMIF('01'!$D$7:$D$159,$C137,'01'!T$7:T$159)</f>
        <v>0</v>
      </c>
      <c r="S138" s="281">
        <f>SUMIF('09'!$D$7:$D$159,$C137,'09'!U$7:U$159)+SUMIF('10'!$D$7:$D$159,$C137,'10'!U$7:U$159)+SUMIF('11'!$D$7:$D$159,$C137,'11'!U$7:U$159)+SUMIF('12'!$D$7:$D$159,$C137,'12'!U$7:U$159)+SUMIF('01'!$D$7:$D$159,$C137,'01'!U$7:U$159)</f>
        <v>0</v>
      </c>
      <c r="T138" s="282">
        <f>SUMIF('09'!$D$7:$D$159,$C137,'09'!V$7:V$159)+SUMIF('10'!$D$7:$D$159,$C137,'10'!V$7:V$159)+SUMIF('11'!$D$7:$D$159,$C137,'11'!V$7:V$159)+SUMIF('12'!$D$7:$D$159,$C137,'12'!V$7:V$159)+SUMIF('01'!$D$7:$D$159,$C137,'01'!V$7:V$159)</f>
        <v>0</v>
      </c>
      <c r="U138" s="285">
        <f>SUMIF('09'!$D$7:$D$159,$C137,'09'!W$7:W$159)+SUMIF('10'!$D$7:$D$159,$C137,'10'!W$7:W$159)+SUMIF('11'!$D$7:$D$159,$C137,'11'!W$7:W$159)+SUMIF('12'!$D$7:$D$159,$C137,'12'!W$7:W$159)+SUMIF('01'!$D$7:$D$159,$C137,'01'!W$7:W$159)</f>
        <v>0</v>
      </c>
      <c r="V138" s="284">
        <f>SUMIF('09'!$D$7:$D$159,$C137,'09'!X$7:X$159)+SUMIF('10'!$D$7:$D$159,$C137,'10'!X$7:X$159)+SUMIF('11'!$D$7:$D$159,$C137,'11'!X$7:X$159)+SUMIF('12'!$D$7:$D$159,$C137,'12'!X$7:X$159)+SUMIF('01'!$D$7:$D$159,$C137,'01'!X$7:X$159)</f>
        <v>0</v>
      </c>
      <c r="W138" s="284">
        <f>SUMIF('09'!$D$7:$D$159,$C137,'09'!Y$7:Y$159)+SUMIF('10'!$D$7:$D$159,$C137,'10'!Y$7:Y$159)+SUMIF('11'!$D$7:$D$159,$C137,'11'!Y$7:Y$159)+SUMIF('12'!$D$7:$D$159,$C137,'12'!Y$7:Y$159)+SUMIF('01'!$D$7:$D$159,$C137,'01'!Y$7:Y$159)</f>
        <v>0</v>
      </c>
      <c r="X138" s="286">
        <f t="shared" si="5"/>
        <v>0</v>
      </c>
      <c r="Y138" s="345"/>
      <c r="Z138" s="347"/>
    </row>
    <row r="139" spans="1:26" ht="14.25" customHeight="1" x14ac:dyDescent="0.3">
      <c r="A139" s="178">
        <f>IF(OR(C139="0",COUNTIF(КлючОсень,C139)&gt;1),0,MATCH(F139,ВидыНагр,0))</f>
        <v>0</v>
      </c>
      <c r="B139" s="178" t="b">
        <f>(COUNTA(D139:F140,J139:W139,H139:I140)=0)</f>
        <v>1</v>
      </c>
      <c r="C139" s="179" t="str">
        <f>IF(OR(TRIM(D139)="",COUNTIF(ВидыНагр,F139)&lt;&gt;1),"0",CONCATENATE("$",TRIM(D139),"$",TRIM(E139),"$",F139,"$"))</f>
        <v>0</v>
      </c>
      <c r="D139" s="340"/>
      <c r="E139" s="338"/>
      <c r="F139" s="342"/>
      <c r="G139" s="180" t="s">
        <v>7</v>
      </c>
      <c r="H139" s="181"/>
      <c r="I139" s="182"/>
      <c r="J139" s="183"/>
      <c r="K139" s="184"/>
      <c r="L139" s="185"/>
      <c r="M139" s="183"/>
      <c r="N139" s="184"/>
      <c r="O139" s="186"/>
      <c r="P139" s="183"/>
      <c r="Q139" s="184"/>
      <c r="R139" s="185"/>
      <c r="S139" s="183"/>
      <c r="T139" s="184"/>
      <c r="U139" s="187"/>
      <c r="V139" s="186"/>
      <c r="W139" s="186"/>
      <c r="X139" s="279">
        <f t="shared" si="5"/>
        <v>0</v>
      </c>
      <c r="Y139" s="344">
        <f>X140-X139</f>
        <v>0</v>
      </c>
      <c r="Z139" s="346"/>
    </row>
    <row r="140" spans="1:26" ht="14.25" customHeight="1" x14ac:dyDescent="0.3">
      <c r="A140" s="178">
        <f>-A139</f>
        <v>0</v>
      </c>
      <c r="B140" s="178" t="b">
        <f>B139</f>
        <v>1</v>
      </c>
      <c r="C140" s="188"/>
      <c r="D140" s="341"/>
      <c r="E140" s="339"/>
      <c r="F140" s="343"/>
      <c r="G140" s="189" t="s">
        <v>8</v>
      </c>
      <c r="H140" s="190"/>
      <c r="I140" s="280"/>
      <c r="J140" s="281">
        <f>SUMIF('09'!$D$7:$D$159,$C139,'09'!L$7:L$159)+SUMIF('10'!$D$7:$D$159,$C139,'10'!L$7:L$159)+SUMIF('11'!$D$7:$D$159,$C139,'11'!L$7:L$159)+SUMIF('12'!$D$7:$D$159,$C139,'12'!L$7:L$159)+SUMIF('01'!$D$7:$D$159,$C139,'01'!L$7:L$159)</f>
        <v>0</v>
      </c>
      <c r="K140" s="282">
        <f>SUMIF('09'!$D$7:$D$159,$C139,'09'!M$7:M$159)+SUMIF('10'!$D$7:$D$159,$C139,'10'!M$7:M$159)+SUMIF('11'!$D$7:$D$159,$C139,'11'!M$7:M$159)+SUMIF('12'!$D$7:$D$159,$C139,'12'!M$7:M$159)+SUMIF('01'!$D$7:$D$159,$C139,'01'!M$7:M$159)</f>
        <v>0</v>
      </c>
      <c r="L140" s="283">
        <f>SUMIF('09'!$D$7:$D$159,$C139,'09'!N$7:N$159)+SUMIF('10'!$D$7:$D$159,$C139,'10'!N$7:N$159)+SUMIF('11'!$D$7:$D$159,$C139,'11'!N$7:N$159)+SUMIF('12'!$D$7:$D$159,$C139,'12'!N$7:N$159)+SUMIF('01'!$D$7:$D$159,$C139,'01'!N$7:N$159)</f>
        <v>0</v>
      </c>
      <c r="M140" s="281">
        <f>SUMIF('09'!$D$7:$D$159,$C139,'09'!O$7:O$159)+SUMIF('10'!$D$7:$D$159,$C139,'10'!O$7:O$159)+SUMIF('11'!$D$7:$D$159,$C139,'11'!O$7:O$159)+SUMIF('12'!$D$7:$D$159,$C139,'12'!O$7:O$159)+SUMIF('01'!$D$7:$D$159,$C139,'01'!O$7:O$159)</f>
        <v>0</v>
      </c>
      <c r="N140" s="282">
        <f>SUMIF('09'!$D$7:$D$159,$C139,'09'!P$7:P$159)+SUMIF('10'!$D$7:$D$159,$C139,'10'!P$7:P$159)+SUMIF('11'!$D$7:$D$159,$C139,'11'!P$7:P$159)+SUMIF('12'!$D$7:$D$159,$C139,'12'!P$7:P$159)+SUMIF('01'!$D$7:$D$159,$C139,'01'!P$7:P$159)</f>
        <v>0</v>
      </c>
      <c r="O140" s="284">
        <f>SUMIF('09'!$D$7:$D$159,$C139,'09'!Q$7:Q$159)+SUMIF('10'!$D$7:$D$159,$C139,'10'!Q$7:Q$159)+SUMIF('11'!$D$7:$D$159,$C139,'11'!Q$7:Q$159)+SUMIF('12'!$D$7:$D$159,$C139,'12'!Q$7:Q$159)+SUMIF('01'!$D$7:$D$159,$C139,'01'!Q$7:Q$159)</f>
        <v>0</v>
      </c>
      <c r="P140" s="281">
        <f>SUMIF('09'!$D$7:$D$159,$C139,'09'!R$7:R$159)+SUMIF('10'!$D$7:$D$159,$C139,'10'!R$7:R$159)+SUMIF('11'!$D$7:$D$159,$C139,'11'!R$7:R$159)+SUMIF('12'!$D$7:$D$159,$C139,'12'!R$7:R$159)+SUMIF('01'!$D$7:$D$159,$C139,'01'!R$7:R$159)</f>
        <v>0</v>
      </c>
      <c r="Q140" s="282">
        <f>SUMIF('09'!$D$7:$D$159,$C139,'09'!S$7:S$159)+SUMIF('10'!$D$7:$D$159,$C139,'10'!S$7:S$159)+SUMIF('11'!$D$7:$D$159,$C139,'11'!S$7:S$159)+SUMIF('12'!$D$7:$D$159,$C139,'12'!S$7:S$159)+SUMIF('01'!$D$7:$D$159,$C139,'01'!S$7:S$159)</f>
        <v>0</v>
      </c>
      <c r="R140" s="283">
        <f>SUMIF('09'!$D$7:$D$159,$C139,'09'!T$7:T$159)+SUMIF('10'!$D$7:$D$159,$C139,'10'!T$7:T$159)+SUMIF('11'!$D$7:$D$159,$C139,'11'!T$7:T$159)+SUMIF('12'!$D$7:$D$159,$C139,'12'!T$7:T$159)+SUMIF('01'!$D$7:$D$159,$C139,'01'!T$7:T$159)</f>
        <v>0</v>
      </c>
      <c r="S140" s="281">
        <f>SUMIF('09'!$D$7:$D$159,$C139,'09'!U$7:U$159)+SUMIF('10'!$D$7:$D$159,$C139,'10'!U$7:U$159)+SUMIF('11'!$D$7:$D$159,$C139,'11'!U$7:U$159)+SUMIF('12'!$D$7:$D$159,$C139,'12'!U$7:U$159)+SUMIF('01'!$D$7:$D$159,$C139,'01'!U$7:U$159)</f>
        <v>0</v>
      </c>
      <c r="T140" s="282">
        <f>SUMIF('09'!$D$7:$D$159,$C139,'09'!V$7:V$159)+SUMIF('10'!$D$7:$D$159,$C139,'10'!V$7:V$159)+SUMIF('11'!$D$7:$D$159,$C139,'11'!V$7:V$159)+SUMIF('12'!$D$7:$D$159,$C139,'12'!V$7:V$159)+SUMIF('01'!$D$7:$D$159,$C139,'01'!V$7:V$159)</f>
        <v>0</v>
      </c>
      <c r="U140" s="285">
        <f>SUMIF('09'!$D$7:$D$159,$C139,'09'!W$7:W$159)+SUMIF('10'!$D$7:$D$159,$C139,'10'!W$7:W$159)+SUMIF('11'!$D$7:$D$159,$C139,'11'!W$7:W$159)+SUMIF('12'!$D$7:$D$159,$C139,'12'!W$7:W$159)+SUMIF('01'!$D$7:$D$159,$C139,'01'!W$7:W$159)</f>
        <v>0</v>
      </c>
      <c r="V140" s="284">
        <f>SUMIF('09'!$D$7:$D$159,$C139,'09'!X$7:X$159)+SUMIF('10'!$D$7:$D$159,$C139,'10'!X$7:X$159)+SUMIF('11'!$D$7:$D$159,$C139,'11'!X$7:X$159)+SUMIF('12'!$D$7:$D$159,$C139,'12'!X$7:X$159)+SUMIF('01'!$D$7:$D$159,$C139,'01'!X$7:X$159)</f>
        <v>0</v>
      </c>
      <c r="W140" s="284">
        <f>SUMIF('09'!$D$7:$D$159,$C139,'09'!Y$7:Y$159)+SUMIF('10'!$D$7:$D$159,$C139,'10'!Y$7:Y$159)+SUMIF('11'!$D$7:$D$159,$C139,'11'!Y$7:Y$159)+SUMIF('12'!$D$7:$D$159,$C139,'12'!Y$7:Y$159)+SUMIF('01'!$D$7:$D$159,$C139,'01'!Y$7:Y$159)</f>
        <v>0</v>
      </c>
      <c r="X140" s="286">
        <f t="shared" si="5"/>
        <v>0</v>
      </c>
      <c r="Y140" s="345"/>
      <c r="Z140" s="347"/>
    </row>
    <row r="141" spans="1:26" ht="14.25" customHeight="1" x14ac:dyDescent="0.3">
      <c r="A141" s="178">
        <f>IF(OR(C141="0",COUNTIF(КлючОсень,C141)&gt;1),0,MATCH(F141,ВидыНагр,0))</f>
        <v>0</v>
      </c>
      <c r="B141" s="178" t="b">
        <f>(COUNTA(D141:F142,J141:W141,H141:I142)=0)</f>
        <v>1</v>
      </c>
      <c r="C141" s="179" t="str">
        <f>IF(OR(TRIM(D141)="",COUNTIF(ВидыНагр,F141)&lt;&gt;1),"0",CONCATENATE("$",TRIM(D141),"$",TRIM(E141),"$",F141,"$"))</f>
        <v>0</v>
      </c>
      <c r="D141" s="340"/>
      <c r="E141" s="338"/>
      <c r="F141" s="342"/>
      <c r="G141" s="180" t="s">
        <v>7</v>
      </c>
      <c r="H141" s="181"/>
      <c r="I141" s="182"/>
      <c r="J141" s="183"/>
      <c r="K141" s="184"/>
      <c r="L141" s="185"/>
      <c r="M141" s="183"/>
      <c r="N141" s="184"/>
      <c r="O141" s="186"/>
      <c r="P141" s="183"/>
      <c r="Q141" s="184"/>
      <c r="R141" s="185"/>
      <c r="S141" s="183"/>
      <c r="T141" s="184"/>
      <c r="U141" s="187"/>
      <c r="V141" s="186"/>
      <c r="W141" s="186"/>
      <c r="X141" s="279">
        <f t="shared" ref="X141:X168" si="7">SUM(J141:W141)</f>
        <v>0</v>
      </c>
      <c r="Y141" s="344">
        <f>X142-X141</f>
        <v>0</v>
      </c>
      <c r="Z141" s="346"/>
    </row>
    <row r="142" spans="1:26" ht="14.25" customHeight="1" x14ac:dyDescent="0.3">
      <c r="A142" s="178">
        <f>-A141</f>
        <v>0</v>
      </c>
      <c r="B142" s="178" t="b">
        <f>B141</f>
        <v>1</v>
      </c>
      <c r="C142" s="188"/>
      <c r="D142" s="341"/>
      <c r="E142" s="339"/>
      <c r="F142" s="343"/>
      <c r="G142" s="189" t="s">
        <v>8</v>
      </c>
      <c r="H142" s="190"/>
      <c r="I142" s="280"/>
      <c r="J142" s="281">
        <f>SUMIF('09'!$D$7:$D$159,$C141,'09'!L$7:L$159)+SUMIF('10'!$D$7:$D$159,$C141,'10'!L$7:L$159)+SUMIF('11'!$D$7:$D$159,$C141,'11'!L$7:L$159)+SUMIF('12'!$D$7:$D$159,$C141,'12'!L$7:L$159)+SUMIF('01'!$D$7:$D$159,$C141,'01'!L$7:L$159)</f>
        <v>0</v>
      </c>
      <c r="K142" s="282">
        <f>SUMIF('09'!$D$7:$D$159,$C141,'09'!M$7:M$159)+SUMIF('10'!$D$7:$D$159,$C141,'10'!M$7:M$159)+SUMIF('11'!$D$7:$D$159,$C141,'11'!M$7:M$159)+SUMIF('12'!$D$7:$D$159,$C141,'12'!M$7:M$159)+SUMIF('01'!$D$7:$D$159,$C141,'01'!M$7:M$159)</f>
        <v>0</v>
      </c>
      <c r="L142" s="283">
        <f>SUMIF('09'!$D$7:$D$159,$C141,'09'!N$7:N$159)+SUMIF('10'!$D$7:$D$159,$C141,'10'!N$7:N$159)+SUMIF('11'!$D$7:$D$159,$C141,'11'!N$7:N$159)+SUMIF('12'!$D$7:$D$159,$C141,'12'!N$7:N$159)+SUMIF('01'!$D$7:$D$159,$C141,'01'!N$7:N$159)</f>
        <v>0</v>
      </c>
      <c r="M142" s="281">
        <f>SUMIF('09'!$D$7:$D$159,$C141,'09'!O$7:O$159)+SUMIF('10'!$D$7:$D$159,$C141,'10'!O$7:O$159)+SUMIF('11'!$D$7:$D$159,$C141,'11'!O$7:O$159)+SUMIF('12'!$D$7:$D$159,$C141,'12'!O$7:O$159)+SUMIF('01'!$D$7:$D$159,$C141,'01'!O$7:O$159)</f>
        <v>0</v>
      </c>
      <c r="N142" s="282">
        <f>SUMIF('09'!$D$7:$D$159,$C141,'09'!P$7:P$159)+SUMIF('10'!$D$7:$D$159,$C141,'10'!P$7:P$159)+SUMIF('11'!$D$7:$D$159,$C141,'11'!P$7:P$159)+SUMIF('12'!$D$7:$D$159,$C141,'12'!P$7:P$159)+SUMIF('01'!$D$7:$D$159,$C141,'01'!P$7:P$159)</f>
        <v>0</v>
      </c>
      <c r="O142" s="284">
        <f>SUMIF('09'!$D$7:$D$159,$C141,'09'!Q$7:Q$159)+SUMIF('10'!$D$7:$D$159,$C141,'10'!Q$7:Q$159)+SUMIF('11'!$D$7:$D$159,$C141,'11'!Q$7:Q$159)+SUMIF('12'!$D$7:$D$159,$C141,'12'!Q$7:Q$159)+SUMIF('01'!$D$7:$D$159,$C141,'01'!Q$7:Q$159)</f>
        <v>0</v>
      </c>
      <c r="P142" s="281">
        <f>SUMIF('09'!$D$7:$D$159,$C141,'09'!R$7:R$159)+SUMIF('10'!$D$7:$D$159,$C141,'10'!R$7:R$159)+SUMIF('11'!$D$7:$D$159,$C141,'11'!R$7:R$159)+SUMIF('12'!$D$7:$D$159,$C141,'12'!R$7:R$159)+SUMIF('01'!$D$7:$D$159,$C141,'01'!R$7:R$159)</f>
        <v>0</v>
      </c>
      <c r="Q142" s="282">
        <f>SUMIF('09'!$D$7:$D$159,$C141,'09'!S$7:S$159)+SUMIF('10'!$D$7:$D$159,$C141,'10'!S$7:S$159)+SUMIF('11'!$D$7:$D$159,$C141,'11'!S$7:S$159)+SUMIF('12'!$D$7:$D$159,$C141,'12'!S$7:S$159)+SUMIF('01'!$D$7:$D$159,$C141,'01'!S$7:S$159)</f>
        <v>0</v>
      </c>
      <c r="R142" s="283">
        <f>SUMIF('09'!$D$7:$D$159,$C141,'09'!T$7:T$159)+SUMIF('10'!$D$7:$D$159,$C141,'10'!T$7:T$159)+SUMIF('11'!$D$7:$D$159,$C141,'11'!T$7:T$159)+SUMIF('12'!$D$7:$D$159,$C141,'12'!T$7:T$159)+SUMIF('01'!$D$7:$D$159,$C141,'01'!T$7:T$159)</f>
        <v>0</v>
      </c>
      <c r="S142" s="281">
        <f>SUMIF('09'!$D$7:$D$159,$C141,'09'!U$7:U$159)+SUMIF('10'!$D$7:$D$159,$C141,'10'!U$7:U$159)+SUMIF('11'!$D$7:$D$159,$C141,'11'!U$7:U$159)+SUMIF('12'!$D$7:$D$159,$C141,'12'!U$7:U$159)+SUMIF('01'!$D$7:$D$159,$C141,'01'!U$7:U$159)</f>
        <v>0</v>
      </c>
      <c r="T142" s="282">
        <f>SUMIF('09'!$D$7:$D$159,$C141,'09'!V$7:V$159)+SUMIF('10'!$D$7:$D$159,$C141,'10'!V$7:V$159)+SUMIF('11'!$D$7:$D$159,$C141,'11'!V$7:V$159)+SUMIF('12'!$D$7:$D$159,$C141,'12'!V$7:V$159)+SUMIF('01'!$D$7:$D$159,$C141,'01'!V$7:V$159)</f>
        <v>0</v>
      </c>
      <c r="U142" s="285">
        <f>SUMIF('09'!$D$7:$D$159,$C141,'09'!W$7:W$159)+SUMIF('10'!$D$7:$D$159,$C141,'10'!W$7:W$159)+SUMIF('11'!$D$7:$D$159,$C141,'11'!W$7:W$159)+SUMIF('12'!$D$7:$D$159,$C141,'12'!W$7:W$159)+SUMIF('01'!$D$7:$D$159,$C141,'01'!W$7:W$159)</f>
        <v>0</v>
      </c>
      <c r="V142" s="284">
        <f>SUMIF('09'!$D$7:$D$159,$C141,'09'!X$7:X$159)+SUMIF('10'!$D$7:$D$159,$C141,'10'!X$7:X$159)+SUMIF('11'!$D$7:$D$159,$C141,'11'!X$7:X$159)+SUMIF('12'!$D$7:$D$159,$C141,'12'!X$7:X$159)+SUMIF('01'!$D$7:$D$159,$C141,'01'!X$7:X$159)</f>
        <v>0</v>
      </c>
      <c r="W142" s="284">
        <f>SUMIF('09'!$D$7:$D$159,$C141,'09'!Y$7:Y$159)+SUMIF('10'!$D$7:$D$159,$C141,'10'!Y$7:Y$159)+SUMIF('11'!$D$7:$D$159,$C141,'11'!Y$7:Y$159)+SUMIF('12'!$D$7:$D$159,$C141,'12'!Y$7:Y$159)+SUMIF('01'!$D$7:$D$159,$C141,'01'!Y$7:Y$159)</f>
        <v>0</v>
      </c>
      <c r="X142" s="286">
        <f t="shared" si="7"/>
        <v>0</v>
      </c>
      <c r="Y142" s="345"/>
      <c r="Z142" s="347"/>
    </row>
    <row r="143" spans="1:26" ht="14.25" customHeight="1" x14ac:dyDescent="0.3">
      <c r="A143" s="178">
        <f>IF(OR(C143="0",COUNTIF(КлючОсень,C143)&gt;1),0,MATCH(F143,ВидыНагр,0))</f>
        <v>0</v>
      </c>
      <c r="B143" s="178" t="b">
        <f>(COUNTA(D143:F144,J143:W143,H143:I144)=0)</f>
        <v>1</v>
      </c>
      <c r="C143" s="179" t="str">
        <f>IF(OR(TRIM(D143)="",COUNTIF(ВидыНагр,F143)&lt;&gt;1),"0",CONCATENATE("$",TRIM(D143),"$",TRIM(E143),"$",F143,"$"))</f>
        <v>0</v>
      </c>
      <c r="D143" s="340"/>
      <c r="E143" s="338"/>
      <c r="F143" s="342"/>
      <c r="G143" s="180" t="s">
        <v>7</v>
      </c>
      <c r="H143" s="181"/>
      <c r="I143" s="182"/>
      <c r="J143" s="183"/>
      <c r="K143" s="184"/>
      <c r="L143" s="185"/>
      <c r="M143" s="183"/>
      <c r="N143" s="184"/>
      <c r="O143" s="186"/>
      <c r="P143" s="183"/>
      <c r="Q143" s="184"/>
      <c r="R143" s="185"/>
      <c r="S143" s="183"/>
      <c r="T143" s="184"/>
      <c r="U143" s="187"/>
      <c r="V143" s="186"/>
      <c r="W143" s="186"/>
      <c r="X143" s="279">
        <f t="shared" si="7"/>
        <v>0</v>
      </c>
      <c r="Y143" s="344">
        <f>X144-X143</f>
        <v>0</v>
      </c>
      <c r="Z143" s="346"/>
    </row>
    <row r="144" spans="1:26" ht="14.25" customHeight="1" x14ac:dyDescent="0.3">
      <c r="A144" s="178">
        <f>-A143</f>
        <v>0</v>
      </c>
      <c r="B144" s="178" t="b">
        <f>B143</f>
        <v>1</v>
      </c>
      <c r="C144" s="188"/>
      <c r="D144" s="341"/>
      <c r="E144" s="339"/>
      <c r="F144" s="343"/>
      <c r="G144" s="189" t="s">
        <v>8</v>
      </c>
      <c r="H144" s="190"/>
      <c r="I144" s="280"/>
      <c r="J144" s="281">
        <f>SUMIF('09'!$D$7:$D$159,$C143,'09'!L$7:L$159)+SUMIF('10'!$D$7:$D$159,$C143,'10'!L$7:L$159)+SUMIF('11'!$D$7:$D$159,$C143,'11'!L$7:L$159)+SUMIF('12'!$D$7:$D$159,$C143,'12'!L$7:L$159)+SUMIF('01'!$D$7:$D$159,$C143,'01'!L$7:L$159)</f>
        <v>0</v>
      </c>
      <c r="K144" s="282">
        <f>SUMIF('09'!$D$7:$D$159,$C143,'09'!M$7:M$159)+SUMIF('10'!$D$7:$D$159,$C143,'10'!M$7:M$159)+SUMIF('11'!$D$7:$D$159,$C143,'11'!M$7:M$159)+SUMIF('12'!$D$7:$D$159,$C143,'12'!M$7:M$159)+SUMIF('01'!$D$7:$D$159,$C143,'01'!M$7:M$159)</f>
        <v>0</v>
      </c>
      <c r="L144" s="283">
        <f>SUMIF('09'!$D$7:$D$159,$C143,'09'!N$7:N$159)+SUMIF('10'!$D$7:$D$159,$C143,'10'!N$7:N$159)+SUMIF('11'!$D$7:$D$159,$C143,'11'!N$7:N$159)+SUMIF('12'!$D$7:$D$159,$C143,'12'!N$7:N$159)+SUMIF('01'!$D$7:$D$159,$C143,'01'!N$7:N$159)</f>
        <v>0</v>
      </c>
      <c r="M144" s="281">
        <f>SUMIF('09'!$D$7:$D$159,$C143,'09'!O$7:O$159)+SUMIF('10'!$D$7:$D$159,$C143,'10'!O$7:O$159)+SUMIF('11'!$D$7:$D$159,$C143,'11'!O$7:O$159)+SUMIF('12'!$D$7:$D$159,$C143,'12'!O$7:O$159)+SUMIF('01'!$D$7:$D$159,$C143,'01'!O$7:O$159)</f>
        <v>0</v>
      </c>
      <c r="N144" s="282">
        <f>SUMIF('09'!$D$7:$D$159,$C143,'09'!P$7:P$159)+SUMIF('10'!$D$7:$D$159,$C143,'10'!P$7:P$159)+SUMIF('11'!$D$7:$D$159,$C143,'11'!P$7:P$159)+SUMIF('12'!$D$7:$D$159,$C143,'12'!P$7:P$159)+SUMIF('01'!$D$7:$D$159,$C143,'01'!P$7:P$159)</f>
        <v>0</v>
      </c>
      <c r="O144" s="284">
        <f>SUMIF('09'!$D$7:$D$159,$C143,'09'!Q$7:Q$159)+SUMIF('10'!$D$7:$D$159,$C143,'10'!Q$7:Q$159)+SUMIF('11'!$D$7:$D$159,$C143,'11'!Q$7:Q$159)+SUMIF('12'!$D$7:$D$159,$C143,'12'!Q$7:Q$159)+SUMIF('01'!$D$7:$D$159,$C143,'01'!Q$7:Q$159)</f>
        <v>0</v>
      </c>
      <c r="P144" s="281">
        <f>SUMIF('09'!$D$7:$D$159,$C143,'09'!R$7:R$159)+SUMIF('10'!$D$7:$D$159,$C143,'10'!R$7:R$159)+SUMIF('11'!$D$7:$D$159,$C143,'11'!R$7:R$159)+SUMIF('12'!$D$7:$D$159,$C143,'12'!R$7:R$159)+SUMIF('01'!$D$7:$D$159,$C143,'01'!R$7:R$159)</f>
        <v>0</v>
      </c>
      <c r="Q144" s="282">
        <f>SUMIF('09'!$D$7:$D$159,$C143,'09'!S$7:S$159)+SUMIF('10'!$D$7:$D$159,$C143,'10'!S$7:S$159)+SUMIF('11'!$D$7:$D$159,$C143,'11'!S$7:S$159)+SUMIF('12'!$D$7:$D$159,$C143,'12'!S$7:S$159)+SUMIF('01'!$D$7:$D$159,$C143,'01'!S$7:S$159)</f>
        <v>0</v>
      </c>
      <c r="R144" s="283">
        <f>SUMIF('09'!$D$7:$D$159,$C143,'09'!T$7:T$159)+SUMIF('10'!$D$7:$D$159,$C143,'10'!T$7:T$159)+SUMIF('11'!$D$7:$D$159,$C143,'11'!T$7:T$159)+SUMIF('12'!$D$7:$D$159,$C143,'12'!T$7:T$159)+SUMIF('01'!$D$7:$D$159,$C143,'01'!T$7:T$159)</f>
        <v>0</v>
      </c>
      <c r="S144" s="281">
        <f>SUMIF('09'!$D$7:$D$159,$C143,'09'!U$7:U$159)+SUMIF('10'!$D$7:$D$159,$C143,'10'!U$7:U$159)+SUMIF('11'!$D$7:$D$159,$C143,'11'!U$7:U$159)+SUMIF('12'!$D$7:$D$159,$C143,'12'!U$7:U$159)+SUMIF('01'!$D$7:$D$159,$C143,'01'!U$7:U$159)</f>
        <v>0</v>
      </c>
      <c r="T144" s="282">
        <f>SUMIF('09'!$D$7:$D$159,$C143,'09'!V$7:V$159)+SUMIF('10'!$D$7:$D$159,$C143,'10'!V$7:V$159)+SUMIF('11'!$D$7:$D$159,$C143,'11'!V$7:V$159)+SUMIF('12'!$D$7:$D$159,$C143,'12'!V$7:V$159)+SUMIF('01'!$D$7:$D$159,$C143,'01'!V$7:V$159)</f>
        <v>0</v>
      </c>
      <c r="U144" s="285">
        <f>SUMIF('09'!$D$7:$D$159,$C143,'09'!W$7:W$159)+SUMIF('10'!$D$7:$D$159,$C143,'10'!W$7:W$159)+SUMIF('11'!$D$7:$D$159,$C143,'11'!W$7:W$159)+SUMIF('12'!$D$7:$D$159,$C143,'12'!W$7:W$159)+SUMIF('01'!$D$7:$D$159,$C143,'01'!W$7:W$159)</f>
        <v>0</v>
      </c>
      <c r="V144" s="284">
        <f>SUMIF('09'!$D$7:$D$159,$C143,'09'!X$7:X$159)+SUMIF('10'!$D$7:$D$159,$C143,'10'!X$7:X$159)+SUMIF('11'!$D$7:$D$159,$C143,'11'!X$7:X$159)+SUMIF('12'!$D$7:$D$159,$C143,'12'!X$7:X$159)+SUMIF('01'!$D$7:$D$159,$C143,'01'!X$7:X$159)</f>
        <v>0</v>
      </c>
      <c r="W144" s="284">
        <f>SUMIF('09'!$D$7:$D$159,$C143,'09'!Y$7:Y$159)+SUMIF('10'!$D$7:$D$159,$C143,'10'!Y$7:Y$159)+SUMIF('11'!$D$7:$D$159,$C143,'11'!Y$7:Y$159)+SUMIF('12'!$D$7:$D$159,$C143,'12'!Y$7:Y$159)+SUMIF('01'!$D$7:$D$159,$C143,'01'!Y$7:Y$159)</f>
        <v>0</v>
      </c>
      <c r="X144" s="286">
        <f t="shared" si="7"/>
        <v>0</v>
      </c>
      <c r="Y144" s="345"/>
      <c r="Z144" s="347"/>
    </row>
    <row r="145" spans="1:26" ht="14.25" customHeight="1" x14ac:dyDescent="0.3">
      <c r="A145" s="178">
        <f>IF(OR(C145="0",COUNTIF(КлючОсень,C145)&gt;1),0,MATCH(F145,ВидыНагр,0))</f>
        <v>0</v>
      </c>
      <c r="B145" s="178" t="b">
        <f>(COUNTA(D145:F146,J145:W145,H145:I146)=0)</f>
        <v>1</v>
      </c>
      <c r="C145" s="179" t="str">
        <f>IF(OR(TRIM(D145)="",COUNTIF(ВидыНагр,F145)&lt;&gt;1),"0",CONCATENATE("$",TRIM(D145),"$",TRIM(E145),"$",F145,"$"))</f>
        <v>0</v>
      </c>
      <c r="D145" s="340"/>
      <c r="E145" s="338"/>
      <c r="F145" s="342"/>
      <c r="G145" s="180" t="s">
        <v>7</v>
      </c>
      <c r="H145" s="181"/>
      <c r="I145" s="182"/>
      <c r="J145" s="183"/>
      <c r="K145" s="184"/>
      <c r="L145" s="185"/>
      <c r="M145" s="183"/>
      <c r="N145" s="184"/>
      <c r="O145" s="186"/>
      <c r="P145" s="183"/>
      <c r="Q145" s="184"/>
      <c r="R145" s="185"/>
      <c r="S145" s="183"/>
      <c r="T145" s="184"/>
      <c r="U145" s="187"/>
      <c r="V145" s="186"/>
      <c r="W145" s="186"/>
      <c r="X145" s="279">
        <f t="shared" si="7"/>
        <v>0</v>
      </c>
      <c r="Y145" s="344">
        <f>X146-X145</f>
        <v>0</v>
      </c>
      <c r="Z145" s="346"/>
    </row>
    <row r="146" spans="1:26" ht="14.25" customHeight="1" x14ac:dyDescent="0.3">
      <c r="A146" s="178">
        <f>-A145</f>
        <v>0</v>
      </c>
      <c r="B146" s="178" t="b">
        <f>B145</f>
        <v>1</v>
      </c>
      <c r="C146" s="188"/>
      <c r="D146" s="341"/>
      <c r="E146" s="339"/>
      <c r="F146" s="343"/>
      <c r="G146" s="189" t="s">
        <v>8</v>
      </c>
      <c r="H146" s="190"/>
      <c r="I146" s="280"/>
      <c r="J146" s="281">
        <f>SUMIF('09'!$D$7:$D$159,$C145,'09'!L$7:L$159)+SUMIF('10'!$D$7:$D$159,$C145,'10'!L$7:L$159)+SUMIF('11'!$D$7:$D$159,$C145,'11'!L$7:L$159)+SUMIF('12'!$D$7:$D$159,$C145,'12'!L$7:L$159)+SUMIF('01'!$D$7:$D$159,$C145,'01'!L$7:L$159)</f>
        <v>0</v>
      </c>
      <c r="K146" s="282">
        <f>SUMIF('09'!$D$7:$D$159,$C145,'09'!M$7:M$159)+SUMIF('10'!$D$7:$D$159,$C145,'10'!M$7:M$159)+SUMIF('11'!$D$7:$D$159,$C145,'11'!M$7:M$159)+SUMIF('12'!$D$7:$D$159,$C145,'12'!M$7:M$159)+SUMIF('01'!$D$7:$D$159,$C145,'01'!M$7:M$159)</f>
        <v>0</v>
      </c>
      <c r="L146" s="283">
        <f>SUMIF('09'!$D$7:$D$159,$C145,'09'!N$7:N$159)+SUMIF('10'!$D$7:$D$159,$C145,'10'!N$7:N$159)+SUMIF('11'!$D$7:$D$159,$C145,'11'!N$7:N$159)+SUMIF('12'!$D$7:$D$159,$C145,'12'!N$7:N$159)+SUMIF('01'!$D$7:$D$159,$C145,'01'!N$7:N$159)</f>
        <v>0</v>
      </c>
      <c r="M146" s="281">
        <f>SUMIF('09'!$D$7:$D$159,$C145,'09'!O$7:O$159)+SUMIF('10'!$D$7:$D$159,$C145,'10'!O$7:O$159)+SUMIF('11'!$D$7:$D$159,$C145,'11'!O$7:O$159)+SUMIF('12'!$D$7:$D$159,$C145,'12'!O$7:O$159)+SUMIF('01'!$D$7:$D$159,$C145,'01'!O$7:O$159)</f>
        <v>0</v>
      </c>
      <c r="N146" s="282">
        <f>SUMIF('09'!$D$7:$D$159,$C145,'09'!P$7:P$159)+SUMIF('10'!$D$7:$D$159,$C145,'10'!P$7:P$159)+SUMIF('11'!$D$7:$D$159,$C145,'11'!P$7:P$159)+SUMIF('12'!$D$7:$D$159,$C145,'12'!P$7:P$159)+SUMIF('01'!$D$7:$D$159,$C145,'01'!P$7:P$159)</f>
        <v>0</v>
      </c>
      <c r="O146" s="284">
        <f>SUMIF('09'!$D$7:$D$159,$C145,'09'!Q$7:Q$159)+SUMIF('10'!$D$7:$D$159,$C145,'10'!Q$7:Q$159)+SUMIF('11'!$D$7:$D$159,$C145,'11'!Q$7:Q$159)+SUMIF('12'!$D$7:$D$159,$C145,'12'!Q$7:Q$159)+SUMIF('01'!$D$7:$D$159,$C145,'01'!Q$7:Q$159)</f>
        <v>0</v>
      </c>
      <c r="P146" s="281">
        <f>SUMIF('09'!$D$7:$D$159,$C145,'09'!R$7:R$159)+SUMIF('10'!$D$7:$D$159,$C145,'10'!R$7:R$159)+SUMIF('11'!$D$7:$D$159,$C145,'11'!R$7:R$159)+SUMIF('12'!$D$7:$D$159,$C145,'12'!R$7:R$159)+SUMIF('01'!$D$7:$D$159,$C145,'01'!R$7:R$159)</f>
        <v>0</v>
      </c>
      <c r="Q146" s="282">
        <f>SUMIF('09'!$D$7:$D$159,$C145,'09'!S$7:S$159)+SUMIF('10'!$D$7:$D$159,$C145,'10'!S$7:S$159)+SUMIF('11'!$D$7:$D$159,$C145,'11'!S$7:S$159)+SUMIF('12'!$D$7:$D$159,$C145,'12'!S$7:S$159)+SUMIF('01'!$D$7:$D$159,$C145,'01'!S$7:S$159)</f>
        <v>0</v>
      </c>
      <c r="R146" s="283">
        <f>SUMIF('09'!$D$7:$D$159,$C145,'09'!T$7:T$159)+SUMIF('10'!$D$7:$D$159,$C145,'10'!T$7:T$159)+SUMIF('11'!$D$7:$D$159,$C145,'11'!T$7:T$159)+SUMIF('12'!$D$7:$D$159,$C145,'12'!T$7:T$159)+SUMIF('01'!$D$7:$D$159,$C145,'01'!T$7:T$159)</f>
        <v>0</v>
      </c>
      <c r="S146" s="281">
        <f>SUMIF('09'!$D$7:$D$159,$C145,'09'!U$7:U$159)+SUMIF('10'!$D$7:$D$159,$C145,'10'!U$7:U$159)+SUMIF('11'!$D$7:$D$159,$C145,'11'!U$7:U$159)+SUMIF('12'!$D$7:$D$159,$C145,'12'!U$7:U$159)+SUMIF('01'!$D$7:$D$159,$C145,'01'!U$7:U$159)</f>
        <v>0</v>
      </c>
      <c r="T146" s="282">
        <f>SUMIF('09'!$D$7:$D$159,$C145,'09'!V$7:V$159)+SUMIF('10'!$D$7:$D$159,$C145,'10'!V$7:V$159)+SUMIF('11'!$D$7:$D$159,$C145,'11'!V$7:V$159)+SUMIF('12'!$D$7:$D$159,$C145,'12'!V$7:V$159)+SUMIF('01'!$D$7:$D$159,$C145,'01'!V$7:V$159)</f>
        <v>0</v>
      </c>
      <c r="U146" s="285">
        <f>SUMIF('09'!$D$7:$D$159,$C145,'09'!W$7:W$159)+SUMIF('10'!$D$7:$D$159,$C145,'10'!W$7:W$159)+SUMIF('11'!$D$7:$D$159,$C145,'11'!W$7:W$159)+SUMIF('12'!$D$7:$D$159,$C145,'12'!W$7:W$159)+SUMIF('01'!$D$7:$D$159,$C145,'01'!W$7:W$159)</f>
        <v>0</v>
      </c>
      <c r="V146" s="284">
        <f>SUMIF('09'!$D$7:$D$159,$C145,'09'!X$7:X$159)+SUMIF('10'!$D$7:$D$159,$C145,'10'!X$7:X$159)+SUMIF('11'!$D$7:$D$159,$C145,'11'!X$7:X$159)+SUMIF('12'!$D$7:$D$159,$C145,'12'!X$7:X$159)+SUMIF('01'!$D$7:$D$159,$C145,'01'!X$7:X$159)</f>
        <v>0</v>
      </c>
      <c r="W146" s="284">
        <f>SUMIF('09'!$D$7:$D$159,$C145,'09'!Y$7:Y$159)+SUMIF('10'!$D$7:$D$159,$C145,'10'!Y$7:Y$159)+SUMIF('11'!$D$7:$D$159,$C145,'11'!Y$7:Y$159)+SUMIF('12'!$D$7:$D$159,$C145,'12'!Y$7:Y$159)+SUMIF('01'!$D$7:$D$159,$C145,'01'!Y$7:Y$159)</f>
        <v>0</v>
      </c>
      <c r="X146" s="286">
        <f t="shared" si="7"/>
        <v>0</v>
      </c>
      <c r="Y146" s="345"/>
      <c r="Z146" s="347"/>
    </row>
    <row r="147" spans="1:26" ht="14.25" customHeight="1" x14ac:dyDescent="0.3">
      <c r="A147" s="178">
        <f>IF(OR(C147="0",COUNTIF(КлючОсень,C147)&gt;1),0,MATCH(F147,ВидыНагр,0))</f>
        <v>0</v>
      </c>
      <c r="B147" s="178" t="b">
        <f>(COUNTA(D147:F148,J147:W147,H147:I148)=0)</f>
        <v>1</v>
      </c>
      <c r="C147" s="179" t="str">
        <f>IF(OR(TRIM(D147)="",COUNTIF(ВидыНагр,F147)&lt;&gt;1),"0",CONCATENATE("$",TRIM(D147),"$",TRIM(E147),"$",F147,"$"))</f>
        <v>0</v>
      </c>
      <c r="D147" s="340"/>
      <c r="E147" s="338"/>
      <c r="F147" s="342"/>
      <c r="G147" s="180" t="s">
        <v>7</v>
      </c>
      <c r="H147" s="181"/>
      <c r="I147" s="182"/>
      <c r="J147" s="183"/>
      <c r="K147" s="184"/>
      <c r="L147" s="185"/>
      <c r="M147" s="183"/>
      <c r="N147" s="184"/>
      <c r="O147" s="186"/>
      <c r="P147" s="183"/>
      <c r="Q147" s="184"/>
      <c r="R147" s="185"/>
      <c r="S147" s="183"/>
      <c r="T147" s="184"/>
      <c r="U147" s="187"/>
      <c r="V147" s="186"/>
      <c r="W147" s="186"/>
      <c r="X147" s="279">
        <f t="shared" si="7"/>
        <v>0</v>
      </c>
      <c r="Y147" s="344">
        <f>X148-X147</f>
        <v>0</v>
      </c>
      <c r="Z147" s="346"/>
    </row>
    <row r="148" spans="1:26" ht="14.25" customHeight="1" x14ac:dyDescent="0.3">
      <c r="A148" s="178">
        <f>-A147</f>
        <v>0</v>
      </c>
      <c r="B148" s="178" t="b">
        <f>B147</f>
        <v>1</v>
      </c>
      <c r="C148" s="188"/>
      <c r="D148" s="341"/>
      <c r="E148" s="339"/>
      <c r="F148" s="343"/>
      <c r="G148" s="189" t="s">
        <v>8</v>
      </c>
      <c r="H148" s="190"/>
      <c r="I148" s="280"/>
      <c r="J148" s="281">
        <f>SUMIF('09'!$D$7:$D$159,$C147,'09'!L$7:L$159)+SUMIF('10'!$D$7:$D$159,$C147,'10'!L$7:L$159)+SUMIF('11'!$D$7:$D$159,$C147,'11'!L$7:L$159)+SUMIF('12'!$D$7:$D$159,$C147,'12'!L$7:L$159)+SUMIF('01'!$D$7:$D$159,$C147,'01'!L$7:L$159)</f>
        <v>0</v>
      </c>
      <c r="K148" s="282">
        <f>SUMIF('09'!$D$7:$D$159,$C147,'09'!M$7:M$159)+SUMIF('10'!$D$7:$D$159,$C147,'10'!M$7:M$159)+SUMIF('11'!$D$7:$D$159,$C147,'11'!M$7:M$159)+SUMIF('12'!$D$7:$D$159,$C147,'12'!M$7:M$159)+SUMIF('01'!$D$7:$D$159,$C147,'01'!M$7:M$159)</f>
        <v>0</v>
      </c>
      <c r="L148" s="283">
        <f>SUMIF('09'!$D$7:$D$159,$C147,'09'!N$7:N$159)+SUMIF('10'!$D$7:$D$159,$C147,'10'!N$7:N$159)+SUMIF('11'!$D$7:$D$159,$C147,'11'!N$7:N$159)+SUMIF('12'!$D$7:$D$159,$C147,'12'!N$7:N$159)+SUMIF('01'!$D$7:$D$159,$C147,'01'!N$7:N$159)</f>
        <v>0</v>
      </c>
      <c r="M148" s="281">
        <f>SUMIF('09'!$D$7:$D$159,$C147,'09'!O$7:O$159)+SUMIF('10'!$D$7:$D$159,$C147,'10'!O$7:O$159)+SUMIF('11'!$D$7:$D$159,$C147,'11'!O$7:O$159)+SUMIF('12'!$D$7:$D$159,$C147,'12'!O$7:O$159)+SUMIF('01'!$D$7:$D$159,$C147,'01'!O$7:O$159)</f>
        <v>0</v>
      </c>
      <c r="N148" s="282">
        <f>SUMIF('09'!$D$7:$D$159,$C147,'09'!P$7:P$159)+SUMIF('10'!$D$7:$D$159,$C147,'10'!P$7:P$159)+SUMIF('11'!$D$7:$D$159,$C147,'11'!P$7:P$159)+SUMIF('12'!$D$7:$D$159,$C147,'12'!P$7:P$159)+SUMIF('01'!$D$7:$D$159,$C147,'01'!P$7:P$159)</f>
        <v>0</v>
      </c>
      <c r="O148" s="284">
        <f>SUMIF('09'!$D$7:$D$159,$C147,'09'!Q$7:Q$159)+SUMIF('10'!$D$7:$D$159,$C147,'10'!Q$7:Q$159)+SUMIF('11'!$D$7:$D$159,$C147,'11'!Q$7:Q$159)+SUMIF('12'!$D$7:$D$159,$C147,'12'!Q$7:Q$159)+SUMIF('01'!$D$7:$D$159,$C147,'01'!Q$7:Q$159)</f>
        <v>0</v>
      </c>
      <c r="P148" s="281">
        <f>SUMIF('09'!$D$7:$D$159,$C147,'09'!R$7:R$159)+SUMIF('10'!$D$7:$D$159,$C147,'10'!R$7:R$159)+SUMIF('11'!$D$7:$D$159,$C147,'11'!R$7:R$159)+SUMIF('12'!$D$7:$D$159,$C147,'12'!R$7:R$159)+SUMIF('01'!$D$7:$D$159,$C147,'01'!R$7:R$159)</f>
        <v>0</v>
      </c>
      <c r="Q148" s="282">
        <f>SUMIF('09'!$D$7:$D$159,$C147,'09'!S$7:S$159)+SUMIF('10'!$D$7:$D$159,$C147,'10'!S$7:S$159)+SUMIF('11'!$D$7:$D$159,$C147,'11'!S$7:S$159)+SUMIF('12'!$D$7:$D$159,$C147,'12'!S$7:S$159)+SUMIF('01'!$D$7:$D$159,$C147,'01'!S$7:S$159)</f>
        <v>0</v>
      </c>
      <c r="R148" s="283">
        <f>SUMIF('09'!$D$7:$D$159,$C147,'09'!T$7:T$159)+SUMIF('10'!$D$7:$D$159,$C147,'10'!T$7:T$159)+SUMIF('11'!$D$7:$D$159,$C147,'11'!T$7:T$159)+SUMIF('12'!$D$7:$D$159,$C147,'12'!T$7:T$159)+SUMIF('01'!$D$7:$D$159,$C147,'01'!T$7:T$159)</f>
        <v>0</v>
      </c>
      <c r="S148" s="281">
        <f>SUMIF('09'!$D$7:$D$159,$C147,'09'!U$7:U$159)+SUMIF('10'!$D$7:$D$159,$C147,'10'!U$7:U$159)+SUMIF('11'!$D$7:$D$159,$C147,'11'!U$7:U$159)+SUMIF('12'!$D$7:$D$159,$C147,'12'!U$7:U$159)+SUMIF('01'!$D$7:$D$159,$C147,'01'!U$7:U$159)</f>
        <v>0</v>
      </c>
      <c r="T148" s="282">
        <f>SUMIF('09'!$D$7:$D$159,$C147,'09'!V$7:V$159)+SUMIF('10'!$D$7:$D$159,$C147,'10'!V$7:V$159)+SUMIF('11'!$D$7:$D$159,$C147,'11'!V$7:V$159)+SUMIF('12'!$D$7:$D$159,$C147,'12'!V$7:V$159)+SUMIF('01'!$D$7:$D$159,$C147,'01'!V$7:V$159)</f>
        <v>0</v>
      </c>
      <c r="U148" s="285">
        <f>SUMIF('09'!$D$7:$D$159,$C147,'09'!W$7:W$159)+SUMIF('10'!$D$7:$D$159,$C147,'10'!W$7:W$159)+SUMIF('11'!$D$7:$D$159,$C147,'11'!W$7:W$159)+SUMIF('12'!$D$7:$D$159,$C147,'12'!W$7:W$159)+SUMIF('01'!$D$7:$D$159,$C147,'01'!W$7:W$159)</f>
        <v>0</v>
      </c>
      <c r="V148" s="284">
        <f>SUMIF('09'!$D$7:$D$159,$C147,'09'!X$7:X$159)+SUMIF('10'!$D$7:$D$159,$C147,'10'!X$7:X$159)+SUMIF('11'!$D$7:$D$159,$C147,'11'!X$7:X$159)+SUMIF('12'!$D$7:$D$159,$C147,'12'!X$7:X$159)+SUMIF('01'!$D$7:$D$159,$C147,'01'!X$7:X$159)</f>
        <v>0</v>
      </c>
      <c r="W148" s="284">
        <f>SUMIF('09'!$D$7:$D$159,$C147,'09'!Y$7:Y$159)+SUMIF('10'!$D$7:$D$159,$C147,'10'!Y$7:Y$159)+SUMIF('11'!$D$7:$D$159,$C147,'11'!Y$7:Y$159)+SUMIF('12'!$D$7:$D$159,$C147,'12'!Y$7:Y$159)+SUMIF('01'!$D$7:$D$159,$C147,'01'!Y$7:Y$159)</f>
        <v>0</v>
      </c>
      <c r="X148" s="286">
        <f t="shared" si="7"/>
        <v>0</v>
      </c>
      <c r="Y148" s="345"/>
      <c r="Z148" s="347"/>
    </row>
    <row r="149" spans="1:26" ht="14.25" customHeight="1" x14ac:dyDescent="0.3">
      <c r="A149" s="178">
        <f>IF(OR(C149="0",COUNTIF(КлючОсень,C149)&gt;1),0,MATCH(F149,ВидыНагр,0))</f>
        <v>0</v>
      </c>
      <c r="B149" s="178" t="b">
        <f>(COUNTA(D149:F150,J149:W149,H149:I150)=0)</f>
        <v>1</v>
      </c>
      <c r="C149" s="179" t="str">
        <f>IF(OR(TRIM(D149)="",COUNTIF(ВидыНагр,F149)&lt;&gt;1),"0",CONCATENATE("$",TRIM(D149),"$",TRIM(E149),"$",F149,"$"))</f>
        <v>0</v>
      </c>
      <c r="D149" s="340"/>
      <c r="E149" s="338"/>
      <c r="F149" s="342"/>
      <c r="G149" s="180" t="s">
        <v>7</v>
      </c>
      <c r="H149" s="181"/>
      <c r="I149" s="182"/>
      <c r="J149" s="183"/>
      <c r="K149" s="184"/>
      <c r="L149" s="185"/>
      <c r="M149" s="183"/>
      <c r="N149" s="184"/>
      <c r="O149" s="186"/>
      <c r="P149" s="183"/>
      <c r="Q149" s="184"/>
      <c r="R149" s="185"/>
      <c r="S149" s="183"/>
      <c r="T149" s="184"/>
      <c r="U149" s="187"/>
      <c r="V149" s="186"/>
      <c r="W149" s="186"/>
      <c r="X149" s="279">
        <f t="shared" si="7"/>
        <v>0</v>
      </c>
      <c r="Y149" s="344">
        <f>X150-X149</f>
        <v>0</v>
      </c>
      <c r="Z149" s="346"/>
    </row>
    <row r="150" spans="1:26" ht="14.25" customHeight="1" x14ac:dyDescent="0.3">
      <c r="A150" s="178">
        <f>-A149</f>
        <v>0</v>
      </c>
      <c r="B150" s="178" t="b">
        <f>B149</f>
        <v>1</v>
      </c>
      <c r="C150" s="188"/>
      <c r="D150" s="341"/>
      <c r="E150" s="339"/>
      <c r="F150" s="343"/>
      <c r="G150" s="189" t="s">
        <v>8</v>
      </c>
      <c r="H150" s="190"/>
      <c r="I150" s="280"/>
      <c r="J150" s="281">
        <f>SUMIF('09'!$D$7:$D$159,$C149,'09'!L$7:L$159)+SUMIF('10'!$D$7:$D$159,$C149,'10'!L$7:L$159)+SUMIF('11'!$D$7:$D$159,$C149,'11'!L$7:L$159)+SUMIF('12'!$D$7:$D$159,$C149,'12'!L$7:L$159)+SUMIF('01'!$D$7:$D$159,$C149,'01'!L$7:L$159)</f>
        <v>0</v>
      </c>
      <c r="K150" s="282">
        <f>SUMIF('09'!$D$7:$D$159,$C149,'09'!M$7:M$159)+SUMIF('10'!$D$7:$D$159,$C149,'10'!M$7:M$159)+SUMIF('11'!$D$7:$D$159,$C149,'11'!M$7:M$159)+SUMIF('12'!$D$7:$D$159,$C149,'12'!M$7:M$159)+SUMIF('01'!$D$7:$D$159,$C149,'01'!M$7:M$159)</f>
        <v>0</v>
      </c>
      <c r="L150" s="283">
        <f>SUMIF('09'!$D$7:$D$159,$C149,'09'!N$7:N$159)+SUMIF('10'!$D$7:$D$159,$C149,'10'!N$7:N$159)+SUMIF('11'!$D$7:$D$159,$C149,'11'!N$7:N$159)+SUMIF('12'!$D$7:$D$159,$C149,'12'!N$7:N$159)+SUMIF('01'!$D$7:$D$159,$C149,'01'!N$7:N$159)</f>
        <v>0</v>
      </c>
      <c r="M150" s="281">
        <f>SUMIF('09'!$D$7:$D$159,$C149,'09'!O$7:O$159)+SUMIF('10'!$D$7:$D$159,$C149,'10'!O$7:O$159)+SUMIF('11'!$D$7:$D$159,$C149,'11'!O$7:O$159)+SUMIF('12'!$D$7:$D$159,$C149,'12'!O$7:O$159)+SUMIF('01'!$D$7:$D$159,$C149,'01'!O$7:O$159)</f>
        <v>0</v>
      </c>
      <c r="N150" s="282">
        <f>SUMIF('09'!$D$7:$D$159,$C149,'09'!P$7:P$159)+SUMIF('10'!$D$7:$D$159,$C149,'10'!P$7:P$159)+SUMIF('11'!$D$7:$D$159,$C149,'11'!P$7:P$159)+SUMIF('12'!$D$7:$D$159,$C149,'12'!P$7:P$159)+SUMIF('01'!$D$7:$D$159,$C149,'01'!P$7:P$159)</f>
        <v>0</v>
      </c>
      <c r="O150" s="284">
        <f>SUMIF('09'!$D$7:$D$159,$C149,'09'!Q$7:Q$159)+SUMIF('10'!$D$7:$D$159,$C149,'10'!Q$7:Q$159)+SUMIF('11'!$D$7:$D$159,$C149,'11'!Q$7:Q$159)+SUMIF('12'!$D$7:$D$159,$C149,'12'!Q$7:Q$159)+SUMIF('01'!$D$7:$D$159,$C149,'01'!Q$7:Q$159)</f>
        <v>0</v>
      </c>
      <c r="P150" s="281">
        <f>SUMIF('09'!$D$7:$D$159,$C149,'09'!R$7:R$159)+SUMIF('10'!$D$7:$D$159,$C149,'10'!R$7:R$159)+SUMIF('11'!$D$7:$D$159,$C149,'11'!R$7:R$159)+SUMIF('12'!$D$7:$D$159,$C149,'12'!R$7:R$159)+SUMIF('01'!$D$7:$D$159,$C149,'01'!R$7:R$159)</f>
        <v>0</v>
      </c>
      <c r="Q150" s="282">
        <f>SUMIF('09'!$D$7:$D$159,$C149,'09'!S$7:S$159)+SUMIF('10'!$D$7:$D$159,$C149,'10'!S$7:S$159)+SUMIF('11'!$D$7:$D$159,$C149,'11'!S$7:S$159)+SUMIF('12'!$D$7:$D$159,$C149,'12'!S$7:S$159)+SUMIF('01'!$D$7:$D$159,$C149,'01'!S$7:S$159)</f>
        <v>0</v>
      </c>
      <c r="R150" s="283">
        <f>SUMIF('09'!$D$7:$D$159,$C149,'09'!T$7:T$159)+SUMIF('10'!$D$7:$D$159,$C149,'10'!T$7:T$159)+SUMIF('11'!$D$7:$D$159,$C149,'11'!T$7:T$159)+SUMIF('12'!$D$7:$D$159,$C149,'12'!T$7:T$159)+SUMIF('01'!$D$7:$D$159,$C149,'01'!T$7:T$159)</f>
        <v>0</v>
      </c>
      <c r="S150" s="281">
        <f>SUMIF('09'!$D$7:$D$159,$C149,'09'!U$7:U$159)+SUMIF('10'!$D$7:$D$159,$C149,'10'!U$7:U$159)+SUMIF('11'!$D$7:$D$159,$C149,'11'!U$7:U$159)+SUMIF('12'!$D$7:$D$159,$C149,'12'!U$7:U$159)+SUMIF('01'!$D$7:$D$159,$C149,'01'!U$7:U$159)</f>
        <v>0</v>
      </c>
      <c r="T150" s="282">
        <f>SUMIF('09'!$D$7:$D$159,$C149,'09'!V$7:V$159)+SUMIF('10'!$D$7:$D$159,$C149,'10'!V$7:V$159)+SUMIF('11'!$D$7:$D$159,$C149,'11'!V$7:V$159)+SUMIF('12'!$D$7:$D$159,$C149,'12'!V$7:V$159)+SUMIF('01'!$D$7:$D$159,$C149,'01'!V$7:V$159)</f>
        <v>0</v>
      </c>
      <c r="U150" s="285">
        <f>SUMIF('09'!$D$7:$D$159,$C149,'09'!W$7:W$159)+SUMIF('10'!$D$7:$D$159,$C149,'10'!W$7:W$159)+SUMIF('11'!$D$7:$D$159,$C149,'11'!W$7:W$159)+SUMIF('12'!$D$7:$D$159,$C149,'12'!W$7:W$159)+SUMIF('01'!$D$7:$D$159,$C149,'01'!W$7:W$159)</f>
        <v>0</v>
      </c>
      <c r="V150" s="284">
        <f>SUMIF('09'!$D$7:$D$159,$C149,'09'!X$7:X$159)+SUMIF('10'!$D$7:$D$159,$C149,'10'!X$7:X$159)+SUMIF('11'!$D$7:$D$159,$C149,'11'!X$7:X$159)+SUMIF('12'!$D$7:$D$159,$C149,'12'!X$7:X$159)+SUMIF('01'!$D$7:$D$159,$C149,'01'!X$7:X$159)</f>
        <v>0</v>
      </c>
      <c r="W150" s="284">
        <f>SUMIF('09'!$D$7:$D$159,$C149,'09'!Y$7:Y$159)+SUMIF('10'!$D$7:$D$159,$C149,'10'!Y$7:Y$159)+SUMIF('11'!$D$7:$D$159,$C149,'11'!Y$7:Y$159)+SUMIF('12'!$D$7:$D$159,$C149,'12'!Y$7:Y$159)+SUMIF('01'!$D$7:$D$159,$C149,'01'!Y$7:Y$159)</f>
        <v>0</v>
      </c>
      <c r="X150" s="286">
        <f t="shared" si="7"/>
        <v>0</v>
      </c>
      <c r="Y150" s="345"/>
      <c r="Z150" s="347"/>
    </row>
    <row r="151" spans="1:26" ht="14.25" customHeight="1" x14ac:dyDescent="0.3">
      <c r="A151" s="178">
        <f>IF(OR(C151="0",COUNTIF(КлючОсень,C151)&gt;1),0,MATCH(F151,ВидыНагр,0))</f>
        <v>0</v>
      </c>
      <c r="B151" s="178" t="b">
        <f>(COUNTA(D151:F152,J151:W151,H151:I152)=0)</f>
        <v>1</v>
      </c>
      <c r="C151" s="179" t="str">
        <f>IF(OR(TRIM(D151)="",COUNTIF(ВидыНагр,F151)&lt;&gt;1),"0",CONCATENATE("$",TRIM(D151),"$",TRIM(E151),"$",F151,"$"))</f>
        <v>0</v>
      </c>
      <c r="D151" s="340"/>
      <c r="E151" s="338"/>
      <c r="F151" s="342"/>
      <c r="G151" s="180" t="s">
        <v>7</v>
      </c>
      <c r="H151" s="181"/>
      <c r="I151" s="182"/>
      <c r="J151" s="183"/>
      <c r="K151" s="184"/>
      <c r="L151" s="185"/>
      <c r="M151" s="183"/>
      <c r="N151" s="184"/>
      <c r="O151" s="186"/>
      <c r="P151" s="183"/>
      <c r="Q151" s="184"/>
      <c r="R151" s="185"/>
      <c r="S151" s="183"/>
      <c r="T151" s="184"/>
      <c r="U151" s="187"/>
      <c r="V151" s="186"/>
      <c r="W151" s="186"/>
      <c r="X151" s="279">
        <f t="shared" si="7"/>
        <v>0</v>
      </c>
      <c r="Y151" s="344">
        <f>X152-X151</f>
        <v>0</v>
      </c>
      <c r="Z151" s="346"/>
    </row>
    <row r="152" spans="1:26" ht="14.25" customHeight="1" x14ac:dyDescent="0.3">
      <c r="A152" s="178">
        <f>-A151</f>
        <v>0</v>
      </c>
      <c r="B152" s="178" t="b">
        <f>B151</f>
        <v>1</v>
      </c>
      <c r="C152" s="188"/>
      <c r="D152" s="341"/>
      <c r="E152" s="339"/>
      <c r="F152" s="343"/>
      <c r="G152" s="189" t="s">
        <v>8</v>
      </c>
      <c r="H152" s="190"/>
      <c r="I152" s="280"/>
      <c r="J152" s="281">
        <f>SUMIF('09'!$D$7:$D$159,$C151,'09'!L$7:L$159)+SUMIF('10'!$D$7:$D$159,$C151,'10'!L$7:L$159)+SUMIF('11'!$D$7:$D$159,$C151,'11'!L$7:L$159)+SUMIF('12'!$D$7:$D$159,$C151,'12'!L$7:L$159)+SUMIF('01'!$D$7:$D$159,$C151,'01'!L$7:L$159)</f>
        <v>0</v>
      </c>
      <c r="K152" s="282">
        <f>SUMIF('09'!$D$7:$D$159,$C151,'09'!M$7:M$159)+SUMIF('10'!$D$7:$D$159,$C151,'10'!M$7:M$159)+SUMIF('11'!$D$7:$D$159,$C151,'11'!M$7:M$159)+SUMIF('12'!$D$7:$D$159,$C151,'12'!M$7:M$159)+SUMIF('01'!$D$7:$D$159,$C151,'01'!M$7:M$159)</f>
        <v>0</v>
      </c>
      <c r="L152" s="283">
        <f>SUMIF('09'!$D$7:$D$159,$C151,'09'!N$7:N$159)+SUMIF('10'!$D$7:$D$159,$C151,'10'!N$7:N$159)+SUMIF('11'!$D$7:$D$159,$C151,'11'!N$7:N$159)+SUMIF('12'!$D$7:$D$159,$C151,'12'!N$7:N$159)+SUMIF('01'!$D$7:$D$159,$C151,'01'!N$7:N$159)</f>
        <v>0</v>
      </c>
      <c r="M152" s="281">
        <f>SUMIF('09'!$D$7:$D$159,$C151,'09'!O$7:O$159)+SUMIF('10'!$D$7:$D$159,$C151,'10'!O$7:O$159)+SUMIF('11'!$D$7:$D$159,$C151,'11'!O$7:O$159)+SUMIF('12'!$D$7:$D$159,$C151,'12'!O$7:O$159)+SUMIF('01'!$D$7:$D$159,$C151,'01'!O$7:O$159)</f>
        <v>0</v>
      </c>
      <c r="N152" s="282">
        <f>SUMIF('09'!$D$7:$D$159,$C151,'09'!P$7:P$159)+SUMIF('10'!$D$7:$D$159,$C151,'10'!P$7:P$159)+SUMIF('11'!$D$7:$D$159,$C151,'11'!P$7:P$159)+SUMIF('12'!$D$7:$D$159,$C151,'12'!P$7:P$159)+SUMIF('01'!$D$7:$D$159,$C151,'01'!P$7:P$159)</f>
        <v>0</v>
      </c>
      <c r="O152" s="284">
        <f>SUMIF('09'!$D$7:$D$159,$C151,'09'!Q$7:Q$159)+SUMIF('10'!$D$7:$D$159,$C151,'10'!Q$7:Q$159)+SUMIF('11'!$D$7:$D$159,$C151,'11'!Q$7:Q$159)+SUMIF('12'!$D$7:$D$159,$C151,'12'!Q$7:Q$159)+SUMIF('01'!$D$7:$D$159,$C151,'01'!Q$7:Q$159)</f>
        <v>0</v>
      </c>
      <c r="P152" s="281">
        <f>SUMIF('09'!$D$7:$D$159,$C151,'09'!R$7:R$159)+SUMIF('10'!$D$7:$D$159,$C151,'10'!R$7:R$159)+SUMIF('11'!$D$7:$D$159,$C151,'11'!R$7:R$159)+SUMIF('12'!$D$7:$D$159,$C151,'12'!R$7:R$159)+SUMIF('01'!$D$7:$D$159,$C151,'01'!R$7:R$159)</f>
        <v>0</v>
      </c>
      <c r="Q152" s="282">
        <f>SUMIF('09'!$D$7:$D$159,$C151,'09'!S$7:S$159)+SUMIF('10'!$D$7:$D$159,$C151,'10'!S$7:S$159)+SUMIF('11'!$D$7:$D$159,$C151,'11'!S$7:S$159)+SUMIF('12'!$D$7:$D$159,$C151,'12'!S$7:S$159)+SUMIF('01'!$D$7:$D$159,$C151,'01'!S$7:S$159)</f>
        <v>0</v>
      </c>
      <c r="R152" s="283">
        <f>SUMIF('09'!$D$7:$D$159,$C151,'09'!T$7:T$159)+SUMIF('10'!$D$7:$D$159,$C151,'10'!T$7:T$159)+SUMIF('11'!$D$7:$D$159,$C151,'11'!T$7:T$159)+SUMIF('12'!$D$7:$D$159,$C151,'12'!T$7:T$159)+SUMIF('01'!$D$7:$D$159,$C151,'01'!T$7:T$159)</f>
        <v>0</v>
      </c>
      <c r="S152" s="281">
        <f>SUMIF('09'!$D$7:$D$159,$C151,'09'!U$7:U$159)+SUMIF('10'!$D$7:$D$159,$C151,'10'!U$7:U$159)+SUMIF('11'!$D$7:$D$159,$C151,'11'!U$7:U$159)+SUMIF('12'!$D$7:$D$159,$C151,'12'!U$7:U$159)+SUMIF('01'!$D$7:$D$159,$C151,'01'!U$7:U$159)</f>
        <v>0</v>
      </c>
      <c r="T152" s="282">
        <f>SUMIF('09'!$D$7:$D$159,$C151,'09'!V$7:V$159)+SUMIF('10'!$D$7:$D$159,$C151,'10'!V$7:V$159)+SUMIF('11'!$D$7:$D$159,$C151,'11'!V$7:V$159)+SUMIF('12'!$D$7:$D$159,$C151,'12'!V$7:V$159)+SUMIF('01'!$D$7:$D$159,$C151,'01'!V$7:V$159)</f>
        <v>0</v>
      </c>
      <c r="U152" s="285">
        <f>SUMIF('09'!$D$7:$D$159,$C151,'09'!W$7:W$159)+SUMIF('10'!$D$7:$D$159,$C151,'10'!W$7:W$159)+SUMIF('11'!$D$7:$D$159,$C151,'11'!W$7:W$159)+SUMIF('12'!$D$7:$D$159,$C151,'12'!W$7:W$159)+SUMIF('01'!$D$7:$D$159,$C151,'01'!W$7:W$159)</f>
        <v>0</v>
      </c>
      <c r="V152" s="284">
        <f>SUMIF('09'!$D$7:$D$159,$C151,'09'!X$7:X$159)+SUMIF('10'!$D$7:$D$159,$C151,'10'!X$7:X$159)+SUMIF('11'!$D$7:$D$159,$C151,'11'!X$7:X$159)+SUMIF('12'!$D$7:$D$159,$C151,'12'!X$7:X$159)+SUMIF('01'!$D$7:$D$159,$C151,'01'!X$7:X$159)</f>
        <v>0</v>
      </c>
      <c r="W152" s="284">
        <f>SUMIF('09'!$D$7:$D$159,$C151,'09'!Y$7:Y$159)+SUMIF('10'!$D$7:$D$159,$C151,'10'!Y$7:Y$159)+SUMIF('11'!$D$7:$D$159,$C151,'11'!Y$7:Y$159)+SUMIF('12'!$D$7:$D$159,$C151,'12'!Y$7:Y$159)+SUMIF('01'!$D$7:$D$159,$C151,'01'!Y$7:Y$159)</f>
        <v>0</v>
      </c>
      <c r="X152" s="286">
        <f t="shared" si="7"/>
        <v>0</v>
      </c>
      <c r="Y152" s="345"/>
      <c r="Z152" s="347"/>
    </row>
    <row r="153" spans="1:26" ht="14.25" customHeight="1" x14ac:dyDescent="0.3">
      <c r="A153" s="178">
        <f>IF(OR(C153="0",COUNTIF(КлючОсень,C153)&gt;1),0,MATCH(F153,ВидыНагр,0))</f>
        <v>0</v>
      </c>
      <c r="B153" s="178" t="b">
        <f>(COUNTA(D153:F154,J153:W153,H153:I154)=0)</f>
        <v>1</v>
      </c>
      <c r="C153" s="179" t="str">
        <f>IF(OR(TRIM(D153)="",COUNTIF(ВидыНагр,F153)&lt;&gt;1),"0",CONCATENATE("$",TRIM(D153),"$",TRIM(E153),"$",F153,"$"))</f>
        <v>0</v>
      </c>
      <c r="D153" s="340"/>
      <c r="E153" s="338"/>
      <c r="F153" s="342"/>
      <c r="G153" s="180" t="s">
        <v>7</v>
      </c>
      <c r="H153" s="181"/>
      <c r="I153" s="182"/>
      <c r="J153" s="183"/>
      <c r="K153" s="184"/>
      <c r="L153" s="185"/>
      <c r="M153" s="183"/>
      <c r="N153" s="184"/>
      <c r="O153" s="186"/>
      <c r="P153" s="183"/>
      <c r="Q153" s="184"/>
      <c r="R153" s="185"/>
      <c r="S153" s="183"/>
      <c r="T153" s="184"/>
      <c r="U153" s="187"/>
      <c r="V153" s="186"/>
      <c r="W153" s="186"/>
      <c r="X153" s="279">
        <f t="shared" si="7"/>
        <v>0</v>
      </c>
      <c r="Y153" s="344">
        <f>X154-X153</f>
        <v>0</v>
      </c>
      <c r="Z153" s="346"/>
    </row>
    <row r="154" spans="1:26" ht="14.25" customHeight="1" x14ac:dyDescent="0.3">
      <c r="A154" s="178">
        <f>-A153</f>
        <v>0</v>
      </c>
      <c r="B154" s="178" t="b">
        <f>B153</f>
        <v>1</v>
      </c>
      <c r="C154" s="188"/>
      <c r="D154" s="341"/>
      <c r="E154" s="339"/>
      <c r="F154" s="343"/>
      <c r="G154" s="189" t="s">
        <v>8</v>
      </c>
      <c r="H154" s="190"/>
      <c r="I154" s="280"/>
      <c r="J154" s="281">
        <f>SUMIF('09'!$D$7:$D$159,$C153,'09'!L$7:L$159)+SUMIF('10'!$D$7:$D$159,$C153,'10'!L$7:L$159)+SUMIF('11'!$D$7:$D$159,$C153,'11'!L$7:L$159)+SUMIF('12'!$D$7:$D$159,$C153,'12'!L$7:L$159)+SUMIF('01'!$D$7:$D$159,$C153,'01'!L$7:L$159)</f>
        <v>0</v>
      </c>
      <c r="K154" s="282">
        <f>SUMIF('09'!$D$7:$D$159,$C153,'09'!M$7:M$159)+SUMIF('10'!$D$7:$D$159,$C153,'10'!M$7:M$159)+SUMIF('11'!$D$7:$D$159,$C153,'11'!M$7:M$159)+SUMIF('12'!$D$7:$D$159,$C153,'12'!M$7:M$159)+SUMIF('01'!$D$7:$D$159,$C153,'01'!M$7:M$159)</f>
        <v>0</v>
      </c>
      <c r="L154" s="283">
        <f>SUMIF('09'!$D$7:$D$159,$C153,'09'!N$7:N$159)+SUMIF('10'!$D$7:$D$159,$C153,'10'!N$7:N$159)+SUMIF('11'!$D$7:$D$159,$C153,'11'!N$7:N$159)+SUMIF('12'!$D$7:$D$159,$C153,'12'!N$7:N$159)+SUMIF('01'!$D$7:$D$159,$C153,'01'!N$7:N$159)</f>
        <v>0</v>
      </c>
      <c r="M154" s="281">
        <f>SUMIF('09'!$D$7:$D$159,$C153,'09'!O$7:O$159)+SUMIF('10'!$D$7:$D$159,$C153,'10'!O$7:O$159)+SUMIF('11'!$D$7:$D$159,$C153,'11'!O$7:O$159)+SUMIF('12'!$D$7:$D$159,$C153,'12'!O$7:O$159)+SUMIF('01'!$D$7:$D$159,$C153,'01'!O$7:O$159)</f>
        <v>0</v>
      </c>
      <c r="N154" s="282">
        <f>SUMIF('09'!$D$7:$D$159,$C153,'09'!P$7:P$159)+SUMIF('10'!$D$7:$D$159,$C153,'10'!P$7:P$159)+SUMIF('11'!$D$7:$D$159,$C153,'11'!P$7:P$159)+SUMIF('12'!$D$7:$D$159,$C153,'12'!P$7:P$159)+SUMIF('01'!$D$7:$D$159,$C153,'01'!P$7:P$159)</f>
        <v>0</v>
      </c>
      <c r="O154" s="284">
        <f>SUMIF('09'!$D$7:$D$159,$C153,'09'!Q$7:Q$159)+SUMIF('10'!$D$7:$D$159,$C153,'10'!Q$7:Q$159)+SUMIF('11'!$D$7:$D$159,$C153,'11'!Q$7:Q$159)+SUMIF('12'!$D$7:$D$159,$C153,'12'!Q$7:Q$159)+SUMIF('01'!$D$7:$D$159,$C153,'01'!Q$7:Q$159)</f>
        <v>0</v>
      </c>
      <c r="P154" s="281">
        <f>SUMIF('09'!$D$7:$D$159,$C153,'09'!R$7:R$159)+SUMIF('10'!$D$7:$D$159,$C153,'10'!R$7:R$159)+SUMIF('11'!$D$7:$D$159,$C153,'11'!R$7:R$159)+SUMIF('12'!$D$7:$D$159,$C153,'12'!R$7:R$159)+SUMIF('01'!$D$7:$D$159,$C153,'01'!R$7:R$159)</f>
        <v>0</v>
      </c>
      <c r="Q154" s="282">
        <f>SUMIF('09'!$D$7:$D$159,$C153,'09'!S$7:S$159)+SUMIF('10'!$D$7:$D$159,$C153,'10'!S$7:S$159)+SUMIF('11'!$D$7:$D$159,$C153,'11'!S$7:S$159)+SUMIF('12'!$D$7:$D$159,$C153,'12'!S$7:S$159)+SUMIF('01'!$D$7:$D$159,$C153,'01'!S$7:S$159)</f>
        <v>0</v>
      </c>
      <c r="R154" s="283">
        <f>SUMIF('09'!$D$7:$D$159,$C153,'09'!T$7:T$159)+SUMIF('10'!$D$7:$D$159,$C153,'10'!T$7:T$159)+SUMIF('11'!$D$7:$D$159,$C153,'11'!T$7:T$159)+SUMIF('12'!$D$7:$D$159,$C153,'12'!T$7:T$159)+SUMIF('01'!$D$7:$D$159,$C153,'01'!T$7:T$159)</f>
        <v>0</v>
      </c>
      <c r="S154" s="281">
        <f>SUMIF('09'!$D$7:$D$159,$C153,'09'!U$7:U$159)+SUMIF('10'!$D$7:$D$159,$C153,'10'!U$7:U$159)+SUMIF('11'!$D$7:$D$159,$C153,'11'!U$7:U$159)+SUMIF('12'!$D$7:$D$159,$C153,'12'!U$7:U$159)+SUMIF('01'!$D$7:$D$159,$C153,'01'!U$7:U$159)</f>
        <v>0</v>
      </c>
      <c r="T154" s="282">
        <f>SUMIF('09'!$D$7:$D$159,$C153,'09'!V$7:V$159)+SUMIF('10'!$D$7:$D$159,$C153,'10'!V$7:V$159)+SUMIF('11'!$D$7:$D$159,$C153,'11'!V$7:V$159)+SUMIF('12'!$D$7:$D$159,$C153,'12'!V$7:V$159)+SUMIF('01'!$D$7:$D$159,$C153,'01'!V$7:V$159)</f>
        <v>0</v>
      </c>
      <c r="U154" s="285">
        <f>SUMIF('09'!$D$7:$D$159,$C153,'09'!W$7:W$159)+SUMIF('10'!$D$7:$D$159,$C153,'10'!W$7:W$159)+SUMIF('11'!$D$7:$D$159,$C153,'11'!W$7:W$159)+SUMIF('12'!$D$7:$D$159,$C153,'12'!W$7:W$159)+SUMIF('01'!$D$7:$D$159,$C153,'01'!W$7:W$159)</f>
        <v>0</v>
      </c>
      <c r="V154" s="284">
        <f>SUMIF('09'!$D$7:$D$159,$C153,'09'!X$7:X$159)+SUMIF('10'!$D$7:$D$159,$C153,'10'!X$7:X$159)+SUMIF('11'!$D$7:$D$159,$C153,'11'!X$7:X$159)+SUMIF('12'!$D$7:$D$159,$C153,'12'!X$7:X$159)+SUMIF('01'!$D$7:$D$159,$C153,'01'!X$7:X$159)</f>
        <v>0</v>
      </c>
      <c r="W154" s="284">
        <f>SUMIF('09'!$D$7:$D$159,$C153,'09'!Y$7:Y$159)+SUMIF('10'!$D$7:$D$159,$C153,'10'!Y$7:Y$159)+SUMIF('11'!$D$7:$D$159,$C153,'11'!Y$7:Y$159)+SUMIF('12'!$D$7:$D$159,$C153,'12'!Y$7:Y$159)+SUMIF('01'!$D$7:$D$159,$C153,'01'!Y$7:Y$159)</f>
        <v>0</v>
      </c>
      <c r="X154" s="286">
        <f t="shared" si="7"/>
        <v>0</v>
      </c>
      <c r="Y154" s="345"/>
      <c r="Z154" s="347"/>
    </row>
    <row r="155" spans="1:26" ht="14.25" customHeight="1" x14ac:dyDescent="0.3">
      <c r="A155" s="178">
        <f>IF(OR(C155="0",COUNTIF(КлючОсень,C155)&gt;1),0,MATCH(F155,ВидыНагр,0))</f>
        <v>0</v>
      </c>
      <c r="B155" s="178" t="b">
        <f>(COUNTA(D155:F156,J155:W155,H155:I156)=0)</f>
        <v>1</v>
      </c>
      <c r="C155" s="179" t="str">
        <f>IF(OR(TRIM(D155)="",COUNTIF(ВидыНагр,F155)&lt;&gt;1),"0",CONCATENATE("$",TRIM(D155),"$",TRIM(E155),"$",F155,"$"))</f>
        <v>0</v>
      </c>
      <c r="D155" s="340"/>
      <c r="E155" s="338"/>
      <c r="F155" s="342"/>
      <c r="G155" s="180" t="s">
        <v>7</v>
      </c>
      <c r="H155" s="181"/>
      <c r="I155" s="182"/>
      <c r="J155" s="183"/>
      <c r="K155" s="184"/>
      <c r="L155" s="185"/>
      <c r="M155" s="183"/>
      <c r="N155" s="184"/>
      <c r="O155" s="186"/>
      <c r="P155" s="183"/>
      <c r="Q155" s="184"/>
      <c r="R155" s="185"/>
      <c r="S155" s="183"/>
      <c r="T155" s="184"/>
      <c r="U155" s="187"/>
      <c r="V155" s="186"/>
      <c r="W155" s="186"/>
      <c r="X155" s="279">
        <f t="shared" si="7"/>
        <v>0</v>
      </c>
      <c r="Y155" s="344">
        <f>X156-X155</f>
        <v>0</v>
      </c>
      <c r="Z155" s="346"/>
    </row>
    <row r="156" spans="1:26" ht="14.25" customHeight="1" x14ac:dyDescent="0.3">
      <c r="A156" s="178">
        <f>-A155</f>
        <v>0</v>
      </c>
      <c r="B156" s="178" t="b">
        <f>B155</f>
        <v>1</v>
      </c>
      <c r="C156" s="188"/>
      <c r="D156" s="341"/>
      <c r="E156" s="339"/>
      <c r="F156" s="343"/>
      <c r="G156" s="189" t="s">
        <v>8</v>
      </c>
      <c r="H156" s="190"/>
      <c r="I156" s="280"/>
      <c r="J156" s="281">
        <f>SUMIF('09'!$D$7:$D$159,$C155,'09'!L$7:L$159)+SUMIF('10'!$D$7:$D$159,$C155,'10'!L$7:L$159)+SUMIF('11'!$D$7:$D$159,$C155,'11'!L$7:L$159)+SUMIF('12'!$D$7:$D$159,$C155,'12'!L$7:L$159)+SUMIF('01'!$D$7:$D$159,$C155,'01'!L$7:L$159)</f>
        <v>0</v>
      </c>
      <c r="K156" s="282">
        <f>SUMIF('09'!$D$7:$D$159,$C155,'09'!M$7:M$159)+SUMIF('10'!$D$7:$D$159,$C155,'10'!M$7:M$159)+SUMIF('11'!$D$7:$D$159,$C155,'11'!M$7:M$159)+SUMIF('12'!$D$7:$D$159,$C155,'12'!M$7:M$159)+SUMIF('01'!$D$7:$D$159,$C155,'01'!M$7:M$159)</f>
        <v>0</v>
      </c>
      <c r="L156" s="283">
        <f>SUMIF('09'!$D$7:$D$159,$C155,'09'!N$7:N$159)+SUMIF('10'!$D$7:$D$159,$C155,'10'!N$7:N$159)+SUMIF('11'!$D$7:$D$159,$C155,'11'!N$7:N$159)+SUMIF('12'!$D$7:$D$159,$C155,'12'!N$7:N$159)+SUMIF('01'!$D$7:$D$159,$C155,'01'!N$7:N$159)</f>
        <v>0</v>
      </c>
      <c r="M156" s="281">
        <f>SUMIF('09'!$D$7:$D$159,$C155,'09'!O$7:O$159)+SUMIF('10'!$D$7:$D$159,$C155,'10'!O$7:O$159)+SUMIF('11'!$D$7:$D$159,$C155,'11'!O$7:O$159)+SUMIF('12'!$D$7:$D$159,$C155,'12'!O$7:O$159)+SUMIF('01'!$D$7:$D$159,$C155,'01'!O$7:O$159)</f>
        <v>0</v>
      </c>
      <c r="N156" s="282">
        <f>SUMIF('09'!$D$7:$D$159,$C155,'09'!P$7:P$159)+SUMIF('10'!$D$7:$D$159,$C155,'10'!P$7:P$159)+SUMIF('11'!$D$7:$D$159,$C155,'11'!P$7:P$159)+SUMIF('12'!$D$7:$D$159,$C155,'12'!P$7:P$159)+SUMIF('01'!$D$7:$D$159,$C155,'01'!P$7:P$159)</f>
        <v>0</v>
      </c>
      <c r="O156" s="284">
        <f>SUMIF('09'!$D$7:$D$159,$C155,'09'!Q$7:Q$159)+SUMIF('10'!$D$7:$D$159,$C155,'10'!Q$7:Q$159)+SUMIF('11'!$D$7:$D$159,$C155,'11'!Q$7:Q$159)+SUMIF('12'!$D$7:$D$159,$C155,'12'!Q$7:Q$159)+SUMIF('01'!$D$7:$D$159,$C155,'01'!Q$7:Q$159)</f>
        <v>0</v>
      </c>
      <c r="P156" s="281">
        <f>SUMIF('09'!$D$7:$D$159,$C155,'09'!R$7:R$159)+SUMIF('10'!$D$7:$D$159,$C155,'10'!R$7:R$159)+SUMIF('11'!$D$7:$D$159,$C155,'11'!R$7:R$159)+SUMIF('12'!$D$7:$D$159,$C155,'12'!R$7:R$159)+SUMIF('01'!$D$7:$D$159,$C155,'01'!R$7:R$159)</f>
        <v>0</v>
      </c>
      <c r="Q156" s="282">
        <f>SUMIF('09'!$D$7:$D$159,$C155,'09'!S$7:S$159)+SUMIF('10'!$D$7:$D$159,$C155,'10'!S$7:S$159)+SUMIF('11'!$D$7:$D$159,$C155,'11'!S$7:S$159)+SUMIF('12'!$D$7:$D$159,$C155,'12'!S$7:S$159)+SUMIF('01'!$D$7:$D$159,$C155,'01'!S$7:S$159)</f>
        <v>0</v>
      </c>
      <c r="R156" s="283">
        <f>SUMIF('09'!$D$7:$D$159,$C155,'09'!T$7:T$159)+SUMIF('10'!$D$7:$D$159,$C155,'10'!T$7:T$159)+SUMIF('11'!$D$7:$D$159,$C155,'11'!T$7:T$159)+SUMIF('12'!$D$7:$D$159,$C155,'12'!T$7:T$159)+SUMIF('01'!$D$7:$D$159,$C155,'01'!T$7:T$159)</f>
        <v>0</v>
      </c>
      <c r="S156" s="281">
        <f>SUMIF('09'!$D$7:$D$159,$C155,'09'!U$7:U$159)+SUMIF('10'!$D$7:$D$159,$C155,'10'!U$7:U$159)+SUMIF('11'!$D$7:$D$159,$C155,'11'!U$7:U$159)+SUMIF('12'!$D$7:$D$159,$C155,'12'!U$7:U$159)+SUMIF('01'!$D$7:$D$159,$C155,'01'!U$7:U$159)</f>
        <v>0</v>
      </c>
      <c r="T156" s="282">
        <f>SUMIF('09'!$D$7:$D$159,$C155,'09'!V$7:V$159)+SUMIF('10'!$D$7:$D$159,$C155,'10'!V$7:V$159)+SUMIF('11'!$D$7:$D$159,$C155,'11'!V$7:V$159)+SUMIF('12'!$D$7:$D$159,$C155,'12'!V$7:V$159)+SUMIF('01'!$D$7:$D$159,$C155,'01'!V$7:V$159)</f>
        <v>0</v>
      </c>
      <c r="U156" s="285">
        <f>SUMIF('09'!$D$7:$D$159,$C155,'09'!W$7:W$159)+SUMIF('10'!$D$7:$D$159,$C155,'10'!W$7:W$159)+SUMIF('11'!$D$7:$D$159,$C155,'11'!W$7:W$159)+SUMIF('12'!$D$7:$D$159,$C155,'12'!W$7:W$159)+SUMIF('01'!$D$7:$D$159,$C155,'01'!W$7:W$159)</f>
        <v>0</v>
      </c>
      <c r="V156" s="284">
        <f>SUMIF('09'!$D$7:$D$159,$C155,'09'!X$7:X$159)+SUMIF('10'!$D$7:$D$159,$C155,'10'!X$7:X$159)+SUMIF('11'!$D$7:$D$159,$C155,'11'!X$7:X$159)+SUMIF('12'!$D$7:$D$159,$C155,'12'!X$7:X$159)+SUMIF('01'!$D$7:$D$159,$C155,'01'!X$7:X$159)</f>
        <v>0</v>
      </c>
      <c r="W156" s="284">
        <f>SUMIF('09'!$D$7:$D$159,$C155,'09'!Y$7:Y$159)+SUMIF('10'!$D$7:$D$159,$C155,'10'!Y$7:Y$159)+SUMIF('11'!$D$7:$D$159,$C155,'11'!Y$7:Y$159)+SUMIF('12'!$D$7:$D$159,$C155,'12'!Y$7:Y$159)+SUMIF('01'!$D$7:$D$159,$C155,'01'!Y$7:Y$159)</f>
        <v>0</v>
      </c>
      <c r="X156" s="286">
        <f t="shared" si="7"/>
        <v>0</v>
      </c>
      <c r="Y156" s="345"/>
      <c r="Z156" s="347"/>
    </row>
    <row r="157" spans="1:26" ht="14.25" customHeight="1" x14ac:dyDescent="0.3">
      <c r="A157" s="178">
        <f>IF(OR(C157="0",COUNTIF(КлючОсень,C157)&gt;1),0,MATCH(F157,ВидыНагр,0))</f>
        <v>0</v>
      </c>
      <c r="B157" s="178" t="b">
        <f>(COUNTA(D157:F158,J157:W157,H157:I158)=0)</f>
        <v>1</v>
      </c>
      <c r="C157" s="179" t="str">
        <f>IF(OR(TRIM(D157)="",COUNTIF(ВидыНагр,F157)&lt;&gt;1),"0",CONCATENATE("$",TRIM(D157),"$",TRIM(E157),"$",F157,"$"))</f>
        <v>0</v>
      </c>
      <c r="D157" s="340"/>
      <c r="E157" s="338"/>
      <c r="F157" s="342"/>
      <c r="G157" s="180" t="s">
        <v>7</v>
      </c>
      <c r="H157" s="181"/>
      <c r="I157" s="182"/>
      <c r="J157" s="183"/>
      <c r="K157" s="184"/>
      <c r="L157" s="185"/>
      <c r="M157" s="183"/>
      <c r="N157" s="184"/>
      <c r="O157" s="186"/>
      <c r="P157" s="183"/>
      <c r="Q157" s="184"/>
      <c r="R157" s="185"/>
      <c r="S157" s="183"/>
      <c r="T157" s="184"/>
      <c r="U157" s="187"/>
      <c r="V157" s="186"/>
      <c r="W157" s="186"/>
      <c r="X157" s="279">
        <f t="shared" si="7"/>
        <v>0</v>
      </c>
      <c r="Y157" s="344">
        <f>X158-X157</f>
        <v>0</v>
      </c>
      <c r="Z157" s="346"/>
    </row>
    <row r="158" spans="1:26" ht="14.25" customHeight="1" x14ac:dyDescent="0.3">
      <c r="A158" s="178">
        <f>-A157</f>
        <v>0</v>
      </c>
      <c r="B158" s="178" t="b">
        <f>B157</f>
        <v>1</v>
      </c>
      <c r="C158" s="188"/>
      <c r="D158" s="341"/>
      <c r="E158" s="339"/>
      <c r="F158" s="343"/>
      <c r="G158" s="189" t="s">
        <v>8</v>
      </c>
      <c r="H158" s="190"/>
      <c r="I158" s="280"/>
      <c r="J158" s="281">
        <f>SUMIF('09'!$D$7:$D$159,$C157,'09'!L$7:L$159)+SUMIF('10'!$D$7:$D$159,$C157,'10'!L$7:L$159)+SUMIF('11'!$D$7:$D$159,$C157,'11'!L$7:L$159)+SUMIF('12'!$D$7:$D$159,$C157,'12'!L$7:L$159)+SUMIF('01'!$D$7:$D$159,$C157,'01'!L$7:L$159)</f>
        <v>0</v>
      </c>
      <c r="K158" s="282">
        <f>SUMIF('09'!$D$7:$D$159,$C157,'09'!M$7:M$159)+SUMIF('10'!$D$7:$D$159,$C157,'10'!M$7:M$159)+SUMIF('11'!$D$7:$D$159,$C157,'11'!M$7:M$159)+SUMIF('12'!$D$7:$D$159,$C157,'12'!M$7:M$159)+SUMIF('01'!$D$7:$D$159,$C157,'01'!M$7:M$159)</f>
        <v>0</v>
      </c>
      <c r="L158" s="283">
        <f>SUMIF('09'!$D$7:$D$159,$C157,'09'!N$7:N$159)+SUMIF('10'!$D$7:$D$159,$C157,'10'!N$7:N$159)+SUMIF('11'!$D$7:$D$159,$C157,'11'!N$7:N$159)+SUMIF('12'!$D$7:$D$159,$C157,'12'!N$7:N$159)+SUMIF('01'!$D$7:$D$159,$C157,'01'!N$7:N$159)</f>
        <v>0</v>
      </c>
      <c r="M158" s="281">
        <f>SUMIF('09'!$D$7:$D$159,$C157,'09'!O$7:O$159)+SUMIF('10'!$D$7:$D$159,$C157,'10'!O$7:O$159)+SUMIF('11'!$D$7:$D$159,$C157,'11'!O$7:O$159)+SUMIF('12'!$D$7:$D$159,$C157,'12'!O$7:O$159)+SUMIF('01'!$D$7:$D$159,$C157,'01'!O$7:O$159)</f>
        <v>0</v>
      </c>
      <c r="N158" s="282">
        <f>SUMIF('09'!$D$7:$D$159,$C157,'09'!P$7:P$159)+SUMIF('10'!$D$7:$D$159,$C157,'10'!P$7:P$159)+SUMIF('11'!$D$7:$D$159,$C157,'11'!P$7:P$159)+SUMIF('12'!$D$7:$D$159,$C157,'12'!P$7:P$159)+SUMIF('01'!$D$7:$D$159,$C157,'01'!P$7:P$159)</f>
        <v>0</v>
      </c>
      <c r="O158" s="284">
        <f>SUMIF('09'!$D$7:$D$159,$C157,'09'!Q$7:Q$159)+SUMIF('10'!$D$7:$D$159,$C157,'10'!Q$7:Q$159)+SUMIF('11'!$D$7:$D$159,$C157,'11'!Q$7:Q$159)+SUMIF('12'!$D$7:$D$159,$C157,'12'!Q$7:Q$159)+SUMIF('01'!$D$7:$D$159,$C157,'01'!Q$7:Q$159)</f>
        <v>0</v>
      </c>
      <c r="P158" s="281">
        <f>SUMIF('09'!$D$7:$D$159,$C157,'09'!R$7:R$159)+SUMIF('10'!$D$7:$D$159,$C157,'10'!R$7:R$159)+SUMIF('11'!$D$7:$D$159,$C157,'11'!R$7:R$159)+SUMIF('12'!$D$7:$D$159,$C157,'12'!R$7:R$159)+SUMIF('01'!$D$7:$D$159,$C157,'01'!R$7:R$159)</f>
        <v>0</v>
      </c>
      <c r="Q158" s="282">
        <f>SUMIF('09'!$D$7:$D$159,$C157,'09'!S$7:S$159)+SUMIF('10'!$D$7:$D$159,$C157,'10'!S$7:S$159)+SUMIF('11'!$D$7:$D$159,$C157,'11'!S$7:S$159)+SUMIF('12'!$D$7:$D$159,$C157,'12'!S$7:S$159)+SUMIF('01'!$D$7:$D$159,$C157,'01'!S$7:S$159)</f>
        <v>0</v>
      </c>
      <c r="R158" s="283">
        <f>SUMIF('09'!$D$7:$D$159,$C157,'09'!T$7:T$159)+SUMIF('10'!$D$7:$D$159,$C157,'10'!T$7:T$159)+SUMIF('11'!$D$7:$D$159,$C157,'11'!T$7:T$159)+SUMIF('12'!$D$7:$D$159,$C157,'12'!T$7:T$159)+SUMIF('01'!$D$7:$D$159,$C157,'01'!T$7:T$159)</f>
        <v>0</v>
      </c>
      <c r="S158" s="281">
        <f>SUMIF('09'!$D$7:$D$159,$C157,'09'!U$7:U$159)+SUMIF('10'!$D$7:$D$159,$C157,'10'!U$7:U$159)+SUMIF('11'!$D$7:$D$159,$C157,'11'!U$7:U$159)+SUMIF('12'!$D$7:$D$159,$C157,'12'!U$7:U$159)+SUMIF('01'!$D$7:$D$159,$C157,'01'!U$7:U$159)</f>
        <v>0</v>
      </c>
      <c r="T158" s="282">
        <f>SUMIF('09'!$D$7:$D$159,$C157,'09'!V$7:V$159)+SUMIF('10'!$D$7:$D$159,$C157,'10'!V$7:V$159)+SUMIF('11'!$D$7:$D$159,$C157,'11'!V$7:V$159)+SUMIF('12'!$D$7:$D$159,$C157,'12'!V$7:V$159)+SUMIF('01'!$D$7:$D$159,$C157,'01'!V$7:V$159)</f>
        <v>0</v>
      </c>
      <c r="U158" s="285">
        <f>SUMIF('09'!$D$7:$D$159,$C157,'09'!W$7:W$159)+SUMIF('10'!$D$7:$D$159,$C157,'10'!W$7:W$159)+SUMIF('11'!$D$7:$D$159,$C157,'11'!W$7:W$159)+SUMIF('12'!$D$7:$D$159,$C157,'12'!W$7:W$159)+SUMIF('01'!$D$7:$D$159,$C157,'01'!W$7:W$159)</f>
        <v>0</v>
      </c>
      <c r="V158" s="284">
        <f>SUMIF('09'!$D$7:$D$159,$C157,'09'!X$7:X$159)+SUMIF('10'!$D$7:$D$159,$C157,'10'!X$7:X$159)+SUMIF('11'!$D$7:$D$159,$C157,'11'!X$7:X$159)+SUMIF('12'!$D$7:$D$159,$C157,'12'!X$7:X$159)+SUMIF('01'!$D$7:$D$159,$C157,'01'!X$7:X$159)</f>
        <v>0</v>
      </c>
      <c r="W158" s="284">
        <f>SUMIF('09'!$D$7:$D$159,$C157,'09'!Y$7:Y$159)+SUMIF('10'!$D$7:$D$159,$C157,'10'!Y$7:Y$159)+SUMIF('11'!$D$7:$D$159,$C157,'11'!Y$7:Y$159)+SUMIF('12'!$D$7:$D$159,$C157,'12'!Y$7:Y$159)+SUMIF('01'!$D$7:$D$159,$C157,'01'!Y$7:Y$159)</f>
        <v>0</v>
      </c>
      <c r="X158" s="286">
        <f t="shared" si="7"/>
        <v>0</v>
      </c>
      <c r="Y158" s="345"/>
      <c r="Z158" s="347"/>
    </row>
    <row r="159" spans="1:26" ht="14.25" customHeight="1" x14ac:dyDescent="0.3">
      <c r="A159" s="178">
        <f>IF(OR(C159="0",COUNTIF(КлючОсень,C159)&gt;1),0,MATCH(F159,ВидыНагр,0))</f>
        <v>0</v>
      </c>
      <c r="B159" s="178" t="b">
        <f>(COUNTA(D159:F160,J159:W159,H159:I160)=0)</f>
        <v>1</v>
      </c>
      <c r="C159" s="179" t="str">
        <f>IF(OR(TRIM(D159)="",COUNTIF(ВидыНагр,F159)&lt;&gt;1),"0",CONCATENATE("$",TRIM(D159),"$",TRIM(E159),"$",F159,"$"))</f>
        <v>0</v>
      </c>
      <c r="D159" s="340"/>
      <c r="E159" s="338"/>
      <c r="F159" s="342"/>
      <c r="G159" s="180" t="s">
        <v>7</v>
      </c>
      <c r="H159" s="181"/>
      <c r="I159" s="182"/>
      <c r="J159" s="183"/>
      <c r="K159" s="184"/>
      <c r="L159" s="185"/>
      <c r="M159" s="183"/>
      <c r="N159" s="184"/>
      <c r="O159" s="186"/>
      <c r="P159" s="183"/>
      <c r="Q159" s="184"/>
      <c r="R159" s="185"/>
      <c r="S159" s="183"/>
      <c r="T159" s="184"/>
      <c r="U159" s="187"/>
      <c r="V159" s="186"/>
      <c r="W159" s="186"/>
      <c r="X159" s="279">
        <f t="shared" si="7"/>
        <v>0</v>
      </c>
      <c r="Y159" s="344">
        <f>X160-X159</f>
        <v>0</v>
      </c>
      <c r="Z159" s="346"/>
    </row>
    <row r="160" spans="1:26" ht="14.25" customHeight="1" x14ac:dyDescent="0.3">
      <c r="A160" s="178">
        <f>-A159</f>
        <v>0</v>
      </c>
      <c r="B160" s="178" t="b">
        <f>B159</f>
        <v>1</v>
      </c>
      <c r="C160" s="188"/>
      <c r="D160" s="341"/>
      <c r="E160" s="339"/>
      <c r="F160" s="343"/>
      <c r="G160" s="189" t="s">
        <v>8</v>
      </c>
      <c r="H160" s="190"/>
      <c r="I160" s="280"/>
      <c r="J160" s="281">
        <f>SUMIF('09'!$D$7:$D$159,$C159,'09'!L$7:L$159)+SUMIF('10'!$D$7:$D$159,$C159,'10'!L$7:L$159)+SUMIF('11'!$D$7:$D$159,$C159,'11'!L$7:L$159)+SUMIF('12'!$D$7:$D$159,$C159,'12'!L$7:L$159)+SUMIF('01'!$D$7:$D$159,$C159,'01'!L$7:L$159)</f>
        <v>0</v>
      </c>
      <c r="K160" s="282">
        <f>SUMIF('09'!$D$7:$D$159,$C159,'09'!M$7:M$159)+SUMIF('10'!$D$7:$D$159,$C159,'10'!M$7:M$159)+SUMIF('11'!$D$7:$D$159,$C159,'11'!M$7:M$159)+SUMIF('12'!$D$7:$D$159,$C159,'12'!M$7:M$159)+SUMIF('01'!$D$7:$D$159,$C159,'01'!M$7:M$159)</f>
        <v>0</v>
      </c>
      <c r="L160" s="283">
        <f>SUMIF('09'!$D$7:$D$159,$C159,'09'!N$7:N$159)+SUMIF('10'!$D$7:$D$159,$C159,'10'!N$7:N$159)+SUMIF('11'!$D$7:$D$159,$C159,'11'!N$7:N$159)+SUMIF('12'!$D$7:$D$159,$C159,'12'!N$7:N$159)+SUMIF('01'!$D$7:$D$159,$C159,'01'!N$7:N$159)</f>
        <v>0</v>
      </c>
      <c r="M160" s="281">
        <f>SUMIF('09'!$D$7:$D$159,$C159,'09'!O$7:O$159)+SUMIF('10'!$D$7:$D$159,$C159,'10'!O$7:O$159)+SUMIF('11'!$D$7:$D$159,$C159,'11'!O$7:O$159)+SUMIF('12'!$D$7:$D$159,$C159,'12'!O$7:O$159)+SUMIF('01'!$D$7:$D$159,$C159,'01'!O$7:O$159)</f>
        <v>0</v>
      </c>
      <c r="N160" s="282">
        <f>SUMIF('09'!$D$7:$D$159,$C159,'09'!P$7:P$159)+SUMIF('10'!$D$7:$D$159,$C159,'10'!P$7:P$159)+SUMIF('11'!$D$7:$D$159,$C159,'11'!P$7:P$159)+SUMIF('12'!$D$7:$D$159,$C159,'12'!P$7:P$159)+SUMIF('01'!$D$7:$D$159,$C159,'01'!P$7:P$159)</f>
        <v>0</v>
      </c>
      <c r="O160" s="284">
        <f>SUMIF('09'!$D$7:$D$159,$C159,'09'!Q$7:Q$159)+SUMIF('10'!$D$7:$D$159,$C159,'10'!Q$7:Q$159)+SUMIF('11'!$D$7:$D$159,$C159,'11'!Q$7:Q$159)+SUMIF('12'!$D$7:$D$159,$C159,'12'!Q$7:Q$159)+SUMIF('01'!$D$7:$D$159,$C159,'01'!Q$7:Q$159)</f>
        <v>0</v>
      </c>
      <c r="P160" s="281">
        <f>SUMIF('09'!$D$7:$D$159,$C159,'09'!R$7:R$159)+SUMIF('10'!$D$7:$D$159,$C159,'10'!R$7:R$159)+SUMIF('11'!$D$7:$D$159,$C159,'11'!R$7:R$159)+SUMIF('12'!$D$7:$D$159,$C159,'12'!R$7:R$159)+SUMIF('01'!$D$7:$D$159,$C159,'01'!R$7:R$159)</f>
        <v>0</v>
      </c>
      <c r="Q160" s="282">
        <f>SUMIF('09'!$D$7:$D$159,$C159,'09'!S$7:S$159)+SUMIF('10'!$D$7:$D$159,$C159,'10'!S$7:S$159)+SUMIF('11'!$D$7:$D$159,$C159,'11'!S$7:S$159)+SUMIF('12'!$D$7:$D$159,$C159,'12'!S$7:S$159)+SUMIF('01'!$D$7:$D$159,$C159,'01'!S$7:S$159)</f>
        <v>0</v>
      </c>
      <c r="R160" s="283">
        <f>SUMIF('09'!$D$7:$D$159,$C159,'09'!T$7:T$159)+SUMIF('10'!$D$7:$D$159,$C159,'10'!T$7:T$159)+SUMIF('11'!$D$7:$D$159,$C159,'11'!T$7:T$159)+SUMIF('12'!$D$7:$D$159,$C159,'12'!T$7:T$159)+SUMIF('01'!$D$7:$D$159,$C159,'01'!T$7:T$159)</f>
        <v>0</v>
      </c>
      <c r="S160" s="281">
        <f>SUMIF('09'!$D$7:$D$159,$C159,'09'!U$7:U$159)+SUMIF('10'!$D$7:$D$159,$C159,'10'!U$7:U$159)+SUMIF('11'!$D$7:$D$159,$C159,'11'!U$7:U$159)+SUMIF('12'!$D$7:$D$159,$C159,'12'!U$7:U$159)+SUMIF('01'!$D$7:$D$159,$C159,'01'!U$7:U$159)</f>
        <v>0</v>
      </c>
      <c r="T160" s="282">
        <f>SUMIF('09'!$D$7:$D$159,$C159,'09'!V$7:V$159)+SUMIF('10'!$D$7:$D$159,$C159,'10'!V$7:V$159)+SUMIF('11'!$D$7:$D$159,$C159,'11'!V$7:V$159)+SUMIF('12'!$D$7:$D$159,$C159,'12'!V$7:V$159)+SUMIF('01'!$D$7:$D$159,$C159,'01'!V$7:V$159)</f>
        <v>0</v>
      </c>
      <c r="U160" s="285">
        <f>SUMIF('09'!$D$7:$D$159,$C159,'09'!W$7:W$159)+SUMIF('10'!$D$7:$D$159,$C159,'10'!W$7:W$159)+SUMIF('11'!$D$7:$D$159,$C159,'11'!W$7:W$159)+SUMIF('12'!$D$7:$D$159,$C159,'12'!W$7:W$159)+SUMIF('01'!$D$7:$D$159,$C159,'01'!W$7:W$159)</f>
        <v>0</v>
      </c>
      <c r="V160" s="284">
        <f>SUMIF('09'!$D$7:$D$159,$C159,'09'!X$7:X$159)+SUMIF('10'!$D$7:$D$159,$C159,'10'!X$7:X$159)+SUMIF('11'!$D$7:$D$159,$C159,'11'!X$7:X$159)+SUMIF('12'!$D$7:$D$159,$C159,'12'!X$7:X$159)+SUMIF('01'!$D$7:$D$159,$C159,'01'!X$7:X$159)</f>
        <v>0</v>
      </c>
      <c r="W160" s="284">
        <f>SUMIF('09'!$D$7:$D$159,$C159,'09'!Y$7:Y$159)+SUMIF('10'!$D$7:$D$159,$C159,'10'!Y$7:Y$159)+SUMIF('11'!$D$7:$D$159,$C159,'11'!Y$7:Y$159)+SUMIF('12'!$D$7:$D$159,$C159,'12'!Y$7:Y$159)+SUMIF('01'!$D$7:$D$159,$C159,'01'!Y$7:Y$159)</f>
        <v>0</v>
      </c>
      <c r="X160" s="286">
        <f t="shared" si="7"/>
        <v>0</v>
      </c>
      <c r="Y160" s="345"/>
      <c r="Z160" s="347"/>
    </row>
    <row r="161" spans="1:26" ht="14.25" customHeight="1" x14ac:dyDescent="0.3">
      <c r="A161" s="178">
        <f>IF(OR(C161="0",COUNTIF(КлючОсень,C161)&gt;1),0,MATCH(F161,ВидыНагр,0))</f>
        <v>0</v>
      </c>
      <c r="B161" s="178" t="b">
        <f>(COUNTA(D161:F162,J161:W161,H161:I162)=0)</f>
        <v>1</v>
      </c>
      <c r="C161" s="179" t="str">
        <f>IF(OR(TRIM(D161)="",COUNTIF(ВидыНагр,F161)&lt;&gt;1),"0",CONCATENATE("$",TRIM(D161),"$",TRIM(E161),"$",F161,"$"))</f>
        <v>0</v>
      </c>
      <c r="D161" s="340"/>
      <c r="E161" s="338"/>
      <c r="F161" s="342"/>
      <c r="G161" s="180" t="s">
        <v>7</v>
      </c>
      <c r="H161" s="181"/>
      <c r="I161" s="182"/>
      <c r="J161" s="183"/>
      <c r="K161" s="184"/>
      <c r="L161" s="185"/>
      <c r="M161" s="183"/>
      <c r="N161" s="184"/>
      <c r="O161" s="186"/>
      <c r="P161" s="183"/>
      <c r="Q161" s="184"/>
      <c r="R161" s="185"/>
      <c r="S161" s="183"/>
      <c r="T161" s="184"/>
      <c r="U161" s="187"/>
      <c r="V161" s="186"/>
      <c r="W161" s="186"/>
      <c r="X161" s="279">
        <f t="shared" si="7"/>
        <v>0</v>
      </c>
      <c r="Y161" s="344">
        <f>X162-X161</f>
        <v>0</v>
      </c>
      <c r="Z161" s="346"/>
    </row>
    <row r="162" spans="1:26" ht="14.25" customHeight="1" x14ac:dyDescent="0.3">
      <c r="A162" s="178">
        <f>-A161</f>
        <v>0</v>
      </c>
      <c r="B162" s="178" t="b">
        <f>B161</f>
        <v>1</v>
      </c>
      <c r="C162" s="188"/>
      <c r="D162" s="341"/>
      <c r="E162" s="339"/>
      <c r="F162" s="343"/>
      <c r="G162" s="189" t="s">
        <v>8</v>
      </c>
      <c r="H162" s="190"/>
      <c r="I162" s="280"/>
      <c r="J162" s="281">
        <f>SUMIF('09'!$D$7:$D$159,$C161,'09'!L$7:L$159)+SUMIF('10'!$D$7:$D$159,$C161,'10'!L$7:L$159)+SUMIF('11'!$D$7:$D$159,$C161,'11'!L$7:L$159)+SUMIF('12'!$D$7:$D$159,$C161,'12'!L$7:L$159)+SUMIF('01'!$D$7:$D$159,$C161,'01'!L$7:L$159)</f>
        <v>0</v>
      </c>
      <c r="K162" s="282">
        <f>SUMIF('09'!$D$7:$D$159,$C161,'09'!M$7:M$159)+SUMIF('10'!$D$7:$D$159,$C161,'10'!M$7:M$159)+SUMIF('11'!$D$7:$D$159,$C161,'11'!M$7:M$159)+SUMIF('12'!$D$7:$D$159,$C161,'12'!M$7:M$159)+SUMIF('01'!$D$7:$D$159,$C161,'01'!M$7:M$159)</f>
        <v>0</v>
      </c>
      <c r="L162" s="283">
        <f>SUMIF('09'!$D$7:$D$159,$C161,'09'!N$7:N$159)+SUMIF('10'!$D$7:$D$159,$C161,'10'!N$7:N$159)+SUMIF('11'!$D$7:$D$159,$C161,'11'!N$7:N$159)+SUMIF('12'!$D$7:$D$159,$C161,'12'!N$7:N$159)+SUMIF('01'!$D$7:$D$159,$C161,'01'!N$7:N$159)</f>
        <v>0</v>
      </c>
      <c r="M162" s="281">
        <f>SUMIF('09'!$D$7:$D$159,$C161,'09'!O$7:O$159)+SUMIF('10'!$D$7:$D$159,$C161,'10'!O$7:O$159)+SUMIF('11'!$D$7:$D$159,$C161,'11'!O$7:O$159)+SUMIF('12'!$D$7:$D$159,$C161,'12'!O$7:O$159)+SUMIF('01'!$D$7:$D$159,$C161,'01'!O$7:O$159)</f>
        <v>0</v>
      </c>
      <c r="N162" s="282">
        <f>SUMIF('09'!$D$7:$D$159,$C161,'09'!P$7:P$159)+SUMIF('10'!$D$7:$D$159,$C161,'10'!P$7:P$159)+SUMIF('11'!$D$7:$D$159,$C161,'11'!P$7:P$159)+SUMIF('12'!$D$7:$D$159,$C161,'12'!P$7:P$159)+SUMIF('01'!$D$7:$D$159,$C161,'01'!P$7:P$159)</f>
        <v>0</v>
      </c>
      <c r="O162" s="284">
        <f>SUMIF('09'!$D$7:$D$159,$C161,'09'!Q$7:Q$159)+SUMIF('10'!$D$7:$D$159,$C161,'10'!Q$7:Q$159)+SUMIF('11'!$D$7:$D$159,$C161,'11'!Q$7:Q$159)+SUMIF('12'!$D$7:$D$159,$C161,'12'!Q$7:Q$159)+SUMIF('01'!$D$7:$D$159,$C161,'01'!Q$7:Q$159)</f>
        <v>0</v>
      </c>
      <c r="P162" s="281">
        <f>SUMIF('09'!$D$7:$D$159,$C161,'09'!R$7:R$159)+SUMIF('10'!$D$7:$D$159,$C161,'10'!R$7:R$159)+SUMIF('11'!$D$7:$D$159,$C161,'11'!R$7:R$159)+SUMIF('12'!$D$7:$D$159,$C161,'12'!R$7:R$159)+SUMIF('01'!$D$7:$D$159,$C161,'01'!R$7:R$159)</f>
        <v>0</v>
      </c>
      <c r="Q162" s="282">
        <f>SUMIF('09'!$D$7:$D$159,$C161,'09'!S$7:S$159)+SUMIF('10'!$D$7:$D$159,$C161,'10'!S$7:S$159)+SUMIF('11'!$D$7:$D$159,$C161,'11'!S$7:S$159)+SUMIF('12'!$D$7:$D$159,$C161,'12'!S$7:S$159)+SUMIF('01'!$D$7:$D$159,$C161,'01'!S$7:S$159)</f>
        <v>0</v>
      </c>
      <c r="R162" s="283">
        <f>SUMIF('09'!$D$7:$D$159,$C161,'09'!T$7:T$159)+SUMIF('10'!$D$7:$D$159,$C161,'10'!T$7:T$159)+SUMIF('11'!$D$7:$D$159,$C161,'11'!T$7:T$159)+SUMIF('12'!$D$7:$D$159,$C161,'12'!T$7:T$159)+SUMIF('01'!$D$7:$D$159,$C161,'01'!T$7:T$159)</f>
        <v>0</v>
      </c>
      <c r="S162" s="281">
        <f>SUMIF('09'!$D$7:$D$159,$C161,'09'!U$7:U$159)+SUMIF('10'!$D$7:$D$159,$C161,'10'!U$7:U$159)+SUMIF('11'!$D$7:$D$159,$C161,'11'!U$7:U$159)+SUMIF('12'!$D$7:$D$159,$C161,'12'!U$7:U$159)+SUMIF('01'!$D$7:$D$159,$C161,'01'!U$7:U$159)</f>
        <v>0</v>
      </c>
      <c r="T162" s="282">
        <f>SUMIF('09'!$D$7:$D$159,$C161,'09'!V$7:V$159)+SUMIF('10'!$D$7:$D$159,$C161,'10'!V$7:V$159)+SUMIF('11'!$D$7:$D$159,$C161,'11'!V$7:V$159)+SUMIF('12'!$D$7:$D$159,$C161,'12'!V$7:V$159)+SUMIF('01'!$D$7:$D$159,$C161,'01'!V$7:V$159)</f>
        <v>0</v>
      </c>
      <c r="U162" s="285">
        <f>SUMIF('09'!$D$7:$D$159,$C161,'09'!W$7:W$159)+SUMIF('10'!$D$7:$D$159,$C161,'10'!W$7:W$159)+SUMIF('11'!$D$7:$D$159,$C161,'11'!W$7:W$159)+SUMIF('12'!$D$7:$D$159,$C161,'12'!W$7:W$159)+SUMIF('01'!$D$7:$D$159,$C161,'01'!W$7:W$159)</f>
        <v>0</v>
      </c>
      <c r="V162" s="284">
        <f>SUMIF('09'!$D$7:$D$159,$C161,'09'!X$7:X$159)+SUMIF('10'!$D$7:$D$159,$C161,'10'!X$7:X$159)+SUMIF('11'!$D$7:$D$159,$C161,'11'!X$7:X$159)+SUMIF('12'!$D$7:$D$159,$C161,'12'!X$7:X$159)+SUMIF('01'!$D$7:$D$159,$C161,'01'!X$7:X$159)</f>
        <v>0</v>
      </c>
      <c r="W162" s="284">
        <f>SUMIF('09'!$D$7:$D$159,$C161,'09'!Y$7:Y$159)+SUMIF('10'!$D$7:$D$159,$C161,'10'!Y$7:Y$159)+SUMIF('11'!$D$7:$D$159,$C161,'11'!Y$7:Y$159)+SUMIF('12'!$D$7:$D$159,$C161,'12'!Y$7:Y$159)+SUMIF('01'!$D$7:$D$159,$C161,'01'!Y$7:Y$159)</f>
        <v>0</v>
      </c>
      <c r="X162" s="286">
        <f t="shared" si="7"/>
        <v>0</v>
      </c>
      <c r="Y162" s="345"/>
      <c r="Z162" s="347"/>
    </row>
    <row r="163" spans="1:26" ht="14.25" customHeight="1" x14ac:dyDescent="0.3">
      <c r="A163" s="178">
        <f>IF(OR(C163="0",COUNTIF(КлючОсень,C163)&gt;1),0,MATCH(F163,ВидыНагр,0))</f>
        <v>0</v>
      </c>
      <c r="B163" s="178" t="b">
        <f>(COUNTA(D163:F164,J163:W163,H163:I164)=0)</f>
        <v>1</v>
      </c>
      <c r="C163" s="179" t="str">
        <f>IF(OR(TRIM(D163)="",COUNTIF(ВидыНагр,F163)&lt;&gt;1),"0",CONCATENATE("$",TRIM(D163),"$",TRIM(E163),"$",F163,"$"))</f>
        <v>0</v>
      </c>
      <c r="D163" s="340"/>
      <c r="E163" s="338"/>
      <c r="F163" s="342"/>
      <c r="G163" s="180" t="s">
        <v>7</v>
      </c>
      <c r="H163" s="181"/>
      <c r="I163" s="182"/>
      <c r="J163" s="183"/>
      <c r="K163" s="184"/>
      <c r="L163" s="185"/>
      <c r="M163" s="183"/>
      <c r="N163" s="184"/>
      <c r="O163" s="186"/>
      <c r="P163" s="183"/>
      <c r="Q163" s="184"/>
      <c r="R163" s="185"/>
      <c r="S163" s="183"/>
      <c r="T163" s="184"/>
      <c r="U163" s="187"/>
      <c r="V163" s="186"/>
      <c r="W163" s="186"/>
      <c r="X163" s="279">
        <f t="shared" si="7"/>
        <v>0</v>
      </c>
      <c r="Y163" s="344">
        <f>X164-X163</f>
        <v>0</v>
      </c>
      <c r="Z163" s="346"/>
    </row>
    <row r="164" spans="1:26" ht="14.25" customHeight="1" x14ac:dyDescent="0.3">
      <c r="A164" s="178">
        <f>-A163</f>
        <v>0</v>
      </c>
      <c r="B164" s="178" t="b">
        <f>B163</f>
        <v>1</v>
      </c>
      <c r="C164" s="188"/>
      <c r="D164" s="341"/>
      <c r="E164" s="339"/>
      <c r="F164" s="343"/>
      <c r="G164" s="189" t="s">
        <v>8</v>
      </c>
      <c r="H164" s="190"/>
      <c r="I164" s="280"/>
      <c r="J164" s="281">
        <f>SUMIF('09'!$D$7:$D$159,$C163,'09'!L$7:L$159)+SUMIF('10'!$D$7:$D$159,$C163,'10'!L$7:L$159)+SUMIF('11'!$D$7:$D$159,$C163,'11'!L$7:L$159)+SUMIF('12'!$D$7:$D$159,$C163,'12'!L$7:L$159)+SUMIF('01'!$D$7:$D$159,$C163,'01'!L$7:L$159)</f>
        <v>0</v>
      </c>
      <c r="K164" s="282">
        <f>SUMIF('09'!$D$7:$D$159,$C163,'09'!M$7:M$159)+SUMIF('10'!$D$7:$D$159,$C163,'10'!M$7:M$159)+SUMIF('11'!$D$7:$D$159,$C163,'11'!M$7:M$159)+SUMIF('12'!$D$7:$D$159,$C163,'12'!M$7:M$159)+SUMIF('01'!$D$7:$D$159,$C163,'01'!M$7:M$159)</f>
        <v>0</v>
      </c>
      <c r="L164" s="283">
        <f>SUMIF('09'!$D$7:$D$159,$C163,'09'!N$7:N$159)+SUMIF('10'!$D$7:$D$159,$C163,'10'!N$7:N$159)+SUMIF('11'!$D$7:$D$159,$C163,'11'!N$7:N$159)+SUMIF('12'!$D$7:$D$159,$C163,'12'!N$7:N$159)+SUMIF('01'!$D$7:$D$159,$C163,'01'!N$7:N$159)</f>
        <v>0</v>
      </c>
      <c r="M164" s="281">
        <f>SUMIF('09'!$D$7:$D$159,$C163,'09'!O$7:O$159)+SUMIF('10'!$D$7:$D$159,$C163,'10'!O$7:O$159)+SUMIF('11'!$D$7:$D$159,$C163,'11'!O$7:O$159)+SUMIF('12'!$D$7:$D$159,$C163,'12'!O$7:O$159)+SUMIF('01'!$D$7:$D$159,$C163,'01'!O$7:O$159)</f>
        <v>0</v>
      </c>
      <c r="N164" s="282">
        <f>SUMIF('09'!$D$7:$D$159,$C163,'09'!P$7:P$159)+SUMIF('10'!$D$7:$D$159,$C163,'10'!P$7:P$159)+SUMIF('11'!$D$7:$D$159,$C163,'11'!P$7:P$159)+SUMIF('12'!$D$7:$D$159,$C163,'12'!P$7:P$159)+SUMIF('01'!$D$7:$D$159,$C163,'01'!P$7:P$159)</f>
        <v>0</v>
      </c>
      <c r="O164" s="284">
        <f>SUMIF('09'!$D$7:$D$159,$C163,'09'!Q$7:Q$159)+SUMIF('10'!$D$7:$D$159,$C163,'10'!Q$7:Q$159)+SUMIF('11'!$D$7:$D$159,$C163,'11'!Q$7:Q$159)+SUMIF('12'!$D$7:$D$159,$C163,'12'!Q$7:Q$159)+SUMIF('01'!$D$7:$D$159,$C163,'01'!Q$7:Q$159)</f>
        <v>0</v>
      </c>
      <c r="P164" s="281">
        <f>SUMIF('09'!$D$7:$D$159,$C163,'09'!R$7:R$159)+SUMIF('10'!$D$7:$D$159,$C163,'10'!R$7:R$159)+SUMIF('11'!$D$7:$D$159,$C163,'11'!R$7:R$159)+SUMIF('12'!$D$7:$D$159,$C163,'12'!R$7:R$159)+SUMIF('01'!$D$7:$D$159,$C163,'01'!R$7:R$159)</f>
        <v>0</v>
      </c>
      <c r="Q164" s="282">
        <f>SUMIF('09'!$D$7:$D$159,$C163,'09'!S$7:S$159)+SUMIF('10'!$D$7:$D$159,$C163,'10'!S$7:S$159)+SUMIF('11'!$D$7:$D$159,$C163,'11'!S$7:S$159)+SUMIF('12'!$D$7:$D$159,$C163,'12'!S$7:S$159)+SUMIF('01'!$D$7:$D$159,$C163,'01'!S$7:S$159)</f>
        <v>0</v>
      </c>
      <c r="R164" s="283">
        <f>SUMIF('09'!$D$7:$D$159,$C163,'09'!T$7:T$159)+SUMIF('10'!$D$7:$D$159,$C163,'10'!T$7:T$159)+SUMIF('11'!$D$7:$D$159,$C163,'11'!T$7:T$159)+SUMIF('12'!$D$7:$D$159,$C163,'12'!T$7:T$159)+SUMIF('01'!$D$7:$D$159,$C163,'01'!T$7:T$159)</f>
        <v>0</v>
      </c>
      <c r="S164" s="281">
        <f>SUMIF('09'!$D$7:$D$159,$C163,'09'!U$7:U$159)+SUMIF('10'!$D$7:$D$159,$C163,'10'!U$7:U$159)+SUMIF('11'!$D$7:$D$159,$C163,'11'!U$7:U$159)+SUMIF('12'!$D$7:$D$159,$C163,'12'!U$7:U$159)+SUMIF('01'!$D$7:$D$159,$C163,'01'!U$7:U$159)</f>
        <v>0</v>
      </c>
      <c r="T164" s="282">
        <f>SUMIF('09'!$D$7:$D$159,$C163,'09'!V$7:V$159)+SUMIF('10'!$D$7:$D$159,$C163,'10'!V$7:V$159)+SUMIF('11'!$D$7:$D$159,$C163,'11'!V$7:V$159)+SUMIF('12'!$D$7:$D$159,$C163,'12'!V$7:V$159)+SUMIF('01'!$D$7:$D$159,$C163,'01'!V$7:V$159)</f>
        <v>0</v>
      </c>
      <c r="U164" s="285">
        <f>SUMIF('09'!$D$7:$D$159,$C163,'09'!W$7:W$159)+SUMIF('10'!$D$7:$D$159,$C163,'10'!W$7:W$159)+SUMIF('11'!$D$7:$D$159,$C163,'11'!W$7:W$159)+SUMIF('12'!$D$7:$D$159,$C163,'12'!W$7:W$159)+SUMIF('01'!$D$7:$D$159,$C163,'01'!W$7:W$159)</f>
        <v>0</v>
      </c>
      <c r="V164" s="284">
        <f>SUMIF('09'!$D$7:$D$159,$C163,'09'!X$7:X$159)+SUMIF('10'!$D$7:$D$159,$C163,'10'!X$7:X$159)+SUMIF('11'!$D$7:$D$159,$C163,'11'!X$7:X$159)+SUMIF('12'!$D$7:$D$159,$C163,'12'!X$7:X$159)+SUMIF('01'!$D$7:$D$159,$C163,'01'!X$7:X$159)</f>
        <v>0</v>
      </c>
      <c r="W164" s="284">
        <f>SUMIF('09'!$D$7:$D$159,$C163,'09'!Y$7:Y$159)+SUMIF('10'!$D$7:$D$159,$C163,'10'!Y$7:Y$159)+SUMIF('11'!$D$7:$D$159,$C163,'11'!Y$7:Y$159)+SUMIF('12'!$D$7:$D$159,$C163,'12'!Y$7:Y$159)+SUMIF('01'!$D$7:$D$159,$C163,'01'!Y$7:Y$159)</f>
        <v>0</v>
      </c>
      <c r="X164" s="286">
        <f t="shared" si="7"/>
        <v>0</v>
      </c>
      <c r="Y164" s="345"/>
      <c r="Z164" s="347"/>
    </row>
    <row r="165" spans="1:26" ht="14.25" customHeight="1" x14ac:dyDescent="0.3">
      <c r="A165" s="178">
        <f>IF(OR(C165="0",COUNTIF(КлючОсень,C165)&gt;1),0,MATCH(F165,ВидыНагр,0))</f>
        <v>0</v>
      </c>
      <c r="B165" s="178" t="b">
        <f>(COUNTA(D165:F166,J165:W165,H165:I166)=0)</f>
        <v>1</v>
      </c>
      <c r="C165" s="179" t="str">
        <f>IF(OR(TRIM(D165)="",COUNTIF(ВидыНагр,F165)&lt;&gt;1),"0",CONCATENATE("$",TRIM(D165),"$",TRIM(E165),"$",F165,"$"))</f>
        <v>0</v>
      </c>
      <c r="D165" s="340"/>
      <c r="E165" s="338"/>
      <c r="F165" s="342"/>
      <c r="G165" s="180" t="s">
        <v>7</v>
      </c>
      <c r="H165" s="181"/>
      <c r="I165" s="182"/>
      <c r="J165" s="183"/>
      <c r="K165" s="184"/>
      <c r="L165" s="185"/>
      <c r="M165" s="183"/>
      <c r="N165" s="184"/>
      <c r="O165" s="186"/>
      <c r="P165" s="183"/>
      <c r="Q165" s="184"/>
      <c r="R165" s="185"/>
      <c r="S165" s="183"/>
      <c r="T165" s="184"/>
      <c r="U165" s="187"/>
      <c r="V165" s="186"/>
      <c r="W165" s="186"/>
      <c r="X165" s="279">
        <f t="shared" si="7"/>
        <v>0</v>
      </c>
      <c r="Y165" s="344">
        <f>X166-X165</f>
        <v>0</v>
      </c>
      <c r="Z165" s="346"/>
    </row>
    <row r="166" spans="1:26" ht="14.25" customHeight="1" x14ac:dyDescent="0.3">
      <c r="A166" s="178">
        <f>-A165</f>
        <v>0</v>
      </c>
      <c r="B166" s="178" t="b">
        <f>B165</f>
        <v>1</v>
      </c>
      <c r="C166" s="188"/>
      <c r="D166" s="341"/>
      <c r="E166" s="339"/>
      <c r="F166" s="343"/>
      <c r="G166" s="189" t="s">
        <v>8</v>
      </c>
      <c r="H166" s="190"/>
      <c r="I166" s="280"/>
      <c r="J166" s="281">
        <f>SUMIF('09'!$D$7:$D$159,$C165,'09'!L$7:L$159)+SUMIF('10'!$D$7:$D$159,$C165,'10'!L$7:L$159)+SUMIF('11'!$D$7:$D$159,$C165,'11'!L$7:L$159)+SUMIF('12'!$D$7:$D$159,$C165,'12'!L$7:L$159)+SUMIF('01'!$D$7:$D$159,$C165,'01'!L$7:L$159)</f>
        <v>0</v>
      </c>
      <c r="K166" s="282">
        <f>SUMIF('09'!$D$7:$D$159,$C165,'09'!M$7:M$159)+SUMIF('10'!$D$7:$D$159,$C165,'10'!M$7:M$159)+SUMIF('11'!$D$7:$D$159,$C165,'11'!M$7:M$159)+SUMIF('12'!$D$7:$D$159,$C165,'12'!M$7:M$159)+SUMIF('01'!$D$7:$D$159,$C165,'01'!M$7:M$159)</f>
        <v>0</v>
      </c>
      <c r="L166" s="283">
        <f>SUMIF('09'!$D$7:$D$159,$C165,'09'!N$7:N$159)+SUMIF('10'!$D$7:$D$159,$C165,'10'!N$7:N$159)+SUMIF('11'!$D$7:$D$159,$C165,'11'!N$7:N$159)+SUMIF('12'!$D$7:$D$159,$C165,'12'!N$7:N$159)+SUMIF('01'!$D$7:$D$159,$C165,'01'!N$7:N$159)</f>
        <v>0</v>
      </c>
      <c r="M166" s="281">
        <f>SUMIF('09'!$D$7:$D$159,$C165,'09'!O$7:O$159)+SUMIF('10'!$D$7:$D$159,$C165,'10'!O$7:O$159)+SUMIF('11'!$D$7:$D$159,$C165,'11'!O$7:O$159)+SUMIF('12'!$D$7:$D$159,$C165,'12'!O$7:O$159)+SUMIF('01'!$D$7:$D$159,$C165,'01'!O$7:O$159)</f>
        <v>0</v>
      </c>
      <c r="N166" s="282">
        <f>SUMIF('09'!$D$7:$D$159,$C165,'09'!P$7:P$159)+SUMIF('10'!$D$7:$D$159,$C165,'10'!P$7:P$159)+SUMIF('11'!$D$7:$D$159,$C165,'11'!P$7:P$159)+SUMIF('12'!$D$7:$D$159,$C165,'12'!P$7:P$159)+SUMIF('01'!$D$7:$D$159,$C165,'01'!P$7:P$159)</f>
        <v>0</v>
      </c>
      <c r="O166" s="284">
        <f>SUMIF('09'!$D$7:$D$159,$C165,'09'!Q$7:Q$159)+SUMIF('10'!$D$7:$D$159,$C165,'10'!Q$7:Q$159)+SUMIF('11'!$D$7:$D$159,$C165,'11'!Q$7:Q$159)+SUMIF('12'!$D$7:$D$159,$C165,'12'!Q$7:Q$159)+SUMIF('01'!$D$7:$D$159,$C165,'01'!Q$7:Q$159)</f>
        <v>0</v>
      </c>
      <c r="P166" s="281">
        <f>SUMIF('09'!$D$7:$D$159,$C165,'09'!R$7:R$159)+SUMIF('10'!$D$7:$D$159,$C165,'10'!R$7:R$159)+SUMIF('11'!$D$7:$D$159,$C165,'11'!R$7:R$159)+SUMIF('12'!$D$7:$D$159,$C165,'12'!R$7:R$159)+SUMIF('01'!$D$7:$D$159,$C165,'01'!R$7:R$159)</f>
        <v>0</v>
      </c>
      <c r="Q166" s="282">
        <f>SUMIF('09'!$D$7:$D$159,$C165,'09'!S$7:S$159)+SUMIF('10'!$D$7:$D$159,$C165,'10'!S$7:S$159)+SUMIF('11'!$D$7:$D$159,$C165,'11'!S$7:S$159)+SUMIF('12'!$D$7:$D$159,$C165,'12'!S$7:S$159)+SUMIF('01'!$D$7:$D$159,$C165,'01'!S$7:S$159)</f>
        <v>0</v>
      </c>
      <c r="R166" s="283">
        <f>SUMIF('09'!$D$7:$D$159,$C165,'09'!T$7:T$159)+SUMIF('10'!$D$7:$D$159,$C165,'10'!T$7:T$159)+SUMIF('11'!$D$7:$D$159,$C165,'11'!T$7:T$159)+SUMIF('12'!$D$7:$D$159,$C165,'12'!T$7:T$159)+SUMIF('01'!$D$7:$D$159,$C165,'01'!T$7:T$159)</f>
        <v>0</v>
      </c>
      <c r="S166" s="281">
        <f>SUMIF('09'!$D$7:$D$159,$C165,'09'!U$7:U$159)+SUMIF('10'!$D$7:$D$159,$C165,'10'!U$7:U$159)+SUMIF('11'!$D$7:$D$159,$C165,'11'!U$7:U$159)+SUMIF('12'!$D$7:$D$159,$C165,'12'!U$7:U$159)+SUMIF('01'!$D$7:$D$159,$C165,'01'!U$7:U$159)</f>
        <v>0</v>
      </c>
      <c r="T166" s="282">
        <f>SUMIF('09'!$D$7:$D$159,$C165,'09'!V$7:V$159)+SUMIF('10'!$D$7:$D$159,$C165,'10'!V$7:V$159)+SUMIF('11'!$D$7:$D$159,$C165,'11'!V$7:V$159)+SUMIF('12'!$D$7:$D$159,$C165,'12'!V$7:V$159)+SUMIF('01'!$D$7:$D$159,$C165,'01'!V$7:V$159)</f>
        <v>0</v>
      </c>
      <c r="U166" s="285">
        <f>SUMIF('09'!$D$7:$D$159,$C165,'09'!W$7:W$159)+SUMIF('10'!$D$7:$D$159,$C165,'10'!W$7:W$159)+SUMIF('11'!$D$7:$D$159,$C165,'11'!W$7:W$159)+SUMIF('12'!$D$7:$D$159,$C165,'12'!W$7:W$159)+SUMIF('01'!$D$7:$D$159,$C165,'01'!W$7:W$159)</f>
        <v>0</v>
      </c>
      <c r="V166" s="284">
        <f>SUMIF('09'!$D$7:$D$159,$C165,'09'!X$7:X$159)+SUMIF('10'!$D$7:$D$159,$C165,'10'!X$7:X$159)+SUMIF('11'!$D$7:$D$159,$C165,'11'!X$7:X$159)+SUMIF('12'!$D$7:$D$159,$C165,'12'!X$7:X$159)+SUMIF('01'!$D$7:$D$159,$C165,'01'!X$7:X$159)</f>
        <v>0</v>
      </c>
      <c r="W166" s="284">
        <f>SUMIF('09'!$D$7:$D$159,$C165,'09'!Y$7:Y$159)+SUMIF('10'!$D$7:$D$159,$C165,'10'!Y$7:Y$159)+SUMIF('11'!$D$7:$D$159,$C165,'11'!Y$7:Y$159)+SUMIF('12'!$D$7:$D$159,$C165,'12'!Y$7:Y$159)+SUMIF('01'!$D$7:$D$159,$C165,'01'!Y$7:Y$159)</f>
        <v>0</v>
      </c>
      <c r="X166" s="286">
        <f t="shared" si="7"/>
        <v>0</v>
      </c>
      <c r="Y166" s="345"/>
      <c r="Z166" s="347"/>
    </row>
    <row r="167" spans="1:26" ht="14.25" customHeight="1" x14ac:dyDescent="0.3">
      <c r="A167" s="178">
        <f>IF(OR(C167="0",COUNTIF(КлючОсень,C167)&gt;1),0,MATCH(F167,ВидыНагр,0))</f>
        <v>0</v>
      </c>
      <c r="B167" s="178" t="b">
        <f>(COUNTA(D167:F168,J167:W167,H167:I168)=0)</f>
        <v>1</v>
      </c>
      <c r="C167" s="179" t="str">
        <f>IF(OR(TRIM(D167)="",COUNTIF(ВидыНагр,F167)&lt;&gt;1),"0",CONCATENATE("$",TRIM(D167),"$",TRIM(E167),"$",F167,"$"))</f>
        <v>0</v>
      </c>
      <c r="D167" s="340"/>
      <c r="E167" s="338"/>
      <c r="F167" s="342"/>
      <c r="G167" s="180" t="s">
        <v>7</v>
      </c>
      <c r="H167" s="181"/>
      <c r="I167" s="182"/>
      <c r="J167" s="183"/>
      <c r="K167" s="184"/>
      <c r="L167" s="185"/>
      <c r="M167" s="183"/>
      <c r="N167" s="184"/>
      <c r="O167" s="186"/>
      <c r="P167" s="183"/>
      <c r="Q167" s="184"/>
      <c r="R167" s="185"/>
      <c r="S167" s="183"/>
      <c r="T167" s="184"/>
      <c r="U167" s="187"/>
      <c r="V167" s="186"/>
      <c r="W167" s="186"/>
      <c r="X167" s="279">
        <f t="shared" si="7"/>
        <v>0</v>
      </c>
      <c r="Y167" s="344">
        <f>X168-X167</f>
        <v>0</v>
      </c>
      <c r="Z167" s="346"/>
    </row>
    <row r="168" spans="1:26" ht="14.25" customHeight="1" x14ac:dyDescent="0.3">
      <c r="A168" s="178">
        <f>-A167</f>
        <v>0</v>
      </c>
      <c r="B168" s="178" t="b">
        <f>B167</f>
        <v>1</v>
      </c>
      <c r="C168" s="188"/>
      <c r="D168" s="341"/>
      <c r="E168" s="339"/>
      <c r="F168" s="343"/>
      <c r="G168" s="189" t="s">
        <v>8</v>
      </c>
      <c r="H168" s="190"/>
      <c r="I168" s="280"/>
      <c r="J168" s="281">
        <f>SUMIF('09'!$D$7:$D$159,$C167,'09'!L$7:L$159)+SUMIF('10'!$D$7:$D$159,$C167,'10'!L$7:L$159)+SUMIF('11'!$D$7:$D$159,$C167,'11'!L$7:L$159)+SUMIF('12'!$D$7:$D$159,$C167,'12'!L$7:L$159)+SUMIF('01'!$D$7:$D$159,$C167,'01'!L$7:L$159)</f>
        <v>0</v>
      </c>
      <c r="K168" s="282">
        <f>SUMIF('09'!$D$7:$D$159,$C167,'09'!M$7:M$159)+SUMIF('10'!$D$7:$D$159,$C167,'10'!M$7:M$159)+SUMIF('11'!$D$7:$D$159,$C167,'11'!M$7:M$159)+SUMIF('12'!$D$7:$D$159,$C167,'12'!M$7:M$159)+SUMIF('01'!$D$7:$D$159,$C167,'01'!M$7:M$159)</f>
        <v>0</v>
      </c>
      <c r="L168" s="283">
        <f>SUMIF('09'!$D$7:$D$159,$C167,'09'!N$7:N$159)+SUMIF('10'!$D$7:$D$159,$C167,'10'!N$7:N$159)+SUMIF('11'!$D$7:$D$159,$C167,'11'!N$7:N$159)+SUMIF('12'!$D$7:$D$159,$C167,'12'!N$7:N$159)+SUMIF('01'!$D$7:$D$159,$C167,'01'!N$7:N$159)</f>
        <v>0</v>
      </c>
      <c r="M168" s="281">
        <f>SUMIF('09'!$D$7:$D$159,$C167,'09'!O$7:O$159)+SUMIF('10'!$D$7:$D$159,$C167,'10'!O$7:O$159)+SUMIF('11'!$D$7:$D$159,$C167,'11'!O$7:O$159)+SUMIF('12'!$D$7:$D$159,$C167,'12'!O$7:O$159)+SUMIF('01'!$D$7:$D$159,$C167,'01'!O$7:O$159)</f>
        <v>0</v>
      </c>
      <c r="N168" s="282">
        <f>SUMIF('09'!$D$7:$D$159,$C167,'09'!P$7:P$159)+SUMIF('10'!$D$7:$D$159,$C167,'10'!P$7:P$159)+SUMIF('11'!$D$7:$D$159,$C167,'11'!P$7:P$159)+SUMIF('12'!$D$7:$D$159,$C167,'12'!P$7:P$159)+SUMIF('01'!$D$7:$D$159,$C167,'01'!P$7:P$159)</f>
        <v>0</v>
      </c>
      <c r="O168" s="284">
        <f>SUMIF('09'!$D$7:$D$159,$C167,'09'!Q$7:Q$159)+SUMIF('10'!$D$7:$D$159,$C167,'10'!Q$7:Q$159)+SUMIF('11'!$D$7:$D$159,$C167,'11'!Q$7:Q$159)+SUMIF('12'!$D$7:$D$159,$C167,'12'!Q$7:Q$159)+SUMIF('01'!$D$7:$D$159,$C167,'01'!Q$7:Q$159)</f>
        <v>0</v>
      </c>
      <c r="P168" s="281">
        <f>SUMIF('09'!$D$7:$D$159,$C167,'09'!R$7:R$159)+SUMIF('10'!$D$7:$D$159,$C167,'10'!R$7:R$159)+SUMIF('11'!$D$7:$D$159,$C167,'11'!R$7:R$159)+SUMIF('12'!$D$7:$D$159,$C167,'12'!R$7:R$159)+SUMIF('01'!$D$7:$D$159,$C167,'01'!R$7:R$159)</f>
        <v>0</v>
      </c>
      <c r="Q168" s="282">
        <f>SUMIF('09'!$D$7:$D$159,$C167,'09'!S$7:S$159)+SUMIF('10'!$D$7:$D$159,$C167,'10'!S$7:S$159)+SUMIF('11'!$D$7:$D$159,$C167,'11'!S$7:S$159)+SUMIF('12'!$D$7:$D$159,$C167,'12'!S$7:S$159)+SUMIF('01'!$D$7:$D$159,$C167,'01'!S$7:S$159)</f>
        <v>0</v>
      </c>
      <c r="R168" s="283">
        <f>SUMIF('09'!$D$7:$D$159,$C167,'09'!T$7:T$159)+SUMIF('10'!$D$7:$D$159,$C167,'10'!T$7:T$159)+SUMIF('11'!$D$7:$D$159,$C167,'11'!T$7:T$159)+SUMIF('12'!$D$7:$D$159,$C167,'12'!T$7:T$159)+SUMIF('01'!$D$7:$D$159,$C167,'01'!T$7:T$159)</f>
        <v>0</v>
      </c>
      <c r="S168" s="281">
        <f>SUMIF('09'!$D$7:$D$159,$C167,'09'!U$7:U$159)+SUMIF('10'!$D$7:$D$159,$C167,'10'!U$7:U$159)+SUMIF('11'!$D$7:$D$159,$C167,'11'!U$7:U$159)+SUMIF('12'!$D$7:$D$159,$C167,'12'!U$7:U$159)+SUMIF('01'!$D$7:$D$159,$C167,'01'!U$7:U$159)</f>
        <v>0</v>
      </c>
      <c r="T168" s="282">
        <f>SUMIF('09'!$D$7:$D$159,$C167,'09'!V$7:V$159)+SUMIF('10'!$D$7:$D$159,$C167,'10'!V$7:V$159)+SUMIF('11'!$D$7:$D$159,$C167,'11'!V$7:V$159)+SUMIF('12'!$D$7:$D$159,$C167,'12'!V$7:V$159)+SUMIF('01'!$D$7:$D$159,$C167,'01'!V$7:V$159)</f>
        <v>0</v>
      </c>
      <c r="U168" s="285">
        <f>SUMIF('09'!$D$7:$D$159,$C167,'09'!W$7:W$159)+SUMIF('10'!$D$7:$D$159,$C167,'10'!W$7:W$159)+SUMIF('11'!$D$7:$D$159,$C167,'11'!W$7:W$159)+SUMIF('12'!$D$7:$D$159,$C167,'12'!W$7:W$159)+SUMIF('01'!$D$7:$D$159,$C167,'01'!W$7:W$159)</f>
        <v>0</v>
      </c>
      <c r="V168" s="284">
        <f>SUMIF('09'!$D$7:$D$159,$C167,'09'!X$7:X$159)+SUMIF('10'!$D$7:$D$159,$C167,'10'!X$7:X$159)+SUMIF('11'!$D$7:$D$159,$C167,'11'!X$7:X$159)+SUMIF('12'!$D$7:$D$159,$C167,'12'!X$7:X$159)+SUMIF('01'!$D$7:$D$159,$C167,'01'!X$7:X$159)</f>
        <v>0</v>
      </c>
      <c r="W168" s="284">
        <f>SUMIF('09'!$D$7:$D$159,$C167,'09'!Y$7:Y$159)+SUMIF('10'!$D$7:$D$159,$C167,'10'!Y$7:Y$159)+SUMIF('11'!$D$7:$D$159,$C167,'11'!Y$7:Y$159)+SUMIF('12'!$D$7:$D$159,$C167,'12'!Y$7:Y$159)+SUMIF('01'!$D$7:$D$159,$C167,'01'!Y$7:Y$159)</f>
        <v>0</v>
      </c>
      <c r="X168" s="286">
        <f t="shared" si="7"/>
        <v>0</v>
      </c>
      <c r="Y168" s="345"/>
      <c r="Z168" s="347"/>
    </row>
    <row r="169" spans="1:26" ht="14.25" customHeight="1" x14ac:dyDescent="0.3">
      <c r="A169" s="178">
        <f>IF(OR(C169="0",COUNTIF(КлючОсень,C169)&gt;1),0,MATCH(F169,ВидыНагр,0))</f>
        <v>0</v>
      </c>
      <c r="B169" s="178" t="b">
        <f>(COUNTA(D169:F170,J169:W169,H169:I170)=0)</f>
        <v>1</v>
      </c>
      <c r="C169" s="179" t="str">
        <f>IF(OR(TRIM(D169)="",COUNTIF(ВидыНагр,F169)&lt;&gt;1),"0",CONCATENATE("$",TRIM(D169),"$",TRIM(E169),"$",F169,"$"))</f>
        <v>0</v>
      </c>
      <c r="D169" s="340"/>
      <c r="E169" s="338"/>
      <c r="F169" s="342"/>
      <c r="G169" s="180" t="s">
        <v>7</v>
      </c>
      <c r="H169" s="181"/>
      <c r="I169" s="182"/>
      <c r="J169" s="183"/>
      <c r="K169" s="184"/>
      <c r="L169" s="185"/>
      <c r="M169" s="183"/>
      <c r="N169" s="184"/>
      <c r="O169" s="186"/>
      <c r="P169" s="183"/>
      <c r="Q169" s="184"/>
      <c r="R169" s="185"/>
      <c r="S169" s="183"/>
      <c r="T169" s="184"/>
      <c r="U169" s="187"/>
      <c r="V169" s="186"/>
      <c r="W169" s="186"/>
      <c r="X169" s="279">
        <f t="shared" si="5"/>
        <v>0</v>
      </c>
      <c r="Y169" s="344">
        <f>X170-X169</f>
        <v>0</v>
      </c>
      <c r="Z169" s="346"/>
    </row>
    <row r="170" spans="1:26" ht="14.25" customHeight="1" x14ac:dyDescent="0.3">
      <c r="A170" s="178">
        <f>-A169</f>
        <v>0</v>
      </c>
      <c r="B170" s="178" t="b">
        <f>B169</f>
        <v>1</v>
      </c>
      <c r="C170" s="188"/>
      <c r="D170" s="341"/>
      <c r="E170" s="339"/>
      <c r="F170" s="343"/>
      <c r="G170" s="189" t="s">
        <v>8</v>
      </c>
      <c r="H170" s="190"/>
      <c r="I170" s="280"/>
      <c r="J170" s="281">
        <f>SUMIF('09'!$D$7:$D$159,$C169,'09'!L$7:L$159)+SUMIF('10'!$D$7:$D$159,$C169,'10'!L$7:L$159)+SUMIF('11'!$D$7:$D$159,$C169,'11'!L$7:L$159)+SUMIF('12'!$D$7:$D$159,$C169,'12'!L$7:L$159)+SUMIF('01'!$D$7:$D$159,$C169,'01'!L$7:L$159)</f>
        <v>0</v>
      </c>
      <c r="K170" s="282">
        <f>SUMIF('09'!$D$7:$D$159,$C169,'09'!M$7:M$159)+SUMIF('10'!$D$7:$D$159,$C169,'10'!M$7:M$159)+SUMIF('11'!$D$7:$D$159,$C169,'11'!M$7:M$159)+SUMIF('12'!$D$7:$D$159,$C169,'12'!M$7:M$159)+SUMIF('01'!$D$7:$D$159,$C169,'01'!M$7:M$159)</f>
        <v>0</v>
      </c>
      <c r="L170" s="283">
        <f>SUMIF('09'!$D$7:$D$159,$C169,'09'!N$7:N$159)+SUMIF('10'!$D$7:$D$159,$C169,'10'!N$7:N$159)+SUMIF('11'!$D$7:$D$159,$C169,'11'!N$7:N$159)+SUMIF('12'!$D$7:$D$159,$C169,'12'!N$7:N$159)+SUMIF('01'!$D$7:$D$159,$C169,'01'!N$7:N$159)</f>
        <v>0</v>
      </c>
      <c r="M170" s="281">
        <f>SUMIF('09'!$D$7:$D$159,$C169,'09'!O$7:O$159)+SUMIF('10'!$D$7:$D$159,$C169,'10'!O$7:O$159)+SUMIF('11'!$D$7:$D$159,$C169,'11'!O$7:O$159)+SUMIF('12'!$D$7:$D$159,$C169,'12'!O$7:O$159)+SUMIF('01'!$D$7:$D$159,$C169,'01'!O$7:O$159)</f>
        <v>0</v>
      </c>
      <c r="N170" s="282">
        <f>SUMIF('09'!$D$7:$D$159,$C169,'09'!P$7:P$159)+SUMIF('10'!$D$7:$D$159,$C169,'10'!P$7:P$159)+SUMIF('11'!$D$7:$D$159,$C169,'11'!P$7:P$159)+SUMIF('12'!$D$7:$D$159,$C169,'12'!P$7:P$159)+SUMIF('01'!$D$7:$D$159,$C169,'01'!P$7:P$159)</f>
        <v>0</v>
      </c>
      <c r="O170" s="284">
        <f>SUMIF('09'!$D$7:$D$159,$C169,'09'!Q$7:Q$159)+SUMIF('10'!$D$7:$D$159,$C169,'10'!Q$7:Q$159)+SUMIF('11'!$D$7:$D$159,$C169,'11'!Q$7:Q$159)+SUMIF('12'!$D$7:$D$159,$C169,'12'!Q$7:Q$159)+SUMIF('01'!$D$7:$D$159,$C169,'01'!Q$7:Q$159)</f>
        <v>0</v>
      </c>
      <c r="P170" s="281">
        <f>SUMIF('09'!$D$7:$D$159,$C169,'09'!R$7:R$159)+SUMIF('10'!$D$7:$D$159,$C169,'10'!R$7:R$159)+SUMIF('11'!$D$7:$D$159,$C169,'11'!R$7:R$159)+SUMIF('12'!$D$7:$D$159,$C169,'12'!R$7:R$159)+SUMIF('01'!$D$7:$D$159,$C169,'01'!R$7:R$159)</f>
        <v>0</v>
      </c>
      <c r="Q170" s="282">
        <f>SUMIF('09'!$D$7:$D$159,$C169,'09'!S$7:S$159)+SUMIF('10'!$D$7:$D$159,$C169,'10'!S$7:S$159)+SUMIF('11'!$D$7:$D$159,$C169,'11'!S$7:S$159)+SUMIF('12'!$D$7:$D$159,$C169,'12'!S$7:S$159)+SUMIF('01'!$D$7:$D$159,$C169,'01'!S$7:S$159)</f>
        <v>0</v>
      </c>
      <c r="R170" s="283">
        <f>SUMIF('09'!$D$7:$D$159,$C169,'09'!T$7:T$159)+SUMIF('10'!$D$7:$D$159,$C169,'10'!T$7:T$159)+SUMIF('11'!$D$7:$D$159,$C169,'11'!T$7:T$159)+SUMIF('12'!$D$7:$D$159,$C169,'12'!T$7:T$159)+SUMIF('01'!$D$7:$D$159,$C169,'01'!T$7:T$159)</f>
        <v>0</v>
      </c>
      <c r="S170" s="281">
        <f>SUMIF('09'!$D$7:$D$159,$C169,'09'!U$7:U$159)+SUMIF('10'!$D$7:$D$159,$C169,'10'!U$7:U$159)+SUMIF('11'!$D$7:$D$159,$C169,'11'!U$7:U$159)+SUMIF('12'!$D$7:$D$159,$C169,'12'!U$7:U$159)+SUMIF('01'!$D$7:$D$159,$C169,'01'!U$7:U$159)</f>
        <v>0</v>
      </c>
      <c r="T170" s="282">
        <f>SUMIF('09'!$D$7:$D$159,$C169,'09'!V$7:V$159)+SUMIF('10'!$D$7:$D$159,$C169,'10'!V$7:V$159)+SUMIF('11'!$D$7:$D$159,$C169,'11'!V$7:V$159)+SUMIF('12'!$D$7:$D$159,$C169,'12'!V$7:V$159)+SUMIF('01'!$D$7:$D$159,$C169,'01'!V$7:V$159)</f>
        <v>0</v>
      </c>
      <c r="U170" s="285">
        <f>SUMIF('09'!$D$7:$D$159,$C169,'09'!W$7:W$159)+SUMIF('10'!$D$7:$D$159,$C169,'10'!W$7:W$159)+SUMIF('11'!$D$7:$D$159,$C169,'11'!W$7:W$159)+SUMIF('12'!$D$7:$D$159,$C169,'12'!W$7:W$159)+SUMIF('01'!$D$7:$D$159,$C169,'01'!W$7:W$159)</f>
        <v>0</v>
      </c>
      <c r="V170" s="284">
        <f>SUMIF('09'!$D$7:$D$159,$C169,'09'!X$7:X$159)+SUMIF('10'!$D$7:$D$159,$C169,'10'!X$7:X$159)+SUMIF('11'!$D$7:$D$159,$C169,'11'!X$7:X$159)+SUMIF('12'!$D$7:$D$159,$C169,'12'!X$7:X$159)+SUMIF('01'!$D$7:$D$159,$C169,'01'!X$7:X$159)</f>
        <v>0</v>
      </c>
      <c r="W170" s="284">
        <f>SUMIF('09'!$D$7:$D$159,$C169,'09'!Y$7:Y$159)+SUMIF('10'!$D$7:$D$159,$C169,'10'!Y$7:Y$159)+SUMIF('11'!$D$7:$D$159,$C169,'11'!Y$7:Y$159)+SUMIF('12'!$D$7:$D$159,$C169,'12'!Y$7:Y$159)+SUMIF('01'!$D$7:$D$159,$C169,'01'!Y$7:Y$159)</f>
        <v>0</v>
      </c>
      <c r="X170" s="286">
        <f t="shared" si="5"/>
        <v>0</v>
      </c>
      <c r="Y170" s="345"/>
      <c r="Z170" s="347"/>
    </row>
    <row r="171" spans="1:26" ht="14.25" customHeight="1" x14ac:dyDescent="0.3">
      <c r="A171" s="178">
        <f>IF(OR(C171="0",COUNTIF(КлючОсень,C171)&gt;1),0,MATCH(F171,ВидыНагр,0))</f>
        <v>0</v>
      </c>
      <c r="B171" s="178" t="b">
        <f>(COUNTA(D171:F172,J171:W171,H171:I172)=0)</f>
        <v>1</v>
      </c>
      <c r="C171" s="179" t="str">
        <f>IF(OR(TRIM(D171)="",COUNTIF(ВидыНагр,F171)&lt;&gt;1),"0",CONCATENATE("$",TRIM(D171),"$",TRIM(E171),"$",F171,"$"))</f>
        <v>0</v>
      </c>
      <c r="D171" s="340"/>
      <c r="E171" s="338"/>
      <c r="F171" s="342"/>
      <c r="G171" s="180" t="s">
        <v>7</v>
      </c>
      <c r="H171" s="181"/>
      <c r="I171" s="182"/>
      <c r="J171" s="183"/>
      <c r="K171" s="184"/>
      <c r="L171" s="185"/>
      <c r="M171" s="183"/>
      <c r="N171" s="184"/>
      <c r="O171" s="186"/>
      <c r="P171" s="183"/>
      <c r="Q171" s="184"/>
      <c r="R171" s="185"/>
      <c r="S171" s="183"/>
      <c r="T171" s="184"/>
      <c r="U171" s="187"/>
      <c r="V171" s="186"/>
      <c r="W171" s="186"/>
      <c r="X171" s="279">
        <f t="shared" si="5"/>
        <v>0</v>
      </c>
      <c r="Y171" s="344">
        <f>X172-X171</f>
        <v>0</v>
      </c>
      <c r="Z171" s="346"/>
    </row>
    <row r="172" spans="1:26" ht="14.25" customHeight="1" x14ac:dyDescent="0.3">
      <c r="A172" s="178">
        <f>-A171</f>
        <v>0</v>
      </c>
      <c r="B172" s="178" t="b">
        <f>B171</f>
        <v>1</v>
      </c>
      <c r="C172" s="188"/>
      <c r="D172" s="341"/>
      <c r="E172" s="339"/>
      <c r="F172" s="343"/>
      <c r="G172" s="189" t="s">
        <v>8</v>
      </c>
      <c r="H172" s="190"/>
      <c r="I172" s="280"/>
      <c r="J172" s="281">
        <f>SUMIF('09'!$D$7:$D$159,$C171,'09'!L$7:L$159)+SUMIF('10'!$D$7:$D$159,$C171,'10'!L$7:L$159)+SUMIF('11'!$D$7:$D$159,$C171,'11'!L$7:L$159)+SUMIF('12'!$D$7:$D$159,$C171,'12'!L$7:L$159)+SUMIF('01'!$D$7:$D$159,$C171,'01'!L$7:L$159)</f>
        <v>0</v>
      </c>
      <c r="K172" s="282">
        <f>SUMIF('09'!$D$7:$D$159,$C171,'09'!M$7:M$159)+SUMIF('10'!$D$7:$D$159,$C171,'10'!M$7:M$159)+SUMIF('11'!$D$7:$D$159,$C171,'11'!M$7:M$159)+SUMIF('12'!$D$7:$D$159,$C171,'12'!M$7:M$159)+SUMIF('01'!$D$7:$D$159,$C171,'01'!M$7:M$159)</f>
        <v>0</v>
      </c>
      <c r="L172" s="283">
        <f>SUMIF('09'!$D$7:$D$159,$C171,'09'!N$7:N$159)+SUMIF('10'!$D$7:$D$159,$C171,'10'!N$7:N$159)+SUMIF('11'!$D$7:$D$159,$C171,'11'!N$7:N$159)+SUMIF('12'!$D$7:$D$159,$C171,'12'!N$7:N$159)+SUMIF('01'!$D$7:$D$159,$C171,'01'!N$7:N$159)</f>
        <v>0</v>
      </c>
      <c r="M172" s="281">
        <f>SUMIF('09'!$D$7:$D$159,$C171,'09'!O$7:O$159)+SUMIF('10'!$D$7:$D$159,$C171,'10'!O$7:O$159)+SUMIF('11'!$D$7:$D$159,$C171,'11'!O$7:O$159)+SUMIF('12'!$D$7:$D$159,$C171,'12'!O$7:O$159)+SUMIF('01'!$D$7:$D$159,$C171,'01'!O$7:O$159)</f>
        <v>0</v>
      </c>
      <c r="N172" s="282">
        <f>SUMIF('09'!$D$7:$D$159,$C171,'09'!P$7:P$159)+SUMIF('10'!$D$7:$D$159,$C171,'10'!P$7:P$159)+SUMIF('11'!$D$7:$D$159,$C171,'11'!P$7:P$159)+SUMIF('12'!$D$7:$D$159,$C171,'12'!P$7:P$159)+SUMIF('01'!$D$7:$D$159,$C171,'01'!P$7:P$159)</f>
        <v>0</v>
      </c>
      <c r="O172" s="284">
        <f>SUMIF('09'!$D$7:$D$159,$C171,'09'!Q$7:Q$159)+SUMIF('10'!$D$7:$D$159,$C171,'10'!Q$7:Q$159)+SUMIF('11'!$D$7:$D$159,$C171,'11'!Q$7:Q$159)+SUMIF('12'!$D$7:$D$159,$C171,'12'!Q$7:Q$159)+SUMIF('01'!$D$7:$D$159,$C171,'01'!Q$7:Q$159)</f>
        <v>0</v>
      </c>
      <c r="P172" s="281">
        <f>SUMIF('09'!$D$7:$D$159,$C171,'09'!R$7:R$159)+SUMIF('10'!$D$7:$D$159,$C171,'10'!R$7:R$159)+SUMIF('11'!$D$7:$D$159,$C171,'11'!R$7:R$159)+SUMIF('12'!$D$7:$D$159,$C171,'12'!R$7:R$159)+SUMIF('01'!$D$7:$D$159,$C171,'01'!R$7:R$159)</f>
        <v>0</v>
      </c>
      <c r="Q172" s="282">
        <f>SUMIF('09'!$D$7:$D$159,$C171,'09'!S$7:S$159)+SUMIF('10'!$D$7:$D$159,$C171,'10'!S$7:S$159)+SUMIF('11'!$D$7:$D$159,$C171,'11'!S$7:S$159)+SUMIF('12'!$D$7:$D$159,$C171,'12'!S$7:S$159)+SUMIF('01'!$D$7:$D$159,$C171,'01'!S$7:S$159)</f>
        <v>0</v>
      </c>
      <c r="R172" s="283">
        <f>SUMIF('09'!$D$7:$D$159,$C171,'09'!T$7:T$159)+SUMIF('10'!$D$7:$D$159,$C171,'10'!T$7:T$159)+SUMIF('11'!$D$7:$D$159,$C171,'11'!T$7:T$159)+SUMIF('12'!$D$7:$D$159,$C171,'12'!T$7:T$159)+SUMIF('01'!$D$7:$D$159,$C171,'01'!T$7:T$159)</f>
        <v>0</v>
      </c>
      <c r="S172" s="281">
        <f>SUMIF('09'!$D$7:$D$159,$C171,'09'!U$7:U$159)+SUMIF('10'!$D$7:$D$159,$C171,'10'!U$7:U$159)+SUMIF('11'!$D$7:$D$159,$C171,'11'!U$7:U$159)+SUMIF('12'!$D$7:$D$159,$C171,'12'!U$7:U$159)+SUMIF('01'!$D$7:$D$159,$C171,'01'!U$7:U$159)</f>
        <v>0</v>
      </c>
      <c r="T172" s="282">
        <f>SUMIF('09'!$D$7:$D$159,$C171,'09'!V$7:V$159)+SUMIF('10'!$D$7:$D$159,$C171,'10'!V$7:V$159)+SUMIF('11'!$D$7:$D$159,$C171,'11'!V$7:V$159)+SUMIF('12'!$D$7:$D$159,$C171,'12'!V$7:V$159)+SUMIF('01'!$D$7:$D$159,$C171,'01'!V$7:V$159)</f>
        <v>0</v>
      </c>
      <c r="U172" s="285">
        <f>SUMIF('09'!$D$7:$D$159,$C171,'09'!W$7:W$159)+SUMIF('10'!$D$7:$D$159,$C171,'10'!W$7:W$159)+SUMIF('11'!$D$7:$D$159,$C171,'11'!W$7:W$159)+SUMIF('12'!$D$7:$D$159,$C171,'12'!W$7:W$159)+SUMIF('01'!$D$7:$D$159,$C171,'01'!W$7:W$159)</f>
        <v>0</v>
      </c>
      <c r="V172" s="284">
        <f>SUMIF('09'!$D$7:$D$159,$C171,'09'!X$7:X$159)+SUMIF('10'!$D$7:$D$159,$C171,'10'!X$7:X$159)+SUMIF('11'!$D$7:$D$159,$C171,'11'!X$7:X$159)+SUMIF('12'!$D$7:$D$159,$C171,'12'!X$7:X$159)+SUMIF('01'!$D$7:$D$159,$C171,'01'!X$7:X$159)</f>
        <v>0</v>
      </c>
      <c r="W172" s="284">
        <f>SUMIF('09'!$D$7:$D$159,$C171,'09'!Y$7:Y$159)+SUMIF('10'!$D$7:$D$159,$C171,'10'!Y$7:Y$159)+SUMIF('11'!$D$7:$D$159,$C171,'11'!Y$7:Y$159)+SUMIF('12'!$D$7:$D$159,$C171,'12'!Y$7:Y$159)+SUMIF('01'!$D$7:$D$159,$C171,'01'!Y$7:Y$159)</f>
        <v>0</v>
      </c>
      <c r="X172" s="286">
        <f t="shared" si="5"/>
        <v>0</v>
      </c>
      <c r="Y172" s="345"/>
      <c r="Z172" s="347"/>
    </row>
    <row r="173" spans="1:26" ht="14.25" customHeight="1" x14ac:dyDescent="0.3">
      <c r="A173" s="178">
        <f>IF(OR(C173="0",COUNTIF(КлючОсень,C173)&gt;1),0,MATCH(F173,ВидыНагр,0))</f>
        <v>0</v>
      </c>
      <c r="B173" s="178" t="b">
        <f>(COUNTA(D173:F174,J173:W173,H173:I174)=0)</f>
        <v>1</v>
      </c>
      <c r="C173" s="179" t="str">
        <f>IF(OR(TRIM(D173)="",COUNTIF(ВидыНагр,F173)&lt;&gt;1),"0",CONCATENATE("$",TRIM(D173),"$",TRIM(E173),"$",F173,"$"))</f>
        <v>0</v>
      </c>
      <c r="D173" s="340"/>
      <c r="E173" s="338"/>
      <c r="F173" s="342"/>
      <c r="G173" s="180" t="s">
        <v>7</v>
      </c>
      <c r="H173" s="181"/>
      <c r="I173" s="182"/>
      <c r="J173" s="183"/>
      <c r="K173" s="184"/>
      <c r="L173" s="185"/>
      <c r="M173" s="183"/>
      <c r="N173" s="184"/>
      <c r="O173" s="186"/>
      <c r="P173" s="183"/>
      <c r="Q173" s="184"/>
      <c r="R173" s="185"/>
      <c r="S173" s="183"/>
      <c r="T173" s="184"/>
      <c r="U173" s="187"/>
      <c r="V173" s="186"/>
      <c r="W173" s="186"/>
      <c r="X173" s="279">
        <f t="shared" si="5"/>
        <v>0</v>
      </c>
      <c r="Y173" s="344">
        <f>X174-X173</f>
        <v>0</v>
      </c>
      <c r="Z173" s="346"/>
    </row>
    <row r="174" spans="1:26" ht="14.25" customHeight="1" x14ac:dyDescent="0.3">
      <c r="A174" s="178">
        <f>-A173</f>
        <v>0</v>
      </c>
      <c r="B174" s="178" t="b">
        <f>B173</f>
        <v>1</v>
      </c>
      <c r="C174" s="188"/>
      <c r="D174" s="341"/>
      <c r="E174" s="339"/>
      <c r="F174" s="343"/>
      <c r="G174" s="189" t="s">
        <v>8</v>
      </c>
      <c r="H174" s="190"/>
      <c r="I174" s="280"/>
      <c r="J174" s="281">
        <f>SUMIF('09'!$D$7:$D$159,$C173,'09'!L$7:L$159)+SUMIF('10'!$D$7:$D$159,$C173,'10'!L$7:L$159)+SUMIF('11'!$D$7:$D$159,$C173,'11'!L$7:L$159)+SUMIF('12'!$D$7:$D$159,$C173,'12'!L$7:L$159)+SUMIF('01'!$D$7:$D$159,$C173,'01'!L$7:L$159)</f>
        <v>0</v>
      </c>
      <c r="K174" s="282">
        <f>SUMIF('09'!$D$7:$D$159,$C173,'09'!M$7:M$159)+SUMIF('10'!$D$7:$D$159,$C173,'10'!M$7:M$159)+SUMIF('11'!$D$7:$D$159,$C173,'11'!M$7:M$159)+SUMIF('12'!$D$7:$D$159,$C173,'12'!M$7:M$159)+SUMIF('01'!$D$7:$D$159,$C173,'01'!M$7:M$159)</f>
        <v>0</v>
      </c>
      <c r="L174" s="283">
        <f>SUMIF('09'!$D$7:$D$159,$C173,'09'!N$7:N$159)+SUMIF('10'!$D$7:$D$159,$C173,'10'!N$7:N$159)+SUMIF('11'!$D$7:$D$159,$C173,'11'!N$7:N$159)+SUMIF('12'!$D$7:$D$159,$C173,'12'!N$7:N$159)+SUMIF('01'!$D$7:$D$159,$C173,'01'!N$7:N$159)</f>
        <v>0</v>
      </c>
      <c r="M174" s="281">
        <f>SUMIF('09'!$D$7:$D$159,$C173,'09'!O$7:O$159)+SUMIF('10'!$D$7:$D$159,$C173,'10'!O$7:O$159)+SUMIF('11'!$D$7:$D$159,$C173,'11'!O$7:O$159)+SUMIF('12'!$D$7:$D$159,$C173,'12'!O$7:O$159)+SUMIF('01'!$D$7:$D$159,$C173,'01'!O$7:O$159)</f>
        <v>0</v>
      </c>
      <c r="N174" s="282">
        <f>SUMIF('09'!$D$7:$D$159,$C173,'09'!P$7:P$159)+SUMIF('10'!$D$7:$D$159,$C173,'10'!P$7:P$159)+SUMIF('11'!$D$7:$D$159,$C173,'11'!P$7:P$159)+SUMIF('12'!$D$7:$D$159,$C173,'12'!P$7:P$159)+SUMIF('01'!$D$7:$D$159,$C173,'01'!P$7:P$159)</f>
        <v>0</v>
      </c>
      <c r="O174" s="284">
        <f>SUMIF('09'!$D$7:$D$159,$C173,'09'!Q$7:Q$159)+SUMIF('10'!$D$7:$D$159,$C173,'10'!Q$7:Q$159)+SUMIF('11'!$D$7:$D$159,$C173,'11'!Q$7:Q$159)+SUMIF('12'!$D$7:$D$159,$C173,'12'!Q$7:Q$159)+SUMIF('01'!$D$7:$D$159,$C173,'01'!Q$7:Q$159)</f>
        <v>0</v>
      </c>
      <c r="P174" s="281">
        <f>SUMIF('09'!$D$7:$D$159,$C173,'09'!R$7:R$159)+SUMIF('10'!$D$7:$D$159,$C173,'10'!R$7:R$159)+SUMIF('11'!$D$7:$D$159,$C173,'11'!R$7:R$159)+SUMIF('12'!$D$7:$D$159,$C173,'12'!R$7:R$159)+SUMIF('01'!$D$7:$D$159,$C173,'01'!R$7:R$159)</f>
        <v>0</v>
      </c>
      <c r="Q174" s="282">
        <f>SUMIF('09'!$D$7:$D$159,$C173,'09'!S$7:S$159)+SUMIF('10'!$D$7:$D$159,$C173,'10'!S$7:S$159)+SUMIF('11'!$D$7:$D$159,$C173,'11'!S$7:S$159)+SUMIF('12'!$D$7:$D$159,$C173,'12'!S$7:S$159)+SUMIF('01'!$D$7:$D$159,$C173,'01'!S$7:S$159)</f>
        <v>0</v>
      </c>
      <c r="R174" s="283">
        <f>SUMIF('09'!$D$7:$D$159,$C173,'09'!T$7:T$159)+SUMIF('10'!$D$7:$D$159,$C173,'10'!T$7:T$159)+SUMIF('11'!$D$7:$D$159,$C173,'11'!T$7:T$159)+SUMIF('12'!$D$7:$D$159,$C173,'12'!T$7:T$159)+SUMIF('01'!$D$7:$D$159,$C173,'01'!T$7:T$159)</f>
        <v>0</v>
      </c>
      <c r="S174" s="281">
        <f>SUMIF('09'!$D$7:$D$159,$C173,'09'!U$7:U$159)+SUMIF('10'!$D$7:$D$159,$C173,'10'!U$7:U$159)+SUMIF('11'!$D$7:$D$159,$C173,'11'!U$7:U$159)+SUMIF('12'!$D$7:$D$159,$C173,'12'!U$7:U$159)+SUMIF('01'!$D$7:$D$159,$C173,'01'!U$7:U$159)</f>
        <v>0</v>
      </c>
      <c r="T174" s="282">
        <f>SUMIF('09'!$D$7:$D$159,$C173,'09'!V$7:V$159)+SUMIF('10'!$D$7:$D$159,$C173,'10'!V$7:V$159)+SUMIF('11'!$D$7:$D$159,$C173,'11'!V$7:V$159)+SUMIF('12'!$D$7:$D$159,$C173,'12'!V$7:V$159)+SUMIF('01'!$D$7:$D$159,$C173,'01'!V$7:V$159)</f>
        <v>0</v>
      </c>
      <c r="U174" s="285">
        <f>SUMIF('09'!$D$7:$D$159,$C173,'09'!W$7:W$159)+SUMIF('10'!$D$7:$D$159,$C173,'10'!W$7:W$159)+SUMIF('11'!$D$7:$D$159,$C173,'11'!W$7:W$159)+SUMIF('12'!$D$7:$D$159,$C173,'12'!W$7:W$159)+SUMIF('01'!$D$7:$D$159,$C173,'01'!W$7:W$159)</f>
        <v>0</v>
      </c>
      <c r="V174" s="284">
        <f>SUMIF('09'!$D$7:$D$159,$C173,'09'!X$7:X$159)+SUMIF('10'!$D$7:$D$159,$C173,'10'!X$7:X$159)+SUMIF('11'!$D$7:$D$159,$C173,'11'!X$7:X$159)+SUMIF('12'!$D$7:$D$159,$C173,'12'!X$7:X$159)+SUMIF('01'!$D$7:$D$159,$C173,'01'!X$7:X$159)</f>
        <v>0</v>
      </c>
      <c r="W174" s="284">
        <f>SUMIF('09'!$D$7:$D$159,$C173,'09'!Y$7:Y$159)+SUMIF('10'!$D$7:$D$159,$C173,'10'!Y$7:Y$159)+SUMIF('11'!$D$7:$D$159,$C173,'11'!Y$7:Y$159)+SUMIF('12'!$D$7:$D$159,$C173,'12'!Y$7:Y$159)+SUMIF('01'!$D$7:$D$159,$C173,'01'!Y$7:Y$159)</f>
        <v>0</v>
      </c>
      <c r="X174" s="286">
        <f t="shared" si="5"/>
        <v>0</v>
      </c>
      <c r="Y174" s="345"/>
      <c r="Z174" s="347"/>
    </row>
    <row r="175" spans="1:26" ht="14.25" customHeight="1" x14ac:dyDescent="0.3">
      <c r="A175" s="178">
        <f>IF(OR(C175="0",COUNTIF(КлючОсень,C175)&gt;1),0,MATCH(F175,ВидыНагр,0))</f>
        <v>0</v>
      </c>
      <c r="B175" s="178" t="b">
        <f>(COUNTA(D175:F176,J175:W175,H175:I176)=0)</f>
        <v>1</v>
      </c>
      <c r="C175" s="179" t="str">
        <f>IF(OR(TRIM(D175)="",COUNTIF(ВидыНагр,F175)&lt;&gt;1),"0",CONCATENATE("$",TRIM(D175),"$",TRIM(E175),"$",F175,"$"))</f>
        <v>0</v>
      </c>
      <c r="D175" s="340"/>
      <c r="E175" s="338"/>
      <c r="F175" s="342"/>
      <c r="G175" s="180" t="s">
        <v>7</v>
      </c>
      <c r="H175" s="181"/>
      <c r="I175" s="182"/>
      <c r="J175" s="183"/>
      <c r="K175" s="184"/>
      <c r="L175" s="185"/>
      <c r="M175" s="183"/>
      <c r="N175" s="184"/>
      <c r="O175" s="186"/>
      <c r="P175" s="183"/>
      <c r="Q175" s="184"/>
      <c r="R175" s="185"/>
      <c r="S175" s="183"/>
      <c r="T175" s="184"/>
      <c r="U175" s="187"/>
      <c r="V175" s="186"/>
      <c r="W175" s="186"/>
      <c r="X175" s="279">
        <f t="shared" si="5"/>
        <v>0</v>
      </c>
      <c r="Y175" s="344">
        <f>X176-X175</f>
        <v>0</v>
      </c>
      <c r="Z175" s="346"/>
    </row>
    <row r="176" spans="1:26" ht="14.25" customHeight="1" x14ac:dyDescent="0.3">
      <c r="A176" s="178">
        <f>-A175</f>
        <v>0</v>
      </c>
      <c r="B176" s="178" t="b">
        <f>B175</f>
        <v>1</v>
      </c>
      <c r="C176" s="188"/>
      <c r="D176" s="341"/>
      <c r="E176" s="339"/>
      <c r="F176" s="343"/>
      <c r="G176" s="189" t="s">
        <v>8</v>
      </c>
      <c r="H176" s="190"/>
      <c r="I176" s="280"/>
      <c r="J176" s="281">
        <f>SUMIF('09'!$D$7:$D$159,$C175,'09'!L$7:L$159)+SUMIF('10'!$D$7:$D$159,$C175,'10'!L$7:L$159)+SUMIF('11'!$D$7:$D$159,$C175,'11'!L$7:L$159)+SUMIF('12'!$D$7:$D$159,$C175,'12'!L$7:L$159)+SUMIF('01'!$D$7:$D$159,$C175,'01'!L$7:L$159)</f>
        <v>0</v>
      </c>
      <c r="K176" s="282">
        <f>SUMIF('09'!$D$7:$D$159,$C175,'09'!M$7:M$159)+SUMIF('10'!$D$7:$D$159,$C175,'10'!M$7:M$159)+SUMIF('11'!$D$7:$D$159,$C175,'11'!M$7:M$159)+SUMIF('12'!$D$7:$D$159,$C175,'12'!M$7:M$159)+SUMIF('01'!$D$7:$D$159,$C175,'01'!M$7:M$159)</f>
        <v>0</v>
      </c>
      <c r="L176" s="283">
        <f>SUMIF('09'!$D$7:$D$159,$C175,'09'!N$7:N$159)+SUMIF('10'!$D$7:$D$159,$C175,'10'!N$7:N$159)+SUMIF('11'!$D$7:$D$159,$C175,'11'!N$7:N$159)+SUMIF('12'!$D$7:$D$159,$C175,'12'!N$7:N$159)+SUMIF('01'!$D$7:$D$159,$C175,'01'!N$7:N$159)</f>
        <v>0</v>
      </c>
      <c r="M176" s="281">
        <f>SUMIF('09'!$D$7:$D$159,$C175,'09'!O$7:O$159)+SUMIF('10'!$D$7:$D$159,$C175,'10'!O$7:O$159)+SUMIF('11'!$D$7:$D$159,$C175,'11'!O$7:O$159)+SUMIF('12'!$D$7:$D$159,$C175,'12'!O$7:O$159)+SUMIF('01'!$D$7:$D$159,$C175,'01'!O$7:O$159)</f>
        <v>0</v>
      </c>
      <c r="N176" s="282">
        <f>SUMIF('09'!$D$7:$D$159,$C175,'09'!P$7:P$159)+SUMIF('10'!$D$7:$D$159,$C175,'10'!P$7:P$159)+SUMIF('11'!$D$7:$D$159,$C175,'11'!P$7:P$159)+SUMIF('12'!$D$7:$D$159,$C175,'12'!P$7:P$159)+SUMIF('01'!$D$7:$D$159,$C175,'01'!P$7:P$159)</f>
        <v>0</v>
      </c>
      <c r="O176" s="284">
        <f>SUMIF('09'!$D$7:$D$159,$C175,'09'!Q$7:Q$159)+SUMIF('10'!$D$7:$D$159,$C175,'10'!Q$7:Q$159)+SUMIF('11'!$D$7:$D$159,$C175,'11'!Q$7:Q$159)+SUMIF('12'!$D$7:$D$159,$C175,'12'!Q$7:Q$159)+SUMIF('01'!$D$7:$D$159,$C175,'01'!Q$7:Q$159)</f>
        <v>0</v>
      </c>
      <c r="P176" s="281">
        <f>SUMIF('09'!$D$7:$D$159,$C175,'09'!R$7:R$159)+SUMIF('10'!$D$7:$D$159,$C175,'10'!R$7:R$159)+SUMIF('11'!$D$7:$D$159,$C175,'11'!R$7:R$159)+SUMIF('12'!$D$7:$D$159,$C175,'12'!R$7:R$159)+SUMIF('01'!$D$7:$D$159,$C175,'01'!R$7:R$159)</f>
        <v>0</v>
      </c>
      <c r="Q176" s="282">
        <f>SUMIF('09'!$D$7:$D$159,$C175,'09'!S$7:S$159)+SUMIF('10'!$D$7:$D$159,$C175,'10'!S$7:S$159)+SUMIF('11'!$D$7:$D$159,$C175,'11'!S$7:S$159)+SUMIF('12'!$D$7:$D$159,$C175,'12'!S$7:S$159)+SUMIF('01'!$D$7:$D$159,$C175,'01'!S$7:S$159)</f>
        <v>0</v>
      </c>
      <c r="R176" s="283">
        <f>SUMIF('09'!$D$7:$D$159,$C175,'09'!T$7:T$159)+SUMIF('10'!$D$7:$D$159,$C175,'10'!T$7:T$159)+SUMIF('11'!$D$7:$D$159,$C175,'11'!T$7:T$159)+SUMIF('12'!$D$7:$D$159,$C175,'12'!T$7:T$159)+SUMIF('01'!$D$7:$D$159,$C175,'01'!T$7:T$159)</f>
        <v>0</v>
      </c>
      <c r="S176" s="281">
        <f>SUMIF('09'!$D$7:$D$159,$C175,'09'!U$7:U$159)+SUMIF('10'!$D$7:$D$159,$C175,'10'!U$7:U$159)+SUMIF('11'!$D$7:$D$159,$C175,'11'!U$7:U$159)+SUMIF('12'!$D$7:$D$159,$C175,'12'!U$7:U$159)+SUMIF('01'!$D$7:$D$159,$C175,'01'!U$7:U$159)</f>
        <v>0</v>
      </c>
      <c r="T176" s="282">
        <f>SUMIF('09'!$D$7:$D$159,$C175,'09'!V$7:V$159)+SUMIF('10'!$D$7:$D$159,$C175,'10'!V$7:V$159)+SUMIF('11'!$D$7:$D$159,$C175,'11'!V$7:V$159)+SUMIF('12'!$D$7:$D$159,$C175,'12'!V$7:V$159)+SUMIF('01'!$D$7:$D$159,$C175,'01'!V$7:V$159)</f>
        <v>0</v>
      </c>
      <c r="U176" s="285">
        <f>SUMIF('09'!$D$7:$D$159,$C175,'09'!W$7:W$159)+SUMIF('10'!$D$7:$D$159,$C175,'10'!W$7:W$159)+SUMIF('11'!$D$7:$D$159,$C175,'11'!W$7:W$159)+SUMIF('12'!$D$7:$D$159,$C175,'12'!W$7:W$159)+SUMIF('01'!$D$7:$D$159,$C175,'01'!W$7:W$159)</f>
        <v>0</v>
      </c>
      <c r="V176" s="284">
        <f>SUMIF('09'!$D$7:$D$159,$C175,'09'!X$7:X$159)+SUMIF('10'!$D$7:$D$159,$C175,'10'!X$7:X$159)+SUMIF('11'!$D$7:$D$159,$C175,'11'!X$7:X$159)+SUMIF('12'!$D$7:$D$159,$C175,'12'!X$7:X$159)+SUMIF('01'!$D$7:$D$159,$C175,'01'!X$7:X$159)</f>
        <v>0</v>
      </c>
      <c r="W176" s="284">
        <f>SUMIF('09'!$D$7:$D$159,$C175,'09'!Y$7:Y$159)+SUMIF('10'!$D$7:$D$159,$C175,'10'!Y$7:Y$159)+SUMIF('11'!$D$7:$D$159,$C175,'11'!Y$7:Y$159)+SUMIF('12'!$D$7:$D$159,$C175,'12'!Y$7:Y$159)+SUMIF('01'!$D$7:$D$159,$C175,'01'!Y$7:Y$159)</f>
        <v>0</v>
      </c>
      <c r="X176" s="286">
        <f t="shared" si="5"/>
        <v>0</v>
      </c>
      <c r="Y176" s="345"/>
      <c r="Z176" s="347"/>
    </row>
    <row r="177" spans="1:26" ht="14.25" customHeight="1" x14ac:dyDescent="0.3">
      <c r="A177" s="178">
        <f>IF(OR(C177="0",COUNTIF(КлючОсень,C177)&gt;1),0,MATCH(F177,ВидыНагр,0))</f>
        <v>0</v>
      </c>
      <c r="B177" s="178" t="b">
        <f>(COUNTA(D177:F178,J177:W177,H177:I178)=0)</f>
        <v>1</v>
      </c>
      <c r="C177" s="179" t="str">
        <f>IF(OR(TRIM(D177)="",COUNTIF(ВидыНагр,F177)&lt;&gt;1),"0",CONCATENATE("$",TRIM(D177),"$",TRIM(E177),"$",F177,"$"))</f>
        <v>0</v>
      </c>
      <c r="D177" s="340"/>
      <c r="E177" s="338"/>
      <c r="F177" s="342"/>
      <c r="G177" s="180" t="s">
        <v>7</v>
      </c>
      <c r="H177" s="181"/>
      <c r="I177" s="182"/>
      <c r="J177" s="183"/>
      <c r="K177" s="184"/>
      <c r="L177" s="185"/>
      <c r="M177" s="183"/>
      <c r="N177" s="184"/>
      <c r="O177" s="186"/>
      <c r="P177" s="183"/>
      <c r="Q177" s="184"/>
      <c r="R177" s="185"/>
      <c r="S177" s="183"/>
      <c r="T177" s="184"/>
      <c r="U177" s="187"/>
      <c r="V177" s="186"/>
      <c r="W177" s="186"/>
      <c r="X177" s="279">
        <f>SUM(J177:W177)</f>
        <v>0</v>
      </c>
      <c r="Y177" s="344">
        <f>X178-X177</f>
        <v>0</v>
      </c>
      <c r="Z177" s="346"/>
    </row>
    <row r="178" spans="1:26" ht="14.25" customHeight="1" x14ac:dyDescent="0.3">
      <c r="A178" s="178">
        <f>-A177</f>
        <v>0</v>
      </c>
      <c r="B178" s="178" t="b">
        <f>B177</f>
        <v>1</v>
      </c>
      <c r="C178" s="188"/>
      <c r="D178" s="341"/>
      <c r="E178" s="339"/>
      <c r="F178" s="343"/>
      <c r="G178" s="189" t="s">
        <v>8</v>
      </c>
      <c r="H178" s="190"/>
      <c r="I178" s="280"/>
      <c r="J178" s="281">
        <f>SUMIF('09'!$D$7:$D$159,$C177,'09'!L$7:L$159)+SUMIF('10'!$D$7:$D$159,$C177,'10'!L$7:L$159)+SUMIF('11'!$D$7:$D$159,$C177,'11'!L$7:L$159)+SUMIF('12'!$D$7:$D$159,$C177,'12'!L$7:L$159)+SUMIF('01'!$D$7:$D$159,$C177,'01'!L$7:L$159)</f>
        <v>0</v>
      </c>
      <c r="K178" s="282">
        <f>SUMIF('09'!$D$7:$D$159,$C177,'09'!M$7:M$159)+SUMIF('10'!$D$7:$D$159,$C177,'10'!M$7:M$159)+SUMIF('11'!$D$7:$D$159,$C177,'11'!M$7:M$159)+SUMIF('12'!$D$7:$D$159,$C177,'12'!M$7:M$159)+SUMIF('01'!$D$7:$D$159,$C177,'01'!M$7:M$159)</f>
        <v>0</v>
      </c>
      <c r="L178" s="283">
        <f>SUMIF('09'!$D$7:$D$159,$C177,'09'!N$7:N$159)+SUMIF('10'!$D$7:$D$159,$C177,'10'!N$7:N$159)+SUMIF('11'!$D$7:$D$159,$C177,'11'!N$7:N$159)+SUMIF('12'!$D$7:$D$159,$C177,'12'!N$7:N$159)+SUMIF('01'!$D$7:$D$159,$C177,'01'!N$7:N$159)</f>
        <v>0</v>
      </c>
      <c r="M178" s="281">
        <f>SUMIF('09'!$D$7:$D$159,$C177,'09'!O$7:O$159)+SUMIF('10'!$D$7:$D$159,$C177,'10'!O$7:O$159)+SUMIF('11'!$D$7:$D$159,$C177,'11'!O$7:O$159)+SUMIF('12'!$D$7:$D$159,$C177,'12'!O$7:O$159)+SUMIF('01'!$D$7:$D$159,$C177,'01'!O$7:O$159)</f>
        <v>0</v>
      </c>
      <c r="N178" s="282">
        <f>SUMIF('09'!$D$7:$D$159,$C177,'09'!P$7:P$159)+SUMIF('10'!$D$7:$D$159,$C177,'10'!P$7:P$159)+SUMIF('11'!$D$7:$D$159,$C177,'11'!P$7:P$159)+SUMIF('12'!$D$7:$D$159,$C177,'12'!P$7:P$159)+SUMIF('01'!$D$7:$D$159,$C177,'01'!P$7:P$159)</f>
        <v>0</v>
      </c>
      <c r="O178" s="284">
        <f>SUMIF('09'!$D$7:$D$159,$C177,'09'!Q$7:Q$159)+SUMIF('10'!$D$7:$D$159,$C177,'10'!Q$7:Q$159)+SUMIF('11'!$D$7:$D$159,$C177,'11'!Q$7:Q$159)+SUMIF('12'!$D$7:$D$159,$C177,'12'!Q$7:Q$159)+SUMIF('01'!$D$7:$D$159,$C177,'01'!Q$7:Q$159)</f>
        <v>0</v>
      </c>
      <c r="P178" s="281">
        <f>SUMIF('09'!$D$7:$D$159,$C177,'09'!R$7:R$159)+SUMIF('10'!$D$7:$D$159,$C177,'10'!R$7:R$159)+SUMIF('11'!$D$7:$D$159,$C177,'11'!R$7:R$159)+SUMIF('12'!$D$7:$D$159,$C177,'12'!R$7:R$159)+SUMIF('01'!$D$7:$D$159,$C177,'01'!R$7:R$159)</f>
        <v>0</v>
      </c>
      <c r="Q178" s="282">
        <f>SUMIF('09'!$D$7:$D$159,$C177,'09'!S$7:S$159)+SUMIF('10'!$D$7:$D$159,$C177,'10'!S$7:S$159)+SUMIF('11'!$D$7:$D$159,$C177,'11'!S$7:S$159)+SUMIF('12'!$D$7:$D$159,$C177,'12'!S$7:S$159)+SUMIF('01'!$D$7:$D$159,$C177,'01'!S$7:S$159)</f>
        <v>0</v>
      </c>
      <c r="R178" s="283">
        <f>SUMIF('09'!$D$7:$D$159,$C177,'09'!T$7:T$159)+SUMIF('10'!$D$7:$D$159,$C177,'10'!T$7:T$159)+SUMIF('11'!$D$7:$D$159,$C177,'11'!T$7:T$159)+SUMIF('12'!$D$7:$D$159,$C177,'12'!T$7:T$159)+SUMIF('01'!$D$7:$D$159,$C177,'01'!T$7:T$159)</f>
        <v>0</v>
      </c>
      <c r="S178" s="281">
        <f>SUMIF('09'!$D$7:$D$159,$C177,'09'!U$7:U$159)+SUMIF('10'!$D$7:$D$159,$C177,'10'!U$7:U$159)+SUMIF('11'!$D$7:$D$159,$C177,'11'!U$7:U$159)+SUMIF('12'!$D$7:$D$159,$C177,'12'!U$7:U$159)+SUMIF('01'!$D$7:$D$159,$C177,'01'!U$7:U$159)</f>
        <v>0</v>
      </c>
      <c r="T178" s="282">
        <f>SUMIF('09'!$D$7:$D$159,$C177,'09'!V$7:V$159)+SUMIF('10'!$D$7:$D$159,$C177,'10'!V$7:V$159)+SUMIF('11'!$D$7:$D$159,$C177,'11'!V$7:V$159)+SUMIF('12'!$D$7:$D$159,$C177,'12'!V$7:V$159)+SUMIF('01'!$D$7:$D$159,$C177,'01'!V$7:V$159)</f>
        <v>0</v>
      </c>
      <c r="U178" s="285">
        <f>SUMIF('09'!$D$7:$D$159,$C177,'09'!W$7:W$159)+SUMIF('10'!$D$7:$D$159,$C177,'10'!W$7:W$159)+SUMIF('11'!$D$7:$D$159,$C177,'11'!W$7:W$159)+SUMIF('12'!$D$7:$D$159,$C177,'12'!W$7:W$159)+SUMIF('01'!$D$7:$D$159,$C177,'01'!W$7:W$159)</f>
        <v>0</v>
      </c>
      <c r="V178" s="284">
        <f>SUMIF('09'!$D$7:$D$159,$C177,'09'!X$7:X$159)+SUMIF('10'!$D$7:$D$159,$C177,'10'!X$7:X$159)+SUMIF('11'!$D$7:$D$159,$C177,'11'!X$7:X$159)+SUMIF('12'!$D$7:$D$159,$C177,'12'!X$7:X$159)+SUMIF('01'!$D$7:$D$159,$C177,'01'!X$7:X$159)</f>
        <v>0</v>
      </c>
      <c r="W178" s="284">
        <f>SUMIF('09'!$D$7:$D$159,$C177,'09'!Y$7:Y$159)+SUMIF('10'!$D$7:$D$159,$C177,'10'!Y$7:Y$159)+SUMIF('11'!$D$7:$D$159,$C177,'11'!Y$7:Y$159)+SUMIF('12'!$D$7:$D$159,$C177,'12'!Y$7:Y$159)+SUMIF('01'!$D$7:$D$159,$C177,'01'!Y$7:Y$159)</f>
        <v>0</v>
      </c>
      <c r="X178" s="286">
        <f>SUM(J178:W178)</f>
        <v>0</v>
      </c>
      <c r="Y178" s="345"/>
      <c r="Z178" s="347"/>
    </row>
    <row r="180" spans="1:26" x14ac:dyDescent="0.3">
      <c r="Y180" s="2"/>
    </row>
    <row r="181" spans="1:26" x14ac:dyDescent="0.3">
      <c r="Y181" s="2"/>
    </row>
    <row r="182" spans="1:26" x14ac:dyDescent="0.3">
      <c r="Y182" s="2"/>
    </row>
    <row r="183" spans="1:26" x14ac:dyDescent="0.3">
      <c r="Y183" s="2"/>
    </row>
    <row r="184" spans="1:26" x14ac:dyDescent="0.3">
      <c r="Y184" s="2"/>
    </row>
    <row r="185" spans="1:26" x14ac:dyDescent="0.3">
      <c r="Y185" s="2"/>
    </row>
    <row r="186" spans="1:26" x14ac:dyDescent="0.3">
      <c r="Y186" s="2"/>
    </row>
    <row r="187" spans="1:26" x14ac:dyDescent="0.3">
      <c r="Y187" s="2"/>
    </row>
    <row r="188" spans="1:26" x14ac:dyDescent="0.3">
      <c r="Y188" s="2"/>
    </row>
    <row r="189" spans="1:26" x14ac:dyDescent="0.3">
      <c r="Y189" s="2"/>
    </row>
    <row r="190" spans="1:26" x14ac:dyDescent="0.3">
      <c r="Y190" s="2"/>
    </row>
    <row r="191" spans="1:26" x14ac:dyDescent="0.3">
      <c r="Y191" s="2"/>
    </row>
    <row r="192" spans="1:26" x14ac:dyDescent="0.3">
      <c r="Y192" s="2"/>
    </row>
    <row r="193" spans="25:25" x14ac:dyDescent="0.3">
      <c r="Y193" s="2"/>
    </row>
    <row r="194" spans="25:25" x14ac:dyDescent="0.3">
      <c r="Y194" s="2"/>
    </row>
  </sheetData>
  <sheetProtection algorithmName="SHA-512" hashValue="YeaV380oIq+cfBHdYQqE53NEkP4EbFFuRwm2A+WSLIvX+rptNYg7Phv+D3bZpFAIQh0uIzPgMLLv//g/U1OqyQ==" saltValue="gijUyrNBjyrbn4/RScW3zQ==" spinCount="100000" sheet="1" objects="1" scenarios="1"/>
  <mergeCells count="439">
    <mergeCell ref="E167:E168"/>
    <mergeCell ref="F167:F168"/>
    <mergeCell ref="Y167:Y168"/>
    <mergeCell ref="Z167:Z168"/>
    <mergeCell ref="E163:E164"/>
    <mergeCell ref="F163:F164"/>
    <mergeCell ref="Y163:Y164"/>
    <mergeCell ref="Z163:Z164"/>
    <mergeCell ref="D165:D166"/>
    <mergeCell ref="E165:E166"/>
    <mergeCell ref="F165:F166"/>
    <mergeCell ref="Y165:Y166"/>
    <mergeCell ref="Z165:Z166"/>
    <mergeCell ref="E159:E160"/>
    <mergeCell ref="F159:F160"/>
    <mergeCell ref="Y159:Y160"/>
    <mergeCell ref="Z159:Z160"/>
    <mergeCell ref="D161:D162"/>
    <mergeCell ref="E161:E162"/>
    <mergeCell ref="F161:F162"/>
    <mergeCell ref="Y161:Y162"/>
    <mergeCell ref="Z161:Z162"/>
    <mergeCell ref="E155:E156"/>
    <mergeCell ref="F155:F156"/>
    <mergeCell ref="Y155:Y156"/>
    <mergeCell ref="Z155:Z156"/>
    <mergeCell ref="D157:D158"/>
    <mergeCell ref="E157:E158"/>
    <mergeCell ref="F157:F158"/>
    <mergeCell ref="Y157:Y158"/>
    <mergeCell ref="Z157:Z158"/>
    <mergeCell ref="E151:E152"/>
    <mergeCell ref="F151:F152"/>
    <mergeCell ref="Y151:Y152"/>
    <mergeCell ref="Z151:Z152"/>
    <mergeCell ref="D153:D154"/>
    <mergeCell ref="E153:E154"/>
    <mergeCell ref="F153:F154"/>
    <mergeCell ref="Y153:Y154"/>
    <mergeCell ref="Z153:Z154"/>
    <mergeCell ref="E147:E148"/>
    <mergeCell ref="F147:F148"/>
    <mergeCell ref="Y147:Y148"/>
    <mergeCell ref="Z147:Z148"/>
    <mergeCell ref="D149:D150"/>
    <mergeCell ref="E149:E150"/>
    <mergeCell ref="F149:F150"/>
    <mergeCell ref="Y149:Y150"/>
    <mergeCell ref="Z149:Z150"/>
    <mergeCell ref="E143:E144"/>
    <mergeCell ref="F143:F144"/>
    <mergeCell ref="Y143:Y144"/>
    <mergeCell ref="Z143:Z144"/>
    <mergeCell ref="D145:D146"/>
    <mergeCell ref="E145:E146"/>
    <mergeCell ref="F145:F146"/>
    <mergeCell ref="Y145:Y146"/>
    <mergeCell ref="Z145:Z146"/>
    <mergeCell ref="E139:E140"/>
    <mergeCell ref="F139:F140"/>
    <mergeCell ref="Y139:Y140"/>
    <mergeCell ref="Z139:Z140"/>
    <mergeCell ref="D141:D142"/>
    <mergeCell ref="E141:E142"/>
    <mergeCell ref="F141:F142"/>
    <mergeCell ref="Y141:Y142"/>
    <mergeCell ref="Z141:Z142"/>
    <mergeCell ref="E135:E136"/>
    <mergeCell ref="F135:F136"/>
    <mergeCell ref="Y135:Y136"/>
    <mergeCell ref="Z135:Z136"/>
    <mergeCell ref="D137:D138"/>
    <mergeCell ref="E137:E138"/>
    <mergeCell ref="F137:F138"/>
    <mergeCell ref="Y137:Y138"/>
    <mergeCell ref="Z137:Z138"/>
    <mergeCell ref="E131:E132"/>
    <mergeCell ref="F131:F132"/>
    <mergeCell ref="Y131:Y132"/>
    <mergeCell ref="Z131:Z132"/>
    <mergeCell ref="D133:D134"/>
    <mergeCell ref="E133:E134"/>
    <mergeCell ref="F133:F134"/>
    <mergeCell ref="Y133:Y134"/>
    <mergeCell ref="Z133:Z134"/>
    <mergeCell ref="Y125:Y126"/>
    <mergeCell ref="Z125:Z126"/>
    <mergeCell ref="D127:D128"/>
    <mergeCell ref="E127:E128"/>
    <mergeCell ref="F127:F128"/>
    <mergeCell ref="Y127:Y128"/>
    <mergeCell ref="Z127:Z128"/>
    <mergeCell ref="D129:D130"/>
    <mergeCell ref="E129:E130"/>
    <mergeCell ref="F129:F130"/>
    <mergeCell ref="Y129:Y130"/>
    <mergeCell ref="Z129:Z130"/>
    <mergeCell ref="Z117:Z118"/>
    <mergeCell ref="Z111:Z112"/>
    <mergeCell ref="F109:F110"/>
    <mergeCell ref="Y109:Y110"/>
    <mergeCell ref="Z113:Z114"/>
    <mergeCell ref="Z115:Z116"/>
    <mergeCell ref="D119:D120"/>
    <mergeCell ref="E119:E120"/>
    <mergeCell ref="Z173:Z174"/>
    <mergeCell ref="D169:D170"/>
    <mergeCell ref="Y119:Y120"/>
    <mergeCell ref="Y121:Y122"/>
    <mergeCell ref="Y123:Y124"/>
    <mergeCell ref="E173:E174"/>
    <mergeCell ref="Y111:Y112"/>
    <mergeCell ref="Y117:Y118"/>
    <mergeCell ref="F115:F116"/>
    <mergeCell ref="F111:F112"/>
    <mergeCell ref="F113:F114"/>
    <mergeCell ref="Y113:Y114"/>
    <mergeCell ref="D111:D112"/>
    <mergeCell ref="D117:D118"/>
    <mergeCell ref="E117:E118"/>
    <mergeCell ref="F117:F118"/>
    <mergeCell ref="Z175:Z176"/>
    <mergeCell ref="Z177:Z178"/>
    <mergeCell ref="Z121:Z122"/>
    <mergeCell ref="Z123:Z124"/>
    <mergeCell ref="Z169:Z170"/>
    <mergeCell ref="Z171:Z172"/>
    <mergeCell ref="Z119:Z120"/>
    <mergeCell ref="E169:E170"/>
    <mergeCell ref="F119:F120"/>
    <mergeCell ref="F121:F122"/>
    <mergeCell ref="Y177:Y178"/>
    <mergeCell ref="Y175:Y176"/>
    <mergeCell ref="F175:F176"/>
    <mergeCell ref="F123:F124"/>
    <mergeCell ref="F169:F170"/>
    <mergeCell ref="F171:F172"/>
    <mergeCell ref="F173:F174"/>
    <mergeCell ref="E177:E178"/>
    <mergeCell ref="E121:E122"/>
    <mergeCell ref="E123:E124"/>
    <mergeCell ref="F177:F178"/>
    <mergeCell ref="E171:E172"/>
    <mergeCell ref="E125:E126"/>
    <mergeCell ref="F125:F126"/>
    <mergeCell ref="Z97:Z98"/>
    <mergeCell ref="Z99:Z100"/>
    <mergeCell ref="Z77:Z78"/>
    <mergeCell ref="Z79:Z80"/>
    <mergeCell ref="Z81:Z82"/>
    <mergeCell ref="Z83:Z84"/>
    <mergeCell ref="Z85:Z86"/>
    <mergeCell ref="Z87:Z88"/>
    <mergeCell ref="Z109:Z110"/>
    <mergeCell ref="Z89:Z90"/>
    <mergeCell ref="Z91:Z92"/>
    <mergeCell ref="Z93:Z94"/>
    <mergeCell ref="Z95:Z96"/>
    <mergeCell ref="Z101:Z102"/>
    <mergeCell ref="Z103:Z104"/>
    <mergeCell ref="Z105:Z106"/>
    <mergeCell ref="Z107:Z108"/>
    <mergeCell ref="Z45:Z46"/>
    <mergeCell ref="Z47:Z48"/>
    <mergeCell ref="Z49:Z50"/>
    <mergeCell ref="Z51:Z52"/>
    <mergeCell ref="Z73:Z74"/>
    <mergeCell ref="Z75:Z76"/>
    <mergeCell ref="Z53:Z54"/>
    <mergeCell ref="Z55:Z56"/>
    <mergeCell ref="Z57:Z58"/>
    <mergeCell ref="Z59:Z60"/>
    <mergeCell ref="Z61:Z62"/>
    <mergeCell ref="Z63:Z64"/>
    <mergeCell ref="Z65:Z66"/>
    <mergeCell ref="Z67:Z68"/>
    <mergeCell ref="Z69:Z70"/>
    <mergeCell ref="Z71:Z72"/>
    <mergeCell ref="Z5:Z6"/>
    <mergeCell ref="Z7:Z8"/>
    <mergeCell ref="Z9:Z10"/>
    <mergeCell ref="Z11:Z12"/>
    <mergeCell ref="Y29:Y30"/>
    <mergeCell ref="J1:W1"/>
    <mergeCell ref="D1:I1"/>
    <mergeCell ref="Y3:Y4"/>
    <mergeCell ref="Y5:Y6"/>
    <mergeCell ref="D3:F4"/>
    <mergeCell ref="E5:E6"/>
    <mergeCell ref="F5:F6"/>
    <mergeCell ref="D5:D6"/>
    <mergeCell ref="Z13:Z14"/>
    <mergeCell ref="Z15:Z16"/>
    <mergeCell ref="Z17:Z18"/>
    <mergeCell ref="Z19:Z20"/>
    <mergeCell ref="Z29:Z30"/>
    <mergeCell ref="Y7:Y8"/>
    <mergeCell ref="Y9:Y10"/>
    <mergeCell ref="F17:F18"/>
    <mergeCell ref="D21:D22"/>
    <mergeCell ref="D25:D26"/>
    <mergeCell ref="E27:E28"/>
    <mergeCell ref="Z21:Z22"/>
    <mergeCell ref="Z23:Z24"/>
    <mergeCell ref="Z25:Z26"/>
    <mergeCell ref="Z27:Z28"/>
    <mergeCell ref="Z41:Z42"/>
    <mergeCell ref="Z43:Z44"/>
    <mergeCell ref="Z31:Z32"/>
    <mergeCell ref="Z33:Z34"/>
    <mergeCell ref="Z35:Z36"/>
    <mergeCell ref="Z37:Z38"/>
    <mergeCell ref="Z39:Z40"/>
    <mergeCell ref="E39:E40"/>
    <mergeCell ref="E47:E48"/>
    <mergeCell ref="F47:F48"/>
    <mergeCell ref="E41:E42"/>
    <mergeCell ref="Y83:Y84"/>
    <mergeCell ref="F53:F54"/>
    <mergeCell ref="F21:F22"/>
    <mergeCell ref="F23:F24"/>
    <mergeCell ref="F41:F42"/>
    <mergeCell ref="Y43:Y44"/>
    <mergeCell ref="F43:F44"/>
    <mergeCell ref="F35:F36"/>
    <mergeCell ref="Y33:Y34"/>
    <mergeCell ref="F31:F32"/>
    <mergeCell ref="F37:F38"/>
    <mergeCell ref="Y41:Y42"/>
    <mergeCell ref="F39:F40"/>
    <mergeCell ref="F33:F34"/>
    <mergeCell ref="Y39:Y40"/>
    <mergeCell ref="Y37:Y38"/>
    <mergeCell ref="E73:E74"/>
    <mergeCell ref="E61:E62"/>
    <mergeCell ref="F69:F70"/>
    <mergeCell ref="E75:E76"/>
    <mergeCell ref="F99:F100"/>
    <mergeCell ref="F107:F108"/>
    <mergeCell ref="D101:D102"/>
    <mergeCell ref="E99:E100"/>
    <mergeCell ref="D107:D108"/>
    <mergeCell ref="E93:E94"/>
    <mergeCell ref="D83:D84"/>
    <mergeCell ref="E83:E84"/>
    <mergeCell ref="D91:D92"/>
    <mergeCell ref="D93:D94"/>
    <mergeCell ref="E89:E90"/>
    <mergeCell ref="D89:D90"/>
    <mergeCell ref="D85:D86"/>
    <mergeCell ref="E97:E98"/>
    <mergeCell ref="F87:F88"/>
    <mergeCell ref="F97:F98"/>
    <mergeCell ref="F93:F94"/>
    <mergeCell ref="F101:F102"/>
    <mergeCell ref="F95:F96"/>
    <mergeCell ref="E91:E92"/>
    <mergeCell ref="E95:E96"/>
    <mergeCell ref="F105:F106"/>
    <mergeCell ref="F103:F104"/>
    <mergeCell ref="F83:F84"/>
    <mergeCell ref="Y89:Y90"/>
    <mergeCell ref="Y91:Y92"/>
    <mergeCell ref="Y93:Y94"/>
    <mergeCell ref="F91:F92"/>
    <mergeCell ref="Y85:Y86"/>
    <mergeCell ref="Y95:Y96"/>
    <mergeCell ref="F81:F82"/>
    <mergeCell ref="F89:F90"/>
    <mergeCell ref="F55:F56"/>
    <mergeCell ref="F71:F72"/>
    <mergeCell ref="F85:F86"/>
    <mergeCell ref="F79:F80"/>
    <mergeCell ref="Y67:Y68"/>
    <mergeCell ref="F63:F64"/>
    <mergeCell ref="F65:F66"/>
    <mergeCell ref="F67:F68"/>
    <mergeCell ref="F59:F60"/>
    <mergeCell ref="Y61:Y62"/>
    <mergeCell ref="F61:F62"/>
    <mergeCell ref="F75:F76"/>
    <mergeCell ref="Y75:Y76"/>
    <mergeCell ref="Y71:Y72"/>
    <mergeCell ref="Y77:Y78"/>
    <mergeCell ref="Y73:Y74"/>
    <mergeCell ref="E175:E176"/>
    <mergeCell ref="Y45:Y46"/>
    <mergeCell ref="Y59:Y60"/>
    <mergeCell ref="Y63:Y64"/>
    <mergeCell ref="Y65:Y66"/>
    <mergeCell ref="Y57:Y58"/>
    <mergeCell ref="Y79:Y80"/>
    <mergeCell ref="F73:F74"/>
    <mergeCell ref="Y69:Y70"/>
    <mergeCell ref="F57:F58"/>
    <mergeCell ref="Y55:Y56"/>
    <mergeCell ref="Y49:Y50"/>
    <mergeCell ref="Y51:Y52"/>
    <mergeCell ref="Y53:Y54"/>
    <mergeCell ref="F51:F52"/>
    <mergeCell ref="E85:E86"/>
    <mergeCell ref="E87:E88"/>
    <mergeCell ref="Y97:Y98"/>
    <mergeCell ref="Y99:Y100"/>
    <mergeCell ref="Y101:Y102"/>
    <mergeCell ref="Y103:Y104"/>
    <mergeCell ref="Y173:Y174"/>
    <mergeCell ref="Y171:Y172"/>
    <mergeCell ref="Y169:Y170"/>
    <mergeCell ref="D39:D40"/>
    <mergeCell ref="D37:D38"/>
    <mergeCell ref="E45:E46"/>
    <mergeCell ref="F45:F46"/>
    <mergeCell ref="E51:E52"/>
    <mergeCell ref="F49:F50"/>
    <mergeCell ref="Y47:Y48"/>
    <mergeCell ref="Y87:Y88"/>
    <mergeCell ref="Y115:Y116"/>
    <mergeCell ref="Y105:Y106"/>
    <mergeCell ref="Y107:Y108"/>
    <mergeCell ref="D59:D60"/>
    <mergeCell ref="D61:D62"/>
    <mergeCell ref="E81:E82"/>
    <mergeCell ref="E79:E80"/>
    <mergeCell ref="D79:D80"/>
    <mergeCell ref="E65:E66"/>
    <mergeCell ref="E59:E60"/>
    <mergeCell ref="E63:E64"/>
    <mergeCell ref="F77:F78"/>
    <mergeCell ref="D73:D74"/>
    <mergeCell ref="D63:D64"/>
    <mergeCell ref="D81:D82"/>
    <mergeCell ref="Y81:Y82"/>
    <mergeCell ref="D71:D72"/>
    <mergeCell ref="D75:D76"/>
    <mergeCell ref="D65:D66"/>
    <mergeCell ref="D67:D68"/>
    <mergeCell ref="D55:D56"/>
    <mergeCell ref="D69:D70"/>
    <mergeCell ref="E77:E78"/>
    <mergeCell ref="E67:E68"/>
    <mergeCell ref="E69:E70"/>
    <mergeCell ref="E71:E72"/>
    <mergeCell ref="Y31:Y32"/>
    <mergeCell ref="Y13:Y14"/>
    <mergeCell ref="Y15:Y16"/>
    <mergeCell ref="Y19:Y20"/>
    <mergeCell ref="F25:F26"/>
    <mergeCell ref="Y17:Y18"/>
    <mergeCell ref="Y21:Y22"/>
    <mergeCell ref="D33:D34"/>
    <mergeCell ref="E37:E38"/>
    <mergeCell ref="Y35:Y36"/>
    <mergeCell ref="Y25:Y26"/>
    <mergeCell ref="Y27:Y28"/>
    <mergeCell ref="F19:F20"/>
    <mergeCell ref="E35:E36"/>
    <mergeCell ref="D35:D36"/>
    <mergeCell ref="E31:E32"/>
    <mergeCell ref="D31:D32"/>
    <mergeCell ref="E33:E34"/>
    <mergeCell ref="Y11:Y12"/>
    <mergeCell ref="D27:D28"/>
    <mergeCell ref="D23:D24"/>
    <mergeCell ref="D29:D30"/>
    <mergeCell ref="D17:D18"/>
    <mergeCell ref="D19:D20"/>
    <mergeCell ref="F27:F28"/>
    <mergeCell ref="Y23:Y24"/>
    <mergeCell ref="E23:E24"/>
    <mergeCell ref="D177:D178"/>
    <mergeCell ref="D97:D98"/>
    <mergeCell ref="D99:D100"/>
    <mergeCell ref="D175:D176"/>
    <mergeCell ref="D171:D172"/>
    <mergeCell ref="D173:D174"/>
    <mergeCell ref="D103:D104"/>
    <mergeCell ref="D105:D106"/>
    <mergeCell ref="D123:D124"/>
    <mergeCell ref="D121:D122"/>
    <mergeCell ref="D109:D110"/>
    <mergeCell ref="D115:D116"/>
    <mergeCell ref="D113:D114"/>
    <mergeCell ref="D125:D126"/>
    <mergeCell ref="D131:D132"/>
    <mergeCell ref="D135:D136"/>
    <mergeCell ref="D139:D140"/>
    <mergeCell ref="D143:D144"/>
    <mergeCell ref="D147:D148"/>
    <mergeCell ref="D151:D152"/>
    <mergeCell ref="D155:D156"/>
    <mergeCell ref="D159:D160"/>
    <mergeCell ref="D163:D164"/>
    <mergeCell ref="D167:D168"/>
    <mergeCell ref="F7:F8"/>
    <mergeCell ref="F9:F10"/>
    <mergeCell ref="F11:F12"/>
    <mergeCell ref="F29:F30"/>
    <mergeCell ref="F13:F14"/>
    <mergeCell ref="F15:F16"/>
    <mergeCell ref="D7:D8"/>
    <mergeCell ref="D13:D14"/>
    <mergeCell ref="D15:D16"/>
    <mergeCell ref="D9:D10"/>
    <mergeCell ref="D11:D12"/>
    <mergeCell ref="E25:E26"/>
    <mergeCell ref="E29:E30"/>
    <mergeCell ref="E21:E22"/>
    <mergeCell ref="E7:E8"/>
    <mergeCell ref="E11:E12"/>
    <mergeCell ref="E19:E20"/>
    <mergeCell ref="E13:E14"/>
    <mergeCell ref="E15:E16"/>
    <mergeCell ref="E17:E18"/>
    <mergeCell ref="E9:E10"/>
    <mergeCell ref="E109:E110"/>
    <mergeCell ref="E115:E116"/>
    <mergeCell ref="D41:D42"/>
    <mergeCell ref="D45:D46"/>
    <mergeCell ref="D47:D48"/>
    <mergeCell ref="D49:D50"/>
    <mergeCell ref="D43:D44"/>
    <mergeCell ref="E43:E44"/>
    <mergeCell ref="D57:D58"/>
    <mergeCell ref="E49:E50"/>
    <mergeCell ref="E55:E56"/>
    <mergeCell ref="E57:E58"/>
    <mergeCell ref="E53:E54"/>
    <mergeCell ref="D53:D54"/>
    <mergeCell ref="D51:D52"/>
    <mergeCell ref="D95:D96"/>
    <mergeCell ref="D87:D88"/>
    <mergeCell ref="E113:E114"/>
    <mergeCell ref="E101:E102"/>
    <mergeCell ref="E103:E104"/>
    <mergeCell ref="E105:E106"/>
    <mergeCell ref="E107:E108"/>
    <mergeCell ref="E111:E112"/>
    <mergeCell ref="D77:D78"/>
  </mergeCells>
  <phoneticPr fontId="0" type="noConversion"/>
  <conditionalFormatting sqref="H5:Y178">
    <cfRule type="expression" dxfId="81" priority="10" stopIfTrue="1">
      <formula>$B5</formula>
    </cfRule>
  </conditionalFormatting>
  <conditionalFormatting sqref="Z5:Z178">
    <cfRule type="expression" dxfId="80" priority="17" stopIfTrue="1">
      <formula>$B5</formula>
    </cfRule>
  </conditionalFormatting>
  <conditionalFormatting sqref="D5:F178">
    <cfRule type="expression" dxfId="79" priority="1" stopIfTrue="1">
      <formula>$B5</formula>
    </cfRule>
    <cfRule type="expression" dxfId="78" priority="13" stopIfTrue="1">
      <formula>($A5=0)</formula>
    </cfRule>
  </conditionalFormatting>
  <conditionalFormatting sqref="F5:F178">
    <cfRule type="expression" dxfId="77" priority="12" stopIfTrue="1">
      <formula>OR(AND(Ставка=0,F5="осн."),AND(Ставка_С=0,F5="совм."))</formula>
    </cfRule>
  </conditionalFormatting>
  <dataValidations count="3">
    <dataValidation type="list" allowBlank="1" showInputMessage="1" showErrorMessage="1" sqref="F5:F15 F17:F178">
      <formula1>ВидыНагр</formula1>
    </dataValidation>
    <dataValidation type="list" allowBlank="1" sqref="D5:D178">
      <formula1>OFFSET(ДисциплиныОсень,0,0,ДисциплиныОсеньКол,1)</formula1>
    </dataValidation>
    <dataValidation type="list" allowBlank="1" sqref="E5:E178">
      <formula1>OFFSET(ГруппыОсень,0,0,ГруппыОсеньКол,1)</formula1>
    </dataValidation>
  </dataValidations>
  <printOptions horizontalCentered="1"/>
  <pageMargins left="0.39370078740157483" right="0.39370078740157483" top="1.1811023622047245" bottom="0.70866141732283472" header="0.86614173228346458" footer="0.39370078740157483"/>
  <pageSetup paperSize="9" scale="73" fitToHeight="10" orientation="landscape" horizontalDpi="300" verticalDpi="300" r:id="rId1"/>
  <headerFooter>
    <oddHeader>&amp;L&amp;"Open Sans,полужирный"Осенний семестр&amp;"Open Sans,обычный" (с. &amp;P из &amp;N)&amp;R&amp;F</oddHeader>
    <oddFooter>&amp;LПреподаватель  ________________&amp;CЗав. кафедрой  ________________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4">
    <tabColor indexed="15"/>
    <pageSetUpPr fitToPage="1"/>
  </sheetPr>
  <dimension ref="A1:Z194"/>
  <sheetViews>
    <sheetView zoomScale="85" zoomScaleNormal="85" workbookViewId="0">
      <pane xSplit="7" ySplit="4" topLeftCell="H5" activePane="bottomRight" state="frozen"/>
      <selection activeCell="D3" sqref="D3:F4"/>
      <selection pane="topRight" activeCell="D3" sqref="D3:F4"/>
      <selection pane="bottomLeft" activeCell="D3" sqref="D3:F4"/>
      <selection pane="bottomRight" activeCell="D5" sqref="D5:D6"/>
    </sheetView>
  </sheetViews>
  <sheetFormatPr defaultRowHeight="14.25" x14ac:dyDescent="0.3"/>
  <cols>
    <col min="1" max="2" width="4.7109375" style="167" hidden="1" customWidth="1"/>
    <col min="3" max="3" width="27" style="168" hidden="1" customWidth="1"/>
    <col min="4" max="4" width="32.7109375" style="168" customWidth="1"/>
    <col min="5" max="5" width="18.7109375" style="168" customWidth="1"/>
    <col min="6" max="6" width="6.7109375" style="168" customWidth="1"/>
    <col min="7" max="7" width="5.7109375" style="168" customWidth="1"/>
    <col min="8" max="9" width="3.7109375" style="168" customWidth="1"/>
    <col min="10" max="23" width="6.7109375" style="168" customWidth="1"/>
    <col min="24" max="25" width="7.7109375" style="168" customWidth="1"/>
    <col min="26" max="26" width="20.7109375" style="168" customWidth="1"/>
    <col min="27" max="16384" width="9.140625" style="168"/>
  </cols>
  <sheetData>
    <row r="1" spans="1:26" ht="12.75" customHeight="1" x14ac:dyDescent="0.3">
      <c r="D1" s="351" t="s">
        <v>96</v>
      </c>
      <c r="E1" s="352"/>
      <c r="F1" s="352"/>
      <c r="G1" s="352"/>
      <c r="H1" s="352"/>
      <c r="I1" s="352"/>
      <c r="J1" s="348" t="s">
        <v>240</v>
      </c>
      <c r="K1" s="349"/>
      <c r="L1" s="349"/>
      <c r="M1" s="349"/>
      <c r="N1" s="349"/>
      <c r="O1" s="349"/>
      <c r="P1" s="349"/>
      <c r="Q1" s="349"/>
      <c r="R1" s="349"/>
      <c r="S1" s="349"/>
      <c r="T1" s="349"/>
      <c r="U1" s="349"/>
      <c r="V1" s="349"/>
      <c r="W1" s="350"/>
    </row>
    <row r="2" spans="1:26" ht="112.5" customHeight="1" x14ac:dyDescent="0.3">
      <c r="A2" s="169" t="s">
        <v>118</v>
      </c>
      <c r="B2" s="169" t="s">
        <v>113</v>
      </c>
      <c r="C2" s="170" t="s">
        <v>76</v>
      </c>
      <c r="D2" s="193" t="s">
        <v>69</v>
      </c>
      <c r="E2" s="194" t="s">
        <v>100</v>
      </c>
      <c r="F2" s="196" t="s">
        <v>109</v>
      </c>
      <c r="G2" s="313" t="s">
        <v>117</v>
      </c>
      <c r="H2" s="201" t="s">
        <v>101</v>
      </c>
      <c r="I2" s="196" t="s">
        <v>85</v>
      </c>
      <c r="J2" s="201" t="s">
        <v>0</v>
      </c>
      <c r="K2" s="200" t="s">
        <v>68</v>
      </c>
      <c r="L2" s="195" t="s">
        <v>3</v>
      </c>
      <c r="M2" s="201" t="s">
        <v>1</v>
      </c>
      <c r="N2" s="200" t="s">
        <v>4</v>
      </c>
      <c r="O2" s="195" t="s">
        <v>62</v>
      </c>
      <c r="P2" s="201" t="s">
        <v>252</v>
      </c>
      <c r="Q2" s="200" t="s">
        <v>2</v>
      </c>
      <c r="R2" s="195" t="s">
        <v>205</v>
      </c>
      <c r="S2" s="201" t="s">
        <v>253</v>
      </c>
      <c r="T2" s="200" t="s">
        <v>254</v>
      </c>
      <c r="U2" s="202" t="s">
        <v>70</v>
      </c>
      <c r="V2" s="195" t="s">
        <v>138</v>
      </c>
      <c r="W2" s="314" t="s">
        <v>5</v>
      </c>
      <c r="X2" s="315" t="s">
        <v>6</v>
      </c>
      <c r="Y2" s="313" t="s">
        <v>84</v>
      </c>
      <c r="Z2" s="245" t="s">
        <v>29</v>
      </c>
    </row>
    <row r="3" spans="1:26" x14ac:dyDescent="0.3">
      <c r="A3" s="172"/>
      <c r="B3" s="172"/>
      <c r="C3" s="173"/>
      <c r="D3" s="354" t="s">
        <v>95</v>
      </c>
      <c r="E3" s="355"/>
      <c r="F3" s="356"/>
      <c r="G3" s="265" t="s">
        <v>7</v>
      </c>
      <c r="H3" s="266"/>
      <c r="I3" s="174"/>
      <c r="J3" s="267">
        <f t="shared" ref="J3:W4" si="0">SUMIF($G$5:$G$178,$G3,J$5:J$178)</f>
        <v>0</v>
      </c>
      <c r="K3" s="268">
        <f t="shared" si="0"/>
        <v>0</v>
      </c>
      <c r="L3" s="269">
        <f t="shared" si="0"/>
        <v>0</v>
      </c>
      <c r="M3" s="267">
        <f t="shared" si="0"/>
        <v>0</v>
      </c>
      <c r="N3" s="268">
        <f t="shared" si="0"/>
        <v>0</v>
      </c>
      <c r="O3" s="269">
        <f t="shared" si="0"/>
        <v>0</v>
      </c>
      <c r="P3" s="267">
        <f t="shared" si="0"/>
        <v>0</v>
      </c>
      <c r="Q3" s="268">
        <f t="shared" si="0"/>
        <v>0</v>
      </c>
      <c r="R3" s="269">
        <f t="shared" si="0"/>
        <v>0</v>
      </c>
      <c r="S3" s="267">
        <f t="shared" si="0"/>
        <v>0</v>
      </c>
      <c r="T3" s="268">
        <f t="shared" si="0"/>
        <v>0</v>
      </c>
      <c r="U3" s="270">
        <f t="shared" si="0"/>
        <v>0</v>
      </c>
      <c r="V3" s="269">
        <f t="shared" si="0"/>
        <v>0</v>
      </c>
      <c r="W3" s="269">
        <f t="shared" si="0"/>
        <v>0</v>
      </c>
      <c r="X3" s="271">
        <f t="shared" ref="X3:X30" si="1">SUM(J3:W3)</f>
        <v>0</v>
      </c>
      <c r="Y3" s="353">
        <f>X4-X3</f>
        <v>0</v>
      </c>
      <c r="Z3" s="175">
        <f>Утв_План</f>
        <v>0</v>
      </c>
    </row>
    <row r="4" spans="1:26" x14ac:dyDescent="0.3">
      <c r="A4" s="172"/>
      <c r="B4" s="172"/>
      <c r="C4" s="173"/>
      <c r="D4" s="357"/>
      <c r="E4" s="358"/>
      <c r="F4" s="359"/>
      <c r="G4" s="272" t="s">
        <v>8</v>
      </c>
      <c r="H4" s="273"/>
      <c r="I4" s="176"/>
      <c r="J4" s="274">
        <f t="shared" si="0"/>
        <v>0</v>
      </c>
      <c r="K4" s="275">
        <f t="shared" si="0"/>
        <v>0</v>
      </c>
      <c r="L4" s="276">
        <f t="shared" si="0"/>
        <v>0</v>
      </c>
      <c r="M4" s="274">
        <f t="shared" si="0"/>
        <v>0</v>
      </c>
      <c r="N4" s="275">
        <f t="shared" si="0"/>
        <v>0</v>
      </c>
      <c r="O4" s="276">
        <f t="shared" si="0"/>
        <v>0</v>
      </c>
      <c r="P4" s="274">
        <f t="shared" si="0"/>
        <v>0</v>
      </c>
      <c r="Q4" s="275">
        <f t="shared" si="0"/>
        <v>0</v>
      </c>
      <c r="R4" s="276">
        <f t="shared" si="0"/>
        <v>0</v>
      </c>
      <c r="S4" s="274">
        <f t="shared" si="0"/>
        <v>0</v>
      </c>
      <c r="T4" s="275">
        <f t="shared" si="0"/>
        <v>0</v>
      </c>
      <c r="U4" s="277">
        <f t="shared" si="0"/>
        <v>0</v>
      </c>
      <c r="V4" s="276">
        <f t="shared" si="0"/>
        <v>0</v>
      </c>
      <c r="W4" s="276">
        <f t="shared" si="0"/>
        <v>0</v>
      </c>
      <c r="X4" s="278">
        <f t="shared" si="1"/>
        <v>0</v>
      </c>
      <c r="Y4" s="353"/>
      <c r="Z4" s="177">
        <f>Утв_Весна</f>
        <v>0</v>
      </c>
    </row>
    <row r="5" spans="1:26" ht="14.25" customHeight="1" x14ac:dyDescent="0.3">
      <c r="A5" s="178">
        <f>IF(OR(C5="0",COUNTIF(КлючВесна,C5)&gt;1),0,MATCH(F5,ВидыНагр,0))</f>
        <v>0</v>
      </c>
      <c r="B5" s="178" t="b">
        <f>(COUNTA(D5:F6,J5:W5,H5:I6)=0)</f>
        <v>1</v>
      </c>
      <c r="C5" s="179" t="str">
        <f>IF(OR(TRIM(D5)="",COUNTIF(ВидыНагр,F5)&lt;&gt;1),"0",CONCATENATE("$",TRIM(D5),"$",TRIM(E5),"$",F5,"$"))</f>
        <v>0</v>
      </c>
      <c r="D5" s="340"/>
      <c r="E5" s="338"/>
      <c r="F5" s="342"/>
      <c r="G5" s="180" t="s">
        <v>7</v>
      </c>
      <c r="H5" s="181"/>
      <c r="I5" s="182"/>
      <c r="J5" s="183"/>
      <c r="K5" s="184"/>
      <c r="L5" s="185"/>
      <c r="M5" s="183"/>
      <c r="N5" s="184"/>
      <c r="O5" s="186"/>
      <c r="P5" s="183"/>
      <c r="Q5" s="184"/>
      <c r="R5" s="185"/>
      <c r="S5" s="183"/>
      <c r="T5" s="184"/>
      <c r="U5" s="187"/>
      <c r="V5" s="186"/>
      <c r="W5" s="186"/>
      <c r="X5" s="279">
        <f t="shared" si="1"/>
        <v>0</v>
      </c>
      <c r="Y5" s="344">
        <f>X6-X5</f>
        <v>0</v>
      </c>
      <c r="Z5" s="346"/>
    </row>
    <row r="6" spans="1:26" ht="14.25" customHeight="1" x14ac:dyDescent="0.3">
      <c r="A6" s="178">
        <f>-A5</f>
        <v>0</v>
      </c>
      <c r="B6" s="178" t="b">
        <f>B5</f>
        <v>1</v>
      </c>
      <c r="C6" s="188"/>
      <c r="D6" s="341"/>
      <c r="E6" s="339"/>
      <c r="F6" s="343"/>
      <c r="G6" s="189" t="s">
        <v>8</v>
      </c>
      <c r="H6" s="190"/>
      <c r="I6" s="280"/>
      <c r="J6" s="281">
        <f>SUMIF('02'!$D$7:$D$159,$C5,'02'!L$7:L$159)+SUMIF('03'!$D$7:$D$159,$C5,'03'!L$7:L$159)+SUMIF('04'!$D$7:$D$159,$C5,'04'!L$7:L$159)+SUMIF('05'!$D$7:$D$159,$C5,'05'!L$7:L$159)+SUMIF('06'!$D$7:$D$159,$C5,'06'!L$7:L$159)+SUMIF('07'!$D$7:$D$159,$C5,'07'!L$7:L$159)+SUMIF('08'!$D$7:$D$159,$C5,'08'!L$7:L$159)</f>
        <v>0</v>
      </c>
      <c r="K6" s="282">
        <f>SUMIF('02'!$D$7:$D$159,$C5,'02'!M$7:M$159)+SUMIF('03'!$D$7:$D$159,$C5,'03'!M$7:M$159)+SUMIF('04'!$D$7:$D$159,$C5,'04'!M$7:M$159)+SUMIF('05'!$D$7:$D$159,$C5,'05'!M$7:M$159)+SUMIF('06'!$D$7:$D$159,$C5,'06'!M$7:M$159)+SUMIF('07'!$D$7:$D$159,$C5,'07'!M$7:M$159)+SUMIF('08'!$D$7:$D$159,$C5,'08'!M$7:M$159)</f>
        <v>0</v>
      </c>
      <c r="L6" s="283">
        <f>SUMIF('02'!$D$7:$D$159,$C5,'02'!N$7:N$159)+SUMIF('03'!$D$7:$D$159,$C5,'03'!N$7:N$159)+SUMIF('04'!$D$7:$D$159,$C5,'04'!N$7:N$159)+SUMIF('05'!$D$7:$D$159,$C5,'05'!N$7:N$159)+SUMIF('06'!$D$7:$D$159,$C5,'06'!N$7:N$159)+SUMIF('07'!$D$7:$D$159,$C5,'07'!N$7:N$159)+SUMIF('08'!$D$7:$D$159,$C5,'08'!N$7:N$159)</f>
        <v>0</v>
      </c>
      <c r="M6" s="281">
        <f>SUMIF('02'!$D$7:$D$159,$C5,'02'!O$7:O$159)+SUMIF('03'!$D$7:$D$159,$C5,'03'!O$7:O$159)+SUMIF('04'!$D$7:$D$159,$C5,'04'!O$7:O$159)+SUMIF('05'!$D$7:$D$159,$C5,'05'!O$7:O$159)+SUMIF('06'!$D$7:$D$159,$C5,'06'!O$7:O$159)+SUMIF('07'!$D$7:$D$159,$C5,'07'!O$7:O$159)+SUMIF('08'!$D$7:$D$159,$C5,'08'!O$7:O$159)</f>
        <v>0</v>
      </c>
      <c r="N6" s="282">
        <f>SUMIF('02'!$D$7:$D$159,$C5,'02'!P$7:P$159)+SUMIF('03'!$D$7:$D$159,$C5,'03'!P$7:P$159)+SUMIF('04'!$D$7:$D$159,$C5,'04'!P$7:P$159)+SUMIF('05'!$D$7:$D$159,$C5,'05'!P$7:P$159)+SUMIF('06'!$D$7:$D$159,$C5,'06'!P$7:P$159)+SUMIF('07'!$D$7:$D$159,$C5,'07'!P$7:P$159)+SUMIF('08'!$D$7:$D$159,$C5,'08'!P$7:P$159)</f>
        <v>0</v>
      </c>
      <c r="O6" s="284">
        <f>SUMIF('02'!$D$7:$D$159,$C5,'02'!Q$7:Q$159)+SUMIF('03'!$D$7:$D$159,$C5,'03'!Q$7:Q$159)+SUMIF('04'!$D$7:$D$159,$C5,'04'!Q$7:Q$159)+SUMIF('05'!$D$7:$D$159,$C5,'05'!Q$7:Q$159)+SUMIF('06'!$D$7:$D$159,$C5,'06'!Q$7:Q$159)+SUMIF('07'!$D$7:$D$159,$C5,'07'!Q$7:Q$159)+SUMIF('08'!$D$7:$D$159,$C5,'08'!Q$7:Q$159)</f>
        <v>0</v>
      </c>
      <c r="P6" s="281">
        <f>SUMIF('02'!$D$7:$D$159,$C5,'02'!R$7:R$159)+SUMIF('03'!$D$7:$D$159,$C5,'03'!R$7:R$159)+SUMIF('04'!$D$7:$D$159,$C5,'04'!R$7:R$159)+SUMIF('05'!$D$7:$D$159,$C5,'05'!R$7:R$159)+SUMIF('06'!$D$7:$D$159,$C5,'06'!R$7:R$159)+SUMIF('07'!$D$7:$D$159,$C5,'07'!R$7:R$159)+SUMIF('08'!$D$7:$D$159,$C5,'08'!R$7:R$159)</f>
        <v>0</v>
      </c>
      <c r="Q6" s="282">
        <f>SUMIF('02'!$D$7:$D$159,$C5,'02'!S$7:S$159)+SUMIF('03'!$D$7:$D$159,$C5,'03'!S$7:S$159)+SUMIF('04'!$D$7:$D$159,$C5,'04'!S$7:S$159)+SUMIF('05'!$D$7:$D$159,$C5,'05'!S$7:S$159)+SUMIF('06'!$D$7:$D$159,$C5,'06'!S$7:S$159)+SUMIF('07'!$D$7:$D$159,$C5,'07'!S$7:S$159)+SUMIF('08'!$D$7:$D$159,$C5,'08'!S$7:S$159)</f>
        <v>0</v>
      </c>
      <c r="R6" s="283">
        <f>SUMIF('02'!$D$7:$D$159,$C5,'02'!T$7:T$159)+SUMIF('03'!$D$7:$D$159,$C5,'03'!T$7:T$159)+SUMIF('04'!$D$7:$D$159,$C5,'04'!T$7:T$159)+SUMIF('05'!$D$7:$D$159,$C5,'05'!T$7:T$159)+SUMIF('06'!$D$7:$D$159,$C5,'06'!T$7:T$159)+SUMIF('07'!$D$7:$D$159,$C5,'07'!T$7:T$159)+SUMIF('08'!$D$7:$D$159,$C5,'08'!T$7:T$159)</f>
        <v>0</v>
      </c>
      <c r="S6" s="281">
        <f>SUMIF('02'!$D$7:$D$159,$C5,'02'!U$7:U$159)+SUMIF('03'!$D$7:$D$159,$C5,'03'!U$7:U$159)+SUMIF('04'!$D$7:$D$159,$C5,'04'!U$7:U$159)+SUMIF('05'!$D$7:$D$159,$C5,'05'!U$7:U$159)+SUMIF('06'!$D$7:$D$159,$C5,'06'!U$7:U$159)+SUMIF('07'!$D$7:$D$159,$C5,'07'!U$7:U$159)+SUMIF('08'!$D$7:$D$159,$C5,'08'!U$7:U$159)</f>
        <v>0</v>
      </c>
      <c r="T6" s="282">
        <f>SUMIF('02'!$D$7:$D$159,$C5,'02'!V$7:V$159)+SUMIF('03'!$D$7:$D$159,$C5,'03'!V$7:V$159)+SUMIF('04'!$D$7:$D$159,$C5,'04'!V$7:V$159)+SUMIF('05'!$D$7:$D$159,$C5,'05'!V$7:V$159)+SUMIF('06'!$D$7:$D$159,$C5,'06'!V$7:V$159)+SUMIF('07'!$D$7:$D$159,$C5,'07'!V$7:V$159)+SUMIF('08'!$D$7:$D$159,$C5,'08'!V$7:V$159)</f>
        <v>0</v>
      </c>
      <c r="U6" s="285">
        <f>SUMIF('02'!$D$7:$D$159,$C5,'02'!W$7:W$159)+SUMIF('03'!$D$7:$D$159,$C5,'03'!W$7:W$159)+SUMIF('04'!$D$7:$D$159,$C5,'04'!W$7:W$159)+SUMIF('05'!$D$7:$D$159,$C5,'05'!W$7:W$159)+SUMIF('06'!$D$7:$D$159,$C5,'06'!W$7:W$159)+SUMIF('07'!$D$7:$D$159,$C5,'07'!W$7:W$159)+SUMIF('08'!$D$7:$D$159,$C5,'08'!W$7:W$159)</f>
        <v>0</v>
      </c>
      <c r="V6" s="284">
        <f>SUMIF('02'!$D$7:$D$159,$C5,'02'!X$7:X$159)+SUMIF('03'!$D$7:$D$159,$C5,'03'!X$7:X$159)+SUMIF('04'!$D$7:$D$159,$C5,'04'!X$7:X$159)+SUMIF('05'!$D$7:$D$159,$C5,'05'!X$7:X$159)+SUMIF('06'!$D$7:$D$159,$C5,'06'!X$7:X$159)+SUMIF('07'!$D$7:$D$159,$C5,'07'!X$7:X$159)+SUMIF('08'!$D$7:$D$159,$C5,'08'!X$7:X$159)</f>
        <v>0</v>
      </c>
      <c r="W6" s="284">
        <f>SUMIF('02'!$D$7:$D$159,$C5,'02'!Y$7:Y$159)+SUMIF('03'!$D$7:$D$159,$C5,'03'!Y$7:Y$159)+SUMIF('04'!$D$7:$D$159,$C5,'04'!Y$7:Y$159)+SUMIF('05'!$D$7:$D$159,$C5,'05'!Y$7:Y$159)+SUMIF('06'!$D$7:$D$159,$C5,'06'!Y$7:Y$159)+SUMIF('07'!$D$7:$D$159,$C5,'07'!Y$7:Y$159)+SUMIF('08'!$D$7:$D$159,$C5,'08'!Y$7:Y$159)</f>
        <v>0</v>
      </c>
      <c r="X6" s="286">
        <f t="shared" si="1"/>
        <v>0</v>
      </c>
      <c r="Y6" s="345"/>
      <c r="Z6" s="347"/>
    </row>
    <row r="7" spans="1:26" ht="14.25" customHeight="1" x14ac:dyDescent="0.3">
      <c r="A7" s="178">
        <f>IF(OR(C7="0",COUNTIF(КлючВесна,C7)&gt;1),0,MATCH(F7,ВидыНагр,0))</f>
        <v>0</v>
      </c>
      <c r="B7" s="178" t="b">
        <f>(COUNTA(D7:F8,J7:W7,H7:I8)=0)</f>
        <v>1</v>
      </c>
      <c r="C7" s="179" t="str">
        <f>IF(OR(TRIM(D7)="",COUNTIF(ВидыНагр,F7)&lt;&gt;1),"0",CONCATENATE("$",TRIM(D7),"$",TRIM(E7),"$",F7,"$"))</f>
        <v>0</v>
      </c>
      <c r="D7" s="340"/>
      <c r="E7" s="338"/>
      <c r="F7" s="342"/>
      <c r="G7" s="180" t="s">
        <v>7</v>
      </c>
      <c r="H7" s="181"/>
      <c r="I7" s="182"/>
      <c r="J7" s="183"/>
      <c r="K7" s="184"/>
      <c r="L7" s="185"/>
      <c r="M7" s="183"/>
      <c r="N7" s="184"/>
      <c r="O7" s="186"/>
      <c r="P7" s="183"/>
      <c r="Q7" s="184"/>
      <c r="R7" s="185"/>
      <c r="S7" s="183"/>
      <c r="T7" s="184"/>
      <c r="U7" s="187"/>
      <c r="V7" s="186"/>
      <c r="W7" s="186"/>
      <c r="X7" s="279">
        <f t="shared" si="1"/>
        <v>0</v>
      </c>
      <c r="Y7" s="344">
        <f>X8-X7</f>
        <v>0</v>
      </c>
      <c r="Z7" s="346"/>
    </row>
    <row r="8" spans="1:26" ht="14.25" customHeight="1" x14ac:dyDescent="0.3">
      <c r="A8" s="178">
        <f>-A7</f>
        <v>0</v>
      </c>
      <c r="B8" s="178" t="b">
        <f>B7</f>
        <v>1</v>
      </c>
      <c r="C8" s="188"/>
      <c r="D8" s="341"/>
      <c r="E8" s="339"/>
      <c r="F8" s="343"/>
      <c r="G8" s="189" t="s">
        <v>8</v>
      </c>
      <c r="H8" s="190"/>
      <c r="I8" s="280"/>
      <c r="J8" s="281">
        <f>SUMIF('02'!$D$7:$D$159,$C7,'02'!L$7:L$159)+SUMIF('03'!$D$7:$D$159,$C7,'03'!L$7:L$159)+SUMIF('04'!$D$7:$D$159,$C7,'04'!L$7:L$159)+SUMIF('05'!$D$7:$D$159,$C7,'05'!L$7:L$159)+SUMIF('06'!$D$7:$D$159,$C7,'06'!L$7:L$159)+SUMIF('07'!$D$7:$D$159,$C7,'07'!L$7:L$159)+SUMIF('08'!$D$7:$D$159,$C7,'08'!L$7:L$159)</f>
        <v>0</v>
      </c>
      <c r="K8" s="282">
        <f>SUMIF('02'!$D$7:$D$159,$C7,'02'!M$7:M$159)+SUMIF('03'!$D$7:$D$159,$C7,'03'!M$7:M$159)+SUMIF('04'!$D$7:$D$159,$C7,'04'!M$7:M$159)+SUMIF('05'!$D$7:$D$159,$C7,'05'!M$7:M$159)+SUMIF('06'!$D$7:$D$159,$C7,'06'!M$7:M$159)+SUMIF('07'!$D$7:$D$159,$C7,'07'!M$7:M$159)+SUMIF('08'!$D$7:$D$159,$C7,'08'!M$7:M$159)</f>
        <v>0</v>
      </c>
      <c r="L8" s="283">
        <f>SUMIF('02'!$D$7:$D$159,$C7,'02'!N$7:N$159)+SUMIF('03'!$D$7:$D$159,$C7,'03'!N$7:N$159)+SUMIF('04'!$D$7:$D$159,$C7,'04'!N$7:N$159)+SUMIF('05'!$D$7:$D$159,$C7,'05'!N$7:N$159)+SUMIF('06'!$D$7:$D$159,$C7,'06'!N$7:N$159)+SUMIF('07'!$D$7:$D$159,$C7,'07'!N$7:N$159)+SUMIF('08'!$D$7:$D$159,$C7,'08'!N$7:N$159)</f>
        <v>0</v>
      </c>
      <c r="M8" s="281">
        <f>SUMIF('02'!$D$7:$D$159,$C7,'02'!O$7:O$159)+SUMIF('03'!$D$7:$D$159,$C7,'03'!O$7:O$159)+SUMIF('04'!$D$7:$D$159,$C7,'04'!O$7:O$159)+SUMIF('05'!$D$7:$D$159,$C7,'05'!O$7:O$159)+SUMIF('06'!$D$7:$D$159,$C7,'06'!O$7:O$159)+SUMIF('07'!$D$7:$D$159,$C7,'07'!O$7:O$159)+SUMIF('08'!$D$7:$D$159,$C7,'08'!O$7:O$159)</f>
        <v>0</v>
      </c>
      <c r="N8" s="282">
        <f>SUMIF('02'!$D$7:$D$159,$C7,'02'!P$7:P$159)+SUMIF('03'!$D$7:$D$159,$C7,'03'!P$7:P$159)+SUMIF('04'!$D$7:$D$159,$C7,'04'!P$7:P$159)+SUMIF('05'!$D$7:$D$159,$C7,'05'!P$7:P$159)+SUMIF('06'!$D$7:$D$159,$C7,'06'!P$7:P$159)+SUMIF('07'!$D$7:$D$159,$C7,'07'!P$7:P$159)+SUMIF('08'!$D$7:$D$159,$C7,'08'!P$7:P$159)</f>
        <v>0</v>
      </c>
      <c r="O8" s="284">
        <f>SUMIF('02'!$D$7:$D$159,$C7,'02'!Q$7:Q$159)+SUMIF('03'!$D$7:$D$159,$C7,'03'!Q$7:Q$159)+SUMIF('04'!$D$7:$D$159,$C7,'04'!Q$7:Q$159)+SUMIF('05'!$D$7:$D$159,$C7,'05'!Q$7:Q$159)+SUMIF('06'!$D$7:$D$159,$C7,'06'!Q$7:Q$159)+SUMIF('07'!$D$7:$D$159,$C7,'07'!Q$7:Q$159)+SUMIF('08'!$D$7:$D$159,$C7,'08'!Q$7:Q$159)</f>
        <v>0</v>
      </c>
      <c r="P8" s="281">
        <f>SUMIF('02'!$D$7:$D$159,$C7,'02'!R$7:R$159)+SUMIF('03'!$D$7:$D$159,$C7,'03'!R$7:R$159)+SUMIF('04'!$D$7:$D$159,$C7,'04'!R$7:R$159)+SUMIF('05'!$D$7:$D$159,$C7,'05'!R$7:R$159)+SUMIF('06'!$D$7:$D$159,$C7,'06'!R$7:R$159)+SUMIF('07'!$D$7:$D$159,$C7,'07'!R$7:R$159)+SUMIF('08'!$D$7:$D$159,$C7,'08'!R$7:R$159)</f>
        <v>0</v>
      </c>
      <c r="Q8" s="282">
        <f>SUMIF('02'!$D$7:$D$159,$C7,'02'!S$7:S$159)+SUMIF('03'!$D$7:$D$159,$C7,'03'!S$7:S$159)+SUMIF('04'!$D$7:$D$159,$C7,'04'!S$7:S$159)+SUMIF('05'!$D$7:$D$159,$C7,'05'!S$7:S$159)+SUMIF('06'!$D$7:$D$159,$C7,'06'!S$7:S$159)+SUMIF('07'!$D$7:$D$159,$C7,'07'!S$7:S$159)+SUMIF('08'!$D$7:$D$159,$C7,'08'!S$7:S$159)</f>
        <v>0</v>
      </c>
      <c r="R8" s="283">
        <f>SUMIF('02'!$D$7:$D$159,$C7,'02'!T$7:T$159)+SUMIF('03'!$D$7:$D$159,$C7,'03'!T$7:T$159)+SUMIF('04'!$D$7:$D$159,$C7,'04'!T$7:T$159)+SUMIF('05'!$D$7:$D$159,$C7,'05'!T$7:T$159)+SUMIF('06'!$D$7:$D$159,$C7,'06'!T$7:T$159)+SUMIF('07'!$D$7:$D$159,$C7,'07'!T$7:T$159)+SUMIF('08'!$D$7:$D$159,$C7,'08'!T$7:T$159)</f>
        <v>0</v>
      </c>
      <c r="S8" s="281">
        <f>SUMIF('02'!$D$7:$D$159,$C7,'02'!U$7:U$159)+SUMIF('03'!$D$7:$D$159,$C7,'03'!U$7:U$159)+SUMIF('04'!$D$7:$D$159,$C7,'04'!U$7:U$159)+SUMIF('05'!$D$7:$D$159,$C7,'05'!U$7:U$159)+SUMIF('06'!$D$7:$D$159,$C7,'06'!U$7:U$159)+SUMIF('07'!$D$7:$D$159,$C7,'07'!U$7:U$159)+SUMIF('08'!$D$7:$D$159,$C7,'08'!U$7:U$159)</f>
        <v>0</v>
      </c>
      <c r="T8" s="282">
        <f>SUMIF('02'!$D$7:$D$159,$C7,'02'!V$7:V$159)+SUMIF('03'!$D$7:$D$159,$C7,'03'!V$7:V$159)+SUMIF('04'!$D$7:$D$159,$C7,'04'!V$7:V$159)+SUMIF('05'!$D$7:$D$159,$C7,'05'!V$7:V$159)+SUMIF('06'!$D$7:$D$159,$C7,'06'!V$7:V$159)+SUMIF('07'!$D$7:$D$159,$C7,'07'!V$7:V$159)+SUMIF('08'!$D$7:$D$159,$C7,'08'!V$7:V$159)</f>
        <v>0</v>
      </c>
      <c r="U8" s="285">
        <f>SUMIF('02'!$D$7:$D$159,$C7,'02'!W$7:W$159)+SUMIF('03'!$D$7:$D$159,$C7,'03'!W$7:W$159)+SUMIF('04'!$D$7:$D$159,$C7,'04'!W$7:W$159)+SUMIF('05'!$D$7:$D$159,$C7,'05'!W$7:W$159)+SUMIF('06'!$D$7:$D$159,$C7,'06'!W$7:W$159)+SUMIF('07'!$D$7:$D$159,$C7,'07'!W$7:W$159)+SUMIF('08'!$D$7:$D$159,$C7,'08'!W$7:W$159)</f>
        <v>0</v>
      </c>
      <c r="V8" s="284">
        <f>SUMIF('02'!$D$7:$D$159,$C7,'02'!X$7:X$159)+SUMIF('03'!$D$7:$D$159,$C7,'03'!X$7:X$159)+SUMIF('04'!$D$7:$D$159,$C7,'04'!X$7:X$159)+SUMIF('05'!$D$7:$D$159,$C7,'05'!X$7:X$159)+SUMIF('06'!$D$7:$D$159,$C7,'06'!X$7:X$159)+SUMIF('07'!$D$7:$D$159,$C7,'07'!X$7:X$159)+SUMIF('08'!$D$7:$D$159,$C7,'08'!X$7:X$159)</f>
        <v>0</v>
      </c>
      <c r="W8" s="284">
        <f>SUMIF('02'!$D$7:$D$159,$C7,'02'!Y$7:Y$159)+SUMIF('03'!$D$7:$D$159,$C7,'03'!Y$7:Y$159)+SUMIF('04'!$D$7:$D$159,$C7,'04'!Y$7:Y$159)+SUMIF('05'!$D$7:$D$159,$C7,'05'!Y$7:Y$159)+SUMIF('06'!$D$7:$D$159,$C7,'06'!Y$7:Y$159)+SUMIF('07'!$D$7:$D$159,$C7,'07'!Y$7:Y$159)+SUMIF('08'!$D$7:$D$159,$C7,'08'!Y$7:Y$159)</f>
        <v>0</v>
      </c>
      <c r="X8" s="286">
        <f t="shared" si="1"/>
        <v>0</v>
      </c>
      <c r="Y8" s="345"/>
      <c r="Z8" s="347"/>
    </row>
    <row r="9" spans="1:26" ht="14.25" customHeight="1" x14ac:dyDescent="0.3">
      <c r="A9" s="178">
        <f>IF(OR(C9="0",COUNTIF(КлючВесна,C9)&gt;1),0,MATCH(F9,ВидыНагр,0))</f>
        <v>0</v>
      </c>
      <c r="B9" s="178" t="b">
        <f>(COUNTA(D9:F10,J9:W9,H9:I10)=0)</f>
        <v>1</v>
      </c>
      <c r="C9" s="179" t="str">
        <f>IF(OR(TRIM(D9)="",COUNTIF(ВидыНагр,F9)&lt;&gt;1),"0",CONCATENATE("$",TRIM(D9),"$",TRIM(E9),"$",F9,"$"))</f>
        <v>0</v>
      </c>
      <c r="D9" s="340"/>
      <c r="E9" s="338"/>
      <c r="F9" s="342"/>
      <c r="G9" s="180" t="s">
        <v>7</v>
      </c>
      <c r="H9" s="181"/>
      <c r="I9" s="182"/>
      <c r="J9" s="183"/>
      <c r="K9" s="184"/>
      <c r="L9" s="185"/>
      <c r="M9" s="183"/>
      <c r="N9" s="184"/>
      <c r="O9" s="186"/>
      <c r="P9" s="183"/>
      <c r="Q9" s="184"/>
      <c r="R9" s="185"/>
      <c r="S9" s="183"/>
      <c r="T9" s="184"/>
      <c r="U9" s="187"/>
      <c r="V9" s="186"/>
      <c r="W9" s="186"/>
      <c r="X9" s="279">
        <f t="shared" si="1"/>
        <v>0</v>
      </c>
      <c r="Y9" s="344">
        <f>X10-X9</f>
        <v>0</v>
      </c>
      <c r="Z9" s="346"/>
    </row>
    <row r="10" spans="1:26" ht="14.25" customHeight="1" x14ac:dyDescent="0.3">
      <c r="A10" s="178">
        <f>-A9</f>
        <v>0</v>
      </c>
      <c r="B10" s="178" t="b">
        <f>B9</f>
        <v>1</v>
      </c>
      <c r="C10" s="188"/>
      <c r="D10" s="341"/>
      <c r="E10" s="339"/>
      <c r="F10" s="343"/>
      <c r="G10" s="189" t="s">
        <v>8</v>
      </c>
      <c r="H10" s="190"/>
      <c r="I10" s="280"/>
      <c r="J10" s="281">
        <f>SUMIF('02'!$D$7:$D$159,$C9,'02'!L$7:L$159)+SUMIF('03'!$D$7:$D$159,$C9,'03'!L$7:L$159)+SUMIF('04'!$D$7:$D$159,$C9,'04'!L$7:L$159)+SUMIF('05'!$D$7:$D$159,$C9,'05'!L$7:L$159)+SUMIF('06'!$D$7:$D$159,$C9,'06'!L$7:L$159)+SUMIF('07'!$D$7:$D$159,$C9,'07'!L$7:L$159)+SUMIF('08'!$D$7:$D$159,$C9,'08'!L$7:L$159)</f>
        <v>0</v>
      </c>
      <c r="K10" s="282">
        <f>SUMIF('02'!$D$7:$D$159,$C9,'02'!M$7:M$159)+SUMIF('03'!$D$7:$D$159,$C9,'03'!M$7:M$159)+SUMIF('04'!$D$7:$D$159,$C9,'04'!M$7:M$159)+SUMIF('05'!$D$7:$D$159,$C9,'05'!M$7:M$159)+SUMIF('06'!$D$7:$D$159,$C9,'06'!M$7:M$159)+SUMIF('07'!$D$7:$D$159,$C9,'07'!M$7:M$159)+SUMIF('08'!$D$7:$D$159,$C9,'08'!M$7:M$159)</f>
        <v>0</v>
      </c>
      <c r="L10" s="283">
        <f>SUMIF('02'!$D$7:$D$159,$C9,'02'!N$7:N$159)+SUMIF('03'!$D$7:$D$159,$C9,'03'!N$7:N$159)+SUMIF('04'!$D$7:$D$159,$C9,'04'!N$7:N$159)+SUMIF('05'!$D$7:$D$159,$C9,'05'!N$7:N$159)+SUMIF('06'!$D$7:$D$159,$C9,'06'!N$7:N$159)+SUMIF('07'!$D$7:$D$159,$C9,'07'!N$7:N$159)+SUMIF('08'!$D$7:$D$159,$C9,'08'!N$7:N$159)</f>
        <v>0</v>
      </c>
      <c r="M10" s="281">
        <f>SUMIF('02'!$D$7:$D$159,$C9,'02'!O$7:O$159)+SUMIF('03'!$D$7:$D$159,$C9,'03'!O$7:O$159)+SUMIF('04'!$D$7:$D$159,$C9,'04'!O$7:O$159)+SUMIF('05'!$D$7:$D$159,$C9,'05'!O$7:O$159)+SUMIF('06'!$D$7:$D$159,$C9,'06'!O$7:O$159)+SUMIF('07'!$D$7:$D$159,$C9,'07'!O$7:O$159)+SUMIF('08'!$D$7:$D$159,$C9,'08'!O$7:O$159)</f>
        <v>0</v>
      </c>
      <c r="N10" s="282">
        <f>SUMIF('02'!$D$7:$D$159,$C9,'02'!P$7:P$159)+SUMIF('03'!$D$7:$D$159,$C9,'03'!P$7:P$159)+SUMIF('04'!$D$7:$D$159,$C9,'04'!P$7:P$159)+SUMIF('05'!$D$7:$D$159,$C9,'05'!P$7:P$159)+SUMIF('06'!$D$7:$D$159,$C9,'06'!P$7:P$159)+SUMIF('07'!$D$7:$D$159,$C9,'07'!P$7:P$159)+SUMIF('08'!$D$7:$D$159,$C9,'08'!P$7:P$159)</f>
        <v>0</v>
      </c>
      <c r="O10" s="284">
        <f>SUMIF('02'!$D$7:$D$159,$C9,'02'!Q$7:Q$159)+SUMIF('03'!$D$7:$D$159,$C9,'03'!Q$7:Q$159)+SUMIF('04'!$D$7:$D$159,$C9,'04'!Q$7:Q$159)+SUMIF('05'!$D$7:$D$159,$C9,'05'!Q$7:Q$159)+SUMIF('06'!$D$7:$D$159,$C9,'06'!Q$7:Q$159)+SUMIF('07'!$D$7:$D$159,$C9,'07'!Q$7:Q$159)+SUMIF('08'!$D$7:$D$159,$C9,'08'!Q$7:Q$159)</f>
        <v>0</v>
      </c>
      <c r="P10" s="281">
        <f>SUMIF('02'!$D$7:$D$159,$C9,'02'!R$7:R$159)+SUMIF('03'!$D$7:$D$159,$C9,'03'!R$7:R$159)+SUMIF('04'!$D$7:$D$159,$C9,'04'!R$7:R$159)+SUMIF('05'!$D$7:$D$159,$C9,'05'!R$7:R$159)+SUMIF('06'!$D$7:$D$159,$C9,'06'!R$7:R$159)+SUMIF('07'!$D$7:$D$159,$C9,'07'!R$7:R$159)+SUMIF('08'!$D$7:$D$159,$C9,'08'!R$7:R$159)</f>
        <v>0</v>
      </c>
      <c r="Q10" s="282">
        <f>SUMIF('02'!$D$7:$D$159,$C9,'02'!S$7:S$159)+SUMIF('03'!$D$7:$D$159,$C9,'03'!S$7:S$159)+SUMIF('04'!$D$7:$D$159,$C9,'04'!S$7:S$159)+SUMIF('05'!$D$7:$D$159,$C9,'05'!S$7:S$159)+SUMIF('06'!$D$7:$D$159,$C9,'06'!S$7:S$159)+SUMIF('07'!$D$7:$D$159,$C9,'07'!S$7:S$159)+SUMIF('08'!$D$7:$D$159,$C9,'08'!S$7:S$159)</f>
        <v>0</v>
      </c>
      <c r="R10" s="283">
        <f>SUMIF('02'!$D$7:$D$159,$C9,'02'!T$7:T$159)+SUMIF('03'!$D$7:$D$159,$C9,'03'!T$7:T$159)+SUMIF('04'!$D$7:$D$159,$C9,'04'!T$7:T$159)+SUMIF('05'!$D$7:$D$159,$C9,'05'!T$7:T$159)+SUMIF('06'!$D$7:$D$159,$C9,'06'!T$7:T$159)+SUMIF('07'!$D$7:$D$159,$C9,'07'!T$7:T$159)+SUMIF('08'!$D$7:$D$159,$C9,'08'!T$7:T$159)</f>
        <v>0</v>
      </c>
      <c r="S10" s="281">
        <f>SUMIF('02'!$D$7:$D$159,$C9,'02'!U$7:U$159)+SUMIF('03'!$D$7:$D$159,$C9,'03'!U$7:U$159)+SUMIF('04'!$D$7:$D$159,$C9,'04'!U$7:U$159)+SUMIF('05'!$D$7:$D$159,$C9,'05'!U$7:U$159)+SUMIF('06'!$D$7:$D$159,$C9,'06'!U$7:U$159)+SUMIF('07'!$D$7:$D$159,$C9,'07'!U$7:U$159)+SUMIF('08'!$D$7:$D$159,$C9,'08'!U$7:U$159)</f>
        <v>0</v>
      </c>
      <c r="T10" s="282">
        <f>SUMIF('02'!$D$7:$D$159,$C9,'02'!V$7:V$159)+SUMIF('03'!$D$7:$D$159,$C9,'03'!V$7:V$159)+SUMIF('04'!$D$7:$D$159,$C9,'04'!V$7:V$159)+SUMIF('05'!$D$7:$D$159,$C9,'05'!V$7:V$159)+SUMIF('06'!$D$7:$D$159,$C9,'06'!V$7:V$159)+SUMIF('07'!$D$7:$D$159,$C9,'07'!V$7:V$159)+SUMIF('08'!$D$7:$D$159,$C9,'08'!V$7:V$159)</f>
        <v>0</v>
      </c>
      <c r="U10" s="285">
        <f>SUMIF('02'!$D$7:$D$159,$C9,'02'!W$7:W$159)+SUMIF('03'!$D$7:$D$159,$C9,'03'!W$7:W$159)+SUMIF('04'!$D$7:$D$159,$C9,'04'!W$7:W$159)+SUMIF('05'!$D$7:$D$159,$C9,'05'!W$7:W$159)+SUMIF('06'!$D$7:$D$159,$C9,'06'!W$7:W$159)+SUMIF('07'!$D$7:$D$159,$C9,'07'!W$7:W$159)+SUMIF('08'!$D$7:$D$159,$C9,'08'!W$7:W$159)</f>
        <v>0</v>
      </c>
      <c r="V10" s="284">
        <f>SUMIF('02'!$D$7:$D$159,$C9,'02'!X$7:X$159)+SUMIF('03'!$D$7:$D$159,$C9,'03'!X$7:X$159)+SUMIF('04'!$D$7:$D$159,$C9,'04'!X$7:X$159)+SUMIF('05'!$D$7:$D$159,$C9,'05'!X$7:X$159)+SUMIF('06'!$D$7:$D$159,$C9,'06'!X$7:X$159)+SUMIF('07'!$D$7:$D$159,$C9,'07'!X$7:X$159)+SUMIF('08'!$D$7:$D$159,$C9,'08'!X$7:X$159)</f>
        <v>0</v>
      </c>
      <c r="W10" s="284">
        <f>SUMIF('02'!$D$7:$D$159,$C9,'02'!Y$7:Y$159)+SUMIF('03'!$D$7:$D$159,$C9,'03'!Y$7:Y$159)+SUMIF('04'!$D$7:$D$159,$C9,'04'!Y$7:Y$159)+SUMIF('05'!$D$7:$D$159,$C9,'05'!Y$7:Y$159)+SUMIF('06'!$D$7:$D$159,$C9,'06'!Y$7:Y$159)+SUMIF('07'!$D$7:$D$159,$C9,'07'!Y$7:Y$159)+SUMIF('08'!$D$7:$D$159,$C9,'08'!Y$7:Y$159)</f>
        <v>0</v>
      </c>
      <c r="X10" s="286">
        <f t="shared" si="1"/>
        <v>0</v>
      </c>
      <c r="Y10" s="345"/>
      <c r="Z10" s="347"/>
    </row>
    <row r="11" spans="1:26" ht="14.25" customHeight="1" x14ac:dyDescent="0.3">
      <c r="A11" s="178">
        <f>IF(OR(C11="0",COUNTIF(КлючВесна,C11)&gt;1),0,MATCH(F11,ВидыНагр,0))</f>
        <v>0</v>
      </c>
      <c r="B11" s="178" t="b">
        <f>(COUNTA(D11:F12,J11:W11,H11:I12)=0)</f>
        <v>1</v>
      </c>
      <c r="C11" s="179" t="str">
        <f>IF(OR(TRIM(D11)="",COUNTIF(ВидыНагр,F11)&lt;&gt;1),"0",CONCATENATE("$",TRIM(D11),"$",TRIM(E11),"$",F11,"$"))</f>
        <v>0</v>
      </c>
      <c r="D11" s="340"/>
      <c r="E11" s="338"/>
      <c r="F11" s="342"/>
      <c r="G11" s="180" t="s">
        <v>7</v>
      </c>
      <c r="H11" s="181"/>
      <c r="I11" s="182"/>
      <c r="J11" s="183"/>
      <c r="K11" s="184"/>
      <c r="L11" s="185"/>
      <c r="M11" s="183"/>
      <c r="N11" s="184"/>
      <c r="O11" s="186"/>
      <c r="P11" s="183"/>
      <c r="Q11" s="184"/>
      <c r="R11" s="185"/>
      <c r="S11" s="183"/>
      <c r="T11" s="184"/>
      <c r="U11" s="187"/>
      <c r="V11" s="186"/>
      <c r="W11" s="186"/>
      <c r="X11" s="279">
        <f t="shared" si="1"/>
        <v>0</v>
      </c>
      <c r="Y11" s="344">
        <f>X12-X11</f>
        <v>0</v>
      </c>
      <c r="Z11" s="346"/>
    </row>
    <row r="12" spans="1:26" ht="14.25" customHeight="1" x14ac:dyDescent="0.3">
      <c r="A12" s="178">
        <f>-A11</f>
        <v>0</v>
      </c>
      <c r="B12" s="178" t="b">
        <f>B11</f>
        <v>1</v>
      </c>
      <c r="C12" s="188"/>
      <c r="D12" s="341"/>
      <c r="E12" s="339"/>
      <c r="F12" s="343"/>
      <c r="G12" s="189" t="s">
        <v>8</v>
      </c>
      <c r="H12" s="190"/>
      <c r="I12" s="280"/>
      <c r="J12" s="281">
        <f>SUMIF('02'!$D$7:$D$159,$C11,'02'!L$7:L$159)+SUMIF('03'!$D$7:$D$159,$C11,'03'!L$7:L$159)+SUMIF('04'!$D$7:$D$159,$C11,'04'!L$7:L$159)+SUMIF('05'!$D$7:$D$159,$C11,'05'!L$7:L$159)+SUMIF('06'!$D$7:$D$159,$C11,'06'!L$7:L$159)+SUMIF('07'!$D$7:$D$159,$C11,'07'!L$7:L$159)+SUMIF('08'!$D$7:$D$159,$C11,'08'!L$7:L$159)</f>
        <v>0</v>
      </c>
      <c r="K12" s="282">
        <f>SUMIF('02'!$D$7:$D$159,$C11,'02'!M$7:M$159)+SUMIF('03'!$D$7:$D$159,$C11,'03'!M$7:M$159)+SUMIF('04'!$D$7:$D$159,$C11,'04'!M$7:M$159)+SUMIF('05'!$D$7:$D$159,$C11,'05'!M$7:M$159)+SUMIF('06'!$D$7:$D$159,$C11,'06'!M$7:M$159)+SUMIF('07'!$D$7:$D$159,$C11,'07'!M$7:M$159)+SUMIF('08'!$D$7:$D$159,$C11,'08'!M$7:M$159)</f>
        <v>0</v>
      </c>
      <c r="L12" s="283">
        <f>SUMIF('02'!$D$7:$D$159,$C11,'02'!N$7:N$159)+SUMIF('03'!$D$7:$D$159,$C11,'03'!N$7:N$159)+SUMIF('04'!$D$7:$D$159,$C11,'04'!N$7:N$159)+SUMIF('05'!$D$7:$D$159,$C11,'05'!N$7:N$159)+SUMIF('06'!$D$7:$D$159,$C11,'06'!N$7:N$159)+SUMIF('07'!$D$7:$D$159,$C11,'07'!N$7:N$159)+SUMIF('08'!$D$7:$D$159,$C11,'08'!N$7:N$159)</f>
        <v>0</v>
      </c>
      <c r="M12" s="281">
        <f>SUMIF('02'!$D$7:$D$159,$C11,'02'!O$7:O$159)+SUMIF('03'!$D$7:$D$159,$C11,'03'!O$7:O$159)+SUMIF('04'!$D$7:$D$159,$C11,'04'!O$7:O$159)+SUMIF('05'!$D$7:$D$159,$C11,'05'!O$7:O$159)+SUMIF('06'!$D$7:$D$159,$C11,'06'!O$7:O$159)+SUMIF('07'!$D$7:$D$159,$C11,'07'!O$7:O$159)+SUMIF('08'!$D$7:$D$159,$C11,'08'!O$7:O$159)</f>
        <v>0</v>
      </c>
      <c r="N12" s="282">
        <f>SUMIF('02'!$D$7:$D$159,$C11,'02'!P$7:P$159)+SUMIF('03'!$D$7:$D$159,$C11,'03'!P$7:P$159)+SUMIF('04'!$D$7:$D$159,$C11,'04'!P$7:P$159)+SUMIF('05'!$D$7:$D$159,$C11,'05'!P$7:P$159)+SUMIF('06'!$D$7:$D$159,$C11,'06'!P$7:P$159)+SUMIF('07'!$D$7:$D$159,$C11,'07'!P$7:P$159)+SUMIF('08'!$D$7:$D$159,$C11,'08'!P$7:P$159)</f>
        <v>0</v>
      </c>
      <c r="O12" s="284">
        <f>SUMIF('02'!$D$7:$D$159,$C11,'02'!Q$7:Q$159)+SUMIF('03'!$D$7:$D$159,$C11,'03'!Q$7:Q$159)+SUMIF('04'!$D$7:$D$159,$C11,'04'!Q$7:Q$159)+SUMIF('05'!$D$7:$D$159,$C11,'05'!Q$7:Q$159)+SUMIF('06'!$D$7:$D$159,$C11,'06'!Q$7:Q$159)+SUMIF('07'!$D$7:$D$159,$C11,'07'!Q$7:Q$159)+SUMIF('08'!$D$7:$D$159,$C11,'08'!Q$7:Q$159)</f>
        <v>0</v>
      </c>
      <c r="P12" s="281">
        <f>SUMIF('02'!$D$7:$D$159,$C11,'02'!R$7:R$159)+SUMIF('03'!$D$7:$D$159,$C11,'03'!R$7:R$159)+SUMIF('04'!$D$7:$D$159,$C11,'04'!R$7:R$159)+SUMIF('05'!$D$7:$D$159,$C11,'05'!R$7:R$159)+SUMIF('06'!$D$7:$D$159,$C11,'06'!R$7:R$159)+SUMIF('07'!$D$7:$D$159,$C11,'07'!R$7:R$159)+SUMIF('08'!$D$7:$D$159,$C11,'08'!R$7:R$159)</f>
        <v>0</v>
      </c>
      <c r="Q12" s="282">
        <f>SUMIF('02'!$D$7:$D$159,$C11,'02'!S$7:S$159)+SUMIF('03'!$D$7:$D$159,$C11,'03'!S$7:S$159)+SUMIF('04'!$D$7:$D$159,$C11,'04'!S$7:S$159)+SUMIF('05'!$D$7:$D$159,$C11,'05'!S$7:S$159)+SUMIF('06'!$D$7:$D$159,$C11,'06'!S$7:S$159)+SUMIF('07'!$D$7:$D$159,$C11,'07'!S$7:S$159)+SUMIF('08'!$D$7:$D$159,$C11,'08'!S$7:S$159)</f>
        <v>0</v>
      </c>
      <c r="R12" s="283">
        <f>SUMIF('02'!$D$7:$D$159,$C11,'02'!T$7:T$159)+SUMIF('03'!$D$7:$D$159,$C11,'03'!T$7:T$159)+SUMIF('04'!$D$7:$D$159,$C11,'04'!T$7:T$159)+SUMIF('05'!$D$7:$D$159,$C11,'05'!T$7:T$159)+SUMIF('06'!$D$7:$D$159,$C11,'06'!T$7:T$159)+SUMIF('07'!$D$7:$D$159,$C11,'07'!T$7:T$159)+SUMIF('08'!$D$7:$D$159,$C11,'08'!T$7:T$159)</f>
        <v>0</v>
      </c>
      <c r="S12" s="281">
        <f>SUMIF('02'!$D$7:$D$159,$C11,'02'!U$7:U$159)+SUMIF('03'!$D$7:$D$159,$C11,'03'!U$7:U$159)+SUMIF('04'!$D$7:$D$159,$C11,'04'!U$7:U$159)+SUMIF('05'!$D$7:$D$159,$C11,'05'!U$7:U$159)+SUMIF('06'!$D$7:$D$159,$C11,'06'!U$7:U$159)+SUMIF('07'!$D$7:$D$159,$C11,'07'!U$7:U$159)+SUMIF('08'!$D$7:$D$159,$C11,'08'!U$7:U$159)</f>
        <v>0</v>
      </c>
      <c r="T12" s="282">
        <f>SUMIF('02'!$D$7:$D$159,$C11,'02'!V$7:V$159)+SUMIF('03'!$D$7:$D$159,$C11,'03'!V$7:V$159)+SUMIF('04'!$D$7:$D$159,$C11,'04'!V$7:V$159)+SUMIF('05'!$D$7:$D$159,$C11,'05'!V$7:V$159)+SUMIF('06'!$D$7:$D$159,$C11,'06'!V$7:V$159)+SUMIF('07'!$D$7:$D$159,$C11,'07'!V$7:V$159)+SUMIF('08'!$D$7:$D$159,$C11,'08'!V$7:V$159)</f>
        <v>0</v>
      </c>
      <c r="U12" s="285">
        <f>SUMIF('02'!$D$7:$D$159,$C11,'02'!W$7:W$159)+SUMIF('03'!$D$7:$D$159,$C11,'03'!W$7:W$159)+SUMIF('04'!$D$7:$D$159,$C11,'04'!W$7:W$159)+SUMIF('05'!$D$7:$D$159,$C11,'05'!W$7:W$159)+SUMIF('06'!$D$7:$D$159,$C11,'06'!W$7:W$159)+SUMIF('07'!$D$7:$D$159,$C11,'07'!W$7:W$159)+SUMIF('08'!$D$7:$D$159,$C11,'08'!W$7:W$159)</f>
        <v>0</v>
      </c>
      <c r="V12" s="284">
        <f>SUMIF('02'!$D$7:$D$159,$C11,'02'!X$7:X$159)+SUMIF('03'!$D$7:$D$159,$C11,'03'!X$7:X$159)+SUMIF('04'!$D$7:$D$159,$C11,'04'!X$7:X$159)+SUMIF('05'!$D$7:$D$159,$C11,'05'!X$7:X$159)+SUMIF('06'!$D$7:$D$159,$C11,'06'!X$7:X$159)+SUMIF('07'!$D$7:$D$159,$C11,'07'!X$7:X$159)+SUMIF('08'!$D$7:$D$159,$C11,'08'!X$7:X$159)</f>
        <v>0</v>
      </c>
      <c r="W12" s="284">
        <f>SUMIF('02'!$D$7:$D$159,$C11,'02'!Y$7:Y$159)+SUMIF('03'!$D$7:$D$159,$C11,'03'!Y$7:Y$159)+SUMIF('04'!$D$7:$D$159,$C11,'04'!Y$7:Y$159)+SUMIF('05'!$D$7:$D$159,$C11,'05'!Y$7:Y$159)+SUMIF('06'!$D$7:$D$159,$C11,'06'!Y$7:Y$159)+SUMIF('07'!$D$7:$D$159,$C11,'07'!Y$7:Y$159)+SUMIF('08'!$D$7:$D$159,$C11,'08'!Y$7:Y$159)</f>
        <v>0</v>
      </c>
      <c r="X12" s="286">
        <f t="shared" si="1"/>
        <v>0</v>
      </c>
      <c r="Y12" s="345"/>
      <c r="Z12" s="347"/>
    </row>
    <row r="13" spans="1:26" ht="14.25" customHeight="1" x14ac:dyDescent="0.3">
      <c r="A13" s="178">
        <f>IF(OR(C13="0",COUNTIF(КлючВесна,C13)&gt;1),0,MATCH(F13,ВидыНагр,0))</f>
        <v>0</v>
      </c>
      <c r="B13" s="178" t="b">
        <f>(COUNTA(D13:F14,J13:W13,H13:I14)=0)</f>
        <v>1</v>
      </c>
      <c r="C13" s="179" t="str">
        <f>IF(OR(TRIM(D13)="",COUNTIF(ВидыНагр,F13)&lt;&gt;1),"0",CONCATENATE("$",TRIM(D13),"$",TRIM(E13),"$",F13,"$"))</f>
        <v>0</v>
      </c>
      <c r="D13" s="340"/>
      <c r="E13" s="338"/>
      <c r="F13" s="342"/>
      <c r="G13" s="180" t="s">
        <v>7</v>
      </c>
      <c r="H13" s="181"/>
      <c r="I13" s="182"/>
      <c r="J13" s="183"/>
      <c r="K13" s="184"/>
      <c r="L13" s="185"/>
      <c r="M13" s="183"/>
      <c r="N13" s="184"/>
      <c r="O13" s="186"/>
      <c r="P13" s="183"/>
      <c r="Q13" s="184"/>
      <c r="R13" s="185"/>
      <c r="S13" s="183"/>
      <c r="T13" s="184"/>
      <c r="U13" s="187"/>
      <c r="V13" s="186"/>
      <c r="W13" s="186"/>
      <c r="X13" s="279">
        <f t="shared" si="1"/>
        <v>0</v>
      </c>
      <c r="Y13" s="344">
        <f>X14-X13</f>
        <v>0</v>
      </c>
      <c r="Z13" s="346"/>
    </row>
    <row r="14" spans="1:26" ht="14.25" customHeight="1" x14ac:dyDescent="0.3">
      <c r="A14" s="178">
        <f>-A13</f>
        <v>0</v>
      </c>
      <c r="B14" s="178" t="b">
        <f>B13</f>
        <v>1</v>
      </c>
      <c r="C14" s="188"/>
      <c r="D14" s="341"/>
      <c r="E14" s="339"/>
      <c r="F14" s="343"/>
      <c r="G14" s="189" t="s">
        <v>8</v>
      </c>
      <c r="H14" s="190"/>
      <c r="I14" s="280"/>
      <c r="J14" s="281">
        <f>SUMIF('02'!$D$7:$D$159,$C13,'02'!L$7:L$159)+SUMIF('03'!$D$7:$D$159,$C13,'03'!L$7:L$159)+SUMIF('04'!$D$7:$D$159,$C13,'04'!L$7:L$159)+SUMIF('05'!$D$7:$D$159,$C13,'05'!L$7:L$159)+SUMIF('06'!$D$7:$D$159,$C13,'06'!L$7:L$159)+SUMIF('07'!$D$7:$D$159,$C13,'07'!L$7:L$159)+SUMIF('08'!$D$7:$D$159,$C13,'08'!L$7:L$159)</f>
        <v>0</v>
      </c>
      <c r="K14" s="282">
        <f>SUMIF('02'!$D$7:$D$159,$C13,'02'!M$7:M$159)+SUMIF('03'!$D$7:$D$159,$C13,'03'!M$7:M$159)+SUMIF('04'!$D$7:$D$159,$C13,'04'!M$7:M$159)+SUMIF('05'!$D$7:$D$159,$C13,'05'!M$7:M$159)+SUMIF('06'!$D$7:$D$159,$C13,'06'!M$7:M$159)+SUMIF('07'!$D$7:$D$159,$C13,'07'!M$7:M$159)+SUMIF('08'!$D$7:$D$159,$C13,'08'!M$7:M$159)</f>
        <v>0</v>
      </c>
      <c r="L14" s="283">
        <f>SUMIF('02'!$D$7:$D$159,$C13,'02'!N$7:N$159)+SUMIF('03'!$D$7:$D$159,$C13,'03'!N$7:N$159)+SUMIF('04'!$D$7:$D$159,$C13,'04'!N$7:N$159)+SUMIF('05'!$D$7:$D$159,$C13,'05'!N$7:N$159)+SUMIF('06'!$D$7:$D$159,$C13,'06'!N$7:N$159)+SUMIF('07'!$D$7:$D$159,$C13,'07'!N$7:N$159)+SUMIF('08'!$D$7:$D$159,$C13,'08'!N$7:N$159)</f>
        <v>0</v>
      </c>
      <c r="M14" s="281">
        <f>SUMIF('02'!$D$7:$D$159,$C13,'02'!O$7:O$159)+SUMIF('03'!$D$7:$D$159,$C13,'03'!O$7:O$159)+SUMIF('04'!$D$7:$D$159,$C13,'04'!O$7:O$159)+SUMIF('05'!$D$7:$D$159,$C13,'05'!O$7:O$159)+SUMIF('06'!$D$7:$D$159,$C13,'06'!O$7:O$159)+SUMIF('07'!$D$7:$D$159,$C13,'07'!O$7:O$159)+SUMIF('08'!$D$7:$D$159,$C13,'08'!O$7:O$159)</f>
        <v>0</v>
      </c>
      <c r="N14" s="282">
        <f>SUMIF('02'!$D$7:$D$159,$C13,'02'!P$7:P$159)+SUMIF('03'!$D$7:$D$159,$C13,'03'!P$7:P$159)+SUMIF('04'!$D$7:$D$159,$C13,'04'!P$7:P$159)+SUMIF('05'!$D$7:$D$159,$C13,'05'!P$7:P$159)+SUMIF('06'!$D$7:$D$159,$C13,'06'!P$7:P$159)+SUMIF('07'!$D$7:$D$159,$C13,'07'!P$7:P$159)+SUMIF('08'!$D$7:$D$159,$C13,'08'!P$7:P$159)</f>
        <v>0</v>
      </c>
      <c r="O14" s="284">
        <f>SUMIF('02'!$D$7:$D$159,$C13,'02'!Q$7:Q$159)+SUMIF('03'!$D$7:$D$159,$C13,'03'!Q$7:Q$159)+SUMIF('04'!$D$7:$D$159,$C13,'04'!Q$7:Q$159)+SUMIF('05'!$D$7:$D$159,$C13,'05'!Q$7:Q$159)+SUMIF('06'!$D$7:$D$159,$C13,'06'!Q$7:Q$159)+SUMIF('07'!$D$7:$D$159,$C13,'07'!Q$7:Q$159)+SUMIF('08'!$D$7:$D$159,$C13,'08'!Q$7:Q$159)</f>
        <v>0</v>
      </c>
      <c r="P14" s="281">
        <f>SUMIF('02'!$D$7:$D$159,$C13,'02'!R$7:R$159)+SUMIF('03'!$D$7:$D$159,$C13,'03'!R$7:R$159)+SUMIF('04'!$D$7:$D$159,$C13,'04'!R$7:R$159)+SUMIF('05'!$D$7:$D$159,$C13,'05'!R$7:R$159)+SUMIF('06'!$D$7:$D$159,$C13,'06'!R$7:R$159)+SUMIF('07'!$D$7:$D$159,$C13,'07'!R$7:R$159)+SUMIF('08'!$D$7:$D$159,$C13,'08'!R$7:R$159)</f>
        <v>0</v>
      </c>
      <c r="Q14" s="282">
        <f>SUMIF('02'!$D$7:$D$159,$C13,'02'!S$7:S$159)+SUMIF('03'!$D$7:$D$159,$C13,'03'!S$7:S$159)+SUMIF('04'!$D$7:$D$159,$C13,'04'!S$7:S$159)+SUMIF('05'!$D$7:$D$159,$C13,'05'!S$7:S$159)+SUMIF('06'!$D$7:$D$159,$C13,'06'!S$7:S$159)+SUMIF('07'!$D$7:$D$159,$C13,'07'!S$7:S$159)+SUMIF('08'!$D$7:$D$159,$C13,'08'!S$7:S$159)</f>
        <v>0</v>
      </c>
      <c r="R14" s="283">
        <f>SUMIF('02'!$D$7:$D$159,$C13,'02'!T$7:T$159)+SUMIF('03'!$D$7:$D$159,$C13,'03'!T$7:T$159)+SUMIF('04'!$D$7:$D$159,$C13,'04'!T$7:T$159)+SUMIF('05'!$D$7:$D$159,$C13,'05'!T$7:T$159)+SUMIF('06'!$D$7:$D$159,$C13,'06'!T$7:T$159)+SUMIF('07'!$D$7:$D$159,$C13,'07'!T$7:T$159)+SUMIF('08'!$D$7:$D$159,$C13,'08'!T$7:T$159)</f>
        <v>0</v>
      </c>
      <c r="S14" s="281">
        <f>SUMIF('02'!$D$7:$D$159,$C13,'02'!U$7:U$159)+SUMIF('03'!$D$7:$D$159,$C13,'03'!U$7:U$159)+SUMIF('04'!$D$7:$D$159,$C13,'04'!U$7:U$159)+SUMIF('05'!$D$7:$D$159,$C13,'05'!U$7:U$159)+SUMIF('06'!$D$7:$D$159,$C13,'06'!U$7:U$159)+SUMIF('07'!$D$7:$D$159,$C13,'07'!U$7:U$159)+SUMIF('08'!$D$7:$D$159,$C13,'08'!U$7:U$159)</f>
        <v>0</v>
      </c>
      <c r="T14" s="282">
        <f>SUMIF('02'!$D$7:$D$159,$C13,'02'!V$7:V$159)+SUMIF('03'!$D$7:$D$159,$C13,'03'!V$7:V$159)+SUMIF('04'!$D$7:$D$159,$C13,'04'!V$7:V$159)+SUMIF('05'!$D$7:$D$159,$C13,'05'!V$7:V$159)+SUMIF('06'!$D$7:$D$159,$C13,'06'!V$7:V$159)+SUMIF('07'!$D$7:$D$159,$C13,'07'!V$7:V$159)+SUMIF('08'!$D$7:$D$159,$C13,'08'!V$7:V$159)</f>
        <v>0</v>
      </c>
      <c r="U14" s="285">
        <f>SUMIF('02'!$D$7:$D$159,$C13,'02'!W$7:W$159)+SUMIF('03'!$D$7:$D$159,$C13,'03'!W$7:W$159)+SUMIF('04'!$D$7:$D$159,$C13,'04'!W$7:W$159)+SUMIF('05'!$D$7:$D$159,$C13,'05'!W$7:W$159)+SUMIF('06'!$D$7:$D$159,$C13,'06'!W$7:W$159)+SUMIF('07'!$D$7:$D$159,$C13,'07'!W$7:W$159)+SUMIF('08'!$D$7:$D$159,$C13,'08'!W$7:W$159)</f>
        <v>0</v>
      </c>
      <c r="V14" s="284">
        <f>SUMIF('02'!$D$7:$D$159,$C13,'02'!X$7:X$159)+SUMIF('03'!$D$7:$D$159,$C13,'03'!X$7:X$159)+SUMIF('04'!$D$7:$D$159,$C13,'04'!X$7:X$159)+SUMIF('05'!$D$7:$D$159,$C13,'05'!X$7:X$159)+SUMIF('06'!$D$7:$D$159,$C13,'06'!X$7:X$159)+SUMIF('07'!$D$7:$D$159,$C13,'07'!X$7:X$159)+SUMIF('08'!$D$7:$D$159,$C13,'08'!X$7:X$159)</f>
        <v>0</v>
      </c>
      <c r="W14" s="284">
        <f>SUMIF('02'!$D$7:$D$159,$C13,'02'!Y$7:Y$159)+SUMIF('03'!$D$7:$D$159,$C13,'03'!Y$7:Y$159)+SUMIF('04'!$D$7:$D$159,$C13,'04'!Y$7:Y$159)+SUMIF('05'!$D$7:$D$159,$C13,'05'!Y$7:Y$159)+SUMIF('06'!$D$7:$D$159,$C13,'06'!Y$7:Y$159)+SUMIF('07'!$D$7:$D$159,$C13,'07'!Y$7:Y$159)+SUMIF('08'!$D$7:$D$159,$C13,'08'!Y$7:Y$159)</f>
        <v>0</v>
      </c>
      <c r="X14" s="286">
        <f t="shared" si="1"/>
        <v>0</v>
      </c>
      <c r="Y14" s="345"/>
      <c r="Z14" s="347"/>
    </row>
    <row r="15" spans="1:26" ht="14.25" customHeight="1" x14ac:dyDescent="0.3">
      <c r="A15" s="178">
        <f>IF(OR(C15="0",COUNTIF(КлючВесна,C15)&gt;1),0,MATCH(F15,ВидыНагр,0))</f>
        <v>0</v>
      </c>
      <c r="B15" s="178" t="b">
        <f>(COUNTA(D15:F16,J15:W15,H15:I16)=0)</f>
        <v>1</v>
      </c>
      <c r="C15" s="179" t="str">
        <f>IF(OR(TRIM(D15)="",COUNTIF(ВидыНагр,F15)&lt;&gt;1),"0",CONCATENATE("$",TRIM(D15),"$",TRIM(E15),"$",F15,"$"))</f>
        <v>0</v>
      </c>
      <c r="D15" s="340"/>
      <c r="E15" s="338"/>
      <c r="F15" s="342"/>
      <c r="G15" s="180" t="s">
        <v>7</v>
      </c>
      <c r="H15" s="181"/>
      <c r="I15" s="182"/>
      <c r="J15" s="183"/>
      <c r="K15" s="184"/>
      <c r="L15" s="185"/>
      <c r="M15" s="183"/>
      <c r="N15" s="184"/>
      <c r="O15" s="186"/>
      <c r="P15" s="183"/>
      <c r="Q15" s="184"/>
      <c r="R15" s="185"/>
      <c r="S15" s="183"/>
      <c r="T15" s="184"/>
      <c r="U15" s="187"/>
      <c r="V15" s="186"/>
      <c r="W15" s="186"/>
      <c r="X15" s="279">
        <f t="shared" si="1"/>
        <v>0</v>
      </c>
      <c r="Y15" s="344">
        <f>X16-X15</f>
        <v>0</v>
      </c>
      <c r="Z15" s="346"/>
    </row>
    <row r="16" spans="1:26" ht="14.25" customHeight="1" x14ac:dyDescent="0.3">
      <c r="A16" s="178">
        <f>-A15</f>
        <v>0</v>
      </c>
      <c r="B16" s="178" t="b">
        <f>B15</f>
        <v>1</v>
      </c>
      <c r="C16" s="188"/>
      <c r="D16" s="341"/>
      <c r="E16" s="339"/>
      <c r="F16" s="343"/>
      <c r="G16" s="189" t="s">
        <v>8</v>
      </c>
      <c r="H16" s="190"/>
      <c r="I16" s="280"/>
      <c r="J16" s="281">
        <f>SUMIF('02'!$D$7:$D$159,$C15,'02'!L$7:L$159)+SUMIF('03'!$D$7:$D$159,$C15,'03'!L$7:L$159)+SUMIF('04'!$D$7:$D$159,$C15,'04'!L$7:L$159)+SUMIF('05'!$D$7:$D$159,$C15,'05'!L$7:L$159)+SUMIF('06'!$D$7:$D$159,$C15,'06'!L$7:L$159)+SUMIF('07'!$D$7:$D$159,$C15,'07'!L$7:L$159)+SUMIF('08'!$D$7:$D$159,$C15,'08'!L$7:L$159)</f>
        <v>0</v>
      </c>
      <c r="K16" s="282">
        <f>SUMIF('02'!$D$7:$D$159,$C15,'02'!M$7:M$159)+SUMIF('03'!$D$7:$D$159,$C15,'03'!M$7:M$159)+SUMIF('04'!$D$7:$D$159,$C15,'04'!M$7:M$159)+SUMIF('05'!$D$7:$D$159,$C15,'05'!M$7:M$159)+SUMIF('06'!$D$7:$D$159,$C15,'06'!M$7:M$159)+SUMIF('07'!$D$7:$D$159,$C15,'07'!M$7:M$159)+SUMIF('08'!$D$7:$D$159,$C15,'08'!M$7:M$159)</f>
        <v>0</v>
      </c>
      <c r="L16" s="283">
        <f>SUMIF('02'!$D$7:$D$159,$C15,'02'!N$7:N$159)+SUMIF('03'!$D$7:$D$159,$C15,'03'!N$7:N$159)+SUMIF('04'!$D$7:$D$159,$C15,'04'!N$7:N$159)+SUMIF('05'!$D$7:$D$159,$C15,'05'!N$7:N$159)+SUMIF('06'!$D$7:$D$159,$C15,'06'!N$7:N$159)+SUMIF('07'!$D$7:$D$159,$C15,'07'!N$7:N$159)+SUMIF('08'!$D$7:$D$159,$C15,'08'!N$7:N$159)</f>
        <v>0</v>
      </c>
      <c r="M16" s="281">
        <f>SUMIF('02'!$D$7:$D$159,$C15,'02'!O$7:O$159)+SUMIF('03'!$D$7:$D$159,$C15,'03'!O$7:O$159)+SUMIF('04'!$D$7:$D$159,$C15,'04'!O$7:O$159)+SUMIF('05'!$D$7:$D$159,$C15,'05'!O$7:O$159)+SUMIF('06'!$D$7:$D$159,$C15,'06'!O$7:O$159)+SUMIF('07'!$D$7:$D$159,$C15,'07'!O$7:O$159)+SUMIF('08'!$D$7:$D$159,$C15,'08'!O$7:O$159)</f>
        <v>0</v>
      </c>
      <c r="N16" s="282">
        <f>SUMIF('02'!$D$7:$D$159,$C15,'02'!P$7:P$159)+SUMIF('03'!$D$7:$D$159,$C15,'03'!P$7:P$159)+SUMIF('04'!$D$7:$D$159,$C15,'04'!P$7:P$159)+SUMIF('05'!$D$7:$D$159,$C15,'05'!P$7:P$159)+SUMIF('06'!$D$7:$D$159,$C15,'06'!P$7:P$159)+SUMIF('07'!$D$7:$D$159,$C15,'07'!P$7:P$159)+SUMIF('08'!$D$7:$D$159,$C15,'08'!P$7:P$159)</f>
        <v>0</v>
      </c>
      <c r="O16" s="284">
        <f>SUMIF('02'!$D$7:$D$159,$C15,'02'!Q$7:Q$159)+SUMIF('03'!$D$7:$D$159,$C15,'03'!Q$7:Q$159)+SUMIF('04'!$D$7:$D$159,$C15,'04'!Q$7:Q$159)+SUMIF('05'!$D$7:$D$159,$C15,'05'!Q$7:Q$159)+SUMIF('06'!$D$7:$D$159,$C15,'06'!Q$7:Q$159)+SUMIF('07'!$D$7:$D$159,$C15,'07'!Q$7:Q$159)+SUMIF('08'!$D$7:$D$159,$C15,'08'!Q$7:Q$159)</f>
        <v>0</v>
      </c>
      <c r="P16" s="281">
        <f>SUMIF('02'!$D$7:$D$159,$C15,'02'!R$7:R$159)+SUMIF('03'!$D$7:$D$159,$C15,'03'!R$7:R$159)+SUMIF('04'!$D$7:$D$159,$C15,'04'!R$7:R$159)+SUMIF('05'!$D$7:$D$159,$C15,'05'!R$7:R$159)+SUMIF('06'!$D$7:$D$159,$C15,'06'!R$7:R$159)+SUMIF('07'!$D$7:$D$159,$C15,'07'!R$7:R$159)+SUMIF('08'!$D$7:$D$159,$C15,'08'!R$7:R$159)</f>
        <v>0</v>
      </c>
      <c r="Q16" s="282">
        <f>SUMIF('02'!$D$7:$D$159,$C15,'02'!S$7:S$159)+SUMIF('03'!$D$7:$D$159,$C15,'03'!S$7:S$159)+SUMIF('04'!$D$7:$D$159,$C15,'04'!S$7:S$159)+SUMIF('05'!$D$7:$D$159,$C15,'05'!S$7:S$159)+SUMIF('06'!$D$7:$D$159,$C15,'06'!S$7:S$159)+SUMIF('07'!$D$7:$D$159,$C15,'07'!S$7:S$159)+SUMIF('08'!$D$7:$D$159,$C15,'08'!S$7:S$159)</f>
        <v>0</v>
      </c>
      <c r="R16" s="283">
        <f>SUMIF('02'!$D$7:$D$159,$C15,'02'!T$7:T$159)+SUMIF('03'!$D$7:$D$159,$C15,'03'!T$7:T$159)+SUMIF('04'!$D$7:$D$159,$C15,'04'!T$7:T$159)+SUMIF('05'!$D$7:$D$159,$C15,'05'!T$7:T$159)+SUMIF('06'!$D$7:$D$159,$C15,'06'!T$7:T$159)+SUMIF('07'!$D$7:$D$159,$C15,'07'!T$7:T$159)+SUMIF('08'!$D$7:$D$159,$C15,'08'!T$7:T$159)</f>
        <v>0</v>
      </c>
      <c r="S16" s="281">
        <f>SUMIF('02'!$D$7:$D$159,$C15,'02'!U$7:U$159)+SUMIF('03'!$D$7:$D$159,$C15,'03'!U$7:U$159)+SUMIF('04'!$D$7:$D$159,$C15,'04'!U$7:U$159)+SUMIF('05'!$D$7:$D$159,$C15,'05'!U$7:U$159)+SUMIF('06'!$D$7:$D$159,$C15,'06'!U$7:U$159)+SUMIF('07'!$D$7:$D$159,$C15,'07'!U$7:U$159)+SUMIF('08'!$D$7:$D$159,$C15,'08'!U$7:U$159)</f>
        <v>0</v>
      </c>
      <c r="T16" s="282">
        <f>SUMIF('02'!$D$7:$D$159,$C15,'02'!V$7:V$159)+SUMIF('03'!$D$7:$D$159,$C15,'03'!V$7:V$159)+SUMIF('04'!$D$7:$D$159,$C15,'04'!V$7:V$159)+SUMIF('05'!$D$7:$D$159,$C15,'05'!V$7:V$159)+SUMIF('06'!$D$7:$D$159,$C15,'06'!V$7:V$159)+SUMIF('07'!$D$7:$D$159,$C15,'07'!V$7:V$159)+SUMIF('08'!$D$7:$D$159,$C15,'08'!V$7:V$159)</f>
        <v>0</v>
      </c>
      <c r="U16" s="285">
        <f>SUMIF('02'!$D$7:$D$159,$C15,'02'!W$7:W$159)+SUMIF('03'!$D$7:$D$159,$C15,'03'!W$7:W$159)+SUMIF('04'!$D$7:$D$159,$C15,'04'!W$7:W$159)+SUMIF('05'!$D$7:$D$159,$C15,'05'!W$7:W$159)+SUMIF('06'!$D$7:$D$159,$C15,'06'!W$7:W$159)+SUMIF('07'!$D$7:$D$159,$C15,'07'!W$7:W$159)+SUMIF('08'!$D$7:$D$159,$C15,'08'!W$7:W$159)</f>
        <v>0</v>
      </c>
      <c r="V16" s="284">
        <f>SUMIF('02'!$D$7:$D$159,$C15,'02'!X$7:X$159)+SUMIF('03'!$D$7:$D$159,$C15,'03'!X$7:X$159)+SUMIF('04'!$D$7:$D$159,$C15,'04'!X$7:X$159)+SUMIF('05'!$D$7:$D$159,$C15,'05'!X$7:X$159)+SUMIF('06'!$D$7:$D$159,$C15,'06'!X$7:X$159)+SUMIF('07'!$D$7:$D$159,$C15,'07'!X$7:X$159)+SUMIF('08'!$D$7:$D$159,$C15,'08'!X$7:X$159)</f>
        <v>0</v>
      </c>
      <c r="W16" s="284">
        <f>SUMIF('02'!$D$7:$D$159,$C15,'02'!Y$7:Y$159)+SUMIF('03'!$D$7:$D$159,$C15,'03'!Y$7:Y$159)+SUMIF('04'!$D$7:$D$159,$C15,'04'!Y$7:Y$159)+SUMIF('05'!$D$7:$D$159,$C15,'05'!Y$7:Y$159)+SUMIF('06'!$D$7:$D$159,$C15,'06'!Y$7:Y$159)+SUMIF('07'!$D$7:$D$159,$C15,'07'!Y$7:Y$159)+SUMIF('08'!$D$7:$D$159,$C15,'08'!Y$7:Y$159)</f>
        <v>0</v>
      </c>
      <c r="X16" s="286">
        <f t="shared" si="1"/>
        <v>0</v>
      </c>
      <c r="Y16" s="345"/>
      <c r="Z16" s="347"/>
    </row>
    <row r="17" spans="1:26" ht="14.25" customHeight="1" x14ac:dyDescent="0.3">
      <c r="A17" s="178">
        <f>IF(OR(C17="0",COUNTIF(КлючВесна,C17)&gt;1),0,MATCH(F17,ВидыНагр,0))</f>
        <v>0</v>
      </c>
      <c r="B17" s="178" t="b">
        <f>(COUNTA(D17:F18,J17:W17,H17:I18)=0)</f>
        <v>1</v>
      </c>
      <c r="C17" s="179" t="str">
        <f>IF(OR(TRIM(D17)="",COUNTIF(ВидыНагр,F17)&lt;&gt;1),"0",CONCATENATE("$",TRIM(D17),"$",TRIM(E17),"$",F17,"$"))</f>
        <v>0</v>
      </c>
      <c r="D17" s="340"/>
      <c r="E17" s="338"/>
      <c r="F17" s="342"/>
      <c r="G17" s="180" t="s">
        <v>7</v>
      </c>
      <c r="H17" s="181"/>
      <c r="I17" s="182"/>
      <c r="J17" s="183"/>
      <c r="K17" s="184"/>
      <c r="L17" s="185"/>
      <c r="M17" s="183"/>
      <c r="N17" s="184"/>
      <c r="O17" s="186"/>
      <c r="P17" s="183"/>
      <c r="Q17" s="184"/>
      <c r="R17" s="185"/>
      <c r="S17" s="183"/>
      <c r="T17" s="184"/>
      <c r="U17" s="187"/>
      <c r="V17" s="186"/>
      <c r="W17" s="186"/>
      <c r="X17" s="279">
        <f t="shared" si="1"/>
        <v>0</v>
      </c>
      <c r="Y17" s="344">
        <f>X18-X17</f>
        <v>0</v>
      </c>
      <c r="Z17" s="346"/>
    </row>
    <row r="18" spans="1:26" ht="14.25" customHeight="1" x14ac:dyDescent="0.3">
      <c r="A18" s="178">
        <f>-A17</f>
        <v>0</v>
      </c>
      <c r="B18" s="178" t="b">
        <f>B17</f>
        <v>1</v>
      </c>
      <c r="C18" s="188"/>
      <c r="D18" s="341"/>
      <c r="E18" s="339"/>
      <c r="F18" s="343"/>
      <c r="G18" s="189" t="s">
        <v>8</v>
      </c>
      <c r="H18" s="190"/>
      <c r="I18" s="280"/>
      <c r="J18" s="281">
        <f>SUMIF('02'!$D$7:$D$159,$C17,'02'!L$7:L$159)+SUMIF('03'!$D$7:$D$159,$C17,'03'!L$7:L$159)+SUMIF('04'!$D$7:$D$159,$C17,'04'!L$7:L$159)+SUMIF('05'!$D$7:$D$159,$C17,'05'!L$7:L$159)+SUMIF('06'!$D$7:$D$159,$C17,'06'!L$7:L$159)+SUMIF('07'!$D$7:$D$159,$C17,'07'!L$7:L$159)+SUMIF('08'!$D$7:$D$159,$C17,'08'!L$7:L$159)</f>
        <v>0</v>
      </c>
      <c r="K18" s="282">
        <f>SUMIF('02'!$D$7:$D$159,$C17,'02'!M$7:M$159)+SUMIF('03'!$D$7:$D$159,$C17,'03'!M$7:M$159)+SUMIF('04'!$D$7:$D$159,$C17,'04'!M$7:M$159)+SUMIF('05'!$D$7:$D$159,$C17,'05'!M$7:M$159)+SUMIF('06'!$D$7:$D$159,$C17,'06'!M$7:M$159)+SUMIF('07'!$D$7:$D$159,$C17,'07'!M$7:M$159)+SUMIF('08'!$D$7:$D$159,$C17,'08'!M$7:M$159)</f>
        <v>0</v>
      </c>
      <c r="L18" s="283">
        <f>SUMIF('02'!$D$7:$D$159,$C17,'02'!N$7:N$159)+SUMIF('03'!$D$7:$D$159,$C17,'03'!N$7:N$159)+SUMIF('04'!$D$7:$D$159,$C17,'04'!N$7:N$159)+SUMIF('05'!$D$7:$D$159,$C17,'05'!N$7:N$159)+SUMIF('06'!$D$7:$D$159,$C17,'06'!N$7:N$159)+SUMIF('07'!$D$7:$D$159,$C17,'07'!N$7:N$159)+SUMIF('08'!$D$7:$D$159,$C17,'08'!N$7:N$159)</f>
        <v>0</v>
      </c>
      <c r="M18" s="281">
        <f>SUMIF('02'!$D$7:$D$159,$C17,'02'!O$7:O$159)+SUMIF('03'!$D$7:$D$159,$C17,'03'!O$7:O$159)+SUMIF('04'!$D$7:$D$159,$C17,'04'!O$7:O$159)+SUMIF('05'!$D$7:$D$159,$C17,'05'!O$7:O$159)+SUMIF('06'!$D$7:$D$159,$C17,'06'!O$7:O$159)+SUMIF('07'!$D$7:$D$159,$C17,'07'!O$7:O$159)+SUMIF('08'!$D$7:$D$159,$C17,'08'!O$7:O$159)</f>
        <v>0</v>
      </c>
      <c r="N18" s="282">
        <f>SUMIF('02'!$D$7:$D$159,$C17,'02'!P$7:P$159)+SUMIF('03'!$D$7:$D$159,$C17,'03'!P$7:P$159)+SUMIF('04'!$D$7:$D$159,$C17,'04'!P$7:P$159)+SUMIF('05'!$D$7:$D$159,$C17,'05'!P$7:P$159)+SUMIF('06'!$D$7:$D$159,$C17,'06'!P$7:P$159)+SUMIF('07'!$D$7:$D$159,$C17,'07'!P$7:P$159)+SUMIF('08'!$D$7:$D$159,$C17,'08'!P$7:P$159)</f>
        <v>0</v>
      </c>
      <c r="O18" s="284">
        <f>SUMIF('02'!$D$7:$D$159,$C17,'02'!Q$7:Q$159)+SUMIF('03'!$D$7:$D$159,$C17,'03'!Q$7:Q$159)+SUMIF('04'!$D$7:$D$159,$C17,'04'!Q$7:Q$159)+SUMIF('05'!$D$7:$D$159,$C17,'05'!Q$7:Q$159)+SUMIF('06'!$D$7:$D$159,$C17,'06'!Q$7:Q$159)+SUMIF('07'!$D$7:$D$159,$C17,'07'!Q$7:Q$159)+SUMIF('08'!$D$7:$D$159,$C17,'08'!Q$7:Q$159)</f>
        <v>0</v>
      </c>
      <c r="P18" s="281">
        <f>SUMIF('02'!$D$7:$D$159,$C17,'02'!R$7:R$159)+SUMIF('03'!$D$7:$D$159,$C17,'03'!R$7:R$159)+SUMIF('04'!$D$7:$D$159,$C17,'04'!R$7:R$159)+SUMIF('05'!$D$7:$D$159,$C17,'05'!R$7:R$159)+SUMIF('06'!$D$7:$D$159,$C17,'06'!R$7:R$159)+SUMIF('07'!$D$7:$D$159,$C17,'07'!R$7:R$159)+SUMIF('08'!$D$7:$D$159,$C17,'08'!R$7:R$159)</f>
        <v>0</v>
      </c>
      <c r="Q18" s="282">
        <f>SUMIF('02'!$D$7:$D$159,$C17,'02'!S$7:S$159)+SUMIF('03'!$D$7:$D$159,$C17,'03'!S$7:S$159)+SUMIF('04'!$D$7:$D$159,$C17,'04'!S$7:S$159)+SUMIF('05'!$D$7:$D$159,$C17,'05'!S$7:S$159)+SUMIF('06'!$D$7:$D$159,$C17,'06'!S$7:S$159)+SUMIF('07'!$D$7:$D$159,$C17,'07'!S$7:S$159)+SUMIF('08'!$D$7:$D$159,$C17,'08'!S$7:S$159)</f>
        <v>0</v>
      </c>
      <c r="R18" s="283">
        <f>SUMIF('02'!$D$7:$D$159,$C17,'02'!T$7:T$159)+SUMIF('03'!$D$7:$D$159,$C17,'03'!T$7:T$159)+SUMIF('04'!$D$7:$D$159,$C17,'04'!T$7:T$159)+SUMIF('05'!$D$7:$D$159,$C17,'05'!T$7:T$159)+SUMIF('06'!$D$7:$D$159,$C17,'06'!T$7:T$159)+SUMIF('07'!$D$7:$D$159,$C17,'07'!T$7:T$159)+SUMIF('08'!$D$7:$D$159,$C17,'08'!T$7:T$159)</f>
        <v>0</v>
      </c>
      <c r="S18" s="281">
        <f>SUMIF('02'!$D$7:$D$159,$C17,'02'!U$7:U$159)+SUMIF('03'!$D$7:$D$159,$C17,'03'!U$7:U$159)+SUMIF('04'!$D$7:$D$159,$C17,'04'!U$7:U$159)+SUMIF('05'!$D$7:$D$159,$C17,'05'!U$7:U$159)+SUMIF('06'!$D$7:$D$159,$C17,'06'!U$7:U$159)+SUMIF('07'!$D$7:$D$159,$C17,'07'!U$7:U$159)+SUMIF('08'!$D$7:$D$159,$C17,'08'!U$7:U$159)</f>
        <v>0</v>
      </c>
      <c r="T18" s="282">
        <f>SUMIF('02'!$D$7:$D$159,$C17,'02'!V$7:V$159)+SUMIF('03'!$D$7:$D$159,$C17,'03'!V$7:V$159)+SUMIF('04'!$D$7:$D$159,$C17,'04'!V$7:V$159)+SUMIF('05'!$D$7:$D$159,$C17,'05'!V$7:V$159)+SUMIF('06'!$D$7:$D$159,$C17,'06'!V$7:V$159)+SUMIF('07'!$D$7:$D$159,$C17,'07'!V$7:V$159)+SUMIF('08'!$D$7:$D$159,$C17,'08'!V$7:V$159)</f>
        <v>0</v>
      </c>
      <c r="U18" s="285">
        <f>SUMIF('02'!$D$7:$D$159,$C17,'02'!W$7:W$159)+SUMIF('03'!$D$7:$D$159,$C17,'03'!W$7:W$159)+SUMIF('04'!$D$7:$D$159,$C17,'04'!W$7:W$159)+SUMIF('05'!$D$7:$D$159,$C17,'05'!W$7:W$159)+SUMIF('06'!$D$7:$D$159,$C17,'06'!W$7:W$159)+SUMIF('07'!$D$7:$D$159,$C17,'07'!W$7:W$159)+SUMIF('08'!$D$7:$D$159,$C17,'08'!W$7:W$159)</f>
        <v>0</v>
      </c>
      <c r="V18" s="284">
        <f>SUMIF('02'!$D$7:$D$159,$C17,'02'!X$7:X$159)+SUMIF('03'!$D$7:$D$159,$C17,'03'!X$7:X$159)+SUMIF('04'!$D$7:$D$159,$C17,'04'!X$7:X$159)+SUMIF('05'!$D$7:$D$159,$C17,'05'!X$7:X$159)+SUMIF('06'!$D$7:$D$159,$C17,'06'!X$7:X$159)+SUMIF('07'!$D$7:$D$159,$C17,'07'!X$7:X$159)+SUMIF('08'!$D$7:$D$159,$C17,'08'!X$7:X$159)</f>
        <v>0</v>
      </c>
      <c r="W18" s="284">
        <f>SUMIF('02'!$D$7:$D$159,$C17,'02'!Y$7:Y$159)+SUMIF('03'!$D$7:$D$159,$C17,'03'!Y$7:Y$159)+SUMIF('04'!$D$7:$D$159,$C17,'04'!Y$7:Y$159)+SUMIF('05'!$D$7:$D$159,$C17,'05'!Y$7:Y$159)+SUMIF('06'!$D$7:$D$159,$C17,'06'!Y$7:Y$159)+SUMIF('07'!$D$7:$D$159,$C17,'07'!Y$7:Y$159)+SUMIF('08'!$D$7:$D$159,$C17,'08'!Y$7:Y$159)</f>
        <v>0</v>
      </c>
      <c r="X18" s="286">
        <f t="shared" si="1"/>
        <v>0</v>
      </c>
      <c r="Y18" s="345"/>
      <c r="Z18" s="347"/>
    </row>
    <row r="19" spans="1:26" ht="14.25" customHeight="1" x14ac:dyDescent="0.3">
      <c r="A19" s="178">
        <f>IF(OR(C19="0",COUNTIF(КлючВесна,C19)&gt;1),0,MATCH(F19,ВидыНагр,0))</f>
        <v>0</v>
      </c>
      <c r="B19" s="178" t="b">
        <f>(COUNTA(D19:F20,J19:W19,H19:I20)=0)</f>
        <v>1</v>
      </c>
      <c r="C19" s="179" t="str">
        <f>IF(OR(TRIM(D19)="",COUNTIF(ВидыНагр,F19)&lt;&gt;1),"0",CONCATENATE("$",TRIM(D19),"$",TRIM(E19),"$",F19,"$"))</f>
        <v>0</v>
      </c>
      <c r="D19" s="340"/>
      <c r="E19" s="338"/>
      <c r="F19" s="342"/>
      <c r="G19" s="180" t="s">
        <v>7</v>
      </c>
      <c r="H19" s="181"/>
      <c r="I19" s="182"/>
      <c r="J19" s="183"/>
      <c r="K19" s="184"/>
      <c r="L19" s="185"/>
      <c r="M19" s="183"/>
      <c r="N19" s="184"/>
      <c r="O19" s="186"/>
      <c r="P19" s="183"/>
      <c r="Q19" s="184"/>
      <c r="R19" s="185"/>
      <c r="S19" s="183"/>
      <c r="T19" s="184"/>
      <c r="U19" s="187"/>
      <c r="V19" s="186"/>
      <c r="W19" s="186"/>
      <c r="X19" s="279">
        <f t="shared" si="1"/>
        <v>0</v>
      </c>
      <c r="Y19" s="344">
        <f>X20-X19</f>
        <v>0</v>
      </c>
      <c r="Z19" s="346"/>
    </row>
    <row r="20" spans="1:26" ht="14.25" customHeight="1" x14ac:dyDescent="0.3">
      <c r="A20" s="178">
        <f>-A19</f>
        <v>0</v>
      </c>
      <c r="B20" s="178" t="b">
        <f>B19</f>
        <v>1</v>
      </c>
      <c r="C20" s="188"/>
      <c r="D20" s="341"/>
      <c r="E20" s="339"/>
      <c r="F20" s="343"/>
      <c r="G20" s="189" t="s">
        <v>8</v>
      </c>
      <c r="H20" s="190"/>
      <c r="I20" s="280"/>
      <c r="J20" s="281">
        <f>SUMIF('02'!$D$7:$D$159,$C19,'02'!L$7:L$159)+SUMIF('03'!$D$7:$D$159,$C19,'03'!L$7:L$159)+SUMIF('04'!$D$7:$D$159,$C19,'04'!L$7:L$159)+SUMIF('05'!$D$7:$D$159,$C19,'05'!L$7:L$159)+SUMIF('06'!$D$7:$D$159,$C19,'06'!L$7:L$159)+SUMIF('07'!$D$7:$D$159,$C19,'07'!L$7:L$159)+SUMIF('08'!$D$7:$D$159,$C19,'08'!L$7:L$159)</f>
        <v>0</v>
      </c>
      <c r="K20" s="282">
        <f>SUMIF('02'!$D$7:$D$159,$C19,'02'!M$7:M$159)+SUMIF('03'!$D$7:$D$159,$C19,'03'!M$7:M$159)+SUMIF('04'!$D$7:$D$159,$C19,'04'!M$7:M$159)+SUMIF('05'!$D$7:$D$159,$C19,'05'!M$7:M$159)+SUMIF('06'!$D$7:$D$159,$C19,'06'!M$7:M$159)+SUMIF('07'!$D$7:$D$159,$C19,'07'!M$7:M$159)+SUMIF('08'!$D$7:$D$159,$C19,'08'!M$7:M$159)</f>
        <v>0</v>
      </c>
      <c r="L20" s="283">
        <f>SUMIF('02'!$D$7:$D$159,$C19,'02'!N$7:N$159)+SUMIF('03'!$D$7:$D$159,$C19,'03'!N$7:N$159)+SUMIF('04'!$D$7:$D$159,$C19,'04'!N$7:N$159)+SUMIF('05'!$D$7:$D$159,$C19,'05'!N$7:N$159)+SUMIF('06'!$D$7:$D$159,$C19,'06'!N$7:N$159)+SUMIF('07'!$D$7:$D$159,$C19,'07'!N$7:N$159)+SUMIF('08'!$D$7:$D$159,$C19,'08'!N$7:N$159)</f>
        <v>0</v>
      </c>
      <c r="M20" s="281">
        <f>SUMIF('02'!$D$7:$D$159,$C19,'02'!O$7:O$159)+SUMIF('03'!$D$7:$D$159,$C19,'03'!O$7:O$159)+SUMIF('04'!$D$7:$D$159,$C19,'04'!O$7:O$159)+SUMIF('05'!$D$7:$D$159,$C19,'05'!O$7:O$159)+SUMIF('06'!$D$7:$D$159,$C19,'06'!O$7:O$159)+SUMIF('07'!$D$7:$D$159,$C19,'07'!O$7:O$159)+SUMIF('08'!$D$7:$D$159,$C19,'08'!O$7:O$159)</f>
        <v>0</v>
      </c>
      <c r="N20" s="282">
        <f>SUMIF('02'!$D$7:$D$159,$C19,'02'!P$7:P$159)+SUMIF('03'!$D$7:$D$159,$C19,'03'!P$7:P$159)+SUMIF('04'!$D$7:$D$159,$C19,'04'!P$7:P$159)+SUMIF('05'!$D$7:$D$159,$C19,'05'!P$7:P$159)+SUMIF('06'!$D$7:$D$159,$C19,'06'!P$7:P$159)+SUMIF('07'!$D$7:$D$159,$C19,'07'!P$7:P$159)+SUMIF('08'!$D$7:$D$159,$C19,'08'!P$7:P$159)</f>
        <v>0</v>
      </c>
      <c r="O20" s="284">
        <f>SUMIF('02'!$D$7:$D$159,$C19,'02'!Q$7:Q$159)+SUMIF('03'!$D$7:$D$159,$C19,'03'!Q$7:Q$159)+SUMIF('04'!$D$7:$D$159,$C19,'04'!Q$7:Q$159)+SUMIF('05'!$D$7:$D$159,$C19,'05'!Q$7:Q$159)+SUMIF('06'!$D$7:$D$159,$C19,'06'!Q$7:Q$159)+SUMIF('07'!$D$7:$D$159,$C19,'07'!Q$7:Q$159)+SUMIF('08'!$D$7:$D$159,$C19,'08'!Q$7:Q$159)</f>
        <v>0</v>
      </c>
      <c r="P20" s="281">
        <f>SUMIF('02'!$D$7:$D$159,$C19,'02'!R$7:R$159)+SUMIF('03'!$D$7:$D$159,$C19,'03'!R$7:R$159)+SUMIF('04'!$D$7:$D$159,$C19,'04'!R$7:R$159)+SUMIF('05'!$D$7:$D$159,$C19,'05'!R$7:R$159)+SUMIF('06'!$D$7:$D$159,$C19,'06'!R$7:R$159)+SUMIF('07'!$D$7:$D$159,$C19,'07'!R$7:R$159)+SUMIF('08'!$D$7:$D$159,$C19,'08'!R$7:R$159)</f>
        <v>0</v>
      </c>
      <c r="Q20" s="282">
        <f>SUMIF('02'!$D$7:$D$159,$C19,'02'!S$7:S$159)+SUMIF('03'!$D$7:$D$159,$C19,'03'!S$7:S$159)+SUMIF('04'!$D$7:$D$159,$C19,'04'!S$7:S$159)+SUMIF('05'!$D$7:$D$159,$C19,'05'!S$7:S$159)+SUMIF('06'!$D$7:$D$159,$C19,'06'!S$7:S$159)+SUMIF('07'!$D$7:$D$159,$C19,'07'!S$7:S$159)+SUMIF('08'!$D$7:$D$159,$C19,'08'!S$7:S$159)</f>
        <v>0</v>
      </c>
      <c r="R20" s="283">
        <f>SUMIF('02'!$D$7:$D$159,$C19,'02'!T$7:T$159)+SUMIF('03'!$D$7:$D$159,$C19,'03'!T$7:T$159)+SUMIF('04'!$D$7:$D$159,$C19,'04'!T$7:T$159)+SUMIF('05'!$D$7:$D$159,$C19,'05'!T$7:T$159)+SUMIF('06'!$D$7:$D$159,$C19,'06'!T$7:T$159)+SUMIF('07'!$D$7:$D$159,$C19,'07'!T$7:T$159)+SUMIF('08'!$D$7:$D$159,$C19,'08'!T$7:T$159)</f>
        <v>0</v>
      </c>
      <c r="S20" s="281">
        <f>SUMIF('02'!$D$7:$D$159,$C19,'02'!U$7:U$159)+SUMIF('03'!$D$7:$D$159,$C19,'03'!U$7:U$159)+SUMIF('04'!$D$7:$D$159,$C19,'04'!U$7:U$159)+SUMIF('05'!$D$7:$D$159,$C19,'05'!U$7:U$159)+SUMIF('06'!$D$7:$D$159,$C19,'06'!U$7:U$159)+SUMIF('07'!$D$7:$D$159,$C19,'07'!U$7:U$159)+SUMIF('08'!$D$7:$D$159,$C19,'08'!U$7:U$159)</f>
        <v>0</v>
      </c>
      <c r="T20" s="282">
        <f>SUMIF('02'!$D$7:$D$159,$C19,'02'!V$7:V$159)+SUMIF('03'!$D$7:$D$159,$C19,'03'!V$7:V$159)+SUMIF('04'!$D$7:$D$159,$C19,'04'!V$7:V$159)+SUMIF('05'!$D$7:$D$159,$C19,'05'!V$7:V$159)+SUMIF('06'!$D$7:$D$159,$C19,'06'!V$7:V$159)+SUMIF('07'!$D$7:$D$159,$C19,'07'!V$7:V$159)+SUMIF('08'!$D$7:$D$159,$C19,'08'!V$7:V$159)</f>
        <v>0</v>
      </c>
      <c r="U20" s="285">
        <f>SUMIF('02'!$D$7:$D$159,$C19,'02'!W$7:W$159)+SUMIF('03'!$D$7:$D$159,$C19,'03'!W$7:W$159)+SUMIF('04'!$D$7:$D$159,$C19,'04'!W$7:W$159)+SUMIF('05'!$D$7:$D$159,$C19,'05'!W$7:W$159)+SUMIF('06'!$D$7:$D$159,$C19,'06'!W$7:W$159)+SUMIF('07'!$D$7:$D$159,$C19,'07'!W$7:W$159)+SUMIF('08'!$D$7:$D$159,$C19,'08'!W$7:W$159)</f>
        <v>0</v>
      </c>
      <c r="V20" s="284">
        <f>SUMIF('02'!$D$7:$D$159,$C19,'02'!X$7:X$159)+SUMIF('03'!$D$7:$D$159,$C19,'03'!X$7:X$159)+SUMIF('04'!$D$7:$D$159,$C19,'04'!X$7:X$159)+SUMIF('05'!$D$7:$D$159,$C19,'05'!X$7:X$159)+SUMIF('06'!$D$7:$D$159,$C19,'06'!X$7:X$159)+SUMIF('07'!$D$7:$D$159,$C19,'07'!X$7:X$159)+SUMIF('08'!$D$7:$D$159,$C19,'08'!X$7:X$159)</f>
        <v>0</v>
      </c>
      <c r="W20" s="284">
        <f>SUMIF('02'!$D$7:$D$159,$C19,'02'!Y$7:Y$159)+SUMIF('03'!$D$7:$D$159,$C19,'03'!Y$7:Y$159)+SUMIF('04'!$D$7:$D$159,$C19,'04'!Y$7:Y$159)+SUMIF('05'!$D$7:$D$159,$C19,'05'!Y$7:Y$159)+SUMIF('06'!$D$7:$D$159,$C19,'06'!Y$7:Y$159)+SUMIF('07'!$D$7:$D$159,$C19,'07'!Y$7:Y$159)+SUMIF('08'!$D$7:$D$159,$C19,'08'!Y$7:Y$159)</f>
        <v>0</v>
      </c>
      <c r="X20" s="286">
        <f t="shared" si="1"/>
        <v>0</v>
      </c>
      <c r="Y20" s="345"/>
      <c r="Z20" s="347"/>
    </row>
    <row r="21" spans="1:26" ht="14.25" customHeight="1" x14ac:dyDescent="0.3">
      <c r="A21" s="178">
        <f>IF(OR(C21="0",COUNTIF(КлючВесна,C21)&gt;1),0,MATCH(F21,ВидыНагр,0))</f>
        <v>0</v>
      </c>
      <c r="B21" s="178" t="b">
        <f>(COUNTA(D21:F22,J21:W21,H21:I22)=0)</f>
        <v>1</v>
      </c>
      <c r="C21" s="179" t="str">
        <f>IF(OR(TRIM(D21)="",COUNTIF(ВидыНагр,F21)&lt;&gt;1),"0",CONCATENATE("$",TRIM(D21),"$",TRIM(E21),"$",F21,"$"))</f>
        <v>0</v>
      </c>
      <c r="D21" s="340"/>
      <c r="E21" s="338"/>
      <c r="F21" s="342"/>
      <c r="G21" s="180" t="s">
        <v>7</v>
      </c>
      <c r="H21" s="181"/>
      <c r="I21" s="182"/>
      <c r="J21" s="183"/>
      <c r="K21" s="184"/>
      <c r="L21" s="185"/>
      <c r="M21" s="183"/>
      <c r="N21" s="184"/>
      <c r="O21" s="186"/>
      <c r="P21" s="183"/>
      <c r="Q21" s="184"/>
      <c r="R21" s="185"/>
      <c r="S21" s="183"/>
      <c r="T21" s="184"/>
      <c r="U21" s="187"/>
      <c r="V21" s="186"/>
      <c r="W21" s="186"/>
      <c r="X21" s="279">
        <f t="shared" si="1"/>
        <v>0</v>
      </c>
      <c r="Y21" s="344">
        <f>X22-X21</f>
        <v>0</v>
      </c>
      <c r="Z21" s="346"/>
    </row>
    <row r="22" spans="1:26" ht="14.25" customHeight="1" x14ac:dyDescent="0.3">
      <c r="A22" s="178">
        <f>-A21</f>
        <v>0</v>
      </c>
      <c r="B22" s="178" t="b">
        <f>B21</f>
        <v>1</v>
      </c>
      <c r="C22" s="188"/>
      <c r="D22" s="341"/>
      <c r="E22" s="339"/>
      <c r="F22" s="343"/>
      <c r="G22" s="189" t="s">
        <v>8</v>
      </c>
      <c r="H22" s="190"/>
      <c r="I22" s="280"/>
      <c r="J22" s="281">
        <f>SUMIF('02'!$D$7:$D$159,$C21,'02'!L$7:L$159)+SUMIF('03'!$D$7:$D$159,$C21,'03'!L$7:L$159)+SUMIF('04'!$D$7:$D$159,$C21,'04'!L$7:L$159)+SUMIF('05'!$D$7:$D$159,$C21,'05'!L$7:L$159)+SUMIF('06'!$D$7:$D$159,$C21,'06'!L$7:L$159)+SUMIF('07'!$D$7:$D$159,$C21,'07'!L$7:L$159)+SUMIF('08'!$D$7:$D$159,$C21,'08'!L$7:L$159)</f>
        <v>0</v>
      </c>
      <c r="K22" s="282">
        <f>SUMIF('02'!$D$7:$D$159,$C21,'02'!M$7:M$159)+SUMIF('03'!$D$7:$D$159,$C21,'03'!M$7:M$159)+SUMIF('04'!$D$7:$D$159,$C21,'04'!M$7:M$159)+SUMIF('05'!$D$7:$D$159,$C21,'05'!M$7:M$159)+SUMIF('06'!$D$7:$D$159,$C21,'06'!M$7:M$159)+SUMIF('07'!$D$7:$D$159,$C21,'07'!M$7:M$159)+SUMIF('08'!$D$7:$D$159,$C21,'08'!M$7:M$159)</f>
        <v>0</v>
      </c>
      <c r="L22" s="283">
        <f>SUMIF('02'!$D$7:$D$159,$C21,'02'!N$7:N$159)+SUMIF('03'!$D$7:$D$159,$C21,'03'!N$7:N$159)+SUMIF('04'!$D$7:$D$159,$C21,'04'!N$7:N$159)+SUMIF('05'!$D$7:$D$159,$C21,'05'!N$7:N$159)+SUMIF('06'!$D$7:$D$159,$C21,'06'!N$7:N$159)+SUMIF('07'!$D$7:$D$159,$C21,'07'!N$7:N$159)+SUMIF('08'!$D$7:$D$159,$C21,'08'!N$7:N$159)</f>
        <v>0</v>
      </c>
      <c r="M22" s="281">
        <f>SUMIF('02'!$D$7:$D$159,$C21,'02'!O$7:O$159)+SUMIF('03'!$D$7:$D$159,$C21,'03'!O$7:O$159)+SUMIF('04'!$D$7:$D$159,$C21,'04'!O$7:O$159)+SUMIF('05'!$D$7:$D$159,$C21,'05'!O$7:O$159)+SUMIF('06'!$D$7:$D$159,$C21,'06'!O$7:O$159)+SUMIF('07'!$D$7:$D$159,$C21,'07'!O$7:O$159)+SUMIF('08'!$D$7:$D$159,$C21,'08'!O$7:O$159)</f>
        <v>0</v>
      </c>
      <c r="N22" s="282">
        <f>SUMIF('02'!$D$7:$D$159,$C21,'02'!P$7:P$159)+SUMIF('03'!$D$7:$D$159,$C21,'03'!P$7:P$159)+SUMIF('04'!$D$7:$D$159,$C21,'04'!P$7:P$159)+SUMIF('05'!$D$7:$D$159,$C21,'05'!P$7:P$159)+SUMIF('06'!$D$7:$D$159,$C21,'06'!P$7:P$159)+SUMIF('07'!$D$7:$D$159,$C21,'07'!P$7:P$159)+SUMIF('08'!$D$7:$D$159,$C21,'08'!P$7:P$159)</f>
        <v>0</v>
      </c>
      <c r="O22" s="284">
        <f>SUMIF('02'!$D$7:$D$159,$C21,'02'!Q$7:Q$159)+SUMIF('03'!$D$7:$D$159,$C21,'03'!Q$7:Q$159)+SUMIF('04'!$D$7:$D$159,$C21,'04'!Q$7:Q$159)+SUMIF('05'!$D$7:$D$159,$C21,'05'!Q$7:Q$159)+SUMIF('06'!$D$7:$D$159,$C21,'06'!Q$7:Q$159)+SUMIF('07'!$D$7:$D$159,$C21,'07'!Q$7:Q$159)+SUMIF('08'!$D$7:$D$159,$C21,'08'!Q$7:Q$159)</f>
        <v>0</v>
      </c>
      <c r="P22" s="281">
        <f>SUMIF('02'!$D$7:$D$159,$C21,'02'!R$7:R$159)+SUMIF('03'!$D$7:$D$159,$C21,'03'!R$7:R$159)+SUMIF('04'!$D$7:$D$159,$C21,'04'!R$7:R$159)+SUMIF('05'!$D$7:$D$159,$C21,'05'!R$7:R$159)+SUMIF('06'!$D$7:$D$159,$C21,'06'!R$7:R$159)+SUMIF('07'!$D$7:$D$159,$C21,'07'!R$7:R$159)+SUMIF('08'!$D$7:$D$159,$C21,'08'!R$7:R$159)</f>
        <v>0</v>
      </c>
      <c r="Q22" s="282">
        <f>SUMIF('02'!$D$7:$D$159,$C21,'02'!S$7:S$159)+SUMIF('03'!$D$7:$D$159,$C21,'03'!S$7:S$159)+SUMIF('04'!$D$7:$D$159,$C21,'04'!S$7:S$159)+SUMIF('05'!$D$7:$D$159,$C21,'05'!S$7:S$159)+SUMIF('06'!$D$7:$D$159,$C21,'06'!S$7:S$159)+SUMIF('07'!$D$7:$D$159,$C21,'07'!S$7:S$159)+SUMIF('08'!$D$7:$D$159,$C21,'08'!S$7:S$159)</f>
        <v>0</v>
      </c>
      <c r="R22" s="283">
        <f>SUMIF('02'!$D$7:$D$159,$C21,'02'!T$7:T$159)+SUMIF('03'!$D$7:$D$159,$C21,'03'!T$7:T$159)+SUMIF('04'!$D$7:$D$159,$C21,'04'!T$7:T$159)+SUMIF('05'!$D$7:$D$159,$C21,'05'!T$7:T$159)+SUMIF('06'!$D$7:$D$159,$C21,'06'!T$7:T$159)+SUMIF('07'!$D$7:$D$159,$C21,'07'!T$7:T$159)+SUMIF('08'!$D$7:$D$159,$C21,'08'!T$7:T$159)</f>
        <v>0</v>
      </c>
      <c r="S22" s="281">
        <f>SUMIF('02'!$D$7:$D$159,$C21,'02'!U$7:U$159)+SUMIF('03'!$D$7:$D$159,$C21,'03'!U$7:U$159)+SUMIF('04'!$D$7:$D$159,$C21,'04'!U$7:U$159)+SUMIF('05'!$D$7:$D$159,$C21,'05'!U$7:U$159)+SUMIF('06'!$D$7:$D$159,$C21,'06'!U$7:U$159)+SUMIF('07'!$D$7:$D$159,$C21,'07'!U$7:U$159)+SUMIF('08'!$D$7:$D$159,$C21,'08'!U$7:U$159)</f>
        <v>0</v>
      </c>
      <c r="T22" s="282">
        <f>SUMIF('02'!$D$7:$D$159,$C21,'02'!V$7:V$159)+SUMIF('03'!$D$7:$D$159,$C21,'03'!V$7:V$159)+SUMIF('04'!$D$7:$D$159,$C21,'04'!V$7:V$159)+SUMIF('05'!$D$7:$D$159,$C21,'05'!V$7:V$159)+SUMIF('06'!$D$7:$D$159,$C21,'06'!V$7:V$159)+SUMIF('07'!$D$7:$D$159,$C21,'07'!V$7:V$159)+SUMIF('08'!$D$7:$D$159,$C21,'08'!V$7:V$159)</f>
        <v>0</v>
      </c>
      <c r="U22" s="285">
        <f>SUMIF('02'!$D$7:$D$159,$C21,'02'!W$7:W$159)+SUMIF('03'!$D$7:$D$159,$C21,'03'!W$7:W$159)+SUMIF('04'!$D$7:$D$159,$C21,'04'!W$7:W$159)+SUMIF('05'!$D$7:$D$159,$C21,'05'!W$7:W$159)+SUMIF('06'!$D$7:$D$159,$C21,'06'!W$7:W$159)+SUMIF('07'!$D$7:$D$159,$C21,'07'!W$7:W$159)+SUMIF('08'!$D$7:$D$159,$C21,'08'!W$7:W$159)</f>
        <v>0</v>
      </c>
      <c r="V22" s="284">
        <f>SUMIF('02'!$D$7:$D$159,$C21,'02'!X$7:X$159)+SUMIF('03'!$D$7:$D$159,$C21,'03'!X$7:X$159)+SUMIF('04'!$D$7:$D$159,$C21,'04'!X$7:X$159)+SUMIF('05'!$D$7:$D$159,$C21,'05'!X$7:X$159)+SUMIF('06'!$D$7:$D$159,$C21,'06'!X$7:X$159)+SUMIF('07'!$D$7:$D$159,$C21,'07'!X$7:X$159)+SUMIF('08'!$D$7:$D$159,$C21,'08'!X$7:X$159)</f>
        <v>0</v>
      </c>
      <c r="W22" s="284">
        <f>SUMIF('02'!$D$7:$D$159,$C21,'02'!Y$7:Y$159)+SUMIF('03'!$D$7:$D$159,$C21,'03'!Y$7:Y$159)+SUMIF('04'!$D$7:$D$159,$C21,'04'!Y$7:Y$159)+SUMIF('05'!$D$7:$D$159,$C21,'05'!Y$7:Y$159)+SUMIF('06'!$D$7:$D$159,$C21,'06'!Y$7:Y$159)+SUMIF('07'!$D$7:$D$159,$C21,'07'!Y$7:Y$159)+SUMIF('08'!$D$7:$D$159,$C21,'08'!Y$7:Y$159)</f>
        <v>0</v>
      </c>
      <c r="X22" s="286">
        <f t="shared" si="1"/>
        <v>0</v>
      </c>
      <c r="Y22" s="345"/>
      <c r="Z22" s="347"/>
    </row>
    <row r="23" spans="1:26" ht="14.25" customHeight="1" x14ac:dyDescent="0.3">
      <c r="A23" s="178">
        <f>IF(OR(C23="0",COUNTIF(КлючВесна,C23)&gt;1),0,MATCH(F23,ВидыНагр,0))</f>
        <v>0</v>
      </c>
      <c r="B23" s="178" t="b">
        <f>(COUNTA(D23:F24,J23:W23,H23:I24)=0)</f>
        <v>1</v>
      </c>
      <c r="C23" s="179" t="str">
        <f>IF(OR(TRIM(D23)="",COUNTIF(ВидыНагр,F23)&lt;&gt;1),"0",CONCATENATE("$",TRIM(D23),"$",TRIM(E23),"$",F23,"$"))</f>
        <v>0</v>
      </c>
      <c r="D23" s="340"/>
      <c r="E23" s="338"/>
      <c r="F23" s="342"/>
      <c r="G23" s="180" t="s">
        <v>7</v>
      </c>
      <c r="H23" s="181"/>
      <c r="I23" s="182"/>
      <c r="J23" s="183"/>
      <c r="K23" s="184"/>
      <c r="L23" s="185"/>
      <c r="M23" s="183"/>
      <c r="N23" s="184"/>
      <c r="O23" s="186"/>
      <c r="P23" s="183"/>
      <c r="Q23" s="184"/>
      <c r="R23" s="185"/>
      <c r="S23" s="183"/>
      <c r="T23" s="184"/>
      <c r="U23" s="187"/>
      <c r="V23" s="186"/>
      <c r="W23" s="186"/>
      <c r="X23" s="279">
        <f t="shared" si="1"/>
        <v>0</v>
      </c>
      <c r="Y23" s="344">
        <f>X24-X23</f>
        <v>0</v>
      </c>
      <c r="Z23" s="346"/>
    </row>
    <row r="24" spans="1:26" ht="14.25" customHeight="1" x14ac:dyDescent="0.3">
      <c r="A24" s="178">
        <f>-A23</f>
        <v>0</v>
      </c>
      <c r="B24" s="178" t="b">
        <f>B23</f>
        <v>1</v>
      </c>
      <c r="C24" s="188"/>
      <c r="D24" s="341"/>
      <c r="E24" s="339"/>
      <c r="F24" s="343"/>
      <c r="G24" s="189" t="s">
        <v>8</v>
      </c>
      <c r="H24" s="190"/>
      <c r="I24" s="280"/>
      <c r="J24" s="281">
        <f>SUMIF('02'!$D$7:$D$159,$C23,'02'!L$7:L$159)+SUMIF('03'!$D$7:$D$159,$C23,'03'!L$7:L$159)+SUMIF('04'!$D$7:$D$159,$C23,'04'!L$7:L$159)+SUMIF('05'!$D$7:$D$159,$C23,'05'!L$7:L$159)+SUMIF('06'!$D$7:$D$159,$C23,'06'!L$7:L$159)+SUMIF('07'!$D$7:$D$159,$C23,'07'!L$7:L$159)+SUMIF('08'!$D$7:$D$159,$C23,'08'!L$7:L$159)</f>
        <v>0</v>
      </c>
      <c r="K24" s="282">
        <f>SUMIF('02'!$D$7:$D$159,$C23,'02'!M$7:M$159)+SUMIF('03'!$D$7:$D$159,$C23,'03'!M$7:M$159)+SUMIF('04'!$D$7:$D$159,$C23,'04'!M$7:M$159)+SUMIF('05'!$D$7:$D$159,$C23,'05'!M$7:M$159)+SUMIF('06'!$D$7:$D$159,$C23,'06'!M$7:M$159)+SUMIF('07'!$D$7:$D$159,$C23,'07'!M$7:M$159)+SUMIF('08'!$D$7:$D$159,$C23,'08'!M$7:M$159)</f>
        <v>0</v>
      </c>
      <c r="L24" s="283">
        <f>SUMIF('02'!$D$7:$D$159,$C23,'02'!N$7:N$159)+SUMIF('03'!$D$7:$D$159,$C23,'03'!N$7:N$159)+SUMIF('04'!$D$7:$D$159,$C23,'04'!N$7:N$159)+SUMIF('05'!$D$7:$D$159,$C23,'05'!N$7:N$159)+SUMIF('06'!$D$7:$D$159,$C23,'06'!N$7:N$159)+SUMIF('07'!$D$7:$D$159,$C23,'07'!N$7:N$159)+SUMIF('08'!$D$7:$D$159,$C23,'08'!N$7:N$159)</f>
        <v>0</v>
      </c>
      <c r="M24" s="281">
        <f>SUMIF('02'!$D$7:$D$159,$C23,'02'!O$7:O$159)+SUMIF('03'!$D$7:$D$159,$C23,'03'!O$7:O$159)+SUMIF('04'!$D$7:$D$159,$C23,'04'!O$7:O$159)+SUMIF('05'!$D$7:$D$159,$C23,'05'!O$7:O$159)+SUMIF('06'!$D$7:$D$159,$C23,'06'!O$7:O$159)+SUMIF('07'!$D$7:$D$159,$C23,'07'!O$7:O$159)+SUMIF('08'!$D$7:$D$159,$C23,'08'!O$7:O$159)</f>
        <v>0</v>
      </c>
      <c r="N24" s="282">
        <f>SUMIF('02'!$D$7:$D$159,$C23,'02'!P$7:P$159)+SUMIF('03'!$D$7:$D$159,$C23,'03'!P$7:P$159)+SUMIF('04'!$D$7:$D$159,$C23,'04'!P$7:P$159)+SUMIF('05'!$D$7:$D$159,$C23,'05'!P$7:P$159)+SUMIF('06'!$D$7:$D$159,$C23,'06'!P$7:P$159)+SUMIF('07'!$D$7:$D$159,$C23,'07'!P$7:P$159)+SUMIF('08'!$D$7:$D$159,$C23,'08'!P$7:P$159)</f>
        <v>0</v>
      </c>
      <c r="O24" s="284">
        <f>SUMIF('02'!$D$7:$D$159,$C23,'02'!Q$7:Q$159)+SUMIF('03'!$D$7:$D$159,$C23,'03'!Q$7:Q$159)+SUMIF('04'!$D$7:$D$159,$C23,'04'!Q$7:Q$159)+SUMIF('05'!$D$7:$D$159,$C23,'05'!Q$7:Q$159)+SUMIF('06'!$D$7:$D$159,$C23,'06'!Q$7:Q$159)+SUMIF('07'!$D$7:$D$159,$C23,'07'!Q$7:Q$159)+SUMIF('08'!$D$7:$D$159,$C23,'08'!Q$7:Q$159)</f>
        <v>0</v>
      </c>
      <c r="P24" s="281">
        <f>SUMIF('02'!$D$7:$D$159,$C23,'02'!R$7:R$159)+SUMIF('03'!$D$7:$D$159,$C23,'03'!R$7:R$159)+SUMIF('04'!$D$7:$D$159,$C23,'04'!R$7:R$159)+SUMIF('05'!$D$7:$D$159,$C23,'05'!R$7:R$159)+SUMIF('06'!$D$7:$D$159,$C23,'06'!R$7:R$159)+SUMIF('07'!$D$7:$D$159,$C23,'07'!R$7:R$159)+SUMIF('08'!$D$7:$D$159,$C23,'08'!R$7:R$159)</f>
        <v>0</v>
      </c>
      <c r="Q24" s="282">
        <f>SUMIF('02'!$D$7:$D$159,$C23,'02'!S$7:S$159)+SUMIF('03'!$D$7:$D$159,$C23,'03'!S$7:S$159)+SUMIF('04'!$D$7:$D$159,$C23,'04'!S$7:S$159)+SUMIF('05'!$D$7:$D$159,$C23,'05'!S$7:S$159)+SUMIF('06'!$D$7:$D$159,$C23,'06'!S$7:S$159)+SUMIF('07'!$D$7:$D$159,$C23,'07'!S$7:S$159)+SUMIF('08'!$D$7:$D$159,$C23,'08'!S$7:S$159)</f>
        <v>0</v>
      </c>
      <c r="R24" s="283">
        <f>SUMIF('02'!$D$7:$D$159,$C23,'02'!T$7:T$159)+SUMIF('03'!$D$7:$D$159,$C23,'03'!T$7:T$159)+SUMIF('04'!$D$7:$D$159,$C23,'04'!T$7:T$159)+SUMIF('05'!$D$7:$D$159,$C23,'05'!T$7:T$159)+SUMIF('06'!$D$7:$D$159,$C23,'06'!T$7:T$159)+SUMIF('07'!$D$7:$D$159,$C23,'07'!T$7:T$159)+SUMIF('08'!$D$7:$D$159,$C23,'08'!T$7:T$159)</f>
        <v>0</v>
      </c>
      <c r="S24" s="281">
        <f>SUMIF('02'!$D$7:$D$159,$C23,'02'!U$7:U$159)+SUMIF('03'!$D$7:$D$159,$C23,'03'!U$7:U$159)+SUMIF('04'!$D$7:$D$159,$C23,'04'!U$7:U$159)+SUMIF('05'!$D$7:$D$159,$C23,'05'!U$7:U$159)+SUMIF('06'!$D$7:$D$159,$C23,'06'!U$7:U$159)+SUMIF('07'!$D$7:$D$159,$C23,'07'!U$7:U$159)+SUMIF('08'!$D$7:$D$159,$C23,'08'!U$7:U$159)</f>
        <v>0</v>
      </c>
      <c r="T24" s="282">
        <f>SUMIF('02'!$D$7:$D$159,$C23,'02'!V$7:V$159)+SUMIF('03'!$D$7:$D$159,$C23,'03'!V$7:V$159)+SUMIF('04'!$D$7:$D$159,$C23,'04'!V$7:V$159)+SUMIF('05'!$D$7:$D$159,$C23,'05'!V$7:V$159)+SUMIF('06'!$D$7:$D$159,$C23,'06'!V$7:V$159)+SUMIF('07'!$D$7:$D$159,$C23,'07'!V$7:V$159)+SUMIF('08'!$D$7:$D$159,$C23,'08'!V$7:V$159)</f>
        <v>0</v>
      </c>
      <c r="U24" s="285">
        <f>SUMIF('02'!$D$7:$D$159,$C23,'02'!W$7:W$159)+SUMIF('03'!$D$7:$D$159,$C23,'03'!W$7:W$159)+SUMIF('04'!$D$7:$D$159,$C23,'04'!W$7:W$159)+SUMIF('05'!$D$7:$D$159,$C23,'05'!W$7:W$159)+SUMIF('06'!$D$7:$D$159,$C23,'06'!W$7:W$159)+SUMIF('07'!$D$7:$D$159,$C23,'07'!W$7:W$159)+SUMIF('08'!$D$7:$D$159,$C23,'08'!W$7:W$159)</f>
        <v>0</v>
      </c>
      <c r="V24" s="284">
        <f>SUMIF('02'!$D$7:$D$159,$C23,'02'!X$7:X$159)+SUMIF('03'!$D$7:$D$159,$C23,'03'!X$7:X$159)+SUMIF('04'!$D$7:$D$159,$C23,'04'!X$7:X$159)+SUMIF('05'!$D$7:$D$159,$C23,'05'!X$7:X$159)+SUMIF('06'!$D$7:$D$159,$C23,'06'!X$7:X$159)+SUMIF('07'!$D$7:$D$159,$C23,'07'!X$7:X$159)+SUMIF('08'!$D$7:$D$159,$C23,'08'!X$7:X$159)</f>
        <v>0</v>
      </c>
      <c r="W24" s="284">
        <f>SUMIF('02'!$D$7:$D$159,$C23,'02'!Y$7:Y$159)+SUMIF('03'!$D$7:$D$159,$C23,'03'!Y$7:Y$159)+SUMIF('04'!$D$7:$D$159,$C23,'04'!Y$7:Y$159)+SUMIF('05'!$D$7:$D$159,$C23,'05'!Y$7:Y$159)+SUMIF('06'!$D$7:$D$159,$C23,'06'!Y$7:Y$159)+SUMIF('07'!$D$7:$D$159,$C23,'07'!Y$7:Y$159)+SUMIF('08'!$D$7:$D$159,$C23,'08'!Y$7:Y$159)</f>
        <v>0</v>
      </c>
      <c r="X24" s="286">
        <f t="shared" si="1"/>
        <v>0</v>
      </c>
      <c r="Y24" s="345"/>
      <c r="Z24" s="347"/>
    </row>
    <row r="25" spans="1:26" ht="14.25" customHeight="1" x14ac:dyDescent="0.3">
      <c r="A25" s="178">
        <f>IF(OR(C25="0",COUNTIF(КлючВесна,C25)&gt;1),0,MATCH(F25,ВидыНагр,0))</f>
        <v>0</v>
      </c>
      <c r="B25" s="178" t="b">
        <f>(COUNTA(D25:F26,J25:W25,H25:I26)=0)</f>
        <v>1</v>
      </c>
      <c r="C25" s="179" t="str">
        <f>IF(OR(TRIM(D25)="",COUNTIF(ВидыНагр,F25)&lt;&gt;1),"0",CONCATENATE("$",TRIM(D25),"$",TRIM(E25),"$",F25,"$"))</f>
        <v>0</v>
      </c>
      <c r="D25" s="340"/>
      <c r="E25" s="338"/>
      <c r="F25" s="342"/>
      <c r="G25" s="180" t="s">
        <v>7</v>
      </c>
      <c r="H25" s="181"/>
      <c r="I25" s="182"/>
      <c r="J25" s="183"/>
      <c r="K25" s="184"/>
      <c r="L25" s="185"/>
      <c r="M25" s="183"/>
      <c r="N25" s="184"/>
      <c r="O25" s="186"/>
      <c r="P25" s="183"/>
      <c r="Q25" s="184"/>
      <c r="R25" s="185"/>
      <c r="S25" s="183"/>
      <c r="T25" s="184"/>
      <c r="U25" s="187"/>
      <c r="V25" s="186"/>
      <c r="W25" s="186"/>
      <c r="X25" s="279">
        <f t="shared" si="1"/>
        <v>0</v>
      </c>
      <c r="Y25" s="344">
        <f>X26-X25</f>
        <v>0</v>
      </c>
      <c r="Z25" s="346"/>
    </row>
    <row r="26" spans="1:26" ht="14.25" customHeight="1" x14ac:dyDescent="0.3">
      <c r="A26" s="178">
        <f>-A25</f>
        <v>0</v>
      </c>
      <c r="B26" s="178" t="b">
        <f>B25</f>
        <v>1</v>
      </c>
      <c r="C26" s="188"/>
      <c r="D26" s="341"/>
      <c r="E26" s="339"/>
      <c r="F26" s="343"/>
      <c r="G26" s="189" t="s">
        <v>8</v>
      </c>
      <c r="H26" s="190"/>
      <c r="I26" s="280"/>
      <c r="J26" s="281">
        <f>SUMIF('02'!$D$7:$D$159,$C25,'02'!L$7:L$159)+SUMIF('03'!$D$7:$D$159,$C25,'03'!L$7:L$159)+SUMIF('04'!$D$7:$D$159,$C25,'04'!L$7:L$159)+SUMIF('05'!$D$7:$D$159,$C25,'05'!L$7:L$159)+SUMIF('06'!$D$7:$D$159,$C25,'06'!L$7:L$159)+SUMIF('07'!$D$7:$D$159,$C25,'07'!L$7:L$159)+SUMIF('08'!$D$7:$D$159,$C25,'08'!L$7:L$159)</f>
        <v>0</v>
      </c>
      <c r="K26" s="282">
        <f>SUMIF('02'!$D$7:$D$159,$C25,'02'!M$7:M$159)+SUMIF('03'!$D$7:$D$159,$C25,'03'!M$7:M$159)+SUMIF('04'!$D$7:$D$159,$C25,'04'!M$7:M$159)+SUMIF('05'!$D$7:$D$159,$C25,'05'!M$7:M$159)+SUMIF('06'!$D$7:$D$159,$C25,'06'!M$7:M$159)+SUMIF('07'!$D$7:$D$159,$C25,'07'!M$7:M$159)+SUMIF('08'!$D$7:$D$159,$C25,'08'!M$7:M$159)</f>
        <v>0</v>
      </c>
      <c r="L26" s="283">
        <f>SUMIF('02'!$D$7:$D$159,$C25,'02'!N$7:N$159)+SUMIF('03'!$D$7:$D$159,$C25,'03'!N$7:N$159)+SUMIF('04'!$D$7:$D$159,$C25,'04'!N$7:N$159)+SUMIF('05'!$D$7:$D$159,$C25,'05'!N$7:N$159)+SUMIF('06'!$D$7:$D$159,$C25,'06'!N$7:N$159)+SUMIF('07'!$D$7:$D$159,$C25,'07'!N$7:N$159)+SUMIF('08'!$D$7:$D$159,$C25,'08'!N$7:N$159)</f>
        <v>0</v>
      </c>
      <c r="M26" s="281">
        <f>SUMIF('02'!$D$7:$D$159,$C25,'02'!O$7:O$159)+SUMIF('03'!$D$7:$D$159,$C25,'03'!O$7:O$159)+SUMIF('04'!$D$7:$D$159,$C25,'04'!O$7:O$159)+SUMIF('05'!$D$7:$D$159,$C25,'05'!O$7:O$159)+SUMIF('06'!$D$7:$D$159,$C25,'06'!O$7:O$159)+SUMIF('07'!$D$7:$D$159,$C25,'07'!O$7:O$159)+SUMIF('08'!$D$7:$D$159,$C25,'08'!O$7:O$159)</f>
        <v>0</v>
      </c>
      <c r="N26" s="282">
        <f>SUMIF('02'!$D$7:$D$159,$C25,'02'!P$7:P$159)+SUMIF('03'!$D$7:$D$159,$C25,'03'!P$7:P$159)+SUMIF('04'!$D$7:$D$159,$C25,'04'!P$7:P$159)+SUMIF('05'!$D$7:$D$159,$C25,'05'!P$7:P$159)+SUMIF('06'!$D$7:$D$159,$C25,'06'!P$7:P$159)+SUMIF('07'!$D$7:$D$159,$C25,'07'!P$7:P$159)+SUMIF('08'!$D$7:$D$159,$C25,'08'!P$7:P$159)</f>
        <v>0</v>
      </c>
      <c r="O26" s="284">
        <f>SUMIF('02'!$D$7:$D$159,$C25,'02'!Q$7:Q$159)+SUMIF('03'!$D$7:$D$159,$C25,'03'!Q$7:Q$159)+SUMIF('04'!$D$7:$D$159,$C25,'04'!Q$7:Q$159)+SUMIF('05'!$D$7:$D$159,$C25,'05'!Q$7:Q$159)+SUMIF('06'!$D$7:$D$159,$C25,'06'!Q$7:Q$159)+SUMIF('07'!$D$7:$D$159,$C25,'07'!Q$7:Q$159)+SUMIF('08'!$D$7:$D$159,$C25,'08'!Q$7:Q$159)</f>
        <v>0</v>
      </c>
      <c r="P26" s="281">
        <f>SUMIF('02'!$D$7:$D$159,$C25,'02'!R$7:R$159)+SUMIF('03'!$D$7:$D$159,$C25,'03'!R$7:R$159)+SUMIF('04'!$D$7:$D$159,$C25,'04'!R$7:R$159)+SUMIF('05'!$D$7:$D$159,$C25,'05'!R$7:R$159)+SUMIF('06'!$D$7:$D$159,$C25,'06'!R$7:R$159)+SUMIF('07'!$D$7:$D$159,$C25,'07'!R$7:R$159)+SUMIF('08'!$D$7:$D$159,$C25,'08'!R$7:R$159)</f>
        <v>0</v>
      </c>
      <c r="Q26" s="282">
        <f>SUMIF('02'!$D$7:$D$159,$C25,'02'!S$7:S$159)+SUMIF('03'!$D$7:$D$159,$C25,'03'!S$7:S$159)+SUMIF('04'!$D$7:$D$159,$C25,'04'!S$7:S$159)+SUMIF('05'!$D$7:$D$159,$C25,'05'!S$7:S$159)+SUMIF('06'!$D$7:$D$159,$C25,'06'!S$7:S$159)+SUMIF('07'!$D$7:$D$159,$C25,'07'!S$7:S$159)+SUMIF('08'!$D$7:$D$159,$C25,'08'!S$7:S$159)</f>
        <v>0</v>
      </c>
      <c r="R26" s="283">
        <f>SUMIF('02'!$D$7:$D$159,$C25,'02'!T$7:T$159)+SUMIF('03'!$D$7:$D$159,$C25,'03'!T$7:T$159)+SUMIF('04'!$D$7:$D$159,$C25,'04'!T$7:T$159)+SUMIF('05'!$D$7:$D$159,$C25,'05'!T$7:T$159)+SUMIF('06'!$D$7:$D$159,$C25,'06'!T$7:T$159)+SUMIF('07'!$D$7:$D$159,$C25,'07'!T$7:T$159)+SUMIF('08'!$D$7:$D$159,$C25,'08'!T$7:T$159)</f>
        <v>0</v>
      </c>
      <c r="S26" s="281">
        <f>SUMIF('02'!$D$7:$D$159,$C25,'02'!U$7:U$159)+SUMIF('03'!$D$7:$D$159,$C25,'03'!U$7:U$159)+SUMIF('04'!$D$7:$D$159,$C25,'04'!U$7:U$159)+SUMIF('05'!$D$7:$D$159,$C25,'05'!U$7:U$159)+SUMIF('06'!$D$7:$D$159,$C25,'06'!U$7:U$159)+SUMIF('07'!$D$7:$D$159,$C25,'07'!U$7:U$159)+SUMIF('08'!$D$7:$D$159,$C25,'08'!U$7:U$159)</f>
        <v>0</v>
      </c>
      <c r="T26" s="282">
        <f>SUMIF('02'!$D$7:$D$159,$C25,'02'!V$7:V$159)+SUMIF('03'!$D$7:$D$159,$C25,'03'!V$7:V$159)+SUMIF('04'!$D$7:$D$159,$C25,'04'!V$7:V$159)+SUMIF('05'!$D$7:$D$159,$C25,'05'!V$7:V$159)+SUMIF('06'!$D$7:$D$159,$C25,'06'!V$7:V$159)+SUMIF('07'!$D$7:$D$159,$C25,'07'!V$7:V$159)+SUMIF('08'!$D$7:$D$159,$C25,'08'!V$7:V$159)</f>
        <v>0</v>
      </c>
      <c r="U26" s="285">
        <f>SUMIF('02'!$D$7:$D$159,$C25,'02'!W$7:W$159)+SUMIF('03'!$D$7:$D$159,$C25,'03'!W$7:W$159)+SUMIF('04'!$D$7:$D$159,$C25,'04'!W$7:W$159)+SUMIF('05'!$D$7:$D$159,$C25,'05'!W$7:W$159)+SUMIF('06'!$D$7:$D$159,$C25,'06'!W$7:W$159)+SUMIF('07'!$D$7:$D$159,$C25,'07'!W$7:W$159)+SUMIF('08'!$D$7:$D$159,$C25,'08'!W$7:W$159)</f>
        <v>0</v>
      </c>
      <c r="V26" s="284">
        <f>SUMIF('02'!$D$7:$D$159,$C25,'02'!X$7:X$159)+SUMIF('03'!$D$7:$D$159,$C25,'03'!X$7:X$159)+SUMIF('04'!$D$7:$D$159,$C25,'04'!X$7:X$159)+SUMIF('05'!$D$7:$D$159,$C25,'05'!X$7:X$159)+SUMIF('06'!$D$7:$D$159,$C25,'06'!X$7:X$159)+SUMIF('07'!$D$7:$D$159,$C25,'07'!X$7:X$159)+SUMIF('08'!$D$7:$D$159,$C25,'08'!X$7:X$159)</f>
        <v>0</v>
      </c>
      <c r="W26" s="284">
        <f>SUMIF('02'!$D$7:$D$159,$C25,'02'!Y$7:Y$159)+SUMIF('03'!$D$7:$D$159,$C25,'03'!Y$7:Y$159)+SUMIF('04'!$D$7:$D$159,$C25,'04'!Y$7:Y$159)+SUMIF('05'!$D$7:$D$159,$C25,'05'!Y$7:Y$159)+SUMIF('06'!$D$7:$D$159,$C25,'06'!Y$7:Y$159)+SUMIF('07'!$D$7:$D$159,$C25,'07'!Y$7:Y$159)+SUMIF('08'!$D$7:$D$159,$C25,'08'!Y$7:Y$159)</f>
        <v>0</v>
      </c>
      <c r="X26" s="286">
        <f t="shared" si="1"/>
        <v>0</v>
      </c>
      <c r="Y26" s="345"/>
      <c r="Z26" s="347"/>
    </row>
    <row r="27" spans="1:26" ht="14.25" customHeight="1" x14ac:dyDescent="0.3">
      <c r="A27" s="178">
        <f>IF(OR(C27="0",COUNTIF(КлючВесна,C27)&gt;1),0,MATCH(F27,ВидыНагр,0))</f>
        <v>0</v>
      </c>
      <c r="B27" s="178" t="b">
        <f>(COUNTA(D27:F28,J27:W27,H27:I28)=0)</f>
        <v>1</v>
      </c>
      <c r="C27" s="179" t="str">
        <f>IF(OR(TRIM(D27)="",COUNTIF(ВидыНагр,F27)&lt;&gt;1),"0",CONCATENATE("$",TRIM(D27),"$",TRIM(E27),"$",F27,"$"))</f>
        <v>0</v>
      </c>
      <c r="D27" s="340"/>
      <c r="E27" s="338"/>
      <c r="F27" s="342"/>
      <c r="G27" s="180" t="s">
        <v>7</v>
      </c>
      <c r="H27" s="181"/>
      <c r="I27" s="182"/>
      <c r="J27" s="183"/>
      <c r="K27" s="184"/>
      <c r="L27" s="185"/>
      <c r="M27" s="183"/>
      <c r="N27" s="184"/>
      <c r="O27" s="186"/>
      <c r="P27" s="183"/>
      <c r="Q27" s="184"/>
      <c r="R27" s="185"/>
      <c r="S27" s="183"/>
      <c r="T27" s="184"/>
      <c r="U27" s="187"/>
      <c r="V27" s="186"/>
      <c r="W27" s="186"/>
      <c r="X27" s="279">
        <f t="shared" si="1"/>
        <v>0</v>
      </c>
      <c r="Y27" s="344">
        <f>X28-X27</f>
        <v>0</v>
      </c>
      <c r="Z27" s="346"/>
    </row>
    <row r="28" spans="1:26" ht="14.25" customHeight="1" x14ac:dyDescent="0.3">
      <c r="A28" s="178">
        <f>-A27</f>
        <v>0</v>
      </c>
      <c r="B28" s="178" t="b">
        <f>B27</f>
        <v>1</v>
      </c>
      <c r="C28" s="188"/>
      <c r="D28" s="341"/>
      <c r="E28" s="339"/>
      <c r="F28" s="343"/>
      <c r="G28" s="189" t="s">
        <v>8</v>
      </c>
      <c r="H28" s="190"/>
      <c r="I28" s="280"/>
      <c r="J28" s="281">
        <f>SUMIF('02'!$D$7:$D$159,$C27,'02'!L$7:L$159)+SUMIF('03'!$D$7:$D$159,$C27,'03'!L$7:L$159)+SUMIF('04'!$D$7:$D$159,$C27,'04'!L$7:L$159)+SUMIF('05'!$D$7:$D$159,$C27,'05'!L$7:L$159)+SUMIF('06'!$D$7:$D$159,$C27,'06'!L$7:L$159)+SUMIF('07'!$D$7:$D$159,$C27,'07'!L$7:L$159)+SUMIF('08'!$D$7:$D$159,$C27,'08'!L$7:L$159)</f>
        <v>0</v>
      </c>
      <c r="K28" s="282">
        <f>SUMIF('02'!$D$7:$D$159,$C27,'02'!M$7:M$159)+SUMIF('03'!$D$7:$D$159,$C27,'03'!M$7:M$159)+SUMIF('04'!$D$7:$D$159,$C27,'04'!M$7:M$159)+SUMIF('05'!$D$7:$D$159,$C27,'05'!M$7:M$159)+SUMIF('06'!$D$7:$D$159,$C27,'06'!M$7:M$159)+SUMIF('07'!$D$7:$D$159,$C27,'07'!M$7:M$159)+SUMIF('08'!$D$7:$D$159,$C27,'08'!M$7:M$159)</f>
        <v>0</v>
      </c>
      <c r="L28" s="283">
        <f>SUMIF('02'!$D$7:$D$159,$C27,'02'!N$7:N$159)+SUMIF('03'!$D$7:$D$159,$C27,'03'!N$7:N$159)+SUMIF('04'!$D$7:$D$159,$C27,'04'!N$7:N$159)+SUMIF('05'!$D$7:$D$159,$C27,'05'!N$7:N$159)+SUMIF('06'!$D$7:$D$159,$C27,'06'!N$7:N$159)+SUMIF('07'!$D$7:$D$159,$C27,'07'!N$7:N$159)+SUMIF('08'!$D$7:$D$159,$C27,'08'!N$7:N$159)</f>
        <v>0</v>
      </c>
      <c r="M28" s="281">
        <f>SUMIF('02'!$D$7:$D$159,$C27,'02'!O$7:O$159)+SUMIF('03'!$D$7:$D$159,$C27,'03'!O$7:O$159)+SUMIF('04'!$D$7:$D$159,$C27,'04'!O$7:O$159)+SUMIF('05'!$D$7:$D$159,$C27,'05'!O$7:O$159)+SUMIF('06'!$D$7:$D$159,$C27,'06'!O$7:O$159)+SUMIF('07'!$D$7:$D$159,$C27,'07'!O$7:O$159)+SUMIF('08'!$D$7:$D$159,$C27,'08'!O$7:O$159)</f>
        <v>0</v>
      </c>
      <c r="N28" s="282">
        <f>SUMIF('02'!$D$7:$D$159,$C27,'02'!P$7:P$159)+SUMIF('03'!$D$7:$D$159,$C27,'03'!P$7:P$159)+SUMIF('04'!$D$7:$D$159,$C27,'04'!P$7:P$159)+SUMIF('05'!$D$7:$D$159,$C27,'05'!P$7:P$159)+SUMIF('06'!$D$7:$D$159,$C27,'06'!P$7:P$159)+SUMIF('07'!$D$7:$D$159,$C27,'07'!P$7:P$159)+SUMIF('08'!$D$7:$D$159,$C27,'08'!P$7:P$159)</f>
        <v>0</v>
      </c>
      <c r="O28" s="284">
        <f>SUMIF('02'!$D$7:$D$159,$C27,'02'!Q$7:Q$159)+SUMIF('03'!$D$7:$D$159,$C27,'03'!Q$7:Q$159)+SUMIF('04'!$D$7:$D$159,$C27,'04'!Q$7:Q$159)+SUMIF('05'!$D$7:$D$159,$C27,'05'!Q$7:Q$159)+SUMIF('06'!$D$7:$D$159,$C27,'06'!Q$7:Q$159)+SUMIF('07'!$D$7:$D$159,$C27,'07'!Q$7:Q$159)+SUMIF('08'!$D$7:$D$159,$C27,'08'!Q$7:Q$159)</f>
        <v>0</v>
      </c>
      <c r="P28" s="281">
        <f>SUMIF('02'!$D$7:$D$159,$C27,'02'!R$7:R$159)+SUMIF('03'!$D$7:$D$159,$C27,'03'!R$7:R$159)+SUMIF('04'!$D$7:$D$159,$C27,'04'!R$7:R$159)+SUMIF('05'!$D$7:$D$159,$C27,'05'!R$7:R$159)+SUMIF('06'!$D$7:$D$159,$C27,'06'!R$7:R$159)+SUMIF('07'!$D$7:$D$159,$C27,'07'!R$7:R$159)+SUMIF('08'!$D$7:$D$159,$C27,'08'!R$7:R$159)</f>
        <v>0</v>
      </c>
      <c r="Q28" s="282">
        <f>SUMIF('02'!$D$7:$D$159,$C27,'02'!S$7:S$159)+SUMIF('03'!$D$7:$D$159,$C27,'03'!S$7:S$159)+SUMIF('04'!$D$7:$D$159,$C27,'04'!S$7:S$159)+SUMIF('05'!$D$7:$D$159,$C27,'05'!S$7:S$159)+SUMIF('06'!$D$7:$D$159,$C27,'06'!S$7:S$159)+SUMIF('07'!$D$7:$D$159,$C27,'07'!S$7:S$159)+SUMIF('08'!$D$7:$D$159,$C27,'08'!S$7:S$159)</f>
        <v>0</v>
      </c>
      <c r="R28" s="283">
        <f>SUMIF('02'!$D$7:$D$159,$C27,'02'!T$7:T$159)+SUMIF('03'!$D$7:$D$159,$C27,'03'!T$7:T$159)+SUMIF('04'!$D$7:$D$159,$C27,'04'!T$7:T$159)+SUMIF('05'!$D$7:$D$159,$C27,'05'!T$7:T$159)+SUMIF('06'!$D$7:$D$159,$C27,'06'!T$7:T$159)+SUMIF('07'!$D$7:$D$159,$C27,'07'!T$7:T$159)+SUMIF('08'!$D$7:$D$159,$C27,'08'!T$7:T$159)</f>
        <v>0</v>
      </c>
      <c r="S28" s="281">
        <f>SUMIF('02'!$D$7:$D$159,$C27,'02'!U$7:U$159)+SUMIF('03'!$D$7:$D$159,$C27,'03'!U$7:U$159)+SUMIF('04'!$D$7:$D$159,$C27,'04'!U$7:U$159)+SUMIF('05'!$D$7:$D$159,$C27,'05'!U$7:U$159)+SUMIF('06'!$D$7:$D$159,$C27,'06'!U$7:U$159)+SUMIF('07'!$D$7:$D$159,$C27,'07'!U$7:U$159)+SUMIF('08'!$D$7:$D$159,$C27,'08'!U$7:U$159)</f>
        <v>0</v>
      </c>
      <c r="T28" s="282">
        <f>SUMIF('02'!$D$7:$D$159,$C27,'02'!V$7:V$159)+SUMIF('03'!$D$7:$D$159,$C27,'03'!V$7:V$159)+SUMIF('04'!$D$7:$D$159,$C27,'04'!V$7:V$159)+SUMIF('05'!$D$7:$D$159,$C27,'05'!V$7:V$159)+SUMIF('06'!$D$7:$D$159,$C27,'06'!V$7:V$159)+SUMIF('07'!$D$7:$D$159,$C27,'07'!V$7:V$159)+SUMIF('08'!$D$7:$D$159,$C27,'08'!V$7:V$159)</f>
        <v>0</v>
      </c>
      <c r="U28" s="285">
        <f>SUMIF('02'!$D$7:$D$159,$C27,'02'!W$7:W$159)+SUMIF('03'!$D$7:$D$159,$C27,'03'!W$7:W$159)+SUMIF('04'!$D$7:$D$159,$C27,'04'!W$7:W$159)+SUMIF('05'!$D$7:$D$159,$C27,'05'!W$7:W$159)+SUMIF('06'!$D$7:$D$159,$C27,'06'!W$7:W$159)+SUMIF('07'!$D$7:$D$159,$C27,'07'!W$7:W$159)+SUMIF('08'!$D$7:$D$159,$C27,'08'!W$7:W$159)</f>
        <v>0</v>
      </c>
      <c r="V28" s="284">
        <f>SUMIF('02'!$D$7:$D$159,$C27,'02'!X$7:X$159)+SUMIF('03'!$D$7:$D$159,$C27,'03'!X$7:X$159)+SUMIF('04'!$D$7:$D$159,$C27,'04'!X$7:X$159)+SUMIF('05'!$D$7:$D$159,$C27,'05'!X$7:X$159)+SUMIF('06'!$D$7:$D$159,$C27,'06'!X$7:X$159)+SUMIF('07'!$D$7:$D$159,$C27,'07'!X$7:X$159)+SUMIF('08'!$D$7:$D$159,$C27,'08'!X$7:X$159)</f>
        <v>0</v>
      </c>
      <c r="W28" s="284">
        <f>SUMIF('02'!$D$7:$D$159,$C27,'02'!Y$7:Y$159)+SUMIF('03'!$D$7:$D$159,$C27,'03'!Y$7:Y$159)+SUMIF('04'!$D$7:$D$159,$C27,'04'!Y$7:Y$159)+SUMIF('05'!$D$7:$D$159,$C27,'05'!Y$7:Y$159)+SUMIF('06'!$D$7:$D$159,$C27,'06'!Y$7:Y$159)+SUMIF('07'!$D$7:$D$159,$C27,'07'!Y$7:Y$159)+SUMIF('08'!$D$7:$D$159,$C27,'08'!Y$7:Y$159)</f>
        <v>0</v>
      </c>
      <c r="X28" s="286">
        <f t="shared" si="1"/>
        <v>0</v>
      </c>
      <c r="Y28" s="345"/>
      <c r="Z28" s="347"/>
    </row>
    <row r="29" spans="1:26" ht="14.25" customHeight="1" x14ac:dyDescent="0.3">
      <c r="A29" s="178">
        <f>IF(OR(C29="0",COUNTIF(КлючВесна,C29)&gt;1),0,MATCH(F29,ВидыНагр,0))</f>
        <v>0</v>
      </c>
      <c r="B29" s="178" t="b">
        <f>(COUNTA(D29:F30,J29:W29,H29:I30)=0)</f>
        <v>1</v>
      </c>
      <c r="C29" s="179" t="str">
        <f>IF(OR(TRIM(D29)="",COUNTIF(ВидыНагр,F29)&lt;&gt;1),"0",CONCATENATE("$",TRIM(D29),"$",TRIM(E29),"$",F29,"$"))</f>
        <v>0</v>
      </c>
      <c r="D29" s="340"/>
      <c r="E29" s="338"/>
      <c r="F29" s="342"/>
      <c r="G29" s="180" t="s">
        <v>7</v>
      </c>
      <c r="H29" s="181"/>
      <c r="I29" s="182"/>
      <c r="J29" s="183"/>
      <c r="K29" s="184"/>
      <c r="L29" s="185"/>
      <c r="M29" s="183"/>
      <c r="N29" s="184"/>
      <c r="O29" s="186"/>
      <c r="P29" s="183"/>
      <c r="Q29" s="184"/>
      <c r="R29" s="185"/>
      <c r="S29" s="183"/>
      <c r="T29" s="184"/>
      <c r="U29" s="187"/>
      <c r="V29" s="186"/>
      <c r="W29" s="186"/>
      <c r="X29" s="279">
        <f t="shared" si="1"/>
        <v>0</v>
      </c>
      <c r="Y29" s="344">
        <f>X30-X29</f>
        <v>0</v>
      </c>
      <c r="Z29" s="346"/>
    </row>
    <row r="30" spans="1:26" ht="14.25" customHeight="1" x14ac:dyDescent="0.3">
      <c r="A30" s="178">
        <f>-A29</f>
        <v>0</v>
      </c>
      <c r="B30" s="178" t="b">
        <f>B29</f>
        <v>1</v>
      </c>
      <c r="C30" s="188"/>
      <c r="D30" s="341"/>
      <c r="E30" s="339"/>
      <c r="F30" s="343"/>
      <c r="G30" s="189" t="s">
        <v>8</v>
      </c>
      <c r="H30" s="190"/>
      <c r="I30" s="280"/>
      <c r="J30" s="281">
        <f>SUMIF('02'!$D$7:$D$159,$C29,'02'!L$7:L$159)+SUMIF('03'!$D$7:$D$159,$C29,'03'!L$7:L$159)+SUMIF('04'!$D$7:$D$159,$C29,'04'!L$7:L$159)+SUMIF('05'!$D$7:$D$159,$C29,'05'!L$7:L$159)+SUMIF('06'!$D$7:$D$159,$C29,'06'!L$7:L$159)+SUMIF('07'!$D$7:$D$159,$C29,'07'!L$7:L$159)+SUMIF('08'!$D$7:$D$159,$C29,'08'!L$7:L$159)</f>
        <v>0</v>
      </c>
      <c r="K30" s="282">
        <f>SUMIF('02'!$D$7:$D$159,$C29,'02'!M$7:M$159)+SUMIF('03'!$D$7:$D$159,$C29,'03'!M$7:M$159)+SUMIF('04'!$D$7:$D$159,$C29,'04'!M$7:M$159)+SUMIF('05'!$D$7:$D$159,$C29,'05'!M$7:M$159)+SUMIF('06'!$D$7:$D$159,$C29,'06'!M$7:M$159)+SUMIF('07'!$D$7:$D$159,$C29,'07'!M$7:M$159)+SUMIF('08'!$D$7:$D$159,$C29,'08'!M$7:M$159)</f>
        <v>0</v>
      </c>
      <c r="L30" s="283">
        <f>SUMIF('02'!$D$7:$D$159,$C29,'02'!N$7:N$159)+SUMIF('03'!$D$7:$D$159,$C29,'03'!N$7:N$159)+SUMIF('04'!$D$7:$D$159,$C29,'04'!N$7:N$159)+SUMIF('05'!$D$7:$D$159,$C29,'05'!N$7:N$159)+SUMIF('06'!$D$7:$D$159,$C29,'06'!N$7:N$159)+SUMIF('07'!$D$7:$D$159,$C29,'07'!N$7:N$159)+SUMIF('08'!$D$7:$D$159,$C29,'08'!N$7:N$159)</f>
        <v>0</v>
      </c>
      <c r="M30" s="281">
        <f>SUMIF('02'!$D$7:$D$159,$C29,'02'!O$7:O$159)+SUMIF('03'!$D$7:$D$159,$C29,'03'!O$7:O$159)+SUMIF('04'!$D$7:$D$159,$C29,'04'!O$7:O$159)+SUMIF('05'!$D$7:$D$159,$C29,'05'!O$7:O$159)+SUMIF('06'!$D$7:$D$159,$C29,'06'!O$7:O$159)+SUMIF('07'!$D$7:$D$159,$C29,'07'!O$7:O$159)+SUMIF('08'!$D$7:$D$159,$C29,'08'!O$7:O$159)</f>
        <v>0</v>
      </c>
      <c r="N30" s="282">
        <f>SUMIF('02'!$D$7:$D$159,$C29,'02'!P$7:P$159)+SUMIF('03'!$D$7:$D$159,$C29,'03'!P$7:P$159)+SUMIF('04'!$D$7:$D$159,$C29,'04'!P$7:P$159)+SUMIF('05'!$D$7:$D$159,$C29,'05'!P$7:P$159)+SUMIF('06'!$D$7:$D$159,$C29,'06'!P$7:P$159)+SUMIF('07'!$D$7:$D$159,$C29,'07'!P$7:P$159)+SUMIF('08'!$D$7:$D$159,$C29,'08'!P$7:P$159)</f>
        <v>0</v>
      </c>
      <c r="O30" s="284">
        <f>SUMIF('02'!$D$7:$D$159,$C29,'02'!Q$7:Q$159)+SUMIF('03'!$D$7:$D$159,$C29,'03'!Q$7:Q$159)+SUMIF('04'!$D$7:$D$159,$C29,'04'!Q$7:Q$159)+SUMIF('05'!$D$7:$D$159,$C29,'05'!Q$7:Q$159)+SUMIF('06'!$D$7:$D$159,$C29,'06'!Q$7:Q$159)+SUMIF('07'!$D$7:$D$159,$C29,'07'!Q$7:Q$159)+SUMIF('08'!$D$7:$D$159,$C29,'08'!Q$7:Q$159)</f>
        <v>0</v>
      </c>
      <c r="P30" s="281">
        <f>SUMIF('02'!$D$7:$D$159,$C29,'02'!R$7:R$159)+SUMIF('03'!$D$7:$D$159,$C29,'03'!R$7:R$159)+SUMIF('04'!$D$7:$D$159,$C29,'04'!R$7:R$159)+SUMIF('05'!$D$7:$D$159,$C29,'05'!R$7:R$159)+SUMIF('06'!$D$7:$D$159,$C29,'06'!R$7:R$159)+SUMIF('07'!$D$7:$D$159,$C29,'07'!R$7:R$159)+SUMIF('08'!$D$7:$D$159,$C29,'08'!R$7:R$159)</f>
        <v>0</v>
      </c>
      <c r="Q30" s="282">
        <f>SUMIF('02'!$D$7:$D$159,$C29,'02'!S$7:S$159)+SUMIF('03'!$D$7:$D$159,$C29,'03'!S$7:S$159)+SUMIF('04'!$D$7:$D$159,$C29,'04'!S$7:S$159)+SUMIF('05'!$D$7:$D$159,$C29,'05'!S$7:S$159)+SUMIF('06'!$D$7:$D$159,$C29,'06'!S$7:S$159)+SUMIF('07'!$D$7:$D$159,$C29,'07'!S$7:S$159)+SUMIF('08'!$D$7:$D$159,$C29,'08'!S$7:S$159)</f>
        <v>0</v>
      </c>
      <c r="R30" s="283">
        <f>SUMIF('02'!$D$7:$D$159,$C29,'02'!T$7:T$159)+SUMIF('03'!$D$7:$D$159,$C29,'03'!T$7:T$159)+SUMIF('04'!$D$7:$D$159,$C29,'04'!T$7:T$159)+SUMIF('05'!$D$7:$D$159,$C29,'05'!T$7:T$159)+SUMIF('06'!$D$7:$D$159,$C29,'06'!T$7:T$159)+SUMIF('07'!$D$7:$D$159,$C29,'07'!T$7:T$159)+SUMIF('08'!$D$7:$D$159,$C29,'08'!T$7:T$159)</f>
        <v>0</v>
      </c>
      <c r="S30" s="281">
        <f>SUMIF('02'!$D$7:$D$159,$C29,'02'!U$7:U$159)+SUMIF('03'!$D$7:$D$159,$C29,'03'!U$7:U$159)+SUMIF('04'!$D$7:$D$159,$C29,'04'!U$7:U$159)+SUMIF('05'!$D$7:$D$159,$C29,'05'!U$7:U$159)+SUMIF('06'!$D$7:$D$159,$C29,'06'!U$7:U$159)+SUMIF('07'!$D$7:$D$159,$C29,'07'!U$7:U$159)+SUMIF('08'!$D$7:$D$159,$C29,'08'!U$7:U$159)</f>
        <v>0</v>
      </c>
      <c r="T30" s="282">
        <f>SUMIF('02'!$D$7:$D$159,$C29,'02'!V$7:V$159)+SUMIF('03'!$D$7:$D$159,$C29,'03'!V$7:V$159)+SUMIF('04'!$D$7:$D$159,$C29,'04'!V$7:V$159)+SUMIF('05'!$D$7:$D$159,$C29,'05'!V$7:V$159)+SUMIF('06'!$D$7:$D$159,$C29,'06'!V$7:V$159)+SUMIF('07'!$D$7:$D$159,$C29,'07'!V$7:V$159)+SUMIF('08'!$D$7:$D$159,$C29,'08'!V$7:V$159)</f>
        <v>0</v>
      </c>
      <c r="U30" s="285">
        <f>SUMIF('02'!$D$7:$D$159,$C29,'02'!W$7:W$159)+SUMIF('03'!$D$7:$D$159,$C29,'03'!W$7:W$159)+SUMIF('04'!$D$7:$D$159,$C29,'04'!W$7:W$159)+SUMIF('05'!$D$7:$D$159,$C29,'05'!W$7:W$159)+SUMIF('06'!$D$7:$D$159,$C29,'06'!W$7:W$159)+SUMIF('07'!$D$7:$D$159,$C29,'07'!W$7:W$159)+SUMIF('08'!$D$7:$D$159,$C29,'08'!W$7:W$159)</f>
        <v>0</v>
      </c>
      <c r="V30" s="284">
        <f>SUMIF('02'!$D$7:$D$159,$C29,'02'!X$7:X$159)+SUMIF('03'!$D$7:$D$159,$C29,'03'!X$7:X$159)+SUMIF('04'!$D$7:$D$159,$C29,'04'!X$7:X$159)+SUMIF('05'!$D$7:$D$159,$C29,'05'!X$7:X$159)+SUMIF('06'!$D$7:$D$159,$C29,'06'!X$7:X$159)+SUMIF('07'!$D$7:$D$159,$C29,'07'!X$7:X$159)+SUMIF('08'!$D$7:$D$159,$C29,'08'!X$7:X$159)</f>
        <v>0</v>
      </c>
      <c r="W30" s="284">
        <f>SUMIF('02'!$D$7:$D$159,$C29,'02'!Y$7:Y$159)+SUMIF('03'!$D$7:$D$159,$C29,'03'!Y$7:Y$159)+SUMIF('04'!$D$7:$D$159,$C29,'04'!Y$7:Y$159)+SUMIF('05'!$D$7:$D$159,$C29,'05'!Y$7:Y$159)+SUMIF('06'!$D$7:$D$159,$C29,'06'!Y$7:Y$159)+SUMIF('07'!$D$7:$D$159,$C29,'07'!Y$7:Y$159)+SUMIF('08'!$D$7:$D$159,$C29,'08'!Y$7:Y$159)</f>
        <v>0</v>
      </c>
      <c r="X30" s="286">
        <f t="shared" si="1"/>
        <v>0</v>
      </c>
      <c r="Y30" s="345"/>
      <c r="Z30" s="347"/>
    </row>
    <row r="31" spans="1:26" ht="14.25" customHeight="1" x14ac:dyDescent="0.3">
      <c r="A31" s="178">
        <f>IF(OR(C31="0",COUNTIF(КлючВесна,C31)&gt;1),0,MATCH(F31,ВидыНагр,0))</f>
        <v>0</v>
      </c>
      <c r="B31" s="178" t="b">
        <f>(COUNTA(D31:F32,J31:W31,H31:I32)=0)</f>
        <v>1</v>
      </c>
      <c r="C31" s="179" t="str">
        <f>IF(OR(TRIM(D31)="",COUNTIF(ВидыНагр,F31)&lt;&gt;1),"0",CONCATENATE("$",TRIM(D31),"$",TRIM(E31),"$",F31,"$"))</f>
        <v>0</v>
      </c>
      <c r="D31" s="340"/>
      <c r="E31" s="338"/>
      <c r="F31" s="342"/>
      <c r="G31" s="180" t="s">
        <v>7</v>
      </c>
      <c r="H31" s="181"/>
      <c r="I31" s="182"/>
      <c r="J31" s="183"/>
      <c r="K31" s="184"/>
      <c r="L31" s="185"/>
      <c r="M31" s="183"/>
      <c r="N31" s="184"/>
      <c r="O31" s="186"/>
      <c r="P31" s="183"/>
      <c r="Q31" s="184"/>
      <c r="R31" s="185"/>
      <c r="S31" s="183"/>
      <c r="T31" s="184"/>
      <c r="U31" s="187"/>
      <c r="V31" s="186"/>
      <c r="W31" s="186"/>
      <c r="X31" s="279">
        <f t="shared" ref="X31:X84" si="2">SUM(J31:W31)</f>
        <v>0</v>
      </c>
      <c r="Y31" s="344">
        <f>X32-X31</f>
        <v>0</v>
      </c>
      <c r="Z31" s="346"/>
    </row>
    <row r="32" spans="1:26" ht="14.25" customHeight="1" x14ac:dyDescent="0.3">
      <c r="A32" s="178">
        <f>-A31</f>
        <v>0</v>
      </c>
      <c r="B32" s="178" t="b">
        <f>B31</f>
        <v>1</v>
      </c>
      <c r="C32" s="188"/>
      <c r="D32" s="341"/>
      <c r="E32" s="339"/>
      <c r="F32" s="343"/>
      <c r="G32" s="189" t="s">
        <v>8</v>
      </c>
      <c r="H32" s="190"/>
      <c r="I32" s="280"/>
      <c r="J32" s="281">
        <f>SUMIF('02'!$D$7:$D$159,$C31,'02'!L$7:L$159)+SUMIF('03'!$D$7:$D$159,$C31,'03'!L$7:L$159)+SUMIF('04'!$D$7:$D$159,$C31,'04'!L$7:L$159)+SUMIF('05'!$D$7:$D$159,$C31,'05'!L$7:L$159)+SUMIF('06'!$D$7:$D$159,$C31,'06'!L$7:L$159)+SUMIF('07'!$D$7:$D$159,$C31,'07'!L$7:L$159)+SUMIF('08'!$D$7:$D$159,$C31,'08'!L$7:L$159)</f>
        <v>0</v>
      </c>
      <c r="K32" s="282">
        <f>SUMIF('02'!$D$7:$D$159,$C31,'02'!M$7:M$159)+SUMIF('03'!$D$7:$D$159,$C31,'03'!M$7:M$159)+SUMIF('04'!$D$7:$D$159,$C31,'04'!M$7:M$159)+SUMIF('05'!$D$7:$D$159,$C31,'05'!M$7:M$159)+SUMIF('06'!$D$7:$D$159,$C31,'06'!M$7:M$159)+SUMIF('07'!$D$7:$D$159,$C31,'07'!M$7:M$159)+SUMIF('08'!$D$7:$D$159,$C31,'08'!M$7:M$159)</f>
        <v>0</v>
      </c>
      <c r="L32" s="283">
        <f>SUMIF('02'!$D$7:$D$159,$C31,'02'!N$7:N$159)+SUMIF('03'!$D$7:$D$159,$C31,'03'!N$7:N$159)+SUMIF('04'!$D$7:$D$159,$C31,'04'!N$7:N$159)+SUMIF('05'!$D$7:$D$159,$C31,'05'!N$7:N$159)+SUMIF('06'!$D$7:$D$159,$C31,'06'!N$7:N$159)+SUMIF('07'!$D$7:$D$159,$C31,'07'!N$7:N$159)+SUMIF('08'!$D$7:$D$159,$C31,'08'!N$7:N$159)</f>
        <v>0</v>
      </c>
      <c r="M32" s="281">
        <f>SUMIF('02'!$D$7:$D$159,$C31,'02'!O$7:O$159)+SUMIF('03'!$D$7:$D$159,$C31,'03'!O$7:O$159)+SUMIF('04'!$D$7:$D$159,$C31,'04'!O$7:O$159)+SUMIF('05'!$D$7:$D$159,$C31,'05'!O$7:O$159)+SUMIF('06'!$D$7:$D$159,$C31,'06'!O$7:O$159)+SUMIF('07'!$D$7:$D$159,$C31,'07'!O$7:O$159)+SUMIF('08'!$D$7:$D$159,$C31,'08'!O$7:O$159)</f>
        <v>0</v>
      </c>
      <c r="N32" s="282">
        <f>SUMIF('02'!$D$7:$D$159,$C31,'02'!P$7:P$159)+SUMIF('03'!$D$7:$D$159,$C31,'03'!P$7:P$159)+SUMIF('04'!$D$7:$D$159,$C31,'04'!P$7:P$159)+SUMIF('05'!$D$7:$D$159,$C31,'05'!P$7:P$159)+SUMIF('06'!$D$7:$D$159,$C31,'06'!P$7:P$159)+SUMIF('07'!$D$7:$D$159,$C31,'07'!P$7:P$159)+SUMIF('08'!$D$7:$D$159,$C31,'08'!P$7:P$159)</f>
        <v>0</v>
      </c>
      <c r="O32" s="284">
        <f>SUMIF('02'!$D$7:$D$159,$C31,'02'!Q$7:Q$159)+SUMIF('03'!$D$7:$D$159,$C31,'03'!Q$7:Q$159)+SUMIF('04'!$D$7:$D$159,$C31,'04'!Q$7:Q$159)+SUMIF('05'!$D$7:$D$159,$C31,'05'!Q$7:Q$159)+SUMIF('06'!$D$7:$D$159,$C31,'06'!Q$7:Q$159)+SUMIF('07'!$D$7:$D$159,$C31,'07'!Q$7:Q$159)+SUMIF('08'!$D$7:$D$159,$C31,'08'!Q$7:Q$159)</f>
        <v>0</v>
      </c>
      <c r="P32" s="281">
        <f>SUMIF('02'!$D$7:$D$159,$C31,'02'!R$7:R$159)+SUMIF('03'!$D$7:$D$159,$C31,'03'!R$7:R$159)+SUMIF('04'!$D$7:$D$159,$C31,'04'!R$7:R$159)+SUMIF('05'!$D$7:$D$159,$C31,'05'!R$7:R$159)+SUMIF('06'!$D$7:$D$159,$C31,'06'!R$7:R$159)+SUMIF('07'!$D$7:$D$159,$C31,'07'!R$7:R$159)+SUMIF('08'!$D$7:$D$159,$C31,'08'!R$7:R$159)</f>
        <v>0</v>
      </c>
      <c r="Q32" s="282">
        <f>SUMIF('02'!$D$7:$D$159,$C31,'02'!S$7:S$159)+SUMIF('03'!$D$7:$D$159,$C31,'03'!S$7:S$159)+SUMIF('04'!$D$7:$D$159,$C31,'04'!S$7:S$159)+SUMIF('05'!$D$7:$D$159,$C31,'05'!S$7:S$159)+SUMIF('06'!$D$7:$D$159,$C31,'06'!S$7:S$159)+SUMIF('07'!$D$7:$D$159,$C31,'07'!S$7:S$159)+SUMIF('08'!$D$7:$D$159,$C31,'08'!S$7:S$159)</f>
        <v>0</v>
      </c>
      <c r="R32" s="283">
        <f>SUMIF('02'!$D$7:$D$159,$C31,'02'!T$7:T$159)+SUMIF('03'!$D$7:$D$159,$C31,'03'!T$7:T$159)+SUMIF('04'!$D$7:$D$159,$C31,'04'!T$7:T$159)+SUMIF('05'!$D$7:$D$159,$C31,'05'!T$7:T$159)+SUMIF('06'!$D$7:$D$159,$C31,'06'!T$7:T$159)+SUMIF('07'!$D$7:$D$159,$C31,'07'!T$7:T$159)+SUMIF('08'!$D$7:$D$159,$C31,'08'!T$7:T$159)</f>
        <v>0</v>
      </c>
      <c r="S32" s="281">
        <f>SUMIF('02'!$D$7:$D$159,$C31,'02'!U$7:U$159)+SUMIF('03'!$D$7:$D$159,$C31,'03'!U$7:U$159)+SUMIF('04'!$D$7:$D$159,$C31,'04'!U$7:U$159)+SUMIF('05'!$D$7:$D$159,$C31,'05'!U$7:U$159)+SUMIF('06'!$D$7:$D$159,$C31,'06'!U$7:U$159)+SUMIF('07'!$D$7:$D$159,$C31,'07'!U$7:U$159)+SUMIF('08'!$D$7:$D$159,$C31,'08'!U$7:U$159)</f>
        <v>0</v>
      </c>
      <c r="T32" s="282">
        <f>SUMIF('02'!$D$7:$D$159,$C31,'02'!V$7:V$159)+SUMIF('03'!$D$7:$D$159,$C31,'03'!V$7:V$159)+SUMIF('04'!$D$7:$D$159,$C31,'04'!V$7:V$159)+SUMIF('05'!$D$7:$D$159,$C31,'05'!V$7:V$159)+SUMIF('06'!$D$7:$D$159,$C31,'06'!V$7:V$159)+SUMIF('07'!$D$7:$D$159,$C31,'07'!V$7:V$159)+SUMIF('08'!$D$7:$D$159,$C31,'08'!V$7:V$159)</f>
        <v>0</v>
      </c>
      <c r="U32" s="285">
        <f>SUMIF('02'!$D$7:$D$159,$C31,'02'!W$7:W$159)+SUMIF('03'!$D$7:$D$159,$C31,'03'!W$7:W$159)+SUMIF('04'!$D$7:$D$159,$C31,'04'!W$7:W$159)+SUMIF('05'!$D$7:$D$159,$C31,'05'!W$7:W$159)+SUMIF('06'!$D$7:$D$159,$C31,'06'!W$7:W$159)+SUMIF('07'!$D$7:$D$159,$C31,'07'!W$7:W$159)+SUMIF('08'!$D$7:$D$159,$C31,'08'!W$7:W$159)</f>
        <v>0</v>
      </c>
      <c r="V32" s="284">
        <f>SUMIF('02'!$D$7:$D$159,$C31,'02'!X$7:X$159)+SUMIF('03'!$D$7:$D$159,$C31,'03'!X$7:X$159)+SUMIF('04'!$D$7:$D$159,$C31,'04'!X$7:X$159)+SUMIF('05'!$D$7:$D$159,$C31,'05'!X$7:X$159)+SUMIF('06'!$D$7:$D$159,$C31,'06'!X$7:X$159)+SUMIF('07'!$D$7:$D$159,$C31,'07'!X$7:X$159)+SUMIF('08'!$D$7:$D$159,$C31,'08'!X$7:X$159)</f>
        <v>0</v>
      </c>
      <c r="W32" s="284">
        <f>SUMIF('02'!$D$7:$D$159,$C31,'02'!Y$7:Y$159)+SUMIF('03'!$D$7:$D$159,$C31,'03'!Y$7:Y$159)+SUMIF('04'!$D$7:$D$159,$C31,'04'!Y$7:Y$159)+SUMIF('05'!$D$7:$D$159,$C31,'05'!Y$7:Y$159)+SUMIF('06'!$D$7:$D$159,$C31,'06'!Y$7:Y$159)+SUMIF('07'!$D$7:$D$159,$C31,'07'!Y$7:Y$159)+SUMIF('08'!$D$7:$D$159,$C31,'08'!Y$7:Y$159)</f>
        <v>0</v>
      </c>
      <c r="X32" s="286">
        <f t="shared" si="2"/>
        <v>0</v>
      </c>
      <c r="Y32" s="345"/>
      <c r="Z32" s="347"/>
    </row>
    <row r="33" spans="1:26" ht="14.25" customHeight="1" x14ac:dyDescent="0.3">
      <c r="A33" s="178">
        <f>IF(OR(C33="0",COUNTIF(КлючВесна,C33)&gt;1),0,MATCH(F33,ВидыНагр,0))</f>
        <v>0</v>
      </c>
      <c r="B33" s="178" t="b">
        <f>(COUNTA(D33:F34,J33:W33,H33:I34)=0)</f>
        <v>1</v>
      </c>
      <c r="C33" s="179" t="str">
        <f>IF(OR(TRIM(D33)="",COUNTIF(ВидыНагр,F33)&lt;&gt;1),"0",CONCATENATE("$",TRIM(D33),"$",TRIM(E33),"$",F33,"$"))</f>
        <v>0</v>
      </c>
      <c r="D33" s="340"/>
      <c r="E33" s="338"/>
      <c r="F33" s="342"/>
      <c r="G33" s="180" t="s">
        <v>7</v>
      </c>
      <c r="H33" s="181"/>
      <c r="I33" s="182"/>
      <c r="J33" s="183"/>
      <c r="K33" s="184"/>
      <c r="L33" s="185"/>
      <c r="M33" s="183"/>
      <c r="N33" s="184"/>
      <c r="O33" s="186"/>
      <c r="P33" s="183"/>
      <c r="Q33" s="184"/>
      <c r="R33" s="185"/>
      <c r="S33" s="183"/>
      <c r="T33" s="184"/>
      <c r="U33" s="187"/>
      <c r="V33" s="186"/>
      <c r="W33" s="186"/>
      <c r="X33" s="279">
        <f t="shared" si="2"/>
        <v>0</v>
      </c>
      <c r="Y33" s="344">
        <f>X34-X33</f>
        <v>0</v>
      </c>
      <c r="Z33" s="346"/>
    </row>
    <row r="34" spans="1:26" ht="14.25" customHeight="1" x14ac:dyDescent="0.3">
      <c r="A34" s="178">
        <f>-A33</f>
        <v>0</v>
      </c>
      <c r="B34" s="178" t="b">
        <f>B33</f>
        <v>1</v>
      </c>
      <c r="C34" s="188"/>
      <c r="D34" s="341"/>
      <c r="E34" s="339"/>
      <c r="F34" s="343"/>
      <c r="G34" s="189" t="s">
        <v>8</v>
      </c>
      <c r="H34" s="190"/>
      <c r="I34" s="280"/>
      <c r="J34" s="281">
        <f>SUMIF('02'!$D$7:$D$159,$C33,'02'!L$7:L$159)+SUMIF('03'!$D$7:$D$159,$C33,'03'!L$7:L$159)+SUMIF('04'!$D$7:$D$159,$C33,'04'!L$7:L$159)+SUMIF('05'!$D$7:$D$159,$C33,'05'!L$7:L$159)+SUMIF('06'!$D$7:$D$159,$C33,'06'!L$7:L$159)+SUMIF('07'!$D$7:$D$159,$C33,'07'!L$7:L$159)+SUMIF('08'!$D$7:$D$159,$C33,'08'!L$7:L$159)</f>
        <v>0</v>
      </c>
      <c r="K34" s="282">
        <f>SUMIF('02'!$D$7:$D$159,$C33,'02'!M$7:M$159)+SUMIF('03'!$D$7:$D$159,$C33,'03'!M$7:M$159)+SUMIF('04'!$D$7:$D$159,$C33,'04'!M$7:M$159)+SUMIF('05'!$D$7:$D$159,$C33,'05'!M$7:M$159)+SUMIF('06'!$D$7:$D$159,$C33,'06'!M$7:M$159)+SUMIF('07'!$D$7:$D$159,$C33,'07'!M$7:M$159)+SUMIF('08'!$D$7:$D$159,$C33,'08'!M$7:M$159)</f>
        <v>0</v>
      </c>
      <c r="L34" s="283">
        <f>SUMIF('02'!$D$7:$D$159,$C33,'02'!N$7:N$159)+SUMIF('03'!$D$7:$D$159,$C33,'03'!N$7:N$159)+SUMIF('04'!$D$7:$D$159,$C33,'04'!N$7:N$159)+SUMIF('05'!$D$7:$D$159,$C33,'05'!N$7:N$159)+SUMIF('06'!$D$7:$D$159,$C33,'06'!N$7:N$159)+SUMIF('07'!$D$7:$D$159,$C33,'07'!N$7:N$159)+SUMIF('08'!$D$7:$D$159,$C33,'08'!N$7:N$159)</f>
        <v>0</v>
      </c>
      <c r="M34" s="281">
        <f>SUMIF('02'!$D$7:$D$159,$C33,'02'!O$7:O$159)+SUMIF('03'!$D$7:$D$159,$C33,'03'!O$7:O$159)+SUMIF('04'!$D$7:$D$159,$C33,'04'!O$7:O$159)+SUMIF('05'!$D$7:$D$159,$C33,'05'!O$7:O$159)+SUMIF('06'!$D$7:$D$159,$C33,'06'!O$7:O$159)+SUMIF('07'!$D$7:$D$159,$C33,'07'!O$7:O$159)+SUMIF('08'!$D$7:$D$159,$C33,'08'!O$7:O$159)</f>
        <v>0</v>
      </c>
      <c r="N34" s="282">
        <f>SUMIF('02'!$D$7:$D$159,$C33,'02'!P$7:P$159)+SUMIF('03'!$D$7:$D$159,$C33,'03'!P$7:P$159)+SUMIF('04'!$D$7:$D$159,$C33,'04'!P$7:P$159)+SUMIF('05'!$D$7:$D$159,$C33,'05'!P$7:P$159)+SUMIF('06'!$D$7:$D$159,$C33,'06'!P$7:P$159)+SUMIF('07'!$D$7:$D$159,$C33,'07'!P$7:P$159)+SUMIF('08'!$D$7:$D$159,$C33,'08'!P$7:P$159)</f>
        <v>0</v>
      </c>
      <c r="O34" s="284">
        <f>SUMIF('02'!$D$7:$D$159,$C33,'02'!Q$7:Q$159)+SUMIF('03'!$D$7:$D$159,$C33,'03'!Q$7:Q$159)+SUMIF('04'!$D$7:$D$159,$C33,'04'!Q$7:Q$159)+SUMIF('05'!$D$7:$D$159,$C33,'05'!Q$7:Q$159)+SUMIF('06'!$D$7:$D$159,$C33,'06'!Q$7:Q$159)+SUMIF('07'!$D$7:$D$159,$C33,'07'!Q$7:Q$159)+SUMIF('08'!$D$7:$D$159,$C33,'08'!Q$7:Q$159)</f>
        <v>0</v>
      </c>
      <c r="P34" s="281">
        <f>SUMIF('02'!$D$7:$D$159,$C33,'02'!R$7:R$159)+SUMIF('03'!$D$7:$D$159,$C33,'03'!R$7:R$159)+SUMIF('04'!$D$7:$D$159,$C33,'04'!R$7:R$159)+SUMIF('05'!$D$7:$D$159,$C33,'05'!R$7:R$159)+SUMIF('06'!$D$7:$D$159,$C33,'06'!R$7:R$159)+SUMIF('07'!$D$7:$D$159,$C33,'07'!R$7:R$159)+SUMIF('08'!$D$7:$D$159,$C33,'08'!R$7:R$159)</f>
        <v>0</v>
      </c>
      <c r="Q34" s="282">
        <f>SUMIF('02'!$D$7:$D$159,$C33,'02'!S$7:S$159)+SUMIF('03'!$D$7:$D$159,$C33,'03'!S$7:S$159)+SUMIF('04'!$D$7:$D$159,$C33,'04'!S$7:S$159)+SUMIF('05'!$D$7:$D$159,$C33,'05'!S$7:S$159)+SUMIF('06'!$D$7:$D$159,$C33,'06'!S$7:S$159)+SUMIF('07'!$D$7:$D$159,$C33,'07'!S$7:S$159)+SUMIF('08'!$D$7:$D$159,$C33,'08'!S$7:S$159)</f>
        <v>0</v>
      </c>
      <c r="R34" s="283">
        <f>SUMIF('02'!$D$7:$D$159,$C33,'02'!T$7:T$159)+SUMIF('03'!$D$7:$D$159,$C33,'03'!T$7:T$159)+SUMIF('04'!$D$7:$D$159,$C33,'04'!T$7:T$159)+SUMIF('05'!$D$7:$D$159,$C33,'05'!T$7:T$159)+SUMIF('06'!$D$7:$D$159,$C33,'06'!T$7:T$159)+SUMIF('07'!$D$7:$D$159,$C33,'07'!T$7:T$159)+SUMIF('08'!$D$7:$D$159,$C33,'08'!T$7:T$159)</f>
        <v>0</v>
      </c>
      <c r="S34" s="281">
        <f>SUMIF('02'!$D$7:$D$159,$C33,'02'!U$7:U$159)+SUMIF('03'!$D$7:$D$159,$C33,'03'!U$7:U$159)+SUMIF('04'!$D$7:$D$159,$C33,'04'!U$7:U$159)+SUMIF('05'!$D$7:$D$159,$C33,'05'!U$7:U$159)+SUMIF('06'!$D$7:$D$159,$C33,'06'!U$7:U$159)+SUMIF('07'!$D$7:$D$159,$C33,'07'!U$7:U$159)+SUMIF('08'!$D$7:$D$159,$C33,'08'!U$7:U$159)</f>
        <v>0</v>
      </c>
      <c r="T34" s="282">
        <f>SUMIF('02'!$D$7:$D$159,$C33,'02'!V$7:V$159)+SUMIF('03'!$D$7:$D$159,$C33,'03'!V$7:V$159)+SUMIF('04'!$D$7:$D$159,$C33,'04'!V$7:V$159)+SUMIF('05'!$D$7:$D$159,$C33,'05'!V$7:V$159)+SUMIF('06'!$D$7:$D$159,$C33,'06'!V$7:V$159)+SUMIF('07'!$D$7:$D$159,$C33,'07'!V$7:V$159)+SUMIF('08'!$D$7:$D$159,$C33,'08'!V$7:V$159)</f>
        <v>0</v>
      </c>
      <c r="U34" s="285">
        <f>SUMIF('02'!$D$7:$D$159,$C33,'02'!W$7:W$159)+SUMIF('03'!$D$7:$D$159,$C33,'03'!W$7:W$159)+SUMIF('04'!$D$7:$D$159,$C33,'04'!W$7:W$159)+SUMIF('05'!$D$7:$D$159,$C33,'05'!W$7:W$159)+SUMIF('06'!$D$7:$D$159,$C33,'06'!W$7:W$159)+SUMIF('07'!$D$7:$D$159,$C33,'07'!W$7:W$159)+SUMIF('08'!$D$7:$D$159,$C33,'08'!W$7:W$159)</f>
        <v>0</v>
      </c>
      <c r="V34" s="284">
        <f>SUMIF('02'!$D$7:$D$159,$C33,'02'!X$7:X$159)+SUMIF('03'!$D$7:$D$159,$C33,'03'!X$7:X$159)+SUMIF('04'!$D$7:$D$159,$C33,'04'!X$7:X$159)+SUMIF('05'!$D$7:$D$159,$C33,'05'!X$7:X$159)+SUMIF('06'!$D$7:$D$159,$C33,'06'!X$7:X$159)+SUMIF('07'!$D$7:$D$159,$C33,'07'!X$7:X$159)+SUMIF('08'!$D$7:$D$159,$C33,'08'!X$7:X$159)</f>
        <v>0</v>
      </c>
      <c r="W34" s="284">
        <f>SUMIF('02'!$D$7:$D$159,$C33,'02'!Y$7:Y$159)+SUMIF('03'!$D$7:$D$159,$C33,'03'!Y$7:Y$159)+SUMIF('04'!$D$7:$D$159,$C33,'04'!Y$7:Y$159)+SUMIF('05'!$D$7:$D$159,$C33,'05'!Y$7:Y$159)+SUMIF('06'!$D$7:$D$159,$C33,'06'!Y$7:Y$159)+SUMIF('07'!$D$7:$D$159,$C33,'07'!Y$7:Y$159)+SUMIF('08'!$D$7:$D$159,$C33,'08'!Y$7:Y$159)</f>
        <v>0</v>
      </c>
      <c r="X34" s="286">
        <f t="shared" si="2"/>
        <v>0</v>
      </c>
      <c r="Y34" s="345"/>
      <c r="Z34" s="347"/>
    </row>
    <row r="35" spans="1:26" ht="14.25" customHeight="1" x14ac:dyDescent="0.3">
      <c r="A35" s="178">
        <f>IF(OR(C35="0",COUNTIF(КлючВесна,C35)&gt;1),0,MATCH(F35,ВидыНагр,0))</f>
        <v>0</v>
      </c>
      <c r="B35" s="178" t="b">
        <f>(COUNTA(D35:F36,J35:W35,H35:I36)=0)</f>
        <v>1</v>
      </c>
      <c r="C35" s="179" t="str">
        <f>IF(OR(TRIM(D35)="",COUNTIF(ВидыНагр,F35)&lt;&gt;1),"0",CONCATENATE("$",TRIM(D35),"$",TRIM(E35),"$",F35,"$"))</f>
        <v>0</v>
      </c>
      <c r="D35" s="340"/>
      <c r="E35" s="338"/>
      <c r="F35" s="342"/>
      <c r="G35" s="180" t="s">
        <v>7</v>
      </c>
      <c r="H35" s="181"/>
      <c r="I35" s="182"/>
      <c r="J35" s="183"/>
      <c r="K35" s="184"/>
      <c r="L35" s="185"/>
      <c r="M35" s="183"/>
      <c r="N35" s="184"/>
      <c r="O35" s="186"/>
      <c r="P35" s="183"/>
      <c r="Q35" s="184"/>
      <c r="R35" s="185"/>
      <c r="S35" s="183"/>
      <c r="T35" s="184"/>
      <c r="U35" s="187"/>
      <c r="V35" s="186"/>
      <c r="W35" s="186"/>
      <c r="X35" s="279">
        <f t="shared" si="2"/>
        <v>0</v>
      </c>
      <c r="Y35" s="344">
        <f>X36-X35</f>
        <v>0</v>
      </c>
      <c r="Z35" s="346"/>
    </row>
    <row r="36" spans="1:26" ht="14.25" customHeight="1" x14ac:dyDescent="0.3">
      <c r="A36" s="178">
        <f>-A35</f>
        <v>0</v>
      </c>
      <c r="B36" s="178" t="b">
        <f>B35</f>
        <v>1</v>
      </c>
      <c r="C36" s="188"/>
      <c r="D36" s="341"/>
      <c r="E36" s="339"/>
      <c r="F36" s="343"/>
      <c r="G36" s="189" t="s">
        <v>8</v>
      </c>
      <c r="H36" s="190"/>
      <c r="I36" s="280"/>
      <c r="J36" s="281">
        <f>SUMIF('02'!$D$7:$D$159,$C35,'02'!L$7:L$159)+SUMIF('03'!$D$7:$D$159,$C35,'03'!L$7:L$159)+SUMIF('04'!$D$7:$D$159,$C35,'04'!L$7:L$159)+SUMIF('05'!$D$7:$D$159,$C35,'05'!L$7:L$159)+SUMIF('06'!$D$7:$D$159,$C35,'06'!L$7:L$159)+SUMIF('07'!$D$7:$D$159,$C35,'07'!L$7:L$159)+SUMIF('08'!$D$7:$D$159,$C35,'08'!L$7:L$159)</f>
        <v>0</v>
      </c>
      <c r="K36" s="282">
        <f>SUMIF('02'!$D$7:$D$159,$C35,'02'!M$7:M$159)+SUMIF('03'!$D$7:$D$159,$C35,'03'!M$7:M$159)+SUMIF('04'!$D$7:$D$159,$C35,'04'!M$7:M$159)+SUMIF('05'!$D$7:$D$159,$C35,'05'!M$7:M$159)+SUMIF('06'!$D$7:$D$159,$C35,'06'!M$7:M$159)+SUMIF('07'!$D$7:$D$159,$C35,'07'!M$7:M$159)+SUMIF('08'!$D$7:$D$159,$C35,'08'!M$7:M$159)</f>
        <v>0</v>
      </c>
      <c r="L36" s="283">
        <f>SUMIF('02'!$D$7:$D$159,$C35,'02'!N$7:N$159)+SUMIF('03'!$D$7:$D$159,$C35,'03'!N$7:N$159)+SUMIF('04'!$D$7:$D$159,$C35,'04'!N$7:N$159)+SUMIF('05'!$D$7:$D$159,$C35,'05'!N$7:N$159)+SUMIF('06'!$D$7:$D$159,$C35,'06'!N$7:N$159)+SUMIF('07'!$D$7:$D$159,$C35,'07'!N$7:N$159)+SUMIF('08'!$D$7:$D$159,$C35,'08'!N$7:N$159)</f>
        <v>0</v>
      </c>
      <c r="M36" s="281">
        <f>SUMIF('02'!$D$7:$D$159,$C35,'02'!O$7:O$159)+SUMIF('03'!$D$7:$D$159,$C35,'03'!O$7:O$159)+SUMIF('04'!$D$7:$D$159,$C35,'04'!O$7:O$159)+SUMIF('05'!$D$7:$D$159,$C35,'05'!O$7:O$159)+SUMIF('06'!$D$7:$D$159,$C35,'06'!O$7:O$159)+SUMIF('07'!$D$7:$D$159,$C35,'07'!O$7:O$159)+SUMIF('08'!$D$7:$D$159,$C35,'08'!O$7:O$159)</f>
        <v>0</v>
      </c>
      <c r="N36" s="282">
        <f>SUMIF('02'!$D$7:$D$159,$C35,'02'!P$7:P$159)+SUMIF('03'!$D$7:$D$159,$C35,'03'!P$7:P$159)+SUMIF('04'!$D$7:$D$159,$C35,'04'!P$7:P$159)+SUMIF('05'!$D$7:$D$159,$C35,'05'!P$7:P$159)+SUMIF('06'!$D$7:$D$159,$C35,'06'!P$7:P$159)+SUMIF('07'!$D$7:$D$159,$C35,'07'!P$7:P$159)+SUMIF('08'!$D$7:$D$159,$C35,'08'!P$7:P$159)</f>
        <v>0</v>
      </c>
      <c r="O36" s="284">
        <f>SUMIF('02'!$D$7:$D$159,$C35,'02'!Q$7:Q$159)+SUMIF('03'!$D$7:$D$159,$C35,'03'!Q$7:Q$159)+SUMIF('04'!$D$7:$D$159,$C35,'04'!Q$7:Q$159)+SUMIF('05'!$D$7:$D$159,$C35,'05'!Q$7:Q$159)+SUMIF('06'!$D$7:$D$159,$C35,'06'!Q$7:Q$159)+SUMIF('07'!$D$7:$D$159,$C35,'07'!Q$7:Q$159)+SUMIF('08'!$D$7:$D$159,$C35,'08'!Q$7:Q$159)</f>
        <v>0</v>
      </c>
      <c r="P36" s="281">
        <f>SUMIF('02'!$D$7:$D$159,$C35,'02'!R$7:R$159)+SUMIF('03'!$D$7:$D$159,$C35,'03'!R$7:R$159)+SUMIF('04'!$D$7:$D$159,$C35,'04'!R$7:R$159)+SUMIF('05'!$D$7:$D$159,$C35,'05'!R$7:R$159)+SUMIF('06'!$D$7:$D$159,$C35,'06'!R$7:R$159)+SUMIF('07'!$D$7:$D$159,$C35,'07'!R$7:R$159)+SUMIF('08'!$D$7:$D$159,$C35,'08'!R$7:R$159)</f>
        <v>0</v>
      </c>
      <c r="Q36" s="282">
        <f>SUMIF('02'!$D$7:$D$159,$C35,'02'!S$7:S$159)+SUMIF('03'!$D$7:$D$159,$C35,'03'!S$7:S$159)+SUMIF('04'!$D$7:$D$159,$C35,'04'!S$7:S$159)+SUMIF('05'!$D$7:$D$159,$C35,'05'!S$7:S$159)+SUMIF('06'!$D$7:$D$159,$C35,'06'!S$7:S$159)+SUMIF('07'!$D$7:$D$159,$C35,'07'!S$7:S$159)+SUMIF('08'!$D$7:$D$159,$C35,'08'!S$7:S$159)</f>
        <v>0</v>
      </c>
      <c r="R36" s="283">
        <f>SUMIF('02'!$D$7:$D$159,$C35,'02'!T$7:T$159)+SUMIF('03'!$D$7:$D$159,$C35,'03'!T$7:T$159)+SUMIF('04'!$D$7:$D$159,$C35,'04'!T$7:T$159)+SUMIF('05'!$D$7:$D$159,$C35,'05'!T$7:T$159)+SUMIF('06'!$D$7:$D$159,$C35,'06'!T$7:T$159)+SUMIF('07'!$D$7:$D$159,$C35,'07'!T$7:T$159)+SUMIF('08'!$D$7:$D$159,$C35,'08'!T$7:T$159)</f>
        <v>0</v>
      </c>
      <c r="S36" s="281">
        <f>SUMIF('02'!$D$7:$D$159,$C35,'02'!U$7:U$159)+SUMIF('03'!$D$7:$D$159,$C35,'03'!U$7:U$159)+SUMIF('04'!$D$7:$D$159,$C35,'04'!U$7:U$159)+SUMIF('05'!$D$7:$D$159,$C35,'05'!U$7:U$159)+SUMIF('06'!$D$7:$D$159,$C35,'06'!U$7:U$159)+SUMIF('07'!$D$7:$D$159,$C35,'07'!U$7:U$159)+SUMIF('08'!$D$7:$D$159,$C35,'08'!U$7:U$159)</f>
        <v>0</v>
      </c>
      <c r="T36" s="282">
        <f>SUMIF('02'!$D$7:$D$159,$C35,'02'!V$7:V$159)+SUMIF('03'!$D$7:$D$159,$C35,'03'!V$7:V$159)+SUMIF('04'!$D$7:$D$159,$C35,'04'!V$7:V$159)+SUMIF('05'!$D$7:$D$159,$C35,'05'!V$7:V$159)+SUMIF('06'!$D$7:$D$159,$C35,'06'!V$7:V$159)+SUMIF('07'!$D$7:$D$159,$C35,'07'!V$7:V$159)+SUMIF('08'!$D$7:$D$159,$C35,'08'!V$7:V$159)</f>
        <v>0</v>
      </c>
      <c r="U36" s="285">
        <f>SUMIF('02'!$D$7:$D$159,$C35,'02'!W$7:W$159)+SUMIF('03'!$D$7:$D$159,$C35,'03'!W$7:W$159)+SUMIF('04'!$D$7:$D$159,$C35,'04'!W$7:W$159)+SUMIF('05'!$D$7:$D$159,$C35,'05'!W$7:W$159)+SUMIF('06'!$D$7:$D$159,$C35,'06'!W$7:W$159)+SUMIF('07'!$D$7:$D$159,$C35,'07'!W$7:W$159)+SUMIF('08'!$D$7:$D$159,$C35,'08'!W$7:W$159)</f>
        <v>0</v>
      </c>
      <c r="V36" s="284">
        <f>SUMIF('02'!$D$7:$D$159,$C35,'02'!X$7:X$159)+SUMIF('03'!$D$7:$D$159,$C35,'03'!X$7:X$159)+SUMIF('04'!$D$7:$D$159,$C35,'04'!X$7:X$159)+SUMIF('05'!$D$7:$D$159,$C35,'05'!X$7:X$159)+SUMIF('06'!$D$7:$D$159,$C35,'06'!X$7:X$159)+SUMIF('07'!$D$7:$D$159,$C35,'07'!X$7:X$159)+SUMIF('08'!$D$7:$D$159,$C35,'08'!X$7:X$159)</f>
        <v>0</v>
      </c>
      <c r="W36" s="284">
        <f>SUMIF('02'!$D$7:$D$159,$C35,'02'!Y$7:Y$159)+SUMIF('03'!$D$7:$D$159,$C35,'03'!Y$7:Y$159)+SUMIF('04'!$D$7:$D$159,$C35,'04'!Y$7:Y$159)+SUMIF('05'!$D$7:$D$159,$C35,'05'!Y$7:Y$159)+SUMIF('06'!$D$7:$D$159,$C35,'06'!Y$7:Y$159)+SUMIF('07'!$D$7:$D$159,$C35,'07'!Y$7:Y$159)+SUMIF('08'!$D$7:$D$159,$C35,'08'!Y$7:Y$159)</f>
        <v>0</v>
      </c>
      <c r="X36" s="286">
        <f t="shared" si="2"/>
        <v>0</v>
      </c>
      <c r="Y36" s="345"/>
      <c r="Z36" s="347"/>
    </row>
    <row r="37" spans="1:26" ht="14.25" customHeight="1" x14ac:dyDescent="0.3">
      <c r="A37" s="178">
        <f>IF(OR(C37="0",COUNTIF(КлючВесна,C37)&gt;1),0,MATCH(F37,ВидыНагр,0))</f>
        <v>0</v>
      </c>
      <c r="B37" s="178" t="b">
        <f>(COUNTA(D37:F38,J37:W37,H37:I38)=0)</f>
        <v>1</v>
      </c>
      <c r="C37" s="179" t="str">
        <f>IF(OR(TRIM(D37)="",COUNTIF(ВидыНагр,F37)&lt;&gt;1),"0",CONCATENATE("$",TRIM(D37),"$",TRIM(E37),"$",F37,"$"))</f>
        <v>0</v>
      </c>
      <c r="D37" s="340"/>
      <c r="E37" s="338"/>
      <c r="F37" s="342"/>
      <c r="G37" s="180" t="s">
        <v>7</v>
      </c>
      <c r="H37" s="181"/>
      <c r="I37" s="182"/>
      <c r="J37" s="183"/>
      <c r="K37" s="184"/>
      <c r="L37" s="185"/>
      <c r="M37" s="183"/>
      <c r="N37" s="184"/>
      <c r="O37" s="186"/>
      <c r="P37" s="183"/>
      <c r="Q37" s="184"/>
      <c r="R37" s="185"/>
      <c r="S37" s="183"/>
      <c r="T37" s="184"/>
      <c r="U37" s="187"/>
      <c r="V37" s="186"/>
      <c r="W37" s="186"/>
      <c r="X37" s="279">
        <f t="shared" si="2"/>
        <v>0</v>
      </c>
      <c r="Y37" s="344">
        <f>X38-X37</f>
        <v>0</v>
      </c>
      <c r="Z37" s="346"/>
    </row>
    <row r="38" spans="1:26" ht="14.25" customHeight="1" x14ac:dyDescent="0.3">
      <c r="A38" s="178">
        <f>-A37</f>
        <v>0</v>
      </c>
      <c r="B38" s="178" t="b">
        <f>B37</f>
        <v>1</v>
      </c>
      <c r="C38" s="188"/>
      <c r="D38" s="341"/>
      <c r="E38" s="339"/>
      <c r="F38" s="343"/>
      <c r="G38" s="189" t="s">
        <v>8</v>
      </c>
      <c r="H38" s="190"/>
      <c r="I38" s="280"/>
      <c r="J38" s="281">
        <f>SUMIF('02'!$D$7:$D$159,$C37,'02'!L$7:L$159)+SUMIF('03'!$D$7:$D$159,$C37,'03'!L$7:L$159)+SUMIF('04'!$D$7:$D$159,$C37,'04'!L$7:L$159)+SUMIF('05'!$D$7:$D$159,$C37,'05'!L$7:L$159)+SUMIF('06'!$D$7:$D$159,$C37,'06'!L$7:L$159)+SUMIF('07'!$D$7:$D$159,$C37,'07'!L$7:L$159)+SUMIF('08'!$D$7:$D$159,$C37,'08'!L$7:L$159)</f>
        <v>0</v>
      </c>
      <c r="K38" s="282">
        <f>SUMIF('02'!$D$7:$D$159,$C37,'02'!M$7:M$159)+SUMIF('03'!$D$7:$D$159,$C37,'03'!M$7:M$159)+SUMIF('04'!$D$7:$D$159,$C37,'04'!M$7:M$159)+SUMIF('05'!$D$7:$D$159,$C37,'05'!M$7:M$159)+SUMIF('06'!$D$7:$D$159,$C37,'06'!M$7:M$159)+SUMIF('07'!$D$7:$D$159,$C37,'07'!M$7:M$159)+SUMIF('08'!$D$7:$D$159,$C37,'08'!M$7:M$159)</f>
        <v>0</v>
      </c>
      <c r="L38" s="283">
        <f>SUMIF('02'!$D$7:$D$159,$C37,'02'!N$7:N$159)+SUMIF('03'!$D$7:$D$159,$C37,'03'!N$7:N$159)+SUMIF('04'!$D$7:$D$159,$C37,'04'!N$7:N$159)+SUMIF('05'!$D$7:$D$159,$C37,'05'!N$7:N$159)+SUMIF('06'!$D$7:$D$159,$C37,'06'!N$7:N$159)+SUMIF('07'!$D$7:$D$159,$C37,'07'!N$7:N$159)+SUMIF('08'!$D$7:$D$159,$C37,'08'!N$7:N$159)</f>
        <v>0</v>
      </c>
      <c r="M38" s="281">
        <f>SUMIF('02'!$D$7:$D$159,$C37,'02'!O$7:O$159)+SUMIF('03'!$D$7:$D$159,$C37,'03'!O$7:O$159)+SUMIF('04'!$D$7:$D$159,$C37,'04'!O$7:O$159)+SUMIF('05'!$D$7:$D$159,$C37,'05'!O$7:O$159)+SUMIF('06'!$D$7:$D$159,$C37,'06'!O$7:O$159)+SUMIF('07'!$D$7:$D$159,$C37,'07'!O$7:O$159)+SUMIF('08'!$D$7:$D$159,$C37,'08'!O$7:O$159)</f>
        <v>0</v>
      </c>
      <c r="N38" s="282">
        <f>SUMIF('02'!$D$7:$D$159,$C37,'02'!P$7:P$159)+SUMIF('03'!$D$7:$D$159,$C37,'03'!P$7:P$159)+SUMIF('04'!$D$7:$D$159,$C37,'04'!P$7:P$159)+SUMIF('05'!$D$7:$D$159,$C37,'05'!P$7:P$159)+SUMIF('06'!$D$7:$D$159,$C37,'06'!P$7:P$159)+SUMIF('07'!$D$7:$D$159,$C37,'07'!P$7:P$159)+SUMIF('08'!$D$7:$D$159,$C37,'08'!P$7:P$159)</f>
        <v>0</v>
      </c>
      <c r="O38" s="284">
        <f>SUMIF('02'!$D$7:$D$159,$C37,'02'!Q$7:Q$159)+SUMIF('03'!$D$7:$D$159,$C37,'03'!Q$7:Q$159)+SUMIF('04'!$D$7:$D$159,$C37,'04'!Q$7:Q$159)+SUMIF('05'!$D$7:$D$159,$C37,'05'!Q$7:Q$159)+SUMIF('06'!$D$7:$D$159,$C37,'06'!Q$7:Q$159)+SUMIF('07'!$D$7:$D$159,$C37,'07'!Q$7:Q$159)+SUMIF('08'!$D$7:$D$159,$C37,'08'!Q$7:Q$159)</f>
        <v>0</v>
      </c>
      <c r="P38" s="281">
        <f>SUMIF('02'!$D$7:$D$159,$C37,'02'!R$7:R$159)+SUMIF('03'!$D$7:$D$159,$C37,'03'!R$7:R$159)+SUMIF('04'!$D$7:$D$159,$C37,'04'!R$7:R$159)+SUMIF('05'!$D$7:$D$159,$C37,'05'!R$7:R$159)+SUMIF('06'!$D$7:$D$159,$C37,'06'!R$7:R$159)+SUMIF('07'!$D$7:$D$159,$C37,'07'!R$7:R$159)+SUMIF('08'!$D$7:$D$159,$C37,'08'!R$7:R$159)</f>
        <v>0</v>
      </c>
      <c r="Q38" s="282">
        <f>SUMIF('02'!$D$7:$D$159,$C37,'02'!S$7:S$159)+SUMIF('03'!$D$7:$D$159,$C37,'03'!S$7:S$159)+SUMIF('04'!$D$7:$D$159,$C37,'04'!S$7:S$159)+SUMIF('05'!$D$7:$D$159,$C37,'05'!S$7:S$159)+SUMIF('06'!$D$7:$D$159,$C37,'06'!S$7:S$159)+SUMIF('07'!$D$7:$D$159,$C37,'07'!S$7:S$159)+SUMIF('08'!$D$7:$D$159,$C37,'08'!S$7:S$159)</f>
        <v>0</v>
      </c>
      <c r="R38" s="283">
        <f>SUMIF('02'!$D$7:$D$159,$C37,'02'!T$7:T$159)+SUMIF('03'!$D$7:$D$159,$C37,'03'!T$7:T$159)+SUMIF('04'!$D$7:$D$159,$C37,'04'!T$7:T$159)+SUMIF('05'!$D$7:$D$159,$C37,'05'!T$7:T$159)+SUMIF('06'!$D$7:$D$159,$C37,'06'!T$7:T$159)+SUMIF('07'!$D$7:$D$159,$C37,'07'!T$7:T$159)+SUMIF('08'!$D$7:$D$159,$C37,'08'!T$7:T$159)</f>
        <v>0</v>
      </c>
      <c r="S38" s="281">
        <f>SUMIF('02'!$D$7:$D$159,$C37,'02'!U$7:U$159)+SUMIF('03'!$D$7:$D$159,$C37,'03'!U$7:U$159)+SUMIF('04'!$D$7:$D$159,$C37,'04'!U$7:U$159)+SUMIF('05'!$D$7:$D$159,$C37,'05'!U$7:U$159)+SUMIF('06'!$D$7:$D$159,$C37,'06'!U$7:U$159)+SUMIF('07'!$D$7:$D$159,$C37,'07'!U$7:U$159)+SUMIF('08'!$D$7:$D$159,$C37,'08'!U$7:U$159)</f>
        <v>0</v>
      </c>
      <c r="T38" s="282">
        <f>SUMIF('02'!$D$7:$D$159,$C37,'02'!V$7:V$159)+SUMIF('03'!$D$7:$D$159,$C37,'03'!V$7:V$159)+SUMIF('04'!$D$7:$D$159,$C37,'04'!V$7:V$159)+SUMIF('05'!$D$7:$D$159,$C37,'05'!V$7:V$159)+SUMIF('06'!$D$7:$D$159,$C37,'06'!V$7:V$159)+SUMIF('07'!$D$7:$D$159,$C37,'07'!V$7:V$159)+SUMIF('08'!$D$7:$D$159,$C37,'08'!V$7:V$159)</f>
        <v>0</v>
      </c>
      <c r="U38" s="285">
        <f>SUMIF('02'!$D$7:$D$159,$C37,'02'!W$7:W$159)+SUMIF('03'!$D$7:$D$159,$C37,'03'!W$7:W$159)+SUMIF('04'!$D$7:$D$159,$C37,'04'!W$7:W$159)+SUMIF('05'!$D$7:$D$159,$C37,'05'!W$7:W$159)+SUMIF('06'!$D$7:$D$159,$C37,'06'!W$7:W$159)+SUMIF('07'!$D$7:$D$159,$C37,'07'!W$7:W$159)+SUMIF('08'!$D$7:$D$159,$C37,'08'!W$7:W$159)</f>
        <v>0</v>
      </c>
      <c r="V38" s="284">
        <f>SUMIF('02'!$D$7:$D$159,$C37,'02'!X$7:X$159)+SUMIF('03'!$D$7:$D$159,$C37,'03'!X$7:X$159)+SUMIF('04'!$D$7:$D$159,$C37,'04'!X$7:X$159)+SUMIF('05'!$D$7:$D$159,$C37,'05'!X$7:X$159)+SUMIF('06'!$D$7:$D$159,$C37,'06'!X$7:X$159)+SUMIF('07'!$D$7:$D$159,$C37,'07'!X$7:X$159)+SUMIF('08'!$D$7:$D$159,$C37,'08'!X$7:X$159)</f>
        <v>0</v>
      </c>
      <c r="W38" s="284">
        <f>SUMIF('02'!$D$7:$D$159,$C37,'02'!Y$7:Y$159)+SUMIF('03'!$D$7:$D$159,$C37,'03'!Y$7:Y$159)+SUMIF('04'!$D$7:$D$159,$C37,'04'!Y$7:Y$159)+SUMIF('05'!$D$7:$D$159,$C37,'05'!Y$7:Y$159)+SUMIF('06'!$D$7:$D$159,$C37,'06'!Y$7:Y$159)+SUMIF('07'!$D$7:$D$159,$C37,'07'!Y$7:Y$159)+SUMIF('08'!$D$7:$D$159,$C37,'08'!Y$7:Y$159)</f>
        <v>0</v>
      </c>
      <c r="X38" s="286">
        <f t="shared" si="2"/>
        <v>0</v>
      </c>
      <c r="Y38" s="345"/>
      <c r="Z38" s="347"/>
    </row>
    <row r="39" spans="1:26" ht="14.25" customHeight="1" x14ac:dyDescent="0.3">
      <c r="A39" s="178">
        <f>IF(OR(C39="0",COUNTIF(КлючВесна,C39)&gt;1),0,MATCH(F39,ВидыНагр,0))</f>
        <v>0</v>
      </c>
      <c r="B39" s="178" t="b">
        <f>(COUNTA(D39:F40,J39:W39,H39:I40)=0)</f>
        <v>1</v>
      </c>
      <c r="C39" s="179" t="str">
        <f>IF(OR(TRIM(D39)="",COUNTIF(ВидыНагр,F39)&lt;&gt;1),"0",CONCATENATE("$",TRIM(D39),"$",TRIM(E39),"$",F39,"$"))</f>
        <v>0</v>
      </c>
      <c r="D39" s="340"/>
      <c r="E39" s="338"/>
      <c r="F39" s="342"/>
      <c r="G39" s="180" t="s">
        <v>7</v>
      </c>
      <c r="H39" s="181"/>
      <c r="I39" s="182"/>
      <c r="J39" s="183"/>
      <c r="K39" s="184"/>
      <c r="L39" s="185"/>
      <c r="M39" s="183"/>
      <c r="N39" s="184"/>
      <c r="O39" s="186"/>
      <c r="P39" s="183"/>
      <c r="Q39" s="184"/>
      <c r="R39" s="185"/>
      <c r="S39" s="183"/>
      <c r="T39" s="184"/>
      <c r="U39" s="187"/>
      <c r="V39" s="186"/>
      <c r="W39" s="186"/>
      <c r="X39" s="279">
        <f t="shared" si="2"/>
        <v>0</v>
      </c>
      <c r="Y39" s="344">
        <f>X40-X39</f>
        <v>0</v>
      </c>
      <c r="Z39" s="346"/>
    </row>
    <row r="40" spans="1:26" ht="14.25" customHeight="1" x14ac:dyDescent="0.3">
      <c r="A40" s="178">
        <f>-A39</f>
        <v>0</v>
      </c>
      <c r="B40" s="178" t="b">
        <f>B39</f>
        <v>1</v>
      </c>
      <c r="C40" s="188"/>
      <c r="D40" s="341"/>
      <c r="E40" s="339"/>
      <c r="F40" s="343"/>
      <c r="G40" s="189" t="s">
        <v>8</v>
      </c>
      <c r="H40" s="190"/>
      <c r="I40" s="280"/>
      <c r="J40" s="281">
        <f>SUMIF('02'!$D$7:$D$159,$C39,'02'!L$7:L$159)+SUMIF('03'!$D$7:$D$159,$C39,'03'!L$7:L$159)+SUMIF('04'!$D$7:$D$159,$C39,'04'!L$7:L$159)+SUMIF('05'!$D$7:$D$159,$C39,'05'!L$7:L$159)+SUMIF('06'!$D$7:$D$159,$C39,'06'!L$7:L$159)+SUMIF('07'!$D$7:$D$159,$C39,'07'!L$7:L$159)+SUMIF('08'!$D$7:$D$159,$C39,'08'!L$7:L$159)</f>
        <v>0</v>
      </c>
      <c r="K40" s="282">
        <f>SUMIF('02'!$D$7:$D$159,$C39,'02'!M$7:M$159)+SUMIF('03'!$D$7:$D$159,$C39,'03'!M$7:M$159)+SUMIF('04'!$D$7:$D$159,$C39,'04'!M$7:M$159)+SUMIF('05'!$D$7:$D$159,$C39,'05'!M$7:M$159)+SUMIF('06'!$D$7:$D$159,$C39,'06'!M$7:M$159)+SUMIF('07'!$D$7:$D$159,$C39,'07'!M$7:M$159)+SUMIF('08'!$D$7:$D$159,$C39,'08'!M$7:M$159)</f>
        <v>0</v>
      </c>
      <c r="L40" s="283">
        <f>SUMIF('02'!$D$7:$D$159,$C39,'02'!N$7:N$159)+SUMIF('03'!$D$7:$D$159,$C39,'03'!N$7:N$159)+SUMIF('04'!$D$7:$D$159,$C39,'04'!N$7:N$159)+SUMIF('05'!$D$7:$D$159,$C39,'05'!N$7:N$159)+SUMIF('06'!$D$7:$D$159,$C39,'06'!N$7:N$159)+SUMIF('07'!$D$7:$D$159,$C39,'07'!N$7:N$159)+SUMIF('08'!$D$7:$D$159,$C39,'08'!N$7:N$159)</f>
        <v>0</v>
      </c>
      <c r="M40" s="281">
        <f>SUMIF('02'!$D$7:$D$159,$C39,'02'!O$7:O$159)+SUMIF('03'!$D$7:$D$159,$C39,'03'!O$7:O$159)+SUMIF('04'!$D$7:$D$159,$C39,'04'!O$7:O$159)+SUMIF('05'!$D$7:$D$159,$C39,'05'!O$7:O$159)+SUMIF('06'!$D$7:$D$159,$C39,'06'!O$7:O$159)+SUMIF('07'!$D$7:$D$159,$C39,'07'!O$7:O$159)+SUMIF('08'!$D$7:$D$159,$C39,'08'!O$7:O$159)</f>
        <v>0</v>
      </c>
      <c r="N40" s="282">
        <f>SUMIF('02'!$D$7:$D$159,$C39,'02'!P$7:P$159)+SUMIF('03'!$D$7:$D$159,$C39,'03'!P$7:P$159)+SUMIF('04'!$D$7:$D$159,$C39,'04'!P$7:P$159)+SUMIF('05'!$D$7:$D$159,$C39,'05'!P$7:P$159)+SUMIF('06'!$D$7:$D$159,$C39,'06'!P$7:P$159)+SUMIF('07'!$D$7:$D$159,$C39,'07'!P$7:P$159)+SUMIF('08'!$D$7:$D$159,$C39,'08'!P$7:P$159)</f>
        <v>0</v>
      </c>
      <c r="O40" s="284">
        <f>SUMIF('02'!$D$7:$D$159,$C39,'02'!Q$7:Q$159)+SUMIF('03'!$D$7:$D$159,$C39,'03'!Q$7:Q$159)+SUMIF('04'!$D$7:$D$159,$C39,'04'!Q$7:Q$159)+SUMIF('05'!$D$7:$D$159,$C39,'05'!Q$7:Q$159)+SUMIF('06'!$D$7:$D$159,$C39,'06'!Q$7:Q$159)+SUMIF('07'!$D$7:$D$159,$C39,'07'!Q$7:Q$159)+SUMIF('08'!$D$7:$D$159,$C39,'08'!Q$7:Q$159)</f>
        <v>0</v>
      </c>
      <c r="P40" s="281">
        <f>SUMIF('02'!$D$7:$D$159,$C39,'02'!R$7:R$159)+SUMIF('03'!$D$7:$D$159,$C39,'03'!R$7:R$159)+SUMIF('04'!$D$7:$D$159,$C39,'04'!R$7:R$159)+SUMIF('05'!$D$7:$D$159,$C39,'05'!R$7:R$159)+SUMIF('06'!$D$7:$D$159,$C39,'06'!R$7:R$159)+SUMIF('07'!$D$7:$D$159,$C39,'07'!R$7:R$159)+SUMIF('08'!$D$7:$D$159,$C39,'08'!R$7:R$159)</f>
        <v>0</v>
      </c>
      <c r="Q40" s="282">
        <f>SUMIF('02'!$D$7:$D$159,$C39,'02'!S$7:S$159)+SUMIF('03'!$D$7:$D$159,$C39,'03'!S$7:S$159)+SUMIF('04'!$D$7:$D$159,$C39,'04'!S$7:S$159)+SUMIF('05'!$D$7:$D$159,$C39,'05'!S$7:S$159)+SUMIF('06'!$D$7:$D$159,$C39,'06'!S$7:S$159)+SUMIF('07'!$D$7:$D$159,$C39,'07'!S$7:S$159)+SUMIF('08'!$D$7:$D$159,$C39,'08'!S$7:S$159)</f>
        <v>0</v>
      </c>
      <c r="R40" s="283">
        <f>SUMIF('02'!$D$7:$D$159,$C39,'02'!T$7:T$159)+SUMIF('03'!$D$7:$D$159,$C39,'03'!T$7:T$159)+SUMIF('04'!$D$7:$D$159,$C39,'04'!T$7:T$159)+SUMIF('05'!$D$7:$D$159,$C39,'05'!T$7:T$159)+SUMIF('06'!$D$7:$D$159,$C39,'06'!T$7:T$159)+SUMIF('07'!$D$7:$D$159,$C39,'07'!T$7:T$159)+SUMIF('08'!$D$7:$D$159,$C39,'08'!T$7:T$159)</f>
        <v>0</v>
      </c>
      <c r="S40" s="281">
        <f>SUMIF('02'!$D$7:$D$159,$C39,'02'!U$7:U$159)+SUMIF('03'!$D$7:$D$159,$C39,'03'!U$7:U$159)+SUMIF('04'!$D$7:$D$159,$C39,'04'!U$7:U$159)+SUMIF('05'!$D$7:$D$159,$C39,'05'!U$7:U$159)+SUMIF('06'!$D$7:$D$159,$C39,'06'!U$7:U$159)+SUMIF('07'!$D$7:$D$159,$C39,'07'!U$7:U$159)+SUMIF('08'!$D$7:$D$159,$C39,'08'!U$7:U$159)</f>
        <v>0</v>
      </c>
      <c r="T40" s="282">
        <f>SUMIF('02'!$D$7:$D$159,$C39,'02'!V$7:V$159)+SUMIF('03'!$D$7:$D$159,$C39,'03'!V$7:V$159)+SUMIF('04'!$D$7:$D$159,$C39,'04'!V$7:V$159)+SUMIF('05'!$D$7:$D$159,$C39,'05'!V$7:V$159)+SUMIF('06'!$D$7:$D$159,$C39,'06'!V$7:V$159)+SUMIF('07'!$D$7:$D$159,$C39,'07'!V$7:V$159)+SUMIF('08'!$D$7:$D$159,$C39,'08'!V$7:V$159)</f>
        <v>0</v>
      </c>
      <c r="U40" s="285">
        <f>SUMIF('02'!$D$7:$D$159,$C39,'02'!W$7:W$159)+SUMIF('03'!$D$7:$D$159,$C39,'03'!W$7:W$159)+SUMIF('04'!$D$7:$D$159,$C39,'04'!W$7:W$159)+SUMIF('05'!$D$7:$D$159,$C39,'05'!W$7:W$159)+SUMIF('06'!$D$7:$D$159,$C39,'06'!W$7:W$159)+SUMIF('07'!$D$7:$D$159,$C39,'07'!W$7:W$159)+SUMIF('08'!$D$7:$D$159,$C39,'08'!W$7:W$159)</f>
        <v>0</v>
      </c>
      <c r="V40" s="284">
        <f>SUMIF('02'!$D$7:$D$159,$C39,'02'!X$7:X$159)+SUMIF('03'!$D$7:$D$159,$C39,'03'!X$7:X$159)+SUMIF('04'!$D$7:$D$159,$C39,'04'!X$7:X$159)+SUMIF('05'!$D$7:$D$159,$C39,'05'!X$7:X$159)+SUMIF('06'!$D$7:$D$159,$C39,'06'!X$7:X$159)+SUMIF('07'!$D$7:$D$159,$C39,'07'!X$7:X$159)+SUMIF('08'!$D$7:$D$159,$C39,'08'!X$7:X$159)</f>
        <v>0</v>
      </c>
      <c r="W40" s="284">
        <f>SUMIF('02'!$D$7:$D$159,$C39,'02'!Y$7:Y$159)+SUMIF('03'!$D$7:$D$159,$C39,'03'!Y$7:Y$159)+SUMIF('04'!$D$7:$D$159,$C39,'04'!Y$7:Y$159)+SUMIF('05'!$D$7:$D$159,$C39,'05'!Y$7:Y$159)+SUMIF('06'!$D$7:$D$159,$C39,'06'!Y$7:Y$159)+SUMIF('07'!$D$7:$D$159,$C39,'07'!Y$7:Y$159)+SUMIF('08'!$D$7:$D$159,$C39,'08'!Y$7:Y$159)</f>
        <v>0</v>
      </c>
      <c r="X40" s="286">
        <f t="shared" si="2"/>
        <v>0</v>
      </c>
      <c r="Y40" s="345"/>
      <c r="Z40" s="347"/>
    </row>
    <row r="41" spans="1:26" ht="14.25" customHeight="1" x14ac:dyDescent="0.3">
      <c r="A41" s="178">
        <f>IF(OR(C41="0",COUNTIF(КлючВесна,C41)&gt;1),0,MATCH(F41,ВидыНагр,0))</f>
        <v>0</v>
      </c>
      <c r="B41" s="178" t="b">
        <f>(COUNTA(D41:F42,J41:W41,H41:I42)=0)</f>
        <v>1</v>
      </c>
      <c r="C41" s="179" t="str">
        <f>IF(OR(TRIM(D41)="",COUNTIF(ВидыНагр,F41)&lt;&gt;1),"0",CONCATENATE("$",TRIM(D41),"$",TRIM(E41),"$",F41,"$"))</f>
        <v>0</v>
      </c>
      <c r="D41" s="340"/>
      <c r="E41" s="338"/>
      <c r="F41" s="342"/>
      <c r="G41" s="180" t="s">
        <v>7</v>
      </c>
      <c r="H41" s="181"/>
      <c r="I41" s="182"/>
      <c r="J41" s="183"/>
      <c r="K41" s="184"/>
      <c r="L41" s="185"/>
      <c r="M41" s="183"/>
      <c r="N41" s="184"/>
      <c r="O41" s="186"/>
      <c r="P41" s="183"/>
      <c r="Q41" s="184"/>
      <c r="R41" s="185"/>
      <c r="S41" s="183"/>
      <c r="T41" s="184"/>
      <c r="U41" s="187"/>
      <c r="V41" s="186"/>
      <c r="W41" s="186"/>
      <c r="X41" s="279">
        <f t="shared" si="2"/>
        <v>0</v>
      </c>
      <c r="Y41" s="344">
        <f>X42-X41</f>
        <v>0</v>
      </c>
      <c r="Z41" s="346"/>
    </row>
    <row r="42" spans="1:26" ht="14.25" customHeight="1" x14ac:dyDescent="0.3">
      <c r="A42" s="178">
        <f>-A41</f>
        <v>0</v>
      </c>
      <c r="B42" s="178" t="b">
        <f>B41</f>
        <v>1</v>
      </c>
      <c r="C42" s="188"/>
      <c r="D42" s="341"/>
      <c r="E42" s="339"/>
      <c r="F42" s="343"/>
      <c r="G42" s="189" t="s">
        <v>8</v>
      </c>
      <c r="H42" s="190"/>
      <c r="I42" s="280"/>
      <c r="J42" s="281">
        <f>SUMIF('02'!$D$7:$D$159,$C41,'02'!L$7:L$159)+SUMIF('03'!$D$7:$D$159,$C41,'03'!L$7:L$159)+SUMIF('04'!$D$7:$D$159,$C41,'04'!L$7:L$159)+SUMIF('05'!$D$7:$D$159,$C41,'05'!L$7:L$159)+SUMIF('06'!$D$7:$D$159,$C41,'06'!L$7:L$159)+SUMIF('07'!$D$7:$D$159,$C41,'07'!L$7:L$159)+SUMIF('08'!$D$7:$D$159,$C41,'08'!L$7:L$159)</f>
        <v>0</v>
      </c>
      <c r="K42" s="282">
        <f>SUMIF('02'!$D$7:$D$159,$C41,'02'!M$7:M$159)+SUMIF('03'!$D$7:$D$159,$C41,'03'!M$7:M$159)+SUMIF('04'!$D$7:$D$159,$C41,'04'!M$7:M$159)+SUMIF('05'!$D$7:$D$159,$C41,'05'!M$7:M$159)+SUMIF('06'!$D$7:$D$159,$C41,'06'!M$7:M$159)+SUMIF('07'!$D$7:$D$159,$C41,'07'!M$7:M$159)+SUMIF('08'!$D$7:$D$159,$C41,'08'!M$7:M$159)</f>
        <v>0</v>
      </c>
      <c r="L42" s="283">
        <f>SUMIF('02'!$D$7:$D$159,$C41,'02'!N$7:N$159)+SUMIF('03'!$D$7:$D$159,$C41,'03'!N$7:N$159)+SUMIF('04'!$D$7:$D$159,$C41,'04'!N$7:N$159)+SUMIF('05'!$D$7:$D$159,$C41,'05'!N$7:N$159)+SUMIF('06'!$D$7:$D$159,$C41,'06'!N$7:N$159)+SUMIF('07'!$D$7:$D$159,$C41,'07'!N$7:N$159)+SUMIF('08'!$D$7:$D$159,$C41,'08'!N$7:N$159)</f>
        <v>0</v>
      </c>
      <c r="M42" s="281">
        <f>SUMIF('02'!$D$7:$D$159,$C41,'02'!O$7:O$159)+SUMIF('03'!$D$7:$D$159,$C41,'03'!O$7:O$159)+SUMIF('04'!$D$7:$D$159,$C41,'04'!O$7:O$159)+SUMIF('05'!$D$7:$D$159,$C41,'05'!O$7:O$159)+SUMIF('06'!$D$7:$D$159,$C41,'06'!O$7:O$159)+SUMIF('07'!$D$7:$D$159,$C41,'07'!O$7:O$159)+SUMIF('08'!$D$7:$D$159,$C41,'08'!O$7:O$159)</f>
        <v>0</v>
      </c>
      <c r="N42" s="282">
        <f>SUMIF('02'!$D$7:$D$159,$C41,'02'!P$7:P$159)+SUMIF('03'!$D$7:$D$159,$C41,'03'!P$7:P$159)+SUMIF('04'!$D$7:$D$159,$C41,'04'!P$7:P$159)+SUMIF('05'!$D$7:$D$159,$C41,'05'!P$7:P$159)+SUMIF('06'!$D$7:$D$159,$C41,'06'!P$7:P$159)+SUMIF('07'!$D$7:$D$159,$C41,'07'!P$7:P$159)+SUMIF('08'!$D$7:$D$159,$C41,'08'!P$7:P$159)</f>
        <v>0</v>
      </c>
      <c r="O42" s="284">
        <f>SUMIF('02'!$D$7:$D$159,$C41,'02'!Q$7:Q$159)+SUMIF('03'!$D$7:$D$159,$C41,'03'!Q$7:Q$159)+SUMIF('04'!$D$7:$D$159,$C41,'04'!Q$7:Q$159)+SUMIF('05'!$D$7:$D$159,$C41,'05'!Q$7:Q$159)+SUMIF('06'!$D$7:$D$159,$C41,'06'!Q$7:Q$159)+SUMIF('07'!$D$7:$D$159,$C41,'07'!Q$7:Q$159)+SUMIF('08'!$D$7:$D$159,$C41,'08'!Q$7:Q$159)</f>
        <v>0</v>
      </c>
      <c r="P42" s="281">
        <f>SUMIF('02'!$D$7:$D$159,$C41,'02'!R$7:R$159)+SUMIF('03'!$D$7:$D$159,$C41,'03'!R$7:R$159)+SUMIF('04'!$D$7:$D$159,$C41,'04'!R$7:R$159)+SUMIF('05'!$D$7:$D$159,$C41,'05'!R$7:R$159)+SUMIF('06'!$D$7:$D$159,$C41,'06'!R$7:R$159)+SUMIF('07'!$D$7:$D$159,$C41,'07'!R$7:R$159)+SUMIF('08'!$D$7:$D$159,$C41,'08'!R$7:R$159)</f>
        <v>0</v>
      </c>
      <c r="Q42" s="282">
        <f>SUMIF('02'!$D$7:$D$159,$C41,'02'!S$7:S$159)+SUMIF('03'!$D$7:$D$159,$C41,'03'!S$7:S$159)+SUMIF('04'!$D$7:$D$159,$C41,'04'!S$7:S$159)+SUMIF('05'!$D$7:$D$159,$C41,'05'!S$7:S$159)+SUMIF('06'!$D$7:$D$159,$C41,'06'!S$7:S$159)+SUMIF('07'!$D$7:$D$159,$C41,'07'!S$7:S$159)+SUMIF('08'!$D$7:$D$159,$C41,'08'!S$7:S$159)</f>
        <v>0</v>
      </c>
      <c r="R42" s="283">
        <f>SUMIF('02'!$D$7:$D$159,$C41,'02'!T$7:T$159)+SUMIF('03'!$D$7:$D$159,$C41,'03'!T$7:T$159)+SUMIF('04'!$D$7:$D$159,$C41,'04'!T$7:T$159)+SUMIF('05'!$D$7:$D$159,$C41,'05'!T$7:T$159)+SUMIF('06'!$D$7:$D$159,$C41,'06'!T$7:T$159)+SUMIF('07'!$D$7:$D$159,$C41,'07'!T$7:T$159)+SUMIF('08'!$D$7:$D$159,$C41,'08'!T$7:T$159)</f>
        <v>0</v>
      </c>
      <c r="S42" s="281">
        <f>SUMIF('02'!$D$7:$D$159,$C41,'02'!U$7:U$159)+SUMIF('03'!$D$7:$D$159,$C41,'03'!U$7:U$159)+SUMIF('04'!$D$7:$D$159,$C41,'04'!U$7:U$159)+SUMIF('05'!$D$7:$D$159,$C41,'05'!U$7:U$159)+SUMIF('06'!$D$7:$D$159,$C41,'06'!U$7:U$159)+SUMIF('07'!$D$7:$D$159,$C41,'07'!U$7:U$159)+SUMIF('08'!$D$7:$D$159,$C41,'08'!U$7:U$159)</f>
        <v>0</v>
      </c>
      <c r="T42" s="282">
        <f>SUMIF('02'!$D$7:$D$159,$C41,'02'!V$7:V$159)+SUMIF('03'!$D$7:$D$159,$C41,'03'!V$7:V$159)+SUMIF('04'!$D$7:$D$159,$C41,'04'!V$7:V$159)+SUMIF('05'!$D$7:$D$159,$C41,'05'!V$7:V$159)+SUMIF('06'!$D$7:$D$159,$C41,'06'!V$7:V$159)+SUMIF('07'!$D$7:$D$159,$C41,'07'!V$7:V$159)+SUMIF('08'!$D$7:$D$159,$C41,'08'!V$7:V$159)</f>
        <v>0</v>
      </c>
      <c r="U42" s="285">
        <f>SUMIF('02'!$D$7:$D$159,$C41,'02'!W$7:W$159)+SUMIF('03'!$D$7:$D$159,$C41,'03'!W$7:W$159)+SUMIF('04'!$D$7:$D$159,$C41,'04'!W$7:W$159)+SUMIF('05'!$D$7:$D$159,$C41,'05'!W$7:W$159)+SUMIF('06'!$D$7:$D$159,$C41,'06'!W$7:W$159)+SUMIF('07'!$D$7:$D$159,$C41,'07'!W$7:W$159)+SUMIF('08'!$D$7:$D$159,$C41,'08'!W$7:W$159)</f>
        <v>0</v>
      </c>
      <c r="V42" s="284">
        <f>SUMIF('02'!$D$7:$D$159,$C41,'02'!X$7:X$159)+SUMIF('03'!$D$7:$D$159,$C41,'03'!X$7:X$159)+SUMIF('04'!$D$7:$D$159,$C41,'04'!X$7:X$159)+SUMIF('05'!$D$7:$D$159,$C41,'05'!X$7:X$159)+SUMIF('06'!$D$7:$D$159,$C41,'06'!X$7:X$159)+SUMIF('07'!$D$7:$D$159,$C41,'07'!X$7:X$159)+SUMIF('08'!$D$7:$D$159,$C41,'08'!X$7:X$159)</f>
        <v>0</v>
      </c>
      <c r="W42" s="284">
        <f>SUMIF('02'!$D$7:$D$159,$C41,'02'!Y$7:Y$159)+SUMIF('03'!$D$7:$D$159,$C41,'03'!Y$7:Y$159)+SUMIF('04'!$D$7:$D$159,$C41,'04'!Y$7:Y$159)+SUMIF('05'!$D$7:$D$159,$C41,'05'!Y$7:Y$159)+SUMIF('06'!$D$7:$D$159,$C41,'06'!Y$7:Y$159)+SUMIF('07'!$D$7:$D$159,$C41,'07'!Y$7:Y$159)+SUMIF('08'!$D$7:$D$159,$C41,'08'!Y$7:Y$159)</f>
        <v>0</v>
      </c>
      <c r="X42" s="286">
        <f t="shared" si="2"/>
        <v>0</v>
      </c>
      <c r="Y42" s="345"/>
      <c r="Z42" s="347"/>
    </row>
    <row r="43" spans="1:26" ht="14.25" customHeight="1" x14ac:dyDescent="0.3">
      <c r="A43" s="178">
        <f>IF(OR(C43="0",COUNTIF(КлючВесна,C43)&gt;1),0,MATCH(F43,ВидыНагр,0))</f>
        <v>0</v>
      </c>
      <c r="B43" s="178" t="b">
        <f>(COUNTA(D43:F44,J43:W43,H43:I44)=0)</f>
        <v>1</v>
      </c>
      <c r="C43" s="179" t="str">
        <f>IF(OR(TRIM(D43)="",COUNTIF(ВидыНагр,F43)&lt;&gt;1),"0",CONCATENATE("$",TRIM(D43),"$",TRIM(E43),"$",F43,"$"))</f>
        <v>0</v>
      </c>
      <c r="D43" s="340"/>
      <c r="E43" s="338"/>
      <c r="F43" s="342"/>
      <c r="G43" s="180" t="s">
        <v>7</v>
      </c>
      <c r="H43" s="181"/>
      <c r="I43" s="182"/>
      <c r="J43" s="183"/>
      <c r="K43" s="184"/>
      <c r="L43" s="185"/>
      <c r="M43" s="183"/>
      <c r="N43" s="184"/>
      <c r="O43" s="186"/>
      <c r="P43" s="183"/>
      <c r="Q43" s="184"/>
      <c r="R43" s="185"/>
      <c r="S43" s="183"/>
      <c r="T43" s="184"/>
      <c r="U43" s="187"/>
      <c r="V43" s="186"/>
      <c r="W43" s="186"/>
      <c r="X43" s="279">
        <f t="shared" si="2"/>
        <v>0</v>
      </c>
      <c r="Y43" s="344">
        <f>X44-X43</f>
        <v>0</v>
      </c>
      <c r="Z43" s="346"/>
    </row>
    <row r="44" spans="1:26" ht="14.25" customHeight="1" x14ac:dyDescent="0.3">
      <c r="A44" s="178">
        <f>-A43</f>
        <v>0</v>
      </c>
      <c r="B44" s="178" t="b">
        <f>B43</f>
        <v>1</v>
      </c>
      <c r="C44" s="188"/>
      <c r="D44" s="341"/>
      <c r="E44" s="339"/>
      <c r="F44" s="343"/>
      <c r="G44" s="189" t="s">
        <v>8</v>
      </c>
      <c r="H44" s="190"/>
      <c r="I44" s="280"/>
      <c r="J44" s="281">
        <f>SUMIF('02'!$D$7:$D$159,$C43,'02'!L$7:L$159)+SUMIF('03'!$D$7:$D$159,$C43,'03'!L$7:L$159)+SUMIF('04'!$D$7:$D$159,$C43,'04'!L$7:L$159)+SUMIF('05'!$D$7:$D$159,$C43,'05'!L$7:L$159)+SUMIF('06'!$D$7:$D$159,$C43,'06'!L$7:L$159)+SUMIF('07'!$D$7:$D$159,$C43,'07'!L$7:L$159)+SUMIF('08'!$D$7:$D$159,$C43,'08'!L$7:L$159)</f>
        <v>0</v>
      </c>
      <c r="K44" s="282">
        <f>SUMIF('02'!$D$7:$D$159,$C43,'02'!M$7:M$159)+SUMIF('03'!$D$7:$D$159,$C43,'03'!M$7:M$159)+SUMIF('04'!$D$7:$D$159,$C43,'04'!M$7:M$159)+SUMIF('05'!$D$7:$D$159,$C43,'05'!M$7:M$159)+SUMIF('06'!$D$7:$D$159,$C43,'06'!M$7:M$159)+SUMIF('07'!$D$7:$D$159,$C43,'07'!M$7:M$159)+SUMIF('08'!$D$7:$D$159,$C43,'08'!M$7:M$159)</f>
        <v>0</v>
      </c>
      <c r="L44" s="283">
        <f>SUMIF('02'!$D$7:$D$159,$C43,'02'!N$7:N$159)+SUMIF('03'!$D$7:$D$159,$C43,'03'!N$7:N$159)+SUMIF('04'!$D$7:$D$159,$C43,'04'!N$7:N$159)+SUMIF('05'!$D$7:$D$159,$C43,'05'!N$7:N$159)+SUMIF('06'!$D$7:$D$159,$C43,'06'!N$7:N$159)+SUMIF('07'!$D$7:$D$159,$C43,'07'!N$7:N$159)+SUMIF('08'!$D$7:$D$159,$C43,'08'!N$7:N$159)</f>
        <v>0</v>
      </c>
      <c r="M44" s="281">
        <f>SUMIF('02'!$D$7:$D$159,$C43,'02'!O$7:O$159)+SUMIF('03'!$D$7:$D$159,$C43,'03'!O$7:O$159)+SUMIF('04'!$D$7:$D$159,$C43,'04'!O$7:O$159)+SUMIF('05'!$D$7:$D$159,$C43,'05'!O$7:O$159)+SUMIF('06'!$D$7:$D$159,$C43,'06'!O$7:O$159)+SUMIF('07'!$D$7:$D$159,$C43,'07'!O$7:O$159)+SUMIF('08'!$D$7:$D$159,$C43,'08'!O$7:O$159)</f>
        <v>0</v>
      </c>
      <c r="N44" s="282">
        <f>SUMIF('02'!$D$7:$D$159,$C43,'02'!P$7:P$159)+SUMIF('03'!$D$7:$D$159,$C43,'03'!P$7:P$159)+SUMIF('04'!$D$7:$D$159,$C43,'04'!P$7:P$159)+SUMIF('05'!$D$7:$D$159,$C43,'05'!P$7:P$159)+SUMIF('06'!$D$7:$D$159,$C43,'06'!P$7:P$159)+SUMIF('07'!$D$7:$D$159,$C43,'07'!P$7:P$159)+SUMIF('08'!$D$7:$D$159,$C43,'08'!P$7:P$159)</f>
        <v>0</v>
      </c>
      <c r="O44" s="284">
        <f>SUMIF('02'!$D$7:$D$159,$C43,'02'!Q$7:Q$159)+SUMIF('03'!$D$7:$D$159,$C43,'03'!Q$7:Q$159)+SUMIF('04'!$D$7:$D$159,$C43,'04'!Q$7:Q$159)+SUMIF('05'!$D$7:$D$159,$C43,'05'!Q$7:Q$159)+SUMIF('06'!$D$7:$D$159,$C43,'06'!Q$7:Q$159)+SUMIF('07'!$D$7:$D$159,$C43,'07'!Q$7:Q$159)+SUMIF('08'!$D$7:$D$159,$C43,'08'!Q$7:Q$159)</f>
        <v>0</v>
      </c>
      <c r="P44" s="281">
        <f>SUMIF('02'!$D$7:$D$159,$C43,'02'!R$7:R$159)+SUMIF('03'!$D$7:$D$159,$C43,'03'!R$7:R$159)+SUMIF('04'!$D$7:$D$159,$C43,'04'!R$7:R$159)+SUMIF('05'!$D$7:$D$159,$C43,'05'!R$7:R$159)+SUMIF('06'!$D$7:$D$159,$C43,'06'!R$7:R$159)+SUMIF('07'!$D$7:$D$159,$C43,'07'!R$7:R$159)+SUMIF('08'!$D$7:$D$159,$C43,'08'!R$7:R$159)</f>
        <v>0</v>
      </c>
      <c r="Q44" s="282">
        <f>SUMIF('02'!$D$7:$D$159,$C43,'02'!S$7:S$159)+SUMIF('03'!$D$7:$D$159,$C43,'03'!S$7:S$159)+SUMIF('04'!$D$7:$D$159,$C43,'04'!S$7:S$159)+SUMIF('05'!$D$7:$D$159,$C43,'05'!S$7:S$159)+SUMIF('06'!$D$7:$D$159,$C43,'06'!S$7:S$159)+SUMIF('07'!$D$7:$D$159,$C43,'07'!S$7:S$159)+SUMIF('08'!$D$7:$D$159,$C43,'08'!S$7:S$159)</f>
        <v>0</v>
      </c>
      <c r="R44" s="283">
        <f>SUMIF('02'!$D$7:$D$159,$C43,'02'!T$7:T$159)+SUMIF('03'!$D$7:$D$159,$C43,'03'!T$7:T$159)+SUMIF('04'!$D$7:$D$159,$C43,'04'!T$7:T$159)+SUMIF('05'!$D$7:$D$159,$C43,'05'!T$7:T$159)+SUMIF('06'!$D$7:$D$159,$C43,'06'!T$7:T$159)+SUMIF('07'!$D$7:$D$159,$C43,'07'!T$7:T$159)+SUMIF('08'!$D$7:$D$159,$C43,'08'!T$7:T$159)</f>
        <v>0</v>
      </c>
      <c r="S44" s="281">
        <f>SUMIF('02'!$D$7:$D$159,$C43,'02'!U$7:U$159)+SUMIF('03'!$D$7:$D$159,$C43,'03'!U$7:U$159)+SUMIF('04'!$D$7:$D$159,$C43,'04'!U$7:U$159)+SUMIF('05'!$D$7:$D$159,$C43,'05'!U$7:U$159)+SUMIF('06'!$D$7:$D$159,$C43,'06'!U$7:U$159)+SUMIF('07'!$D$7:$D$159,$C43,'07'!U$7:U$159)+SUMIF('08'!$D$7:$D$159,$C43,'08'!U$7:U$159)</f>
        <v>0</v>
      </c>
      <c r="T44" s="282">
        <f>SUMIF('02'!$D$7:$D$159,$C43,'02'!V$7:V$159)+SUMIF('03'!$D$7:$D$159,$C43,'03'!V$7:V$159)+SUMIF('04'!$D$7:$D$159,$C43,'04'!V$7:V$159)+SUMIF('05'!$D$7:$D$159,$C43,'05'!V$7:V$159)+SUMIF('06'!$D$7:$D$159,$C43,'06'!V$7:V$159)+SUMIF('07'!$D$7:$D$159,$C43,'07'!V$7:V$159)+SUMIF('08'!$D$7:$D$159,$C43,'08'!V$7:V$159)</f>
        <v>0</v>
      </c>
      <c r="U44" s="285">
        <f>SUMIF('02'!$D$7:$D$159,$C43,'02'!W$7:W$159)+SUMIF('03'!$D$7:$D$159,$C43,'03'!W$7:W$159)+SUMIF('04'!$D$7:$D$159,$C43,'04'!W$7:W$159)+SUMIF('05'!$D$7:$D$159,$C43,'05'!W$7:W$159)+SUMIF('06'!$D$7:$D$159,$C43,'06'!W$7:W$159)+SUMIF('07'!$D$7:$D$159,$C43,'07'!W$7:W$159)+SUMIF('08'!$D$7:$D$159,$C43,'08'!W$7:W$159)</f>
        <v>0</v>
      </c>
      <c r="V44" s="284">
        <f>SUMIF('02'!$D$7:$D$159,$C43,'02'!X$7:X$159)+SUMIF('03'!$D$7:$D$159,$C43,'03'!X$7:X$159)+SUMIF('04'!$D$7:$D$159,$C43,'04'!X$7:X$159)+SUMIF('05'!$D$7:$D$159,$C43,'05'!X$7:X$159)+SUMIF('06'!$D$7:$D$159,$C43,'06'!X$7:X$159)+SUMIF('07'!$D$7:$D$159,$C43,'07'!X$7:X$159)+SUMIF('08'!$D$7:$D$159,$C43,'08'!X$7:X$159)</f>
        <v>0</v>
      </c>
      <c r="W44" s="284">
        <f>SUMIF('02'!$D$7:$D$159,$C43,'02'!Y$7:Y$159)+SUMIF('03'!$D$7:$D$159,$C43,'03'!Y$7:Y$159)+SUMIF('04'!$D$7:$D$159,$C43,'04'!Y$7:Y$159)+SUMIF('05'!$D$7:$D$159,$C43,'05'!Y$7:Y$159)+SUMIF('06'!$D$7:$D$159,$C43,'06'!Y$7:Y$159)+SUMIF('07'!$D$7:$D$159,$C43,'07'!Y$7:Y$159)+SUMIF('08'!$D$7:$D$159,$C43,'08'!Y$7:Y$159)</f>
        <v>0</v>
      </c>
      <c r="X44" s="286">
        <f t="shared" si="2"/>
        <v>0</v>
      </c>
      <c r="Y44" s="345"/>
      <c r="Z44" s="347"/>
    </row>
    <row r="45" spans="1:26" ht="14.25" customHeight="1" x14ac:dyDescent="0.3">
      <c r="A45" s="178">
        <f>IF(OR(C45="0",COUNTIF(КлючВесна,C45)&gt;1),0,MATCH(F45,ВидыНагр,0))</f>
        <v>0</v>
      </c>
      <c r="B45" s="178" t="b">
        <f>(COUNTA(D45:F46,J45:W45,H45:I46)=0)</f>
        <v>1</v>
      </c>
      <c r="C45" s="179" t="str">
        <f>IF(OR(TRIM(D45)="",COUNTIF(ВидыНагр,F45)&lt;&gt;1),"0",CONCATENATE("$",TRIM(D45),"$",TRIM(E45),"$",F45,"$"))</f>
        <v>0</v>
      </c>
      <c r="D45" s="340"/>
      <c r="E45" s="338"/>
      <c r="F45" s="342"/>
      <c r="G45" s="180" t="s">
        <v>7</v>
      </c>
      <c r="H45" s="181"/>
      <c r="I45" s="182"/>
      <c r="J45" s="183"/>
      <c r="K45" s="184"/>
      <c r="L45" s="185"/>
      <c r="M45" s="183"/>
      <c r="N45" s="184"/>
      <c r="O45" s="186"/>
      <c r="P45" s="183"/>
      <c r="Q45" s="184"/>
      <c r="R45" s="185"/>
      <c r="S45" s="183"/>
      <c r="T45" s="184"/>
      <c r="U45" s="187"/>
      <c r="V45" s="186"/>
      <c r="W45" s="186"/>
      <c r="X45" s="279">
        <f t="shared" si="2"/>
        <v>0</v>
      </c>
      <c r="Y45" s="344">
        <f>X46-X45</f>
        <v>0</v>
      </c>
      <c r="Z45" s="346"/>
    </row>
    <row r="46" spans="1:26" ht="14.25" customHeight="1" x14ac:dyDescent="0.3">
      <c r="A46" s="178">
        <f>-A45</f>
        <v>0</v>
      </c>
      <c r="B46" s="178" t="b">
        <f>B45</f>
        <v>1</v>
      </c>
      <c r="C46" s="188"/>
      <c r="D46" s="341"/>
      <c r="E46" s="339"/>
      <c r="F46" s="343"/>
      <c r="G46" s="189" t="s">
        <v>8</v>
      </c>
      <c r="H46" s="190"/>
      <c r="I46" s="280"/>
      <c r="J46" s="281">
        <f>SUMIF('02'!$D$7:$D$159,$C45,'02'!L$7:L$159)+SUMIF('03'!$D$7:$D$159,$C45,'03'!L$7:L$159)+SUMIF('04'!$D$7:$D$159,$C45,'04'!L$7:L$159)+SUMIF('05'!$D$7:$D$159,$C45,'05'!L$7:L$159)+SUMIF('06'!$D$7:$D$159,$C45,'06'!L$7:L$159)+SUMIF('07'!$D$7:$D$159,$C45,'07'!L$7:L$159)+SUMIF('08'!$D$7:$D$159,$C45,'08'!L$7:L$159)</f>
        <v>0</v>
      </c>
      <c r="K46" s="282">
        <f>SUMIF('02'!$D$7:$D$159,$C45,'02'!M$7:M$159)+SUMIF('03'!$D$7:$D$159,$C45,'03'!M$7:M$159)+SUMIF('04'!$D$7:$D$159,$C45,'04'!M$7:M$159)+SUMIF('05'!$D$7:$D$159,$C45,'05'!M$7:M$159)+SUMIF('06'!$D$7:$D$159,$C45,'06'!M$7:M$159)+SUMIF('07'!$D$7:$D$159,$C45,'07'!M$7:M$159)+SUMIF('08'!$D$7:$D$159,$C45,'08'!M$7:M$159)</f>
        <v>0</v>
      </c>
      <c r="L46" s="283">
        <f>SUMIF('02'!$D$7:$D$159,$C45,'02'!N$7:N$159)+SUMIF('03'!$D$7:$D$159,$C45,'03'!N$7:N$159)+SUMIF('04'!$D$7:$D$159,$C45,'04'!N$7:N$159)+SUMIF('05'!$D$7:$D$159,$C45,'05'!N$7:N$159)+SUMIF('06'!$D$7:$D$159,$C45,'06'!N$7:N$159)+SUMIF('07'!$D$7:$D$159,$C45,'07'!N$7:N$159)+SUMIF('08'!$D$7:$D$159,$C45,'08'!N$7:N$159)</f>
        <v>0</v>
      </c>
      <c r="M46" s="281">
        <f>SUMIF('02'!$D$7:$D$159,$C45,'02'!O$7:O$159)+SUMIF('03'!$D$7:$D$159,$C45,'03'!O$7:O$159)+SUMIF('04'!$D$7:$D$159,$C45,'04'!O$7:O$159)+SUMIF('05'!$D$7:$D$159,$C45,'05'!O$7:O$159)+SUMIF('06'!$D$7:$D$159,$C45,'06'!O$7:O$159)+SUMIF('07'!$D$7:$D$159,$C45,'07'!O$7:O$159)+SUMIF('08'!$D$7:$D$159,$C45,'08'!O$7:O$159)</f>
        <v>0</v>
      </c>
      <c r="N46" s="282">
        <f>SUMIF('02'!$D$7:$D$159,$C45,'02'!P$7:P$159)+SUMIF('03'!$D$7:$D$159,$C45,'03'!P$7:P$159)+SUMIF('04'!$D$7:$D$159,$C45,'04'!P$7:P$159)+SUMIF('05'!$D$7:$D$159,$C45,'05'!P$7:P$159)+SUMIF('06'!$D$7:$D$159,$C45,'06'!P$7:P$159)+SUMIF('07'!$D$7:$D$159,$C45,'07'!P$7:P$159)+SUMIF('08'!$D$7:$D$159,$C45,'08'!P$7:P$159)</f>
        <v>0</v>
      </c>
      <c r="O46" s="284">
        <f>SUMIF('02'!$D$7:$D$159,$C45,'02'!Q$7:Q$159)+SUMIF('03'!$D$7:$D$159,$C45,'03'!Q$7:Q$159)+SUMIF('04'!$D$7:$D$159,$C45,'04'!Q$7:Q$159)+SUMIF('05'!$D$7:$D$159,$C45,'05'!Q$7:Q$159)+SUMIF('06'!$D$7:$D$159,$C45,'06'!Q$7:Q$159)+SUMIF('07'!$D$7:$D$159,$C45,'07'!Q$7:Q$159)+SUMIF('08'!$D$7:$D$159,$C45,'08'!Q$7:Q$159)</f>
        <v>0</v>
      </c>
      <c r="P46" s="281">
        <f>SUMIF('02'!$D$7:$D$159,$C45,'02'!R$7:R$159)+SUMIF('03'!$D$7:$D$159,$C45,'03'!R$7:R$159)+SUMIF('04'!$D$7:$D$159,$C45,'04'!R$7:R$159)+SUMIF('05'!$D$7:$D$159,$C45,'05'!R$7:R$159)+SUMIF('06'!$D$7:$D$159,$C45,'06'!R$7:R$159)+SUMIF('07'!$D$7:$D$159,$C45,'07'!R$7:R$159)+SUMIF('08'!$D$7:$D$159,$C45,'08'!R$7:R$159)</f>
        <v>0</v>
      </c>
      <c r="Q46" s="282">
        <f>SUMIF('02'!$D$7:$D$159,$C45,'02'!S$7:S$159)+SUMIF('03'!$D$7:$D$159,$C45,'03'!S$7:S$159)+SUMIF('04'!$D$7:$D$159,$C45,'04'!S$7:S$159)+SUMIF('05'!$D$7:$D$159,$C45,'05'!S$7:S$159)+SUMIF('06'!$D$7:$D$159,$C45,'06'!S$7:S$159)+SUMIF('07'!$D$7:$D$159,$C45,'07'!S$7:S$159)+SUMIF('08'!$D$7:$D$159,$C45,'08'!S$7:S$159)</f>
        <v>0</v>
      </c>
      <c r="R46" s="283">
        <f>SUMIF('02'!$D$7:$D$159,$C45,'02'!T$7:T$159)+SUMIF('03'!$D$7:$D$159,$C45,'03'!T$7:T$159)+SUMIF('04'!$D$7:$D$159,$C45,'04'!T$7:T$159)+SUMIF('05'!$D$7:$D$159,$C45,'05'!T$7:T$159)+SUMIF('06'!$D$7:$D$159,$C45,'06'!T$7:T$159)+SUMIF('07'!$D$7:$D$159,$C45,'07'!T$7:T$159)+SUMIF('08'!$D$7:$D$159,$C45,'08'!T$7:T$159)</f>
        <v>0</v>
      </c>
      <c r="S46" s="281">
        <f>SUMIF('02'!$D$7:$D$159,$C45,'02'!U$7:U$159)+SUMIF('03'!$D$7:$D$159,$C45,'03'!U$7:U$159)+SUMIF('04'!$D$7:$D$159,$C45,'04'!U$7:U$159)+SUMIF('05'!$D$7:$D$159,$C45,'05'!U$7:U$159)+SUMIF('06'!$D$7:$D$159,$C45,'06'!U$7:U$159)+SUMIF('07'!$D$7:$D$159,$C45,'07'!U$7:U$159)+SUMIF('08'!$D$7:$D$159,$C45,'08'!U$7:U$159)</f>
        <v>0</v>
      </c>
      <c r="T46" s="282">
        <f>SUMIF('02'!$D$7:$D$159,$C45,'02'!V$7:V$159)+SUMIF('03'!$D$7:$D$159,$C45,'03'!V$7:V$159)+SUMIF('04'!$D$7:$D$159,$C45,'04'!V$7:V$159)+SUMIF('05'!$D$7:$D$159,$C45,'05'!V$7:V$159)+SUMIF('06'!$D$7:$D$159,$C45,'06'!V$7:V$159)+SUMIF('07'!$D$7:$D$159,$C45,'07'!V$7:V$159)+SUMIF('08'!$D$7:$D$159,$C45,'08'!V$7:V$159)</f>
        <v>0</v>
      </c>
      <c r="U46" s="285">
        <f>SUMIF('02'!$D$7:$D$159,$C45,'02'!W$7:W$159)+SUMIF('03'!$D$7:$D$159,$C45,'03'!W$7:W$159)+SUMIF('04'!$D$7:$D$159,$C45,'04'!W$7:W$159)+SUMIF('05'!$D$7:$D$159,$C45,'05'!W$7:W$159)+SUMIF('06'!$D$7:$D$159,$C45,'06'!W$7:W$159)+SUMIF('07'!$D$7:$D$159,$C45,'07'!W$7:W$159)+SUMIF('08'!$D$7:$D$159,$C45,'08'!W$7:W$159)</f>
        <v>0</v>
      </c>
      <c r="V46" s="284">
        <f>SUMIF('02'!$D$7:$D$159,$C45,'02'!X$7:X$159)+SUMIF('03'!$D$7:$D$159,$C45,'03'!X$7:X$159)+SUMIF('04'!$D$7:$D$159,$C45,'04'!X$7:X$159)+SUMIF('05'!$D$7:$D$159,$C45,'05'!X$7:X$159)+SUMIF('06'!$D$7:$D$159,$C45,'06'!X$7:X$159)+SUMIF('07'!$D$7:$D$159,$C45,'07'!X$7:X$159)+SUMIF('08'!$D$7:$D$159,$C45,'08'!X$7:X$159)</f>
        <v>0</v>
      </c>
      <c r="W46" s="284">
        <f>SUMIF('02'!$D$7:$D$159,$C45,'02'!Y$7:Y$159)+SUMIF('03'!$D$7:$D$159,$C45,'03'!Y$7:Y$159)+SUMIF('04'!$D$7:$D$159,$C45,'04'!Y$7:Y$159)+SUMIF('05'!$D$7:$D$159,$C45,'05'!Y$7:Y$159)+SUMIF('06'!$D$7:$D$159,$C45,'06'!Y$7:Y$159)+SUMIF('07'!$D$7:$D$159,$C45,'07'!Y$7:Y$159)+SUMIF('08'!$D$7:$D$159,$C45,'08'!Y$7:Y$159)</f>
        <v>0</v>
      </c>
      <c r="X46" s="286">
        <f t="shared" si="2"/>
        <v>0</v>
      </c>
      <c r="Y46" s="345"/>
      <c r="Z46" s="347"/>
    </row>
    <row r="47" spans="1:26" ht="14.25" customHeight="1" x14ac:dyDescent="0.3">
      <c r="A47" s="178">
        <f>IF(OR(C47="0",COUNTIF(КлючВесна,C47)&gt;1),0,MATCH(F47,ВидыНагр,0))</f>
        <v>0</v>
      </c>
      <c r="B47" s="178" t="b">
        <f>(COUNTA(D47:F48,J47:W47,H47:I48)=0)</f>
        <v>1</v>
      </c>
      <c r="C47" s="179" t="str">
        <f>IF(OR(TRIM(D47)="",COUNTIF(ВидыНагр,F47)&lt;&gt;1),"0",CONCATENATE("$",TRIM(D47),"$",TRIM(E47),"$",F47,"$"))</f>
        <v>0</v>
      </c>
      <c r="D47" s="340"/>
      <c r="E47" s="338"/>
      <c r="F47" s="342"/>
      <c r="G47" s="180" t="s">
        <v>7</v>
      </c>
      <c r="H47" s="181"/>
      <c r="I47" s="182"/>
      <c r="J47" s="183"/>
      <c r="K47" s="184"/>
      <c r="L47" s="185"/>
      <c r="M47" s="183"/>
      <c r="N47" s="184"/>
      <c r="O47" s="186"/>
      <c r="P47" s="183"/>
      <c r="Q47" s="184"/>
      <c r="R47" s="185"/>
      <c r="S47" s="183"/>
      <c r="T47" s="184"/>
      <c r="U47" s="187"/>
      <c r="V47" s="186"/>
      <c r="W47" s="186"/>
      <c r="X47" s="279">
        <f t="shared" si="2"/>
        <v>0</v>
      </c>
      <c r="Y47" s="344">
        <f>X48-X47</f>
        <v>0</v>
      </c>
      <c r="Z47" s="346"/>
    </row>
    <row r="48" spans="1:26" ht="14.25" customHeight="1" x14ac:dyDescent="0.3">
      <c r="A48" s="178">
        <f>-A47</f>
        <v>0</v>
      </c>
      <c r="B48" s="178" t="b">
        <f>B47</f>
        <v>1</v>
      </c>
      <c r="C48" s="188"/>
      <c r="D48" s="341"/>
      <c r="E48" s="339"/>
      <c r="F48" s="343"/>
      <c r="G48" s="189" t="s">
        <v>8</v>
      </c>
      <c r="H48" s="190"/>
      <c r="I48" s="280"/>
      <c r="J48" s="281">
        <f>SUMIF('02'!$D$7:$D$159,$C47,'02'!L$7:L$159)+SUMIF('03'!$D$7:$D$159,$C47,'03'!L$7:L$159)+SUMIF('04'!$D$7:$D$159,$C47,'04'!L$7:L$159)+SUMIF('05'!$D$7:$D$159,$C47,'05'!L$7:L$159)+SUMIF('06'!$D$7:$D$159,$C47,'06'!L$7:L$159)+SUMIF('07'!$D$7:$D$159,$C47,'07'!L$7:L$159)+SUMIF('08'!$D$7:$D$159,$C47,'08'!L$7:L$159)</f>
        <v>0</v>
      </c>
      <c r="K48" s="282">
        <f>SUMIF('02'!$D$7:$D$159,$C47,'02'!M$7:M$159)+SUMIF('03'!$D$7:$D$159,$C47,'03'!M$7:M$159)+SUMIF('04'!$D$7:$D$159,$C47,'04'!M$7:M$159)+SUMIF('05'!$D$7:$D$159,$C47,'05'!M$7:M$159)+SUMIF('06'!$D$7:$D$159,$C47,'06'!M$7:M$159)+SUMIF('07'!$D$7:$D$159,$C47,'07'!M$7:M$159)+SUMIF('08'!$D$7:$D$159,$C47,'08'!M$7:M$159)</f>
        <v>0</v>
      </c>
      <c r="L48" s="283">
        <f>SUMIF('02'!$D$7:$D$159,$C47,'02'!N$7:N$159)+SUMIF('03'!$D$7:$D$159,$C47,'03'!N$7:N$159)+SUMIF('04'!$D$7:$D$159,$C47,'04'!N$7:N$159)+SUMIF('05'!$D$7:$D$159,$C47,'05'!N$7:N$159)+SUMIF('06'!$D$7:$D$159,$C47,'06'!N$7:N$159)+SUMIF('07'!$D$7:$D$159,$C47,'07'!N$7:N$159)+SUMIF('08'!$D$7:$D$159,$C47,'08'!N$7:N$159)</f>
        <v>0</v>
      </c>
      <c r="M48" s="281">
        <f>SUMIF('02'!$D$7:$D$159,$C47,'02'!O$7:O$159)+SUMIF('03'!$D$7:$D$159,$C47,'03'!O$7:O$159)+SUMIF('04'!$D$7:$D$159,$C47,'04'!O$7:O$159)+SUMIF('05'!$D$7:$D$159,$C47,'05'!O$7:O$159)+SUMIF('06'!$D$7:$D$159,$C47,'06'!O$7:O$159)+SUMIF('07'!$D$7:$D$159,$C47,'07'!O$7:O$159)+SUMIF('08'!$D$7:$D$159,$C47,'08'!O$7:O$159)</f>
        <v>0</v>
      </c>
      <c r="N48" s="282">
        <f>SUMIF('02'!$D$7:$D$159,$C47,'02'!P$7:P$159)+SUMIF('03'!$D$7:$D$159,$C47,'03'!P$7:P$159)+SUMIF('04'!$D$7:$D$159,$C47,'04'!P$7:P$159)+SUMIF('05'!$D$7:$D$159,$C47,'05'!P$7:P$159)+SUMIF('06'!$D$7:$D$159,$C47,'06'!P$7:P$159)+SUMIF('07'!$D$7:$D$159,$C47,'07'!P$7:P$159)+SUMIF('08'!$D$7:$D$159,$C47,'08'!P$7:P$159)</f>
        <v>0</v>
      </c>
      <c r="O48" s="284">
        <f>SUMIF('02'!$D$7:$D$159,$C47,'02'!Q$7:Q$159)+SUMIF('03'!$D$7:$D$159,$C47,'03'!Q$7:Q$159)+SUMIF('04'!$D$7:$D$159,$C47,'04'!Q$7:Q$159)+SUMIF('05'!$D$7:$D$159,$C47,'05'!Q$7:Q$159)+SUMIF('06'!$D$7:$D$159,$C47,'06'!Q$7:Q$159)+SUMIF('07'!$D$7:$D$159,$C47,'07'!Q$7:Q$159)+SUMIF('08'!$D$7:$D$159,$C47,'08'!Q$7:Q$159)</f>
        <v>0</v>
      </c>
      <c r="P48" s="281">
        <f>SUMIF('02'!$D$7:$D$159,$C47,'02'!R$7:R$159)+SUMIF('03'!$D$7:$D$159,$C47,'03'!R$7:R$159)+SUMIF('04'!$D$7:$D$159,$C47,'04'!R$7:R$159)+SUMIF('05'!$D$7:$D$159,$C47,'05'!R$7:R$159)+SUMIF('06'!$D$7:$D$159,$C47,'06'!R$7:R$159)+SUMIF('07'!$D$7:$D$159,$C47,'07'!R$7:R$159)+SUMIF('08'!$D$7:$D$159,$C47,'08'!R$7:R$159)</f>
        <v>0</v>
      </c>
      <c r="Q48" s="282">
        <f>SUMIF('02'!$D$7:$D$159,$C47,'02'!S$7:S$159)+SUMIF('03'!$D$7:$D$159,$C47,'03'!S$7:S$159)+SUMIF('04'!$D$7:$D$159,$C47,'04'!S$7:S$159)+SUMIF('05'!$D$7:$D$159,$C47,'05'!S$7:S$159)+SUMIF('06'!$D$7:$D$159,$C47,'06'!S$7:S$159)+SUMIF('07'!$D$7:$D$159,$C47,'07'!S$7:S$159)+SUMIF('08'!$D$7:$D$159,$C47,'08'!S$7:S$159)</f>
        <v>0</v>
      </c>
      <c r="R48" s="283">
        <f>SUMIF('02'!$D$7:$D$159,$C47,'02'!T$7:T$159)+SUMIF('03'!$D$7:$D$159,$C47,'03'!T$7:T$159)+SUMIF('04'!$D$7:$D$159,$C47,'04'!T$7:T$159)+SUMIF('05'!$D$7:$D$159,$C47,'05'!T$7:T$159)+SUMIF('06'!$D$7:$D$159,$C47,'06'!T$7:T$159)+SUMIF('07'!$D$7:$D$159,$C47,'07'!T$7:T$159)+SUMIF('08'!$D$7:$D$159,$C47,'08'!T$7:T$159)</f>
        <v>0</v>
      </c>
      <c r="S48" s="281">
        <f>SUMIF('02'!$D$7:$D$159,$C47,'02'!U$7:U$159)+SUMIF('03'!$D$7:$D$159,$C47,'03'!U$7:U$159)+SUMIF('04'!$D$7:$D$159,$C47,'04'!U$7:U$159)+SUMIF('05'!$D$7:$D$159,$C47,'05'!U$7:U$159)+SUMIF('06'!$D$7:$D$159,$C47,'06'!U$7:U$159)+SUMIF('07'!$D$7:$D$159,$C47,'07'!U$7:U$159)+SUMIF('08'!$D$7:$D$159,$C47,'08'!U$7:U$159)</f>
        <v>0</v>
      </c>
      <c r="T48" s="282">
        <f>SUMIF('02'!$D$7:$D$159,$C47,'02'!V$7:V$159)+SUMIF('03'!$D$7:$D$159,$C47,'03'!V$7:V$159)+SUMIF('04'!$D$7:$D$159,$C47,'04'!V$7:V$159)+SUMIF('05'!$D$7:$D$159,$C47,'05'!V$7:V$159)+SUMIF('06'!$D$7:$D$159,$C47,'06'!V$7:V$159)+SUMIF('07'!$D$7:$D$159,$C47,'07'!V$7:V$159)+SUMIF('08'!$D$7:$D$159,$C47,'08'!V$7:V$159)</f>
        <v>0</v>
      </c>
      <c r="U48" s="285">
        <f>SUMIF('02'!$D$7:$D$159,$C47,'02'!W$7:W$159)+SUMIF('03'!$D$7:$D$159,$C47,'03'!W$7:W$159)+SUMIF('04'!$D$7:$D$159,$C47,'04'!W$7:W$159)+SUMIF('05'!$D$7:$D$159,$C47,'05'!W$7:W$159)+SUMIF('06'!$D$7:$D$159,$C47,'06'!W$7:W$159)+SUMIF('07'!$D$7:$D$159,$C47,'07'!W$7:W$159)+SUMIF('08'!$D$7:$D$159,$C47,'08'!W$7:W$159)</f>
        <v>0</v>
      </c>
      <c r="V48" s="284">
        <f>SUMIF('02'!$D$7:$D$159,$C47,'02'!X$7:X$159)+SUMIF('03'!$D$7:$D$159,$C47,'03'!X$7:X$159)+SUMIF('04'!$D$7:$D$159,$C47,'04'!X$7:X$159)+SUMIF('05'!$D$7:$D$159,$C47,'05'!X$7:X$159)+SUMIF('06'!$D$7:$D$159,$C47,'06'!X$7:X$159)+SUMIF('07'!$D$7:$D$159,$C47,'07'!X$7:X$159)+SUMIF('08'!$D$7:$D$159,$C47,'08'!X$7:X$159)</f>
        <v>0</v>
      </c>
      <c r="W48" s="284">
        <f>SUMIF('02'!$D$7:$D$159,$C47,'02'!Y$7:Y$159)+SUMIF('03'!$D$7:$D$159,$C47,'03'!Y$7:Y$159)+SUMIF('04'!$D$7:$D$159,$C47,'04'!Y$7:Y$159)+SUMIF('05'!$D$7:$D$159,$C47,'05'!Y$7:Y$159)+SUMIF('06'!$D$7:$D$159,$C47,'06'!Y$7:Y$159)+SUMIF('07'!$D$7:$D$159,$C47,'07'!Y$7:Y$159)+SUMIF('08'!$D$7:$D$159,$C47,'08'!Y$7:Y$159)</f>
        <v>0</v>
      </c>
      <c r="X48" s="286">
        <f t="shared" si="2"/>
        <v>0</v>
      </c>
      <c r="Y48" s="345"/>
      <c r="Z48" s="347"/>
    </row>
    <row r="49" spans="1:26" ht="14.25" customHeight="1" x14ac:dyDescent="0.3">
      <c r="A49" s="178">
        <f>IF(OR(C49="0",COUNTIF(КлючВесна,C49)&gt;1),0,MATCH(F49,ВидыНагр,0))</f>
        <v>0</v>
      </c>
      <c r="B49" s="178" t="b">
        <f>(COUNTA(D49:F50,J49:W49,H49:I50)=0)</f>
        <v>1</v>
      </c>
      <c r="C49" s="179" t="str">
        <f>IF(OR(TRIM(D49)="",COUNTIF(ВидыНагр,F49)&lt;&gt;1),"0",CONCATENATE("$",TRIM(D49),"$",TRIM(E49),"$",F49,"$"))</f>
        <v>0</v>
      </c>
      <c r="D49" s="340"/>
      <c r="E49" s="338"/>
      <c r="F49" s="342"/>
      <c r="G49" s="180" t="s">
        <v>7</v>
      </c>
      <c r="H49" s="181"/>
      <c r="I49" s="182"/>
      <c r="J49" s="183"/>
      <c r="K49" s="184"/>
      <c r="L49" s="185"/>
      <c r="M49" s="183"/>
      <c r="N49" s="184"/>
      <c r="O49" s="186"/>
      <c r="P49" s="183"/>
      <c r="Q49" s="184"/>
      <c r="R49" s="185"/>
      <c r="S49" s="183"/>
      <c r="T49" s="184"/>
      <c r="U49" s="187"/>
      <c r="V49" s="186"/>
      <c r="W49" s="186"/>
      <c r="X49" s="279">
        <f t="shared" si="2"/>
        <v>0</v>
      </c>
      <c r="Y49" s="344">
        <f>X50-X49</f>
        <v>0</v>
      </c>
      <c r="Z49" s="346"/>
    </row>
    <row r="50" spans="1:26" ht="14.25" customHeight="1" x14ac:dyDescent="0.3">
      <c r="A50" s="178">
        <f>-A49</f>
        <v>0</v>
      </c>
      <c r="B50" s="178" t="b">
        <f>B49</f>
        <v>1</v>
      </c>
      <c r="C50" s="188"/>
      <c r="D50" s="341"/>
      <c r="E50" s="339"/>
      <c r="F50" s="343"/>
      <c r="G50" s="189" t="s">
        <v>8</v>
      </c>
      <c r="H50" s="190"/>
      <c r="I50" s="280"/>
      <c r="J50" s="281">
        <f>SUMIF('02'!$D$7:$D$159,$C49,'02'!L$7:L$159)+SUMIF('03'!$D$7:$D$159,$C49,'03'!L$7:L$159)+SUMIF('04'!$D$7:$D$159,$C49,'04'!L$7:L$159)+SUMIF('05'!$D$7:$D$159,$C49,'05'!L$7:L$159)+SUMIF('06'!$D$7:$D$159,$C49,'06'!L$7:L$159)+SUMIF('07'!$D$7:$D$159,$C49,'07'!L$7:L$159)+SUMIF('08'!$D$7:$D$159,$C49,'08'!L$7:L$159)</f>
        <v>0</v>
      </c>
      <c r="K50" s="282">
        <f>SUMIF('02'!$D$7:$D$159,$C49,'02'!M$7:M$159)+SUMIF('03'!$D$7:$D$159,$C49,'03'!M$7:M$159)+SUMIF('04'!$D$7:$D$159,$C49,'04'!M$7:M$159)+SUMIF('05'!$D$7:$D$159,$C49,'05'!M$7:M$159)+SUMIF('06'!$D$7:$D$159,$C49,'06'!M$7:M$159)+SUMIF('07'!$D$7:$D$159,$C49,'07'!M$7:M$159)+SUMIF('08'!$D$7:$D$159,$C49,'08'!M$7:M$159)</f>
        <v>0</v>
      </c>
      <c r="L50" s="283">
        <f>SUMIF('02'!$D$7:$D$159,$C49,'02'!N$7:N$159)+SUMIF('03'!$D$7:$D$159,$C49,'03'!N$7:N$159)+SUMIF('04'!$D$7:$D$159,$C49,'04'!N$7:N$159)+SUMIF('05'!$D$7:$D$159,$C49,'05'!N$7:N$159)+SUMIF('06'!$D$7:$D$159,$C49,'06'!N$7:N$159)+SUMIF('07'!$D$7:$D$159,$C49,'07'!N$7:N$159)+SUMIF('08'!$D$7:$D$159,$C49,'08'!N$7:N$159)</f>
        <v>0</v>
      </c>
      <c r="M50" s="281">
        <f>SUMIF('02'!$D$7:$D$159,$C49,'02'!O$7:O$159)+SUMIF('03'!$D$7:$D$159,$C49,'03'!O$7:O$159)+SUMIF('04'!$D$7:$D$159,$C49,'04'!O$7:O$159)+SUMIF('05'!$D$7:$D$159,$C49,'05'!O$7:O$159)+SUMIF('06'!$D$7:$D$159,$C49,'06'!O$7:O$159)+SUMIF('07'!$D$7:$D$159,$C49,'07'!O$7:O$159)+SUMIF('08'!$D$7:$D$159,$C49,'08'!O$7:O$159)</f>
        <v>0</v>
      </c>
      <c r="N50" s="282">
        <f>SUMIF('02'!$D$7:$D$159,$C49,'02'!P$7:P$159)+SUMIF('03'!$D$7:$D$159,$C49,'03'!P$7:P$159)+SUMIF('04'!$D$7:$D$159,$C49,'04'!P$7:P$159)+SUMIF('05'!$D$7:$D$159,$C49,'05'!P$7:P$159)+SUMIF('06'!$D$7:$D$159,$C49,'06'!P$7:P$159)+SUMIF('07'!$D$7:$D$159,$C49,'07'!P$7:P$159)+SUMIF('08'!$D$7:$D$159,$C49,'08'!P$7:P$159)</f>
        <v>0</v>
      </c>
      <c r="O50" s="284">
        <f>SUMIF('02'!$D$7:$D$159,$C49,'02'!Q$7:Q$159)+SUMIF('03'!$D$7:$D$159,$C49,'03'!Q$7:Q$159)+SUMIF('04'!$D$7:$D$159,$C49,'04'!Q$7:Q$159)+SUMIF('05'!$D$7:$D$159,$C49,'05'!Q$7:Q$159)+SUMIF('06'!$D$7:$D$159,$C49,'06'!Q$7:Q$159)+SUMIF('07'!$D$7:$D$159,$C49,'07'!Q$7:Q$159)+SUMIF('08'!$D$7:$D$159,$C49,'08'!Q$7:Q$159)</f>
        <v>0</v>
      </c>
      <c r="P50" s="281">
        <f>SUMIF('02'!$D$7:$D$159,$C49,'02'!R$7:R$159)+SUMIF('03'!$D$7:$D$159,$C49,'03'!R$7:R$159)+SUMIF('04'!$D$7:$D$159,$C49,'04'!R$7:R$159)+SUMIF('05'!$D$7:$D$159,$C49,'05'!R$7:R$159)+SUMIF('06'!$D$7:$D$159,$C49,'06'!R$7:R$159)+SUMIF('07'!$D$7:$D$159,$C49,'07'!R$7:R$159)+SUMIF('08'!$D$7:$D$159,$C49,'08'!R$7:R$159)</f>
        <v>0</v>
      </c>
      <c r="Q50" s="282">
        <f>SUMIF('02'!$D$7:$D$159,$C49,'02'!S$7:S$159)+SUMIF('03'!$D$7:$D$159,$C49,'03'!S$7:S$159)+SUMIF('04'!$D$7:$D$159,$C49,'04'!S$7:S$159)+SUMIF('05'!$D$7:$D$159,$C49,'05'!S$7:S$159)+SUMIF('06'!$D$7:$D$159,$C49,'06'!S$7:S$159)+SUMIF('07'!$D$7:$D$159,$C49,'07'!S$7:S$159)+SUMIF('08'!$D$7:$D$159,$C49,'08'!S$7:S$159)</f>
        <v>0</v>
      </c>
      <c r="R50" s="283">
        <f>SUMIF('02'!$D$7:$D$159,$C49,'02'!T$7:T$159)+SUMIF('03'!$D$7:$D$159,$C49,'03'!T$7:T$159)+SUMIF('04'!$D$7:$D$159,$C49,'04'!T$7:T$159)+SUMIF('05'!$D$7:$D$159,$C49,'05'!T$7:T$159)+SUMIF('06'!$D$7:$D$159,$C49,'06'!T$7:T$159)+SUMIF('07'!$D$7:$D$159,$C49,'07'!T$7:T$159)+SUMIF('08'!$D$7:$D$159,$C49,'08'!T$7:T$159)</f>
        <v>0</v>
      </c>
      <c r="S50" s="281">
        <f>SUMIF('02'!$D$7:$D$159,$C49,'02'!U$7:U$159)+SUMIF('03'!$D$7:$D$159,$C49,'03'!U$7:U$159)+SUMIF('04'!$D$7:$D$159,$C49,'04'!U$7:U$159)+SUMIF('05'!$D$7:$D$159,$C49,'05'!U$7:U$159)+SUMIF('06'!$D$7:$D$159,$C49,'06'!U$7:U$159)+SUMIF('07'!$D$7:$D$159,$C49,'07'!U$7:U$159)+SUMIF('08'!$D$7:$D$159,$C49,'08'!U$7:U$159)</f>
        <v>0</v>
      </c>
      <c r="T50" s="282">
        <f>SUMIF('02'!$D$7:$D$159,$C49,'02'!V$7:V$159)+SUMIF('03'!$D$7:$D$159,$C49,'03'!V$7:V$159)+SUMIF('04'!$D$7:$D$159,$C49,'04'!V$7:V$159)+SUMIF('05'!$D$7:$D$159,$C49,'05'!V$7:V$159)+SUMIF('06'!$D$7:$D$159,$C49,'06'!V$7:V$159)+SUMIF('07'!$D$7:$D$159,$C49,'07'!V$7:V$159)+SUMIF('08'!$D$7:$D$159,$C49,'08'!V$7:V$159)</f>
        <v>0</v>
      </c>
      <c r="U50" s="285">
        <f>SUMIF('02'!$D$7:$D$159,$C49,'02'!W$7:W$159)+SUMIF('03'!$D$7:$D$159,$C49,'03'!W$7:W$159)+SUMIF('04'!$D$7:$D$159,$C49,'04'!W$7:W$159)+SUMIF('05'!$D$7:$D$159,$C49,'05'!W$7:W$159)+SUMIF('06'!$D$7:$D$159,$C49,'06'!W$7:W$159)+SUMIF('07'!$D$7:$D$159,$C49,'07'!W$7:W$159)+SUMIF('08'!$D$7:$D$159,$C49,'08'!W$7:W$159)</f>
        <v>0</v>
      </c>
      <c r="V50" s="284">
        <f>SUMIF('02'!$D$7:$D$159,$C49,'02'!X$7:X$159)+SUMIF('03'!$D$7:$D$159,$C49,'03'!X$7:X$159)+SUMIF('04'!$D$7:$D$159,$C49,'04'!X$7:X$159)+SUMIF('05'!$D$7:$D$159,$C49,'05'!X$7:X$159)+SUMIF('06'!$D$7:$D$159,$C49,'06'!X$7:X$159)+SUMIF('07'!$D$7:$D$159,$C49,'07'!X$7:X$159)+SUMIF('08'!$D$7:$D$159,$C49,'08'!X$7:X$159)</f>
        <v>0</v>
      </c>
      <c r="W50" s="284">
        <f>SUMIF('02'!$D$7:$D$159,$C49,'02'!Y$7:Y$159)+SUMIF('03'!$D$7:$D$159,$C49,'03'!Y$7:Y$159)+SUMIF('04'!$D$7:$D$159,$C49,'04'!Y$7:Y$159)+SUMIF('05'!$D$7:$D$159,$C49,'05'!Y$7:Y$159)+SUMIF('06'!$D$7:$D$159,$C49,'06'!Y$7:Y$159)+SUMIF('07'!$D$7:$D$159,$C49,'07'!Y$7:Y$159)+SUMIF('08'!$D$7:$D$159,$C49,'08'!Y$7:Y$159)</f>
        <v>0</v>
      </c>
      <c r="X50" s="286">
        <f t="shared" si="2"/>
        <v>0</v>
      </c>
      <c r="Y50" s="345"/>
      <c r="Z50" s="347"/>
    </row>
    <row r="51" spans="1:26" ht="14.25" customHeight="1" x14ac:dyDescent="0.3">
      <c r="A51" s="178">
        <f>IF(OR(C51="0",COUNTIF(КлючВесна,C51)&gt;1),0,MATCH(F51,ВидыНагр,0))</f>
        <v>0</v>
      </c>
      <c r="B51" s="178" t="b">
        <f>(COUNTA(D51:F52,J51:W51,H51:I52)=0)</f>
        <v>1</v>
      </c>
      <c r="C51" s="179" t="str">
        <f>IF(OR(TRIM(D51)="",COUNTIF(ВидыНагр,F51)&lt;&gt;1),"0",CONCATENATE("$",TRIM(D51),"$",TRIM(E51),"$",F51,"$"))</f>
        <v>0</v>
      </c>
      <c r="D51" s="340"/>
      <c r="E51" s="338"/>
      <c r="F51" s="342"/>
      <c r="G51" s="180" t="s">
        <v>7</v>
      </c>
      <c r="H51" s="181"/>
      <c r="I51" s="182"/>
      <c r="J51" s="183"/>
      <c r="K51" s="184"/>
      <c r="L51" s="185"/>
      <c r="M51" s="183"/>
      <c r="N51" s="184"/>
      <c r="O51" s="186"/>
      <c r="P51" s="183"/>
      <c r="Q51" s="184"/>
      <c r="R51" s="185"/>
      <c r="S51" s="183"/>
      <c r="T51" s="184"/>
      <c r="U51" s="187"/>
      <c r="V51" s="186"/>
      <c r="W51" s="186"/>
      <c r="X51" s="279">
        <f t="shared" si="2"/>
        <v>0</v>
      </c>
      <c r="Y51" s="344">
        <f>X52-X51</f>
        <v>0</v>
      </c>
      <c r="Z51" s="346"/>
    </row>
    <row r="52" spans="1:26" ht="14.25" customHeight="1" x14ac:dyDescent="0.3">
      <c r="A52" s="178">
        <f>-A51</f>
        <v>0</v>
      </c>
      <c r="B52" s="178" t="b">
        <f>B51</f>
        <v>1</v>
      </c>
      <c r="C52" s="188"/>
      <c r="D52" s="341"/>
      <c r="E52" s="339"/>
      <c r="F52" s="343"/>
      <c r="G52" s="189" t="s">
        <v>8</v>
      </c>
      <c r="H52" s="190"/>
      <c r="I52" s="280"/>
      <c r="J52" s="281">
        <f>SUMIF('02'!$D$7:$D$159,$C51,'02'!L$7:L$159)+SUMIF('03'!$D$7:$D$159,$C51,'03'!L$7:L$159)+SUMIF('04'!$D$7:$D$159,$C51,'04'!L$7:L$159)+SUMIF('05'!$D$7:$D$159,$C51,'05'!L$7:L$159)+SUMIF('06'!$D$7:$D$159,$C51,'06'!L$7:L$159)+SUMIF('07'!$D$7:$D$159,$C51,'07'!L$7:L$159)+SUMIF('08'!$D$7:$D$159,$C51,'08'!L$7:L$159)</f>
        <v>0</v>
      </c>
      <c r="K52" s="282">
        <f>SUMIF('02'!$D$7:$D$159,$C51,'02'!M$7:M$159)+SUMIF('03'!$D$7:$D$159,$C51,'03'!M$7:M$159)+SUMIF('04'!$D$7:$D$159,$C51,'04'!M$7:M$159)+SUMIF('05'!$D$7:$D$159,$C51,'05'!M$7:M$159)+SUMIF('06'!$D$7:$D$159,$C51,'06'!M$7:M$159)+SUMIF('07'!$D$7:$D$159,$C51,'07'!M$7:M$159)+SUMIF('08'!$D$7:$D$159,$C51,'08'!M$7:M$159)</f>
        <v>0</v>
      </c>
      <c r="L52" s="283">
        <f>SUMIF('02'!$D$7:$D$159,$C51,'02'!N$7:N$159)+SUMIF('03'!$D$7:$D$159,$C51,'03'!N$7:N$159)+SUMIF('04'!$D$7:$D$159,$C51,'04'!N$7:N$159)+SUMIF('05'!$D$7:$D$159,$C51,'05'!N$7:N$159)+SUMIF('06'!$D$7:$D$159,$C51,'06'!N$7:N$159)+SUMIF('07'!$D$7:$D$159,$C51,'07'!N$7:N$159)+SUMIF('08'!$D$7:$D$159,$C51,'08'!N$7:N$159)</f>
        <v>0</v>
      </c>
      <c r="M52" s="281">
        <f>SUMIF('02'!$D$7:$D$159,$C51,'02'!O$7:O$159)+SUMIF('03'!$D$7:$D$159,$C51,'03'!O$7:O$159)+SUMIF('04'!$D$7:$D$159,$C51,'04'!O$7:O$159)+SUMIF('05'!$D$7:$D$159,$C51,'05'!O$7:O$159)+SUMIF('06'!$D$7:$D$159,$C51,'06'!O$7:O$159)+SUMIF('07'!$D$7:$D$159,$C51,'07'!O$7:O$159)+SUMIF('08'!$D$7:$D$159,$C51,'08'!O$7:O$159)</f>
        <v>0</v>
      </c>
      <c r="N52" s="282">
        <f>SUMIF('02'!$D$7:$D$159,$C51,'02'!P$7:P$159)+SUMIF('03'!$D$7:$D$159,$C51,'03'!P$7:P$159)+SUMIF('04'!$D$7:$D$159,$C51,'04'!P$7:P$159)+SUMIF('05'!$D$7:$D$159,$C51,'05'!P$7:P$159)+SUMIF('06'!$D$7:$D$159,$C51,'06'!P$7:P$159)+SUMIF('07'!$D$7:$D$159,$C51,'07'!P$7:P$159)+SUMIF('08'!$D$7:$D$159,$C51,'08'!P$7:P$159)</f>
        <v>0</v>
      </c>
      <c r="O52" s="284">
        <f>SUMIF('02'!$D$7:$D$159,$C51,'02'!Q$7:Q$159)+SUMIF('03'!$D$7:$D$159,$C51,'03'!Q$7:Q$159)+SUMIF('04'!$D$7:$D$159,$C51,'04'!Q$7:Q$159)+SUMIF('05'!$D$7:$D$159,$C51,'05'!Q$7:Q$159)+SUMIF('06'!$D$7:$D$159,$C51,'06'!Q$7:Q$159)+SUMIF('07'!$D$7:$D$159,$C51,'07'!Q$7:Q$159)+SUMIF('08'!$D$7:$D$159,$C51,'08'!Q$7:Q$159)</f>
        <v>0</v>
      </c>
      <c r="P52" s="281">
        <f>SUMIF('02'!$D$7:$D$159,$C51,'02'!R$7:R$159)+SUMIF('03'!$D$7:$D$159,$C51,'03'!R$7:R$159)+SUMIF('04'!$D$7:$D$159,$C51,'04'!R$7:R$159)+SUMIF('05'!$D$7:$D$159,$C51,'05'!R$7:R$159)+SUMIF('06'!$D$7:$D$159,$C51,'06'!R$7:R$159)+SUMIF('07'!$D$7:$D$159,$C51,'07'!R$7:R$159)+SUMIF('08'!$D$7:$D$159,$C51,'08'!R$7:R$159)</f>
        <v>0</v>
      </c>
      <c r="Q52" s="282">
        <f>SUMIF('02'!$D$7:$D$159,$C51,'02'!S$7:S$159)+SUMIF('03'!$D$7:$D$159,$C51,'03'!S$7:S$159)+SUMIF('04'!$D$7:$D$159,$C51,'04'!S$7:S$159)+SUMIF('05'!$D$7:$D$159,$C51,'05'!S$7:S$159)+SUMIF('06'!$D$7:$D$159,$C51,'06'!S$7:S$159)+SUMIF('07'!$D$7:$D$159,$C51,'07'!S$7:S$159)+SUMIF('08'!$D$7:$D$159,$C51,'08'!S$7:S$159)</f>
        <v>0</v>
      </c>
      <c r="R52" s="283">
        <f>SUMIF('02'!$D$7:$D$159,$C51,'02'!T$7:T$159)+SUMIF('03'!$D$7:$D$159,$C51,'03'!T$7:T$159)+SUMIF('04'!$D$7:$D$159,$C51,'04'!T$7:T$159)+SUMIF('05'!$D$7:$D$159,$C51,'05'!T$7:T$159)+SUMIF('06'!$D$7:$D$159,$C51,'06'!T$7:T$159)+SUMIF('07'!$D$7:$D$159,$C51,'07'!T$7:T$159)+SUMIF('08'!$D$7:$D$159,$C51,'08'!T$7:T$159)</f>
        <v>0</v>
      </c>
      <c r="S52" s="281">
        <f>SUMIF('02'!$D$7:$D$159,$C51,'02'!U$7:U$159)+SUMIF('03'!$D$7:$D$159,$C51,'03'!U$7:U$159)+SUMIF('04'!$D$7:$D$159,$C51,'04'!U$7:U$159)+SUMIF('05'!$D$7:$D$159,$C51,'05'!U$7:U$159)+SUMIF('06'!$D$7:$D$159,$C51,'06'!U$7:U$159)+SUMIF('07'!$D$7:$D$159,$C51,'07'!U$7:U$159)+SUMIF('08'!$D$7:$D$159,$C51,'08'!U$7:U$159)</f>
        <v>0</v>
      </c>
      <c r="T52" s="282">
        <f>SUMIF('02'!$D$7:$D$159,$C51,'02'!V$7:V$159)+SUMIF('03'!$D$7:$D$159,$C51,'03'!V$7:V$159)+SUMIF('04'!$D$7:$D$159,$C51,'04'!V$7:V$159)+SUMIF('05'!$D$7:$D$159,$C51,'05'!V$7:V$159)+SUMIF('06'!$D$7:$D$159,$C51,'06'!V$7:V$159)+SUMIF('07'!$D$7:$D$159,$C51,'07'!V$7:V$159)+SUMIF('08'!$D$7:$D$159,$C51,'08'!V$7:V$159)</f>
        <v>0</v>
      </c>
      <c r="U52" s="285">
        <f>SUMIF('02'!$D$7:$D$159,$C51,'02'!W$7:W$159)+SUMIF('03'!$D$7:$D$159,$C51,'03'!W$7:W$159)+SUMIF('04'!$D$7:$D$159,$C51,'04'!W$7:W$159)+SUMIF('05'!$D$7:$D$159,$C51,'05'!W$7:W$159)+SUMIF('06'!$D$7:$D$159,$C51,'06'!W$7:W$159)+SUMIF('07'!$D$7:$D$159,$C51,'07'!W$7:W$159)+SUMIF('08'!$D$7:$D$159,$C51,'08'!W$7:W$159)</f>
        <v>0</v>
      </c>
      <c r="V52" s="284">
        <f>SUMIF('02'!$D$7:$D$159,$C51,'02'!X$7:X$159)+SUMIF('03'!$D$7:$D$159,$C51,'03'!X$7:X$159)+SUMIF('04'!$D$7:$D$159,$C51,'04'!X$7:X$159)+SUMIF('05'!$D$7:$D$159,$C51,'05'!X$7:X$159)+SUMIF('06'!$D$7:$D$159,$C51,'06'!X$7:X$159)+SUMIF('07'!$D$7:$D$159,$C51,'07'!X$7:X$159)+SUMIF('08'!$D$7:$D$159,$C51,'08'!X$7:X$159)</f>
        <v>0</v>
      </c>
      <c r="W52" s="284">
        <f>SUMIF('02'!$D$7:$D$159,$C51,'02'!Y$7:Y$159)+SUMIF('03'!$D$7:$D$159,$C51,'03'!Y$7:Y$159)+SUMIF('04'!$D$7:$D$159,$C51,'04'!Y$7:Y$159)+SUMIF('05'!$D$7:$D$159,$C51,'05'!Y$7:Y$159)+SUMIF('06'!$D$7:$D$159,$C51,'06'!Y$7:Y$159)+SUMIF('07'!$D$7:$D$159,$C51,'07'!Y$7:Y$159)+SUMIF('08'!$D$7:$D$159,$C51,'08'!Y$7:Y$159)</f>
        <v>0</v>
      </c>
      <c r="X52" s="286">
        <f t="shared" si="2"/>
        <v>0</v>
      </c>
      <c r="Y52" s="345"/>
      <c r="Z52" s="347"/>
    </row>
    <row r="53" spans="1:26" ht="14.25" customHeight="1" x14ac:dyDescent="0.3">
      <c r="A53" s="178">
        <f>IF(OR(C53="0",COUNTIF(КлючВесна,C53)&gt;1),0,MATCH(F53,ВидыНагр,0))</f>
        <v>0</v>
      </c>
      <c r="B53" s="178" t="b">
        <f>(COUNTA(D53:F54,J53:W53,H53:I54)=0)</f>
        <v>1</v>
      </c>
      <c r="C53" s="179" t="str">
        <f>IF(OR(TRIM(D53)="",COUNTIF(ВидыНагр,F53)&lt;&gt;1),"0",CONCATENATE("$",TRIM(D53),"$",TRIM(E53),"$",F53,"$"))</f>
        <v>0</v>
      </c>
      <c r="D53" s="340"/>
      <c r="E53" s="338"/>
      <c r="F53" s="342"/>
      <c r="G53" s="180" t="s">
        <v>7</v>
      </c>
      <c r="H53" s="181"/>
      <c r="I53" s="182"/>
      <c r="J53" s="183"/>
      <c r="K53" s="184"/>
      <c r="L53" s="185"/>
      <c r="M53" s="183"/>
      <c r="N53" s="184"/>
      <c r="O53" s="186"/>
      <c r="P53" s="183"/>
      <c r="Q53" s="184"/>
      <c r="R53" s="185"/>
      <c r="S53" s="183"/>
      <c r="T53" s="184"/>
      <c r="U53" s="187"/>
      <c r="V53" s="186"/>
      <c r="W53" s="186"/>
      <c r="X53" s="279">
        <f t="shared" si="2"/>
        <v>0</v>
      </c>
      <c r="Y53" s="344">
        <f>X54-X53</f>
        <v>0</v>
      </c>
      <c r="Z53" s="346"/>
    </row>
    <row r="54" spans="1:26" ht="14.25" customHeight="1" x14ac:dyDescent="0.3">
      <c r="A54" s="178">
        <f>-A53</f>
        <v>0</v>
      </c>
      <c r="B54" s="178" t="b">
        <f>B53</f>
        <v>1</v>
      </c>
      <c r="C54" s="188"/>
      <c r="D54" s="341"/>
      <c r="E54" s="339"/>
      <c r="F54" s="343"/>
      <c r="G54" s="189" t="s">
        <v>8</v>
      </c>
      <c r="H54" s="190"/>
      <c r="I54" s="280"/>
      <c r="J54" s="281">
        <f>SUMIF('02'!$D$7:$D$159,$C53,'02'!L$7:L$159)+SUMIF('03'!$D$7:$D$159,$C53,'03'!L$7:L$159)+SUMIF('04'!$D$7:$D$159,$C53,'04'!L$7:L$159)+SUMIF('05'!$D$7:$D$159,$C53,'05'!L$7:L$159)+SUMIF('06'!$D$7:$D$159,$C53,'06'!L$7:L$159)+SUMIF('07'!$D$7:$D$159,$C53,'07'!L$7:L$159)+SUMIF('08'!$D$7:$D$159,$C53,'08'!L$7:L$159)</f>
        <v>0</v>
      </c>
      <c r="K54" s="282">
        <f>SUMIF('02'!$D$7:$D$159,$C53,'02'!M$7:M$159)+SUMIF('03'!$D$7:$D$159,$C53,'03'!M$7:M$159)+SUMIF('04'!$D$7:$D$159,$C53,'04'!M$7:M$159)+SUMIF('05'!$D$7:$D$159,$C53,'05'!M$7:M$159)+SUMIF('06'!$D$7:$D$159,$C53,'06'!M$7:M$159)+SUMIF('07'!$D$7:$D$159,$C53,'07'!M$7:M$159)+SUMIF('08'!$D$7:$D$159,$C53,'08'!M$7:M$159)</f>
        <v>0</v>
      </c>
      <c r="L54" s="283">
        <f>SUMIF('02'!$D$7:$D$159,$C53,'02'!N$7:N$159)+SUMIF('03'!$D$7:$D$159,$C53,'03'!N$7:N$159)+SUMIF('04'!$D$7:$D$159,$C53,'04'!N$7:N$159)+SUMIF('05'!$D$7:$D$159,$C53,'05'!N$7:N$159)+SUMIF('06'!$D$7:$D$159,$C53,'06'!N$7:N$159)+SUMIF('07'!$D$7:$D$159,$C53,'07'!N$7:N$159)+SUMIF('08'!$D$7:$D$159,$C53,'08'!N$7:N$159)</f>
        <v>0</v>
      </c>
      <c r="M54" s="281">
        <f>SUMIF('02'!$D$7:$D$159,$C53,'02'!O$7:O$159)+SUMIF('03'!$D$7:$D$159,$C53,'03'!O$7:O$159)+SUMIF('04'!$D$7:$D$159,$C53,'04'!O$7:O$159)+SUMIF('05'!$D$7:$D$159,$C53,'05'!O$7:O$159)+SUMIF('06'!$D$7:$D$159,$C53,'06'!O$7:O$159)+SUMIF('07'!$D$7:$D$159,$C53,'07'!O$7:O$159)+SUMIF('08'!$D$7:$D$159,$C53,'08'!O$7:O$159)</f>
        <v>0</v>
      </c>
      <c r="N54" s="282">
        <f>SUMIF('02'!$D$7:$D$159,$C53,'02'!P$7:P$159)+SUMIF('03'!$D$7:$D$159,$C53,'03'!P$7:P$159)+SUMIF('04'!$D$7:$D$159,$C53,'04'!P$7:P$159)+SUMIF('05'!$D$7:$D$159,$C53,'05'!P$7:P$159)+SUMIF('06'!$D$7:$D$159,$C53,'06'!P$7:P$159)+SUMIF('07'!$D$7:$D$159,$C53,'07'!P$7:P$159)+SUMIF('08'!$D$7:$D$159,$C53,'08'!P$7:P$159)</f>
        <v>0</v>
      </c>
      <c r="O54" s="284">
        <f>SUMIF('02'!$D$7:$D$159,$C53,'02'!Q$7:Q$159)+SUMIF('03'!$D$7:$D$159,$C53,'03'!Q$7:Q$159)+SUMIF('04'!$D$7:$D$159,$C53,'04'!Q$7:Q$159)+SUMIF('05'!$D$7:$D$159,$C53,'05'!Q$7:Q$159)+SUMIF('06'!$D$7:$D$159,$C53,'06'!Q$7:Q$159)+SUMIF('07'!$D$7:$D$159,$C53,'07'!Q$7:Q$159)+SUMIF('08'!$D$7:$D$159,$C53,'08'!Q$7:Q$159)</f>
        <v>0</v>
      </c>
      <c r="P54" s="281">
        <f>SUMIF('02'!$D$7:$D$159,$C53,'02'!R$7:R$159)+SUMIF('03'!$D$7:$D$159,$C53,'03'!R$7:R$159)+SUMIF('04'!$D$7:$D$159,$C53,'04'!R$7:R$159)+SUMIF('05'!$D$7:$D$159,$C53,'05'!R$7:R$159)+SUMIF('06'!$D$7:$D$159,$C53,'06'!R$7:R$159)+SUMIF('07'!$D$7:$D$159,$C53,'07'!R$7:R$159)+SUMIF('08'!$D$7:$D$159,$C53,'08'!R$7:R$159)</f>
        <v>0</v>
      </c>
      <c r="Q54" s="282">
        <f>SUMIF('02'!$D$7:$D$159,$C53,'02'!S$7:S$159)+SUMIF('03'!$D$7:$D$159,$C53,'03'!S$7:S$159)+SUMIF('04'!$D$7:$D$159,$C53,'04'!S$7:S$159)+SUMIF('05'!$D$7:$D$159,$C53,'05'!S$7:S$159)+SUMIF('06'!$D$7:$D$159,$C53,'06'!S$7:S$159)+SUMIF('07'!$D$7:$D$159,$C53,'07'!S$7:S$159)+SUMIF('08'!$D$7:$D$159,$C53,'08'!S$7:S$159)</f>
        <v>0</v>
      </c>
      <c r="R54" s="283">
        <f>SUMIF('02'!$D$7:$D$159,$C53,'02'!T$7:T$159)+SUMIF('03'!$D$7:$D$159,$C53,'03'!T$7:T$159)+SUMIF('04'!$D$7:$D$159,$C53,'04'!T$7:T$159)+SUMIF('05'!$D$7:$D$159,$C53,'05'!T$7:T$159)+SUMIF('06'!$D$7:$D$159,$C53,'06'!T$7:T$159)+SUMIF('07'!$D$7:$D$159,$C53,'07'!T$7:T$159)+SUMIF('08'!$D$7:$D$159,$C53,'08'!T$7:T$159)</f>
        <v>0</v>
      </c>
      <c r="S54" s="281">
        <f>SUMIF('02'!$D$7:$D$159,$C53,'02'!U$7:U$159)+SUMIF('03'!$D$7:$D$159,$C53,'03'!U$7:U$159)+SUMIF('04'!$D$7:$D$159,$C53,'04'!U$7:U$159)+SUMIF('05'!$D$7:$D$159,$C53,'05'!U$7:U$159)+SUMIF('06'!$D$7:$D$159,$C53,'06'!U$7:U$159)+SUMIF('07'!$D$7:$D$159,$C53,'07'!U$7:U$159)+SUMIF('08'!$D$7:$D$159,$C53,'08'!U$7:U$159)</f>
        <v>0</v>
      </c>
      <c r="T54" s="282">
        <f>SUMIF('02'!$D$7:$D$159,$C53,'02'!V$7:V$159)+SUMIF('03'!$D$7:$D$159,$C53,'03'!V$7:V$159)+SUMIF('04'!$D$7:$D$159,$C53,'04'!V$7:V$159)+SUMIF('05'!$D$7:$D$159,$C53,'05'!V$7:V$159)+SUMIF('06'!$D$7:$D$159,$C53,'06'!V$7:V$159)+SUMIF('07'!$D$7:$D$159,$C53,'07'!V$7:V$159)+SUMIF('08'!$D$7:$D$159,$C53,'08'!V$7:V$159)</f>
        <v>0</v>
      </c>
      <c r="U54" s="285">
        <f>SUMIF('02'!$D$7:$D$159,$C53,'02'!W$7:W$159)+SUMIF('03'!$D$7:$D$159,$C53,'03'!W$7:W$159)+SUMIF('04'!$D$7:$D$159,$C53,'04'!W$7:W$159)+SUMIF('05'!$D$7:$D$159,$C53,'05'!W$7:W$159)+SUMIF('06'!$D$7:$D$159,$C53,'06'!W$7:W$159)+SUMIF('07'!$D$7:$D$159,$C53,'07'!W$7:W$159)+SUMIF('08'!$D$7:$D$159,$C53,'08'!W$7:W$159)</f>
        <v>0</v>
      </c>
      <c r="V54" s="284">
        <f>SUMIF('02'!$D$7:$D$159,$C53,'02'!X$7:X$159)+SUMIF('03'!$D$7:$D$159,$C53,'03'!X$7:X$159)+SUMIF('04'!$D$7:$D$159,$C53,'04'!X$7:X$159)+SUMIF('05'!$D$7:$D$159,$C53,'05'!X$7:X$159)+SUMIF('06'!$D$7:$D$159,$C53,'06'!X$7:X$159)+SUMIF('07'!$D$7:$D$159,$C53,'07'!X$7:X$159)+SUMIF('08'!$D$7:$D$159,$C53,'08'!X$7:X$159)</f>
        <v>0</v>
      </c>
      <c r="W54" s="284">
        <f>SUMIF('02'!$D$7:$D$159,$C53,'02'!Y$7:Y$159)+SUMIF('03'!$D$7:$D$159,$C53,'03'!Y$7:Y$159)+SUMIF('04'!$D$7:$D$159,$C53,'04'!Y$7:Y$159)+SUMIF('05'!$D$7:$D$159,$C53,'05'!Y$7:Y$159)+SUMIF('06'!$D$7:$D$159,$C53,'06'!Y$7:Y$159)+SUMIF('07'!$D$7:$D$159,$C53,'07'!Y$7:Y$159)+SUMIF('08'!$D$7:$D$159,$C53,'08'!Y$7:Y$159)</f>
        <v>0</v>
      </c>
      <c r="X54" s="286">
        <f t="shared" si="2"/>
        <v>0</v>
      </c>
      <c r="Y54" s="345"/>
      <c r="Z54" s="347"/>
    </row>
    <row r="55" spans="1:26" ht="14.25" customHeight="1" x14ac:dyDescent="0.3">
      <c r="A55" s="178">
        <f>IF(OR(C55="0",COUNTIF(КлючВесна,C55)&gt;1),0,MATCH(F55,ВидыНагр,0))</f>
        <v>0</v>
      </c>
      <c r="B55" s="178" t="b">
        <f>(COUNTA(D55:F56,J55:W55,H55:I56)=0)</f>
        <v>1</v>
      </c>
      <c r="C55" s="179" t="str">
        <f>IF(OR(TRIM(D55)="",COUNTIF(ВидыНагр,F55)&lt;&gt;1),"0",CONCATENATE("$",TRIM(D55),"$",TRIM(E55),"$",F55,"$"))</f>
        <v>0</v>
      </c>
      <c r="D55" s="340"/>
      <c r="E55" s="338"/>
      <c r="F55" s="342"/>
      <c r="G55" s="180" t="s">
        <v>7</v>
      </c>
      <c r="H55" s="181"/>
      <c r="I55" s="182"/>
      <c r="J55" s="183"/>
      <c r="K55" s="184"/>
      <c r="L55" s="185"/>
      <c r="M55" s="183"/>
      <c r="N55" s="184"/>
      <c r="O55" s="186"/>
      <c r="P55" s="183"/>
      <c r="Q55" s="184"/>
      <c r="R55" s="185"/>
      <c r="S55" s="183"/>
      <c r="T55" s="184"/>
      <c r="U55" s="187"/>
      <c r="V55" s="186"/>
      <c r="W55" s="186"/>
      <c r="X55" s="279">
        <f t="shared" si="2"/>
        <v>0</v>
      </c>
      <c r="Y55" s="344">
        <f>X56-X55</f>
        <v>0</v>
      </c>
      <c r="Z55" s="346"/>
    </row>
    <row r="56" spans="1:26" ht="14.25" customHeight="1" x14ac:dyDescent="0.3">
      <c r="A56" s="178">
        <f>-A55</f>
        <v>0</v>
      </c>
      <c r="B56" s="178" t="b">
        <f>B55</f>
        <v>1</v>
      </c>
      <c r="C56" s="188"/>
      <c r="D56" s="341"/>
      <c r="E56" s="339"/>
      <c r="F56" s="343"/>
      <c r="G56" s="189" t="s">
        <v>8</v>
      </c>
      <c r="H56" s="190"/>
      <c r="I56" s="280"/>
      <c r="J56" s="281">
        <f>SUMIF('02'!$D$7:$D$159,$C55,'02'!L$7:L$159)+SUMIF('03'!$D$7:$D$159,$C55,'03'!L$7:L$159)+SUMIF('04'!$D$7:$D$159,$C55,'04'!L$7:L$159)+SUMIF('05'!$D$7:$D$159,$C55,'05'!L$7:L$159)+SUMIF('06'!$D$7:$D$159,$C55,'06'!L$7:L$159)+SUMIF('07'!$D$7:$D$159,$C55,'07'!L$7:L$159)+SUMIF('08'!$D$7:$D$159,$C55,'08'!L$7:L$159)</f>
        <v>0</v>
      </c>
      <c r="K56" s="282">
        <f>SUMIF('02'!$D$7:$D$159,$C55,'02'!M$7:M$159)+SUMIF('03'!$D$7:$D$159,$C55,'03'!M$7:M$159)+SUMIF('04'!$D$7:$D$159,$C55,'04'!M$7:M$159)+SUMIF('05'!$D$7:$D$159,$C55,'05'!M$7:M$159)+SUMIF('06'!$D$7:$D$159,$C55,'06'!M$7:M$159)+SUMIF('07'!$D$7:$D$159,$C55,'07'!M$7:M$159)+SUMIF('08'!$D$7:$D$159,$C55,'08'!M$7:M$159)</f>
        <v>0</v>
      </c>
      <c r="L56" s="283">
        <f>SUMIF('02'!$D$7:$D$159,$C55,'02'!N$7:N$159)+SUMIF('03'!$D$7:$D$159,$C55,'03'!N$7:N$159)+SUMIF('04'!$D$7:$D$159,$C55,'04'!N$7:N$159)+SUMIF('05'!$D$7:$D$159,$C55,'05'!N$7:N$159)+SUMIF('06'!$D$7:$D$159,$C55,'06'!N$7:N$159)+SUMIF('07'!$D$7:$D$159,$C55,'07'!N$7:N$159)+SUMIF('08'!$D$7:$D$159,$C55,'08'!N$7:N$159)</f>
        <v>0</v>
      </c>
      <c r="M56" s="281">
        <f>SUMIF('02'!$D$7:$D$159,$C55,'02'!O$7:O$159)+SUMIF('03'!$D$7:$D$159,$C55,'03'!O$7:O$159)+SUMIF('04'!$D$7:$D$159,$C55,'04'!O$7:O$159)+SUMIF('05'!$D$7:$D$159,$C55,'05'!O$7:O$159)+SUMIF('06'!$D$7:$D$159,$C55,'06'!O$7:O$159)+SUMIF('07'!$D$7:$D$159,$C55,'07'!O$7:O$159)+SUMIF('08'!$D$7:$D$159,$C55,'08'!O$7:O$159)</f>
        <v>0</v>
      </c>
      <c r="N56" s="282">
        <f>SUMIF('02'!$D$7:$D$159,$C55,'02'!P$7:P$159)+SUMIF('03'!$D$7:$D$159,$C55,'03'!P$7:P$159)+SUMIF('04'!$D$7:$D$159,$C55,'04'!P$7:P$159)+SUMIF('05'!$D$7:$D$159,$C55,'05'!P$7:P$159)+SUMIF('06'!$D$7:$D$159,$C55,'06'!P$7:P$159)+SUMIF('07'!$D$7:$D$159,$C55,'07'!P$7:P$159)+SUMIF('08'!$D$7:$D$159,$C55,'08'!P$7:P$159)</f>
        <v>0</v>
      </c>
      <c r="O56" s="284">
        <f>SUMIF('02'!$D$7:$D$159,$C55,'02'!Q$7:Q$159)+SUMIF('03'!$D$7:$D$159,$C55,'03'!Q$7:Q$159)+SUMIF('04'!$D$7:$D$159,$C55,'04'!Q$7:Q$159)+SUMIF('05'!$D$7:$D$159,$C55,'05'!Q$7:Q$159)+SUMIF('06'!$D$7:$D$159,$C55,'06'!Q$7:Q$159)+SUMIF('07'!$D$7:$D$159,$C55,'07'!Q$7:Q$159)+SUMIF('08'!$D$7:$D$159,$C55,'08'!Q$7:Q$159)</f>
        <v>0</v>
      </c>
      <c r="P56" s="281">
        <f>SUMIF('02'!$D$7:$D$159,$C55,'02'!R$7:R$159)+SUMIF('03'!$D$7:$D$159,$C55,'03'!R$7:R$159)+SUMIF('04'!$D$7:$D$159,$C55,'04'!R$7:R$159)+SUMIF('05'!$D$7:$D$159,$C55,'05'!R$7:R$159)+SUMIF('06'!$D$7:$D$159,$C55,'06'!R$7:R$159)+SUMIF('07'!$D$7:$D$159,$C55,'07'!R$7:R$159)+SUMIF('08'!$D$7:$D$159,$C55,'08'!R$7:R$159)</f>
        <v>0</v>
      </c>
      <c r="Q56" s="282">
        <f>SUMIF('02'!$D$7:$D$159,$C55,'02'!S$7:S$159)+SUMIF('03'!$D$7:$D$159,$C55,'03'!S$7:S$159)+SUMIF('04'!$D$7:$D$159,$C55,'04'!S$7:S$159)+SUMIF('05'!$D$7:$D$159,$C55,'05'!S$7:S$159)+SUMIF('06'!$D$7:$D$159,$C55,'06'!S$7:S$159)+SUMIF('07'!$D$7:$D$159,$C55,'07'!S$7:S$159)+SUMIF('08'!$D$7:$D$159,$C55,'08'!S$7:S$159)</f>
        <v>0</v>
      </c>
      <c r="R56" s="283">
        <f>SUMIF('02'!$D$7:$D$159,$C55,'02'!T$7:T$159)+SUMIF('03'!$D$7:$D$159,$C55,'03'!T$7:T$159)+SUMIF('04'!$D$7:$D$159,$C55,'04'!T$7:T$159)+SUMIF('05'!$D$7:$D$159,$C55,'05'!T$7:T$159)+SUMIF('06'!$D$7:$D$159,$C55,'06'!T$7:T$159)+SUMIF('07'!$D$7:$D$159,$C55,'07'!T$7:T$159)+SUMIF('08'!$D$7:$D$159,$C55,'08'!T$7:T$159)</f>
        <v>0</v>
      </c>
      <c r="S56" s="281">
        <f>SUMIF('02'!$D$7:$D$159,$C55,'02'!U$7:U$159)+SUMIF('03'!$D$7:$D$159,$C55,'03'!U$7:U$159)+SUMIF('04'!$D$7:$D$159,$C55,'04'!U$7:U$159)+SUMIF('05'!$D$7:$D$159,$C55,'05'!U$7:U$159)+SUMIF('06'!$D$7:$D$159,$C55,'06'!U$7:U$159)+SUMIF('07'!$D$7:$D$159,$C55,'07'!U$7:U$159)+SUMIF('08'!$D$7:$D$159,$C55,'08'!U$7:U$159)</f>
        <v>0</v>
      </c>
      <c r="T56" s="282">
        <f>SUMIF('02'!$D$7:$D$159,$C55,'02'!V$7:V$159)+SUMIF('03'!$D$7:$D$159,$C55,'03'!V$7:V$159)+SUMIF('04'!$D$7:$D$159,$C55,'04'!V$7:V$159)+SUMIF('05'!$D$7:$D$159,$C55,'05'!V$7:V$159)+SUMIF('06'!$D$7:$D$159,$C55,'06'!V$7:V$159)+SUMIF('07'!$D$7:$D$159,$C55,'07'!V$7:V$159)+SUMIF('08'!$D$7:$D$159,$C55,'08'!V$7:V$159)</f>
        <v>0</v>
      </c>
      <c r="U56" s="285">
        <f>SUMIF('02'!$D$7:$D$159,$C55,'02'!W$7:W$159)+SUMIF('03'!$D$7:$D$159,$C55,'03'!W$7:W$159)+SUMIF('04'!$D$7:$D$159,$C55,'04'!W$7:W$159)+SUMIF('05'!$D$7:$D$159,$C55,'05'!W$7:W$159)+SUMIF('06'!$D$7:$D$159,$C55,'06'!W$7:W$159)+SUMIF('07'!$D$7:$D$159,$C55,'07'!W$7:W$159)+SUMIF('08'!$D$7:$D$159,$C55,'08'!W$7:W$159)</f>
        <v>0</v>
      </c>
      <c r="V56" s="284">
        <f>SUMIF('02'!$D$7:$D$159,$C55,'02'!X$7:X$159)+SUMIF('03'!$D$7:$D$159,$C55,'03'!X$7:X$159)+SUMIF('04'!$D$7:$D$159,$C55,'04'!X$7:X$159)+SUMIF('05'!$D$7:$D$159,$C55,'05'!X$7:X$159)+SUMIF('06'!$D$7:$D$159,$C55,'06'!X$7:X$159)+SUMIF('07'!$D$7:$D$159,$C55,'07'!X$7:X$159)+SUMIF('08'!$D$7:$D$159,$C55,'08'!X$7:X$159)</f>
        <v>0</v>
      </c>
      <c r="W56" s="284">
        <f>SUMIF('02'!$D$7:$D$159,$C55,'02'!Y$7:Y$159)+SUMIF('03'!$D$7:$D$159,$C55,'03'!Y$7:Y$159)+SUMIF('04'!$D$7:$D$159,$C55,'04'!Y$7:Y$159)+SUMIF('05'!$D$7:$D$159,$C55,'05'!Y$7:Y$159)+SUMIF('06'!$D$7:$D$159,$C55,'06'!Y$7:Y$159)+SUMIF('07'!$D$7:$D$159,$C55,'07'!Y$7:Y$159)+SUMIF('08'!$D$7:$D$159,$C55,'08'!Y$7:Y$159)</f>
        <v>0</v>
      </c>
      <c r="X56" s="286">
        <f t="shared" si="2"/>
        <v>0</v>
      </c>
      <c r="Y56" s="345"/>
      <c r="Z56" s="347"/>
    </row>
    <row r="57" spans="1:26" ht="14.25" customHeight="1" x14ac:dyDescent="0.3">
      <c r="A57" s="178">
        <f>IF(OR(C57="0",COUNTIF(КлючВесна,C57)&gt;1),0,MATCH(F57,ВидыНагр,0))</f>
        <v>0</v>
      </c>
      <c r="B57" s="178" t="b">
        <f>(COUNTA(D57:F58,J57:W57,H57:I58)=0)</f>
        <v>1</v>
      </c>
      <c r="C57" s="179" t="str">
        <f>IF(OR(TRIM(D57)="",COUNTIF(ВидыНагр,F57)&lt;&gt;1),"0",CONCATENATE("$",TRIM(D57),"$",TRIM(E57),"$",F57,"$"))</f>
        <v>0</v>
      </c>
      <c r="D57" s="340"/>
      <c r="E57" s="338"/>
      <c r="F57" s="342"/>
      <c r="G57" s="180" t="s">
        <v>7</v>
      </c>
      <c r="H57" s="181"/>
      <c r="I57" s="182"/>
      <c r="J57" s="183"/>
      <c r="K57" s="184"/>
      <c r="L57" s="185"/>
      <c r="M57" s="183"/>
      <c r="N57" s="184"/>
      <c r="O57" s="186"/>
      <c r="P57" s="183"/>
      <c r="Q57" s="184"/>
      <c r="R57" s="185"/>
      <c r="S57" s="183"/>
      <c r="T57" s="184"/>
      <c r="U57" s="187"/>
      <c r="V57" s="186"/>
      <c r="W57" s="186"/>
      <c r="X57" s="279">
        <f t="shared" si="2"/>
        <v>0</v>
      </c>
      <c r="Y57" s="344">
        <f>X58-X57</f>
        <v>0</v>
      </c>
      <c r="Z57" s="346"/>
    </row>
    <row r="58" spans="1:26" ht="14.25" customHeight="1" x14ac:dyDescent="0.3">
      <c r="A58" s="178">
        <f>-A57</f>
        <v>0</v>
      </c>
      <c r="B58" s="178" t="b">
        <f>B57</f>
        <v>1</v>
      </c>
      <c r="C58" s="188"/>
      <c r="D58" s="341"/>
      <c r="E58" s="339"/>
      <c r="F58" s="343"/>
      <c r="G58" s="189" t="s">
        <v>8</v>
      </c>
      <c r="H58" s="190"/>
      <c r="I58" s="280"/>
      <c r="J58" s="281">
        <f>SUMIF('02'!$D$7:$D$159,$C57,'02'!L$7:L$159)+SUMIF('03'!$D$7:$D$159,$C57,'03'!L$7:L$159)+SUMIF('04'!$D$7:$D$159,$C57,'04'!L$7:L$159)+SUMIF('05'!$D$7:$D$159,$C57,'05'!L$7:L$159)+SUMIF('06'!$D$7:$D$159,$C57,'06'!L$7:L$159)+SUMIF('07'!$D$7:$D$159,$C57,'07'!L$7:L$159)+SUMIF('08'!$D$7:$D$159,$C57,'08'!L$7:L$159)</f>
        <v>0</v>
      </c>
      <c r="K58" s="282">
        <f>SUMIF('02'!$D$7:$D$159,$C57,'02'!M$7:M$159)+SUMIF('03'!$D$7:$D$159,$C57,'03'!M$7:M$159)+SUMIF('04'!$D$7:$D$159,$C57,'04'!M$7:M$159)+SUMIF('05'!$D$7:$D$159,$C57,'05'!M$7:M$159)+SUMIF('06'!$D$7:$D$159,$C57,'06'!M$7:M$159)+SUMIF('07'!$D$7:$D$159,$C57,'07'!M$7:M$159)+SUMIF('08'!$D$7:$D$159,$C57,'08'!M$7:M$159)</f>
        <v>0</v>
      </c>
      <c r="L58" s="283">
        <f>SUMIF('02'!$D$7:$D$159,$C57,'02'!N$7:N$159)+SUMIF('03'!$D$7:$D$159,$C57,'03'!N$7:N$159)+SUMIF('04'!$D$7:$D$159,$C57,'04'!N$7:N$159)+SUMIF('05'!$D$7:$D$159,$C57,'05'!N$7:N$159)+SUMIF('06'!$D$7:$D$159,$C57,'06'!N$7:N$159)+SUMIF('07'!$D$7:$D$159,$C57,'07'!N$7:N$159)+SUMIF('08'!$D$7:$D$159,$C57,'08'!N$7:N$159)</f>
        <v>0</v>
      </c>
      <c r="M58" s="281">
        <f>SUMIF('02'!$D$7:$D$159,$C57,'02'!O$7:O$159)+SUMIF('03'!$D$7:$D$159,$C57,'03'!O$7:O$159)+SUMIF('04'!$D$7:$D$159,$C57,'04'!O$7:O$159)+SUMIF('05'!$D$7:$D$159,$C57,'05'!O$7:O$159)+SUMIF('06'!$D$7:$D$159,$C57,'06'!O$7:O$159)+SUMIF('07'!$D$7:$D$159,$C57,'07'!O$7:O$159)+SUMIF('08'!$D$7:$D$159,$C57,'08'!O$7:O$159)</f>
        <v>0</v>
      </c>
      <c r="N58" s="282">
        <f>SUMIF('02'!$D$7:$D$159,$C57,'02'!P$7:P$159)+SUMIF('03'!$D$7:$D$159,$C57,'03'!P$7:P$159)+SUMIF('04'!$D$7:$D$159,$C57,'04'!P$7:P$159)+SUMIF('05'!$D$7:$D$159,$C57,'05'!P$7:P$159)+SUMIF('06'!$D$7:$D$159,$C57,'06'!P$7:P$159)+SUMIF('07'!$D$7:$D$159,$C57,'07'!P$7:P$159)+SUMIF('08'!$D$7:$D$159,$C57,'08'!P$7:P$159)</f>
        <v>0</v>
      </c>
      <c r="O58" s="284">
        <f>SUMIF('02'!$D$7:$D$159,$C57,'02'!Q$7:Q$159)+SUMIF('03'!$D$7:$D$159,$C57,'03'!Q$7:Q$159)+SUMIF('04'!$D$7:$D$159,$C57,'04'!Q$7:Q$159)+SUMIF('05'!$D$7:$D$159,$C57,'05'!Q$7:Q$159)+SUMIF('06'!$D$7:$D$159,$C57,'06'!Q$7:Q$159)+SUMIF('07'!$D$7:$D$159,$C57,'07'!Q$7:Q$159)+SUMIF('08'!$D$7:$D$159,$C57,'08'!Q$7:Q$159)</f>
        <v>0</v>
      </c>
      <c r="P58" s="281">
        <f>SUMIF('02'!$D$7:$D$159,$C57,'02'!R$7:R$159)+SUMIF('03'!$D$7:$D$159,$C57,'03'!R$7:R$159)+SUMIF('04'!$D$7:$D$159,$C57,'04'!R$7:R$159)+SUMIF('05'!$D$7:$D$159,$C57,'05'!R$7:R$159)+SUMIF('06'!$D$7:$D$159,$C57,'06'!R$7:R$159)+SUMIF('07'!$D$7:$D$159,$C57,'07'!R$7:R$159)+SUMIF('08'!$D$7:$D$159,$C57,'08'!R$7:R$159)</f>
        <v>0</v>
      </c>
      <c r="Q58" s="282">
        <f>SUMIF('02'!$D$7:$D$159,$C57,'02'!S$7:S$159)+SUMIF('03'!$D$7:$D$159,$C57,'03'!S$7:S$159)+SUMIF('04'!$D$7:$D$159,$C57,'04'!S$7:S$159)+SUMIF('05'!$D$7:$D$159,$C57,'05'!S$7:S$159)+SUMIF('06'!$D$7:$D$159,$C57,'06'!S$7:S$159)+SUMIF('07'!$D$7:$D$159,$C57,'07'!S$7:S$159)+SUMIF('08'!$D$7:$D$159,$C57,'08'!S$7:S$159)</f>
        <v>0</v>
      </c>
      <c r="R58" s="283">
        <f>SUMIF('02'!$D$7:$D$159,$C57,'02'!T$7:T$159)+SUMIF('03'!$D$7:$D$159,$C57,'03'!T$7:T$159)+SUMIF('04'!$D$7:$D$159,$C57,'04'!T$7:T$159)+SUMIF('05'!$D$7:$D$159,$C57,'05'!T$7:T$159)+SUMIF('06'!$D$7:$D$159,$C57,'06'!T$7:T$159)+SUMIF('07'!$D$7:$D$159,$C57,'07'!T$7:T$159)+SUMIF('08'!$D$7:$D$159,$C57,'08'!T$7:T$159)</f>
        <v>0</v>
      </c>
      <c r="S58" s="281">
        <f>SUMIF('02'!$D$7:$D$159,$C57,'02'!U$7:U$159)+SUMIF('03'!$D$7:$D$159,$C57,'03'!U$7:U$159)+SUMIF('04'!$D$7:$D$159,$C57,'04'!U$7:U$159)+SUMIF('05'!$D$7:$D$159,$C57,'05'!U$7:U$159)+SUMIF('06'!$D$7:$D$159,$C57,'06'!U$7:U$159)+SUMIF('07'!$D$7:$D$159,$C57,'07'!U$7:U$159)+SUMIF('08'!$D$7:$D$159,$C57,'08'!U$7:U$159)</f>
        <v>0</v>
      </c>
      <c r="T58" s="282">
        <f>SUMIF('02'!$D$7:$D$159,$C57,'02'!V$7:V$159)+SUMIF('03'!$D$7:$D$159,$C57,'03'!V$7:V$159)+SUMIF('04'!$D$7:$D$159,$C57,'04'!V$7:V$159)+SUMIF('05'!$D$7:$D$159,$C57,'05'!V$7:V$159)+SUMIF('06'!$D$7:$D$159,$C57,'06'!V$7:V$159)+SUMIF('07'!$D$7:$D$159,$C57,'07'!V$7:V$159)+SUMIF('08'!$D$7:$D$159,$C57,'08'!V$7:V$159)</f>
        <v>0</v>
      </c>
      <c r="U58" s="285">
        <f>SUMIF('02'!$D$7:$D$159,$C57,'02'!W$7:W$159)+SUMIF('03'!$D$7:$D$159,$C57,'03'!W$7:W$159)+SUMIF('04'!$D$7:$D$159,$C57,'04'!W$7:W$159)+SUMIF('05'!$D$7:$D$159,$C57,'05'!W$7:W$159)+SUMIF('06'!$D$7:$D$159,$C57,'06'!W$7:W$159)+SUMIF('07'!$D$7:$D$159,$C57,'07'!W$7:W$159)+SUMIF('08'!$D$7:$D$159,$C57,'08'!W$7:W$159)</f>
        <v>0</v>
      </c>
      <c r="V58" s="284">
        <f>SUMIF('02'!$D$7:$D$159,$C57,'02'!X$7:X$159)+SUMIF('03'!$D$7:$D$159,$C57,'03'!X$7:X$159)+SUMIF('04'!$D$7:$D$159,$C57,'04'!X$7:X$159)+SUMIF('05'!$D$7:$D$159,$C57,'05'!X$7:X$159)+SUMIF('06'!$D$7:$D$159,$C57,'06'!X$7:X$159)+SUMIF('07'!$D$7:$D$159,$C57,'07'!X$7:X$159)+SUMIF('08'!$D$7:$D$159,$C57,'08'!X$7:X$159)</f>
        <v>0</v>
      </c>
      <c r="W58" s="284">
        <f>SUMIF('02'!$D$7:$D$159,$C57,'02'!Y$7:Y$159)+SUMIF('03'!$D$7:$D$159,$C57,'03'!Y$7:Y$159)+SUMIF('04'!$D$7:$D$159,$C57,'04'!Y$7:Y$159)+SUMIF('05'!$D$7:$D$159,$C57,'05'!Y$7:Y$159)+SUMIF('06'!$D$7:$D$159,$C57,'06'!Y$7:Y$159)+SUMIF('07'!$D$7:$D$159,$C57,'07'!Y$7:Y$159)+SUMIF('08'!$D$7:$D$159,$C57,'08'!Y$7:Y$159)</f>
        <v>0</v>
      </c>
      <c r="X58" s="286">
        <f t="shared" si="2"/>
        <v>0</v>
      </c>
      <c r="Y58" s="345"/>
      <c r="Z58" s="347"/>
    </row>
    <row r="59" spans="1:26" ht="14.25" customHeight="1" x14ac:dyDescent="0.3">
      <c r="A59" s="178">
        <f>IF(OR(C59="0",COUNTIF(КлючВесна,C59)&gt;1),0,MATCH(F59,ВидыНагр,0))</f>
        <v>0</v>
      </c>
      <c r="B59" s="178" t="b">
        <f>(COUNTA(D59:F60,J59:W59,H59:I60)=0)</f>
        <v>1</v>
      </c>
      <c r="C59" s="179" t="str">
        <f>IF(OR(TRIM(D59)="",COUNTIF(ВидыНагр,F59)&lt;&gt;1),"0",CONCATENATE("$",TRIM(D59),"$",TRIM(E59),"$",F59,"$"))</f>
        <v>0</v>
      </c>
      <c r="D59" s="340"/>
      <c r="E59" s="338"/>
      <c r="F59" s="342"/>
      <c r="G59" s="180" t="s">
        <v>7</v>
      </c>
      <c r="H59" s="181"/>
      <c r="I59" s="182"/>
      <c r="J59" s="183"/>
      <c r="K59" s="184"/>
      <c r="L59" s="185"/>
      <c r="M59" s="183"/>
      <c r="N59" s="184"/>
      <c r="O59" s="186"/>
      <c r="P59" s="183"/>
      <c r="Q59" s="184"/>
      <c r="R59" s="185"/>
      <c r="S59" s="183"/>
      <c r="T59" s="184"/>
      <c r="U59" s="187"/>
      <c r="V59" s="186"/>
      <c r="W59" s="186"/>
      <c r="X59" s="279">
        <f t="shared" si="2"/>
        <v>0</v>
      </c>
      <c r="Y59" s="344">
        <f>X60-X59</f>
        <v>0</v>
      </c>
      <c r="Z59" s="346"/>
    </row>
    <row r="60" spans="1:26" ht="14.25" customHeight="1" x14ac:dyDescent="0.3">
      <c r="A60" s="178">
        <f>-A59</f>
        <v>0</v>
      </c>
      <c r="B60" s="178" t="b">
        <f>B59</f>
        <v>1</v>
      </c>
      <c r="C60" s="188"/>
      <c r="D60" s="341"/>
      <c r="E60" s="339"/>
      <c r="F60" s="343"/>
      <c r="G60" s="189" t="s">
        <v>8</v>
      </c>
      <c r="H60" s="190"/>
      <c r="I60" s="280"/>
      <c r="J60" s="281">
        <f>SUMIF('02'!$D$7:$D$159,$C59,'02'!L$7:L$159)+SUMIF('03'!$D$7:$D$159,$C59,'03'!L$7:L$159)+SUMIF('04'!$D$7:$D$159,$C59,'04'!L$7:L$159)+SUMIF('05'!$D$7:$D$159,$C59,'05'!L$7:L$159)+SUMIF('06'!$D$7:$D$159,$C59,'06'!L$7:L$159)+SUMIF('07'!$D$7:$D$159,$C59,'07'!L$7:L$159)+SUMIF('08'!$D$7:$D$159,$C59,'08'!L$7:L$159)</f>
        <v>0</v>
      </c>
      <c r="K60" s="282">
        <f>SUMIF('02'!$D$7:$D$159,$C59,'02'!M$7:M$159)+SUMIF('03'!$D$7:$D$159,$C59,'03'!M$7:M$159)+SUMIF('04'!$D$7:$D$159,$C59,'04'!M$7:M$159)+SUMIF('05'!$D$7:$D$159,$C59,'05'!M$7:M$159)+SUMIF('06'!$D$7:$D$159,$C59,'06'!M$7:M$159)+SUMIF('07'!$D$7:$D$159,$C59,'07'!M$7:M$159)+SUMIF('08'!$D$7:$D$159,$C59,'08'!M$7:M$159)</f>
        <v>0</v>
      </c>
      <c r="L60" s="283">
        <f>SUMIF('02'!$D$7:$D$159,$C59,'02'!N$7:N$159)+SUMIF('03'!$D$7:$D$159,$C59,'03'!N$7:N$159)+SUMIF('04'!$D$7:$D$159,$C59,'04'!N$7:N$159)+SUMIF('05'!$D$7:$D$159,$C59,'05'!N$7:N$159)+SUMIF('06'!$D$7:$D$159,$C59,'06'!N$7:N$159)+SUMIF('07'!$D$7:$D$159,$C59,'07'!N$7:N$159)+SUMIF('08'!$D$7:$D$159,$C59,'08'!N$7:N$159)</f>
        <v>0</v>
      </c>
      <c r="M60" s="281">
        <f>SUMIF('02'!$D$7:$D$159,$C59,'02'!O$7:O$159)+SUMIF('03'!$D$7:$D$159,$C59,'03'!O$7:O$159)+SUMIF('04'!$D$7:$D$159,$C59,'04'!O$7:O$159)+SUMIF('05'!$D$7:$D$159,$C59,'05'!O$7:O$159)+SUMIF('06'!$D$7:$D$159,$C59,'06'!O$7:O$159)+SUMIF('07'!$D$7:$D$159,$C59,'07'!O$7:O$159)+SUMIF('08'!$D$7:$D$159,$C59,'08'!O$7:O$159)</f>
        <v>0</v>
      </c>
      <c r="N60" s="282">
        <f>SUMIF('02'!$D$7:$D$159,$C59,'02'!P$7:P$159)+SUMIF('03'!$D$7:$D$159,$C59,'03'!P$7:P$159)+SUMIF('04'!$D$7:$D$159,$C59,'04'!P$7:P$159)+SUMIF('05'!$D$7:$D$159,$C59,'05'!P$7:P$159)+SUMIF('06'!$D$7:$D$159,$C59,'06'!P$7:P$159)+SUMIF('07'!$D$7:$D$159,$C59,'07'!P$7:P$159)+SUMIF('08'!$D$7:$D$159,$C59,'08'!P$7:P$159)</f>
        <v>0</v>
      </c>
      <c r="O60" s="284">
        <f>SUMIF('02'!$D$7:$D$159,$C59,'02'!Q$7:Q$159)+SUMIF('03'!$D$7:$D$159,$C59,'03'!Q$7:Q$159)+SUMIF('04'!$D$7:$D$159,$C59,'04'!Q$7:Q$159)+SUMIF('05'!$D$7:$D$159,$C59,'05'!Q$7:Q$159)+SUMIF('06'!$D$7:$D$159,$C59,'06'!Q$7:Q$159)+SUMIF('07'!$D$7:$D$159,$C59,'07'!Q$7:Q$159)+SUMIF('08'!$D$7:$D$159,$C59,'08'!Q$7:Q$159)</f>
        <v>0</v>
      </c>
      <c r="P60" s="281">
        <f>SUMIF('02'!$D$7:$D$159,$C59,'02'!R$7:R$159)+SUMIF('03'!$D$7:$D$159,$C59,'03'!R$7:R$159)+SUMIF('04'!$D$7:$D$159,$C59,'04'!R$7:R$159)+SUMIF('05'!$D$7:$D$159,$C59,'05'!R$7:R$159)+SUMIF('06'!$D$7:$D$159,$C59,'06'!R$7:R$159)+SUMIF('07'!$D$7:$D$159,$C59,'07'!R$7:R$159)+SUMIF('08'!$D$7:$D$159,$C59,'08'!R$7:R$159)</f>
        <v>0</v>
      </c>
      <c r="Q60" s="282">
        <f>SUMIF('02'!$D$7:$D$159,$C59,'02'!S$7:S$159)+SUMIF('03'!$D$7:$D$159,$C59,'03'!S$7:S$159)+SUMIF('04'!$D$7:$D$159,$C59,'04'!S$7:S$159)+SUMIF('05'!$D$7:$D$159,$C59,'05'!S$7:S$159)+SUMIF('06'!$D$7:$D$159,$C59,'06'!S$7:S$159)+SUMIF('07'!$D$7:$D$159,$C59,'07'!S$7:S$159)+SUMIF('08'!$D$7:$D$159,$C59,'08'!S$7:S$159)</f>
        <v>0</v>
      </c>
      <c r="R60" s="283">
        <f>SUMIF('02'!$D$7:$D$159,$C59,'02'!T$7:T$159)+SUMIF('03'!$D$7:$D$159,$C59,'03'!T$7:T$159)+SUMIF('04'!$D$7:$D$159,$C59,'04'!T$7:T$159)+SUMIF('05'!$D$7:$D$159,$C59,'05'!T$7:T$159)+SUMIF('06'!$D$7:$D$159,$C59,'06'!T$7:T$159)+SUMIF('07'!$D$7:$D$159,$C59,'07'!T$7:T$159)+SUMIF('08'!$D$7:$D$159,$C59,'08'!T$7:T$159)</f>
        <v>0</v>
      </c>
      <c r="S60" s="281">
        <f>SUMIF('02'!$D$7:$D$159,$C59,'02'!U$7:U$159)+SUMIF('03'!$D$7:$D$159,$C59,'03'!U$7:U$159)+SUMIF('04'!$D$7:$D$159,$C59,'04'!U$7:U$159)+SUMIF('05'!$D$7:$D$159,$C59,'05'!U$7:U$159)+SUMIF('06'!$D$7:$D$159,$C59,'06'!U$7:U$159)+SUMIF('07'!$D$7:$D$159,$C59,'07'!U$7:U$159)+SUMIF('08'!$D$7:$D$159,$C59,'08'!U$7:U$159)</f>
        <v>0</v>
      </c>
      <c r="T60" s="282">
        <f>SUMIF('02'!$D$7:$D$159,$C59,'02'!V$7:V$159)+SUMIF('03'!$D$7:$D$159,$C59,'03'!V$7:V$159)+SUMIF('04'!$D$7:$D$159,$C59,'04'!V$7:V$159)+SUMIF('05'!$D$7:$D$159,$C59,'05'!V$7:V$159)+SUMIF('06'!$D$7:$D$159,$C59,'06'!V$7:V$159)+SUMIF('07'!$D$7:$D$159,$C59,'07'!V$7:V$159)+SUMIF('08'!$D$7:$D$159,$C59,'08'!V$7:V$159)</f>
        <v>0</v>
      </c>
      <c r="U60" s="285">
        <f>SUMIF('02'!$D$7:$D$159,$C59,'02'!W$7:W$159)+SUMIF('03'!$D$7:$D$159,$C59,'03'!W$7:W$159)+SUMIF('04'!$D$7:$D$159,$C59,'04'!W$7:W$159)+SUMIF('05'!$D$7:$D$159,$C59,'05'!W$7:W$159)+SUMIF('06'!$D$7:$D$159,$C59,'06'!W$7:W$159)+SUMIF('07'!$D$7:$D$159,$C59,'07'!W$7:W$159)+SUMIF('08'!$D$7:$D$159,$C59,'08'!W$7:W$159)</f>
        <v>0</v>
      </c>
      <c r="V60" s="284">
        <f>SUMIF('02'!$D$7:$D$159,$C59,'02'!X$7:X$159)+SUMIF('03'!$D$7:$D$159,$C59,'03'!X$7:X$159)+SUMIF('04'!$D$7:$D$159,$C59,'04'!X$7:X$159)+SUMIF('05'!$D$7:$D$159,$C59,'05'!X$7:X$159)+SUMIF('06'!$D$7:$D$159,$C59,'06'!X$7:X$159)+SUMIF('07'!$D$7:$D$159,$C59,'07'!X$7:X$159)+SUMIF('08'!$D$7:$D$159,$C59,'08'!X$7:X$159)</f>
        <v>0</v>
      </c>
      <c r="W60" s="284">
        <f>SUMIF('02'!$D$7:$D$159,$C59,'02'!Y$7:Y$159)+SUMIF('03'!$D$7:$D$159,$C59,'03'!Y$7:Y$159)+SUMIF('04'!$D$7:$D$159,$C59,'04'!Y$7:Y$159)+SUMIF('05'!$D$7:$D$159,$C59,'05'!Y$7:Y$159)+SUMIF('06'!$D$7:$D$159,$C59,'06'!Y$7:Y$159)+SUMIF('07'!$D$7:$D$159,$C59,'07'!Y$7:Y$159)+SUMIF('08'!$D$7:$D$159,$C59,'08'!Y$7:Y$159)</f>
        <v>0</v>
      </c>
      <c r="X60" s="286">
        <f t="shared" si="2"/>
        <v>0</v>
      </c>
      <c r="Y60" s="345"/>
      <c r="Z60" s="347"/>
    </row>
    <row r="61" spans="1:26" ht="14.25" customHeight="1" x14ac:dyDescent="0.3">
      <c r="A61" s="178">
        <f>IF(OR(C61="0",COUNTIF(КлючВесна,C61)&gt;1),0,MATCH(F61,ВидыНагр,0))</f>
        <v>0</v>
      </c>
      <c r="B61" s="178" t="b">
        <f>(COUNTA(D61:F62,J61:W61,H61:I62)=0)</f>
        <v>1</v>
      </c>
      <c r="C61" s="179" t="str">
        <f>IF(OR(TRIM(D61)="",COUNTIF(ВидыНагр,F61)&lt;&gt;1),"0",CONCATENATE("$",TRIM(D61),"$",TRIM(E61),"$",F61,"$"))</f>
        <v>0</v>
      </c>
      <c r="D61" s="340"/>
      <c r="E61" s="338"/>
      <c r="F61" s="342"/>
      <c r="G61" s="180" t="s">
        <v>7</v>
      </c>
      <c r="H61" s="181"/>
      <c r="I61" s="182"/>
      <c r="J61" s="183"/>
      <c r="K61" s="184"/>
      <c r="L61" s="185"/>
      <c r="M61" s="183"/>
      <c r="N61" s="184"/>
      <c r="O61" s="186"/>
      <c r="P61" s="183"/>
      <c r="Q61" s="184"/>
      <c r="R61" s="185"/>
      <c r="S61" s="183"/>
      <c r="T61" s="184"/>
      <c r="U61" s="187"/>
      <c r="V61" s="186"/>
      <c r="W61" s="186"/>
      <c r="X61" s="279">
        <f t="shared" ref="X61:X70" si="3">SUM(J61:W61)</f>
        <v>0</v>
      </c>
      <c r="Y61" s="344">
        <f>X62-X61</f>
        <v>0</v>
      </c>
      <c r="Z61" s="346"/>
    </row>
    <row r="62" spans="1:26" ht="14.25" customHeight="1" x14ac:dyDescent="0.3">
      <c r="A62" s="178">
        <f>-A61</f>
        <v>0</v>
      </c>
      <c r="B62" s="178" t="b">
        <f>B61</f>
        <v>1</v>
      </c>
      <c r="C62" s="188"/>
      <c r="D62" s="341"/>
      <c r="E62" s="339"/>
      <c r="F62" s="343"/>
      <c r="G62" s="189" t="s">
        <v>8</v>
      </c>
      <c r="H62" s="190"/>
      <c r="I62" s="280"/>
      <c r="J62" s="281">
        <f>SUMIF('02'!$D$7:$D$159,$C61,'02'!L$7:L$159)+SUMIF('03'!$D$7:$D$159,$C61,'03'!L$7:L$159)+SUMIF('04'!$D$7:$D$159,$C61,'04'!L$7:L$159)+SUMIF('05'!$D$7:$D$159,$C61,'05'!L$7:L$159)+SUMIF('06'!$D$7:$D$159,$C61,'06'!L$7:L$159)+SUMIF('07'!$D$7:$D$159,$C61,'07'!L$7:L$159)+SUMIF('08'!$D$7:$D$159,$C61,'08'!L$7:L$159)</f>
        <v>0</v>
      </c>
      <c r="K62" s="282">
        <f>SUMIF('02'!$D$7:$D$159,$C61,'02'!M$7:M$159)+SUMIF('03'!$D$7:$D$159,$C61,'03'!M$7:M$159)+SUMIF('04'!$D$7:$D$159,$C61,'04'!M$7:M$159)+SUMIF('05'!$D$7:$D$159,$C61,'05'!M$7:M$159)+SUMIF('06'!$D$7:$D$159,$C61,'06'!M$7:M$159)+SUMIF('07'!$D$7:$D$159,$C61,'07'!M$7:M$159)+SUMIF('08'!$D$7:$D$159,$C61,'08'!M$7:M$159)</f>
        <v>0</v>
      </c>
      <c r="L62" s="283">
        <f>SUMIF('02'!$D$7:$D$159,$C61,'02'!N$7:N$159)+SUMIF('03'!$D$7:$D$159,$C61,'03'!N$7:N$159)+SUMIF('04'!$D$7:$D$159,$C61,'04'!N$7:N$159)+SUMIF('05'!$D$7:$D$159,$C61,'05'!N$7:N$159)+SUMIF('06'!$D$7:$D$159,$C61,'06'!N$7:N$159)+SUMIF('07'!$D$7:$D$159,$C61,'07'!N$7:N$159)+SUMIF('08'!$D$7:$D$159,$C61,'08'!N$7:N$159)</f>
        <v>0</v>
      </c>
      <c r="M62" s="281">
        <f>SUMIF('02'!$D$7:$D$159,$C61,'02'!O$7:O$159)+SUMIF('03'!$D$7:$D$159,$C61,'03'!O$7:O$159)+SUMIF('04'!$D$7:$D$159,$C61,'04'!O$7:O$159)+SUMIF('05'!$D$7:$D$159,$C61,'05'!O$7:O$159)+SUMIF('06'!$D$7:$D$159,$C61,'06'!O$7:O$159)+SUMIF('07'!$D$7:$D$159,$C61,'07'!O$7:O$159)+SUMIF('08'!$D$7:$D$159,$C61,'08'!O$7:O$159)</f>
        <v>0</v>
      </c>
      <c r="N62" s="282">
        <f>SUMIF('02'!$D$7:$D$159,$C61,'02'!P$7:P$159)+SUMIF('03'!$D$7:$D$159,$C61,'03'!P$7:P$159)+SUMIF('04'!$D$7:$D$159,$C61,'04'!P$7:P$159)+SUMIF('05'!$D$7:$D$159,$C61,'05'!P$7:P$159)+SUMIF('06'!$D$7:$D$159,$C61,'06'!P$7:P$159)+SUMIF('07'!$D$7:$D$159,$C61,'07'!P$7:P$159)+SUMIF('08'!$D$7:$D$159,$C61,'08'!P$7:P$159)</f>
        <v>0</v>
      </c>
      <c r="O62" s="284">
        <f>SUMIF('02'!$D$7:$D$159,$C61,'02'!Q$7:Q$159)+SUMIF('03'!$D$7:$D$159,$C61,'03'!Q$7:Q$159)+SUMIF('04'!$D$7:$D$159,$C61,'04'!Q$7:Q$159)+SUMIF('05'!$D$7:$D$159,$C61,'05'!Q$7:Q$159)+SUMIF('06'!$D$7:$D$159,$C61,'06'!Q$7:Q$159)+SUMIF('07'!$D$7:$D$159,$C61,'07'!Q$7:Q$159)+SUMIF('08'!$D$7:$D$159,$C61,'08'!Q$7:Q$159)</f>
        <v>0</v>
      </c>
      <c r="P62" s="281">
        <f>SUMIF('02'!$D$7:$D$159,$C61,'02'!R$7:R$159)+SUMIF('03'!$D$7:$D$159,$C61,'03'!R$7:R$159)+SUMIF('04'!$D$7:$D$159,$C61,'04'!R$7:R$159)+SUMIF('05'!$D$7:$D$159,$C61,'05'!R$7:R$159)+SUMIF('06'!$D$7:$D$159,$C61,'06'!R$7:R$159)+SUMIF('07'!$D$7:$D$159,$C61,'07'!R$7:R$159)+SUMIF('08'!$D$7:$D$159,$C61,'08'!R$7:R$159)</f>
        <v>0</v>
      </c>
      <c r="Q62" s="282">
        <f>SUMIF('02'!$D$7:$D$159,$C61,'02'!S$7:S$159)+SUMIF('03'!$D$7:$D$159,$C61,'03'!S$7:S$159)+SUMIF('04'!$D$7:$D$159,$C61,'04'!S$7:S$159)+SUMIF('05'!$D$7:$D$159,$C61,'05'!S$7:S$159)+SUMIF('06'!$D$7:$D$159,$C61,'06'!S$7:S$159)+SUMIF('07'!$D$7:$D$159,$C61,'07'!S$7:S$159)+SUMIF('08'!$D$7:$D$159,$C61,'08'!S$7:S$159)</f>
        <v>0</v>
      </c>
      <c r="R62" s="283">
        <f>SUMIF('02'!$D$7:$D$159,$C61,'02'!T$7:T$159)+SUMIF('03'!$D$7:$D$159,$C61,'03'!T$7:T$159)+SUMIF('04'!$D$7:$D$159,$C61,'04'!T$7:T$159)+SUMIF('05'!$D$7:$D$159,$C61,'05'!T$7:T$159)+SUMIF('06'!$D$7:$D$159,$C61,'06'!T$7:T$159)+SUMIF('07'!$D$7:$D$159,$C61,'07'!T$7:T$159)+SUMIF('08'!$D$7:$D$159,$C61,'08'!T$7:T$159)</f>
        <v>0</v>
      </c>
      <c r="S62" s="281">
        <f>SUMIF('02'!$D$7:$D$159,$C61,'02'!U$7:U$159)+SUMIF('03'!$D$7:$D$159,$C61,'03'!U$7:U$159)+SUMIF('04'!$D$7:$D$159,$C61,'04'!U$7:U$159)+SUMIF('05'!$D$7:$D$159,$C61,'05'!U$7:U$159)+SUMIF('06'!$D$7:$D$159,$C61,'06'!U$7:U$159)+SUMIF('07'!$D$7:$D$159,$C61,'07'!U$7:U$159)+SUMIF('08'!$D$7:$D$159,$C61,'08'!U$7:U$159)</f>
        <v>0</v>
      </c>
      <c r="T62" s="282">
        <f>SUMIF('02'!$D$7:$D$159,$C61,'02'!V$7:V$159)+SUMIF('03'!$D$7:$D$159,$C61,'03'!V$7:V$159)+SUMIF('04'!$D$7:$D$159,$C61,'04'!V$7:V$159)+SUMIF('05'!$D$7:$D$159,$C61,'05'!V$7:V$159)+SUMIF('06'!$D$7:$D$159,$C61,'06'!V$7:V$159)+SUMIF('07'!$D$7:$D$159,$C61,'07'!V$7:V$159)+SUMIF('08'!$D$7:$D$159,$C61,'08'!V$7:V$159)</f>
        <v>0</v>
      </c>
      <c r="U62" s="285">
        <f>SUMIF('02'!$D$7:$D$159,$C61,'02'!W$7:W$159)+SUMIF('03'!$D$7:$D$159,$C61,'03'!W$7:W$159)+SUMIF('04'!$D$7:$D$159,$C61,'04'!W$7:W$159)+SUMIF('05'!$D$7:$D$159,$C61,'05'!W$7:W$159)+SUMIF('06'!$D$7:$D$159,$C61,'06'!W$7:W$159)+SUMIF('07'!$D$7:$D$159,$C61,'07'!W$7:W$159)+SUMIF('08'!$D$7:$D$159,$C61,'08'!W$7:W$159)</f>
        <v>0</v>
      </c>
      <c r="V62" s="284">
        <f>SUMIF('02'!$D$7:$D$159,$C61,'02'!X$7:X$159)+SUMIF('03'!$D$7:$D$159,$C61,'03'!X$7:X$159)+SUMIF('04'!$D$7:$D$159,$C61,'04'!X$7:X$159)+SUMIF('05'!$D$7:$D$159,$C61,'05'!X$7:X$159)+SUMIF('06'!$D$7:$D$159,$C61,'06'!X$7:X$159)+SUMIF('07'!$D$7:$D$159,$C61,'07'!X$7:X$159)+SUMIF('08'!$D$7:$D$159,$C61,'08'!X$7:X$159)</f>
        <v>0</v>
      </c>
      <c r="W62" s="284">
        <f>SUMIF('02'!$D$7:$D$159,$C61,'02'!Y$7:Y$159)+SUMIF('03'!$D$7:$D$159,$C61,'03'!Y$7:Y$159)+SUMIF('04'!$D$7:$D$159,$C61,'04'!Y$7:Y$159)+SUMIF('05'!$D$7:$D$159,$C61,'05'!Y$7:Y$159)+SUMIF('06'!$D$7:$D$159,$C61,'06'!Y$7:Y$159)+SUMIF('07'!$D$7:$D$159,$C61,'07'!Y$7:Y$159)+SUMIF('08'!$D$7:$D$159,$C61,'08'!Y$7:Y$159)</f>
        <v>0</v>
      </c>
      <c r="X62" s="286">
        <f t="shared" si="3"/>
        <v>0</v>
      </c>
      <c r="Y62" s="345"/>
      <c r="Z62" s="347"/>
    </row>
    <row r="63" spans="1:26" ht="14.25" customHeight="1" x14ac:dyDescent="0.3">
      <c r="A63" s="178">
        <f>IF(OR(C63="0",COUNTIF(КлючВесна,C63)&gt;1),0,MATCH(F63,ВидыНагр,0))</f>
        <v>0</v>
      </c>
      <c r="B63" s="178" t="b">
        <f>(COUNTA(D63:F64,J63:W63,H63:I64)=0)</f>
        <v>1</v>
      </c>
      <c r="C63" s="179" t="str">
        <f>IF(OR(TRIM(D63)="",COUNTIF(ВидыНагр,F63)&lt;&gt;1),"0",CONCATENATE("$",TRIM(D63),"$",TRIM(E63),"$",F63,"$"))</f>
        <v>0</v>
      </c>
      <c r="D63" s="340"/>
      <c r="E63" s="338"/>
      <c r="F63" s="342"/>
      <c r="G63" s="180" t="s">
        <v>7</v>
      </c>
      <c r="H63" s="181"/>
      <c r="I63" s="182"/>
      <c r="J63" s="183"/>
      <c r="K63" s="184"/>
      <c r="L63" s="185"/>
      <c r="M63" s="183"/>
      <c r="N63" s="184"/>
      <c r="O63" s="186"/>
      <c r="P63" s="183"/>
      <c r="Q63" s="184"/>
      <c r="R63" s="185"/>
      <c r="S63" s="183"/>
      <c r="T63" s="184"/>
      <c r="U63" s="187"/>
      <c r="V63" s="186"/>
      <c r="W63" s="186"/>
      <c r="X63" s="279">
        <f t="shared" si="3"/>
        <v>0</v>
      </c>
      <c r="Y63" s="344">
        <f>X64-X63</f>
        <v>0</v>
      </c>
      <c r="Z63" s="346"/>
    </row>
    <row r="64" spans="1:26" ht="14.25" customHeight="1" x14ac:dyDescent="0.3">
      <c r="A64" s="178">
        <f>-A63</f>
        <v>0</v>
      </c>
      <c r="B64" s="178" t="b">
        <f>B63</f>
        <v>1</v>
      </c>
      <c r="C64" s="188"/>
      <c r="D64" s="341"/>
      <c r="E64" s="339"/>
      <c r="F64" s="343"/>
      <c r="G64" s="189" t="s">
        <v>8</v>
      </c>
      <c r="H64" s="190"/>
      <c r="I64" s="280"/>
      <c r="J64" s="281">
        <f>SUMIF('02'!$D$7:$D$159,$C63,'02'!L$7:L$159)+SUMIF('03'!$D$7:$D$159,$C63,'03'!L$7:L$159)+SUMIF('04'!$D$7:$D$159,$C63,'04'!L$7:L$159)+SUMIF('05'!$D$7:$D$159,$C63,'05'!L$7:L$159)+SUMIF('06'!$D$7:$D$159,$C63,'06'!L$7:L$159)+SUMIF('07'!$D$7:$D$159,$C63,'07'!L$7:L$159)+SUMIF('08'!$D$7:$D$159,$C63,'08'!L$7:L$159)</f>
        <v>0</v>
      </c>
      <c r="K64" s="282">
        <f>SUMIF('02'!$D$7:$D$159,$C63,'02'!M$7:M$159)+SUMIF('03'!$D$7:$D$159,$C63,'03'!M$7:M$159)+SUMIF('04'!$D$7:$D$159,$C63,'04'!M$7:M$159)+SUMIF('05'!$D$7:$D$159,$C63,'05'!M$7:M$159)+SUMIF('06'!$D$7:$D$159,$C63,'06'!M$7:M$159)+SUMIF('07'!$D$7:$D$159,$C63,'07'!M$7:M$159)+SUMIF('08'!$D$7:$D$159,$C63,'08'!M$7:M$159)</f>
        <v>0</v>
      </c>
      <c r="L64" s="283">
        <f>SUMIF('02'!$D$7:$D$159,$C63,'02'!N$7:N$159)+SUMIF('03'!$D$7:$D$159,$C63,'03'!N$7:N$159)+SUMIF('04'!$D$7:$D$159,$C63,'04'!N$7:N$159)+SUMIF('05'!$D$7:$D$159,$C63,'05'!N$7:N$159)+SUMIF('06'!$D$7:$D$159,$C63,'06'!N$7:N$159)+SUMIF('07'!$D$7:$D$159,$C63,'07'!N$7:N$159)+SUMIF('08'!$D$7:$D$159,$C63,'08'!N$7:N$159)</f>
        <v>0</v>
      </c>
      <c r="M64" s="281">
        <f>SUMIF('02'!$D$7:$D$159,$C63,'02'!O$7:O$159)+SUMIF('03'!$D$7:$D$159,$C63,'03'!O$7:O$159)+SUMIF('04'!$D$7:$D$159,$C63,'04'!O$7:O$159)+SUMIF('05'!$D$7:$D$159,$C63,'05'!O$7:O$159)+SUMIF('06'!$D$7:$D$159,$C63,'06'!O$7:O$159)+SUMIF('07'!$D$7:$D$159,$C63,'07'!O$7:O$159)+SUMIF('08'!$D$7:$D$159,$C63,'08'!O$7:O$159)</f>
        <v>0</v>
      </c>
      <c r="N64" s="282">
        <f>SUMIF('02'!$D$7:$D$159,$C63,'02'!P$7:P$159)+SUMIF('03'!$D$7:$D$159,$C63,'03'!P$7:P$159)+SUMIF('04'!$D$7:$D$159,$C63,'04'!P$7:P$159)+SUMIF('05'!$D$7:$D$159,$C63,'05'!P$7:P$159)+SUMIF('06'!$D$7:$D$159,$C63,'06'!P$7:P$159)+SUMIF('07'!$D$7:$D$159,$C63,'07'!P$7:P$159)+SUMIF('08'!$D$7:$D$159,$C63,'08'!P$7:P$159)</f>
        <v>0</v>
      </c>
      <c r="O64" s="284">
        <f>SUMIF('02'!$D$7:$D$159,$C63,'02'!Q$7:Q$159)+SUMIF('03'!$D$7:$D$159,$C63,'03'!Q$7:Q$159)+SUMIF('04'!$D$7:$D$159,$C63,'04'!Q$7:Q$159)+SUMIF('05'!$D$7:$D$159,$C63,'05'!Q$7:Q$159)+SUMIF('06'!$D$7:$D$159,$C63,'06'!Q$7:Q$159)+SUMIF('07'!$D$7:$D$159,$C63,'07'!Q$7:Q$159)+SUMIF('08'!$D$7:$D$159,$C63,'08'!Q$7:Q$159)</f>
        <v>0</v>
      </c>
      <c r="P64" s="281">
        <f>SUMIF('02'!$D$7:$D$159,$C63,'02'!R$7:R$159)+SUMIF('03'!$D$7:$D$159,$C63,'03'!R$7:R$159)+SUMIF('04'!$D$7:$D$159,$C63,'04'!R$7:R$159)+SUMIF('05'!$D$7:$D$159,$C63,'05'!R$7:R$159)+SUMIF('06'!$D$7:$D$159,$C63,'06'!R$7:R$159)+SUMIF('07'!$D$7:$D$159,$C63,'07'!R$7:R$159)+SUMIF('08'!$D$7:$D$159,$C63,'08'!R$7:R$159)</f>
        <v>0</v>
      </c>
      <c r="Q64" s="282">
        <f>SUMIF('02'!$D$7:$D$159,$C63,'02'!S$7:S$159)+SUMIF('03'!$D$7:$D$159,$C63,'03'!S$7:S$159)+SUMIF('04'!$D$7:$D$159,$C63,'04'!S$7:S$159)+SUMIF('05'!$D$7:$D$159,$C63,'05'!S$7:S$159)+SUMIF('06'!$D$7:$D$159,$C63,'06'!S$7:S$159)+SUMIF('07'!$D$7:$D$159,$C63,'07'!S$7:S$159)+SUMIF('08'!$D$7:$D$159,$C63,'08'!S$7:S$159)</f>
        <v>0</v>
      </c>
      <c r="R64" s="283">
        <f>SUMIF('02'!$D$7:$D$159,$C63,'02'!T$7:T$159)+SUMIF('03'!$D$7:$D$159,$C63,'03'!T$7:T$159)+SUMIF('04'!$D$7:$D$159,$C63,'04'!T$7:T$159)+SUMIF('05'!$D$7:$D$159,$C63,'05'!T$7:T$159)+SUMIF('06'!$D$7:$D$159,$C63,'06'!T$7:T$159)+SUMIF('07'!$D$7:$D$159,$C63,'07'!T$7:T$159)+SUMIF('08'!$D$7:$D$159,$C63,'08'!T$7:T$159)</f>
        <v>0</v>
      </c>
      <c r="S64" s="281">
        <f>SUMIF('02'!$D$7:$D$159,$C63,'02'!U$7:U$159)+SUMIF('03'!$D$7:$D$159,$C63,'03'!U$7:U$159)+SUMIF('04'!$D$7:$D$159,$C63,'04'!U$7:U$159)+SUMIF('05'!$D$7:$D$159,$C63,'05'!U$7:U$159)+SUMIF('06'!$D$7:$D$159,$C63,'06'!U$7:U$159)+SUMIF('07'!$D$7:$D$159,$C63,'07'!U$7:U$159)+SUMIF('08'!$D$7:$D$159,$C63,'08'!U$7:U$159)</f>
        <v>0</v>
      </c>
      <c r="T64" s="282">
        <f>SUMIF('02'!$D$7:$D$159,$C63,'02'!V$7:V$159)+SUMIF('03'!$D$7:$D$159,$C63,'03'!V$7:V$159)+SUMIF('04'!$D$7:$D$159,$C63,'04'!V$7:V$159)+SUMIF('05'!$D$7:$D$159,$C63,'05'!V$7:V$159)+SUMIF('06'!$D$7:$D$159,$C63,'06'!V$7:V$159)+SUMIF('07'!$D$7:$D$159,$C63,'07'!V$7:V$159)+SUMIF('08'!$D$7:$D$159,$C63,'08'!V$7:V$159)</f>
        <v>0</v>
      </c>
      <c r="U64" s="285">
        <f>SUMIF('02'!$D$7:$D$159,$C63,'02'!W$7:W$159)+SUMIF('03'!$D$7:$D$159,$C63,'03'!W$7:W$159)+SUMIF('04'!$D$7:$D$159,$C63,'04'!W$7:W$159)+SUMIF('05'!$D$7:$D$159,$C63,'05'!W$7:W$159)+SUMIF('06'!$D$7:$D$159,$C63,'06'!W$7:W$159)+SUMIF('07'!$D$7:$D$159,$C63,'07'!W$7:W$159)+SUMIF('08'!$D$7:$D$159,$C63,'08'!W$7:W$159)</f>
        <v>0</v>
      </c>
      <c r="V64" s="284">
        <f>SUMIF('02'!$D$7:$D$159,$C63,'02'!X$7:X$159)+SUMIF('03'!$D$7:$D$159,$C63,'03'!X$7:X$159)+SUMIF('04'!$D$7:$D$159,$C63,'04'!X$7:X$159)+SUMIF('05'!$D$7:$D$159,$C63,'05'!X$7:X$159)+SUMIF('06'!$D$7:$D$159,$C63,'06'!X$7:X$159)+SUMIF('07'!$D$7:$D$159,$C63,'07'!X$7:X$159)+SUMIF('08'!$D$7:$D$159,$C63,'08'!X$7:X$159)</f>
        <v>0</v>
      </c>
      <c r="W64" s="284">
        <f>SUMIF('02'!$D$7:$D$159,$C63,'02'!Y$7:Y$159)+SUMIF('03'!$D$7:$D$159,$C63,'03'!Y$7:Y$159)+SUMIF('04'!$D$7:$D$159,$C63,'04'!Y$7:Y$159)+SUMIF('05'!$D$7:$D$159,$C63,'05'!Y$7:Y$159)+SUMIF('06'!$D$7:$D$159,$C63,'06'!Y$7:Y$159)+SUMIF('07'!$D$7:$D$159,$C63,'07'!Y$7:Y$159)+SUMIF('08'!$D$7:$D$159,$C63,'08'!Y$7:Y$159)</f>
        <v>0</v>
      </c>
      <c r="X64" s="286">
        <f t="shared" si="3"/>
        <v>0</v>
      </c>
      <c r="Y64" s="345"/>
      <c r="Z64" s="347"/>
    </row>
    <row r="65" spans="1:26" ht="14.25" customHeight="1" x14ac:dyDescent="0.3">
      <c r="A65" s="178">
        <f>IF(OR(C65="0",COUNTIF(КлючВесна,C65)&gt;1),0,MATCH(F65,ВидыНагр,0))</f>
        <v>0</v>
      </c>
      <c r="B65" s="178" t="b">
        <f>(COUNTA(D65:F66,J65:W65,H65:I66)=0)</f>
        <v>1</v>
      </c>
      <c r="C65" s="179" t="str">
        <f>IF(OR(TRIM(D65)="",COUNTIF(ВидыНагр,F65)&lt;&gt;1),"0",CONCATENATE("$",TRIM(D65),"$",TRIM(E65),"$",F65,"$"))</f>
        <v>0</v>
      </c>
      <c r="D65" s="340"/>
      <c r="E65" s="338"/>
      <c r="F65" s="342"/>
      <c r="G65" s="180" t="s">
        <v>7</v>
      </c>
      <c r="H65" s="181"/>
      <c r="I65" s="182"/>
      <c r="J65" s="183"/>
      <c r="K65" s="184"/>
      <c r="L65" s="185"/>
      <c r="M65" s="183"/>
      <c r="N65" s="184"/>
      <c r="O65" s="186"/>
      <c r="P65" s="183"/>
      <c r="Q65" s="184"/>
      <c r="R65" s="185"/>
      <c r="S65" s="183"/>
      <c r="T65" s="184"/>
      <c r="U65" s="187"/>
      <c r="V65" s="186"/>
      <c r="W65" s="186"/>
      <c r="X65" s="279">
        <f t="shared" si="3"/>
        <v>0</v>
      </c>
      <c r="Y65" s="344">
        <f>X66-X65</f>
        <v>0</v>
      </c>
      <c r="Z65" s="346"/>
    </row>
    <row r="66" spans="1:26" ht="14.25" customHeight="1" x14ac:dyDescent="0.3">
      <c r="A66" s="178">
        <f>-A65</f>
        <v>0</v>
      </c>
      <c r="B66" s="178" t="b">
        <f>B65</f>
        <v>1</v>
      </c>
      <c r="C66" s="188"/>
      <c r="D66" s="341"/>
      <c r="E66" s="339"/>
      <c r="F66" s="343"/>
      <c r="G66" s="189" t="s">
        <v>8</v>
      </c>
      <c r="H66" s="190"/>
      <c r="I66" s="280"/>
      <c r="J66" s="281">
        <f>SUMIF('02'!$D$7:$D$159,$C65,'02'!L$7:L$159)+SUMIF('03'!$D$7:$D$159,$C65,'03'!L$7:L$159)+SUMIF('04'!$D$7:$D$159,$C65,'04'!L$7:L$159)+SUMIF('05'!$D$7:$D$159,$C65,'05'!L$7:L$159)+SUMIF('06'!$D$7:$D$159,$C65,'06'!L$7:L$159)+SUMIF('07'!$D$7:$D$159,$C65,'07'!L$7:L$159)+SUMIF('08'!$D$7:$D$159,$C65,'08'!L$7:L$159)</f>
        <v>0</v>
      </c>
      <c r="K66" s="282">
        <f>SUMIF('02'!$D$7:$D$159,$C65,'02'!M$7:M$159)+SUMIF('03'!$D$7:$D$159,$C65,'03'!M$7:M$159)+SUMIF('04'!$D$7:$D$159,$C65,'04'!M$7:M$159)+SUMIF('05'!$D$7:$D$159,$C65,'05'!M$7:M$159)+SUMIF('06'!$D$7:$D$159,$C65,'06'!M$7:M$159)+SUMIF('07'!$D$7:$D$159,$C65,'07'!M$7:M$159)+SUMIF('08'!$D$7:$D$159,$C65,'08'!M$7:M$159)</f>
        <v>0</v>
      </c>
      <c r="L66" s="283">
        <f>SUMIF('02'!$D$7:$D$159,$C65,'02'!N$7:N$159)+SUMIF('03'!$D$7:$D$159,$C65,'03'!N$7:N$159)+SUMIF('04'!$D$7:$D$159,$C65,'04'!N$7:N$159)+SUMIF('05'!$D$7:$D$159,$C65,'05'!N$7:N$159)+SUMIF('06'!$D$7:$D$159,$C65,'06'!N$7:N$159)+SUMIF('07'!$D$7:$D$159,$C65,'07'!N$7:N$159)+SUMIF('08'!$D$7:$D$159,$C65,'08'!N$7:N$159)</f>
        <v>0</v>
      </c>
      <c r="M66" s="281">
        <f>SUMIF('02'!$D$7:$D$159,$C65,'02'!O$7:O$159)+SUMIF('03'!$D$7:$D$159,$C65,'03'!O$7:O$159)+SUMIF('04'!$D$7:$D$159,$C65,'04'!O$7:O$159)+SUMIF('05'!$D$7:$D$159,$C65,'05'!O$7:O$159)+SUMIF('06'!$D$7:$D$159,$C65,'06'!O$7:O$159)+SUMIF('07'!$D$7:$D$159,$C65,'07'!O$7:O$159)+SUMIF('08'!$D$7:$D$159,$C65,'08'!O$7:O$159)</f>
        <v>0</v>
      </c>
      <c r="N66" s="282">
        <f>SUMIF('02'!$D$7:$D$159,$C65,'02'!P$7:P$159)+SUMIF('03'!$D$7:$D$159,$C65,'03'!P$7:P$159)+SUMIF('04'!$D$7:$D$159,$C65,'04'!P$7:P$159)+SUMIF('05'!$D$7:$D$159,$C65,'05'!P$7:P$159)+SUMIF('06'!$D$7:$D$159,$C65,'06'!P$7:P$159)+SUMIF('07'!$D$7:$D$159,$C65,'07'!P$7:P$159)+SUMIF('08'!$D$7:$D$159,$C65,'08'!P$7:P$159)</f>
        <v>0</v>
      </c>
      <c r="O66" s="284">
        <f>SUMIF('02'!$D$7:$D$159,$C65,'02'!Q$7:Q$159)+SUMIF('03'!$D$7:$D$159,$C65,'03'!Q$7:Q$159)+SUMIF('04'!$D$7:$D$159,$C65,'04'!Q$7:Q$159)+SUMIF('05'!$D$7:$D$159,$C65,'05'!Q$7:Q$159)+SUMIF('06'!$D$7:$D$159,$C65,'06'!Q$7:Q$159)+SUMIF('07'!$D$7:$D$159,$C65,'07'!Q$7:Q$159)+SUMIF('08'!$D$7:$D$159,$C65,'08'!Q$7:Q$159)</f>
        <v>0</v>
      </c>
      <c r="P66" s="281">
        <f>SUMIF('02'!$D$7:$D$159,$C65,'02'!R$7:R$159)+SUMIF('03'!$D$7:$D$159,$C65,'03'!R$7:R$159)+SUMIF('04'!$D$7:$D$159,$C65,'04'!R$7:R$159)+SUMIF('05'!$D$7:$D$159,$C65,'05'!R$7:R$159)+SUMIF('06'!$D$7:$D$159,$C65,'06'!R$7:R$159)+SUMIF('07'!$D$7:$D$159,$C65,'07'!R$7:R$159)+SUMIF('08'!$D$7:$D$159,$C65,'08'!R$7:R$159)</f>
        <v>0</v>
      </c>
      <c r="Q66" s="282">
        <f>SUMIF('02'!$D$7:$D$159,$C65,'02'!S$7:S$159)+SUMIF('03'!$D$7:$D$159,$C65,'03'!S$7:S$159)+SUMIF('04'!$D$7:$D$159,$C65,'04'!S$7:S$159)+SUMIF('05'!$D$7:$D$159,$C65,'05'!S$7:S$159)+SUMIF('06'!$D$7:$D$159,$C65,'06'!S$7:S$159)+SUMIF('07'!$D$7:$D$159,$C65,'07'!S$7:S$159)+SUMIF('08'!$D$7:$D$159,$C65,'08'!S$7:S$159)</f>
        <v>0</v>
      </c>
      <c r="R66" s="283">
        <f>SUMIF('02'!$D$7:$D$159,$C65,'02'!T$7:T$159)+SUMIF('03'!$D$7:$D$159,$C65,'03'!T$7:T$159)+SUMIF('04'!$D$7:$D$159,$C65,'04'!T$7:T$159)+SUMIF('05'!$D$7:$D$159,$C65,'05'!T$7:T$159)+SUMIF('06'!$D$7:$D$159,$C65,'06'!T$7:T$159)+SUMIF('07'!$D$7:$D$159,$C65,'07'!T$7:T$159)+SUMIF('08'!$D$7:$D$159,$C65,'08'!T$7:T$159)</f>
        <v>0</v>
      </c>
      <c r="S66" s="281">
        <f>SUMIF('02'!$D$7:$D$159,$C65,'02'!U$7:U$159)+SUMIF('03'!$D$7:$D$159,$C65,'03'!U$7:U$159)+SUMIF('04'!$D$7:$D$159,$C65,'04'!U$7:U$159)+SUMIF('05'!$D$7:$D$159,$C65,'05'!U$7:U$159)+SUMIF('06'!$D$7:$D$159,$C65,'06'!U$7:U$159)+SUMIF('07'!$D$7:$D$159,$C65,'07'!U$7:U$159)+SUMIF('08'!$D$7:$D$159,$C65,'08'!U$7:U$159)</f>
        <v>0</v>
      </c>
      <c r="T66" s="282">
        <f>SUMIF('02'!$D$7:$D$159,$C65,'02'!V$7:V$159)+SUMIF('03'!$D$7:$D$159,$C65,'03'!V$7:V$159)+SUMIF('04'!$D$7:$D$159,$C65,'04'!V$7:V$159)+SUMIF('05'!$D$7:$D$159,$C65,'05'!V$7:V$159)+SUMIF('06'!$D$7:$D$159,$C65,'06'!V$7:V$159)+SUMIF('07'!$D$7:$D$159,$C65,'07'!V$7:V$159)+SUMIF('08'!$D$7:$D$159,$C65,'08'!V$7:V$159)</f>
        <v>0</v>
      </c>
      <c r="U66" s="285">
        <f>SUMIF('02'!$D$7:$D$159,$C65,'02'!W$7:W$159)+SUMIF('03'!$D$7:$D$159,$C65,'03'!W$7:W$159)+SUMIF('04'!$D$7:$D$159,$C65,'04'!W$7:W$159)+SUMIF('05'!$D$7:$D$159,$C65,'05'!W$7:W$159)+SUMIF('06'!$D$7:$D$159,$C65,'06'!W$7:W$159)+SUMIF('07'!$D$7:$D$159,$C65,'07'!W$7:W$159)+SUMIF('08'!$D$7:$D$159,$C65,'08'!W$7:W$159)</f>
        <v>0</v>
      </c>
      <c r="V66" s="284">
        <f>SUMIF('02'!$D$7:$D$159,$C65,'02'!X$7:X$159)+SUMIF('03'!$D$7:$D$159,$C65,'03'!X$7:X$159)+SUMIF('04'!$D$7:$D$159,$C65,'04'!X$7:X$159)+SUMIF('05'!$D$7:$D$159,$C65,'05'!X$7:X$159)+SUMIF('06'!$D$7:$D$159,$C65,'06'!X$7:X$159)+SUMIF('07'!$D$7:$D$159,$C65,'07'!X$7:X$159)+SUMIF('08'!$D$7:$D$159,$C65,'08'!X$7:X$159)</f>
        <v>0</v>
      </c>
      <c r="W66" s="284">
        <f>SUMIF('02'!$D$7:$D$159,$C65,'02'!Y$7:Y$159)+SUMIF('03'!$D$7:$D$159,$C65,'03'!Y$7:Y$159)+SUMIF('04'!$D$7:$D$159,$C65,'04'!Y$7:Y$159)+SUMIF('05'!$D$7:$D$159,$C65,'05'!Y$7:Y$159)+SUMIF('06'!$D$7:$D$159,$C65,'06'!Y$7:Y$159)+SUMIF('07'!$D$7:$D$159,$C65,'07'!Y$7:Y$159)+SUMIF('08'!$D$7:$D$159,$C65,'08'!Y$7:Y$159)</f>
        <v>0</v>
      </c>
      <c r="X66" s="286">
        <f t="shared" si="3"/>
        <v>0</v>
      </c>
      <c r="Y66" s="345"/>
      <c r="Z66" s="347"/>
    </row>
    <row r="67" spans="1:26" ht="14.25" customHeight="1" x14ac:dyDescent="0.3">
      <c r="A67" s="178">
        <f>IF(OR(C67="0",COUNTIF(КлючВесна,C67)&gt;1),0,MATCH(F67,ВидыНагр,0))</f>
        <v>0</v>
      </c>
      <c r="B67" s="178" t="b">
        <f>(COUNTA(D67:F68,J67:W67,H67:I68)=0)</f>
        <v>1</v>
      </c>
      <c r="C67" s="179" t="str">
        <f>IF(OR(TRIM(D67)="",COUNTIF(ВидыНагр,F67)&lt;&gt;1),"0",CONCATENATE("$",TRIM(D67),"$",TRIM(E67),"$",F67,"$"))</f>
        <v>0</v>
      </c>
      <c r="D67" s="340"/>
      <c r="E67" s="338"/>
      <c r="F67" s="342"/>
      <c r="G67" s="180" t="s">
        <v>7</v>
      </c>
      <c r="H67" s="181"/>
      <c r="I67" s="182"/>
      <c r="J67" s="183"/>
      <c r="K67" s="184"/>
      <c r="L67" s="185"/>
      <c r="M67" s="183"/>
      <c r="N67" s="184"/>
      <c r="O67" s="186"/>
      <c r="P67" s="183"/>
      <c r="Q67" s="184"/>
      <c r="R67" s="185"/>
      <c r="S67" s="183"/>
      <c r="T67" s="184"/>
      <c r="U67" s="187"/>
      <c r="V67" s="186"/>
      <c r="W67" s="186"/>
      <c r="X67" s="279">
        <f t="shared" si="3"/>
        <v>0</v>
      </c>
      <c r="Y67" s="344">
        <f>X68-X67</f>
        <v>0</v>
      </c>
      <c r="Z67" s="346"/>
    </row>
    <row r="68" spans="1:26" ht="14.25" customHeight="1" x14ac:dyDescent="0.3">
      <c r="A68" s="178">
        <f>-A67</f>
        <v>0</v>
      </c>
      <c r="B68" s="178" t="b">
        <f>B67</f>
        <v>1</v>
      </c>
      <c r="C68" s="188"/>
      <c r="D68" s="341"/>
      <c r="E68" s="339"/>
      <c r="F68" s="343"/>
      <c r="G68" s="189" t="s">
        <v>8</v>
      </c>
      <c r="H68" s="190"/>
      <c r="I68" s="280"/>
      <c r="J68" s="281">
        <f>SUMIF('02'!$D$7:$D$159,$C67,'02'!L$7:L$159)+SUMIF('03'!$D$7:$D$159,$C67,'03'!L$7:L$159)+SUMIF('04'!$D$7:$D$159,$C67,'04'!L$7:L$159)+SUMIF('05'!$D$7:$D$159,$C67,'05'!L$7:L$159)+SUMIF('06'!$D$7:$D$159,$C67,'06'!L$7:L$159)+SUMIF('07'!$D$7:$D$159,$C67,'07'!L$7:L$159)+SUMIF('08'!$D$7:$D$159,$C67,'08'!L$7:L$159)</f>
        <v>0</v>
      </c>
      <c r="K68" s="282">
        <f>SUMIF('02'!$D$7:$D$159,$C67,'02'!M$7:M$159)+SUMIF('03'!$D$7:$D$159,$C67,'03'!M$7:M$159)+SUMIF('04'!$D$7:$D$159,$C67,'04'!M$7:M$159)+SUMIF('05'!$D$7:$D$159,$C67,'05'!M$7:M$159)+SUMIF('06'!$D$7:$D$159,$C67,'06'!M$7:M$159)+SUMIF('07'!$D$7:$D$159,$C67,'07'!M$7:M$159)+SUMIF('08'!$D$7:$D$159,$C67,'08'!M$7:M$159)</f>
        <v>0</v>
      </c>
      <c r="L68" s="283">
        <f>SUMIF('02'!$D$7:$D$159,$C67,'02'!N$7:N$159)+SUMIF('03'!$D$7:$D$159,$C67,'03'!N$7:N$159)+SUMIF('04'!$D$7:$D$159,$C67,'04'!N$7:N$159)+SUMIF('05'!$D$7:$D$159,$C67,'05'!N$7:N$159)+SUMIF('06'!$D$7:$D$159,$C67,'06'!N$7:N$159)+SUMIF('07'!$D$7:$D$159,$C67,'07'!N$7:N$159)+SUMIF('08'!$D$7:$D$159,$C67,'08'!N$7:N$159)</f>
        <v>0</v>
      </c>
      <c r="M68" s="281">
        <f>SUMIF('02'!$D$7:$D$159,$C67,'02'!O$7:O$159)+SUMIF('03'!$D$7:$D$159,$C67,'03'!O$7:O$159)+SUMIF('04'!$D$7:$D$159,$C67,'04'!O$7:O$159)+SUMIF('05'!$D$7:$D$159,$C67,'05'!O$7:O$159)+SUMIF('06'!$D$7:$D$159,$C67,'06'!O$7:O$159)+SUMIF('07'!$D$7:$D$159,$C67,'07'!O$7:O$159)+SUMIF('08'!$D$7:$D$159,$C67,'08'!O$7:O$159)</f>
        <v>0</v>
      </c>
      <c r="N68" s="282">
        <f>SUMIF('02'!$D$7:$D$159,$C67,'02'!P$7:P$159)+SUMIF('03'!$D$7:$D$159,$C67,'03'!P$7:P$159)+SUMIF('04'!$D$7:$D$159,$C67,'04'!P$7:P$159)+SUMIF('05'!$D$7:$D$159,$C67,'05'!P$7:P$159)+SUMIF('06'!$D$7:$D$159,$C67,'06'!P$7:P$159)+SUMIF('07'!$D$7:$D$159,$C67,'07'!P$7:P$159)+SUMIF('08'!$D$7:$D$159,$C67,'08'!P$7:P$159)</f>
        <v>0</v>
      </c>
      <c r="O68" s="284">
        <f>SUMIF('02'!$D$7:$D$159,$C67,'02'!Q$7:Q$159)+SUMIF('03'!$D$7:$D$159,$C67,'03'!Q$7:Q$159)+SUMIF('04'!$D$7:$D$159,$C67,'04'!Q$7:Q$159)+SUMIF('05'!$D$7:$D$159,$C67,'05'!Q$7:Q$159)+SUMIF('06'!$D$7:$D$159,$C67,'06'!Q$7:Q$159)+SUMIF('07'!$D$7:$D$159,$C67,'07'!Q$7:Q$159)+SUMIF('08'!$D$7:$D$159,$C67,'08'!Q$7:Q$159)</f>
        <v>0</v>
      </c>
      <c r="P68" s="281">
        <f>SUMIF('02'!$D$7:$D$159,$C67,'02'!R$7:R$159)+SUMIF('03'!$D$7:$D$159,$C67,'03'!R$7:R$159)+SUMIF('04'!$D$7:$D$159,$C67,'04'!R$7:R$159)+SUMIF('05'!$D$7:$D$159,$C67,'05'!R$7:R$159)+SUMIF('06'!$D$7:$D$159,$C67,'06'!R$7:R$159)+SUMIF('07'!$D$7:$D$159,$C67,'07'!R$7:R$159)+SUMIF('08'!$D$7:$D$159,$C67,'08'!R$7:R$159)</f>
        <v>0</v>
      </c>
      <c r="Q68" s="282">
        <f>SUMIF('02'!$D$7:$D$159,$C67,'02'!S$7:S$159)+SUMIF('03'!$D$7:$D$159,$C67,'03'!S$7:S$159)+SUMIF('04'!$D$7:$D$159,$C67,'04'!S$7:S$159)+SUMIF('05'!$D$7:$D$159,$C67,'05'!S$7:S$159)+SUMIF('06'!$D$7:$D$159,$C67,'06'!S$7:S$159)+SUMIF('07'!$D$7:$D$159,$C67,'07'!S$7:S$159)+SUMIF('08'!$D$7:$D$159,$C67,'08'!S$7:S$159)</f>
        <v>0</v>
      </c>
      <c r="R68" s="283">
        <f>SUMIF('02'!$D$7:$D$159,$C67,'02'!T$7:T$159)+SUMIF('03'!$D$7:$D$159,$C67,'03'!T$7:T$159)+SUMIF('04'!$D$7:$D$159,$C67,'04'!T$7:T$159)+SUMIF('05'!$D$7:$D$159,$C67,'05'!T$7:T$159)+SUMIF('06'!$D$7:$D$159,$C67,'06'!T$7:T$159)+SUMIF('07'!$D$7:$D$159,$C67,'07'!T$7:T$159)+SUMIF('08'!$D$7:$D$159,$C67,'08'!T$7:T$159)</f>
        <v>0</v>
      </c>
      <c r="S68" s="281">
        <f>SUMIF('02'!$D$7:$D$159,$C67,'02'!U$7:U$159)+SUMIF('03'!$D$7:$D$159,$C67,'03'!U$7:U$159)+SUMIF('04'!$D$7:$D$159,$C67,'04'!U$7:U$159)+SUMIF('05'!$D$7:$D$159,$C67,'05'!U$7:U$159)+SUMIF('06'!$D$7:$D$159,$C67,'06'!U$7:U$159)+SUMIF('07'!$D$7:$D$159,$C67,'07'!U$7:U$159)+SUMIF('08'!$D$7:$D$159,$C67,'08'!U$7:U$159)</f>
        <v>0</v>
      </c>
      <c r="T68" s="282">
        <f>SUMIF('02'!$D$7:$D$159,$C67,'02'!V$7:V$159)+SUMIF('03'!$D$7:$D$159,$C67,'03'!V$7:V$159)+SUMIF('04'!$D$7:$D$159,$C67,'04'!V$7:V$159)+SUMIF('05'!$D$7:$D$159,$C67,'05'!V$7:V$159)+SUMIF('06'!$D$7:$D$159,$C67,'06'!V$7:V$159)+SUMIF('07'!$D$7:$D$159,$C67,'07'!V$7:V$159)+SUMIF('08'!$D$7:$D$159,$C67,'08'!V$7:V$159)</f>
        <v>0</v>
      </c>
      <c r="U68" s="285">
        <f>SUMIF('02'!$D$7:$D$159,$C67,'02'!W$7:W$159)+SUMIF('03'!$D$7:$D$159,$C67,'03'!W$7:W$159)+SUMIF('04'!$D$7:$D$159,$C67,'04'!W$7:W$159)+SUMIF('05'!$D$7:$D$159,$C67,'05'!W$7:W$159)+SUMIF('06'!$D$7:$D$159,$C67,'06'!W$7:W$159)+SUMIF('07'!$D$7:$D$159,$C67,'07'!W$7:W$159)+SUMIF('08'!$D$7:$D$159,$C67,'08'!W$7:W$159)</f>
        <v>0</v>
      </c>
      <c r="V68" s="284">
        <f>SUMIF('02'!$D$7:$D$159,$C67,'02'!X$7:X$159)+SUMIF('03'!$D$7:$D$159,$C67,'03'!X$7:X$159)+SUMIF('04'!$D$7:$D$159,$C67,'04'!X$7:X$159)+SUMIF('05'!$D$7:$D$159,$C67,'05'!X$7:X$159)+SUMIF('06'!$D$7:$D$159,$C67,'06'!X$7:X$159)+SUMIF('07'!$D$7:$D$159,$C67,'07'!X$7:X$159)+SUMIF('08'!$D$7:$D$159,$C67,'08'!X$7:X$159)</f>
        <v>0</v>
      </c>
      <c r="W68" s="284">
        <f>SUMIF('02'!$D$7:$D$159,$C67,'02'!Y$7:Y$159)+SUMIF('03'!$D$7:$D$159,$C67,'03'!Y$7:Y$159)+SUMIF('04'!$D$7:$D$159,$C67,'04'!Y$7:Y$159)+SUMIF('05'!$D$7:$D$159,$C67,'05'!Y$7:Y$159)+SUMIF('06'!$D$7:$D$159,$C67,'06'!Y$7:Y$159)+SUMIF('07'!$D$7:$D$159,$C67,'07'!Y$7:Y$159)+SUMIF('08'!$D$7:$D$159,$C67,'08'!Y$7:Y$159)</f>
        <v>0</v>
      </c>
      <c r="X68" s="286">
        <f t="shared" si="3"/>
        <v>0</v>
      </c>
      <c r="Y68" s="345"/>
      <c r="Z68" s="347"/>
    </row>
    <row r="69" spans="1:26" ht="14.25" customHeight="1" x14ac:dyDescent="0.3">
      <c r="A69" s="178">
        <f>IF(OR(C69="0",COUNTIF(КлючВесна,C69)&gt;1),0,MATCH(F69,ВидыНагр,0))</f>
        <v>0</v>
      </c>
      <c r="B69" s="178" t="b">
        <f>(COUNTA(D69:F70,J69:W69,H69:I70)=0)</f>
        <v>1</v>
      </c>
      <c r="C69" s="179" t="str">
        <f>IF(OR(TRIM(D69)="",COUNTIF(ВидыНагр,F69)&lt;&gt;1),"0",CONCATENATE("$",TRIM(D69),"$",TRIM(E69),"$",F69,"$"))</f>
        <v>0</v>
      </c>
      <c r="D69" s="340"/>
      <c r="E69" s="338"/>
      <c r="F69" s="342"/>
      <c r="G69" s="180" t="s">
        <v>7</v>
      </c>
      <c r="H69" s="181"/>
      <c r="I69" s="182"/>
      <c r="J69" s="183"/>
      <c r="K69" s="184"/>
      <c r="L69" s="185"/>
      <c r="M69" s="183"/>
      <c r="N69" s="184"/>
      <c r="O69" s="186"/>
      <c r="P69" s="183"/>
      <c r="Q69" s="184"/>
      <c r="R69" s="185"/>
      <c r="S69" s="183"/>
      <c r="T69" s="184"/>
      <c r="U69" s="187"/>
      <c r="V69" s="186"/>
      <c r="W69" s="186"/>
      <c r="X69" s="279">
        <f t="shared" si="3"/>
        <v>0</v>
      </c>
      <c r="Y69" s="344">
        <f>X70-X69</f>
        <v>0</v>
      </c>
      <c r="Z69" s="346"/>
    </row>
    <row r="70" spans="1:26" ht="14.25" customHeight="1" x14ac:dyDescent="0.3">
      <c r="A70" s="178">
        <f>-A69</f>
        <v>0</v>
      </c>
      <c r="B70" s="178" t="b">
        <f>B69</f>
        <v>1</v>
      </c>
      <c r="C70" s="188"/>
      <c r="D70" s="341"/>
      <c r="E70" s="339"/>
      <c r="F70" s="343"/>
      <c r="G70" s="189" t="s">
        <v>8</v>
      </c>
      <c r="H70" s="190"/>
      <c r="I70" s="280"/>
      <c r="J70" s="281">
        <f>SUMIF('02'!$D$7:$D$159,$C69,'02'!L$7:L$159)+SUMIF('03'!$D$7:$D$159,$C69,'03'!L$7:L$159)+SUMIF('04'!$D$7:$D$159,$C69,'04'!L$7:L$159)+SUMIF('05'!$D$7:$D$159,$C69,'05'!L$7:L$159)+SUMIF('06'!$D$7:$D$159,$C69,'06'!L$7:L$159)+SUMIF('07'!$D$7:$D$159,$C69,'07'!L$7:L$159)+SUMIF('08'!$D$7:$D$159,$C69,'08'!L$7:L$159)</f>
        <v>0</v>
      </c>
      <c r="K70" s="282">
        <f>SUMIF('02'!$D$7:$D$159,$C69,'02'!M$7:M$159)+SUMIF('03'!$D$7:$D$159,$C69,'03'!M$7:M$159)+SUMIF('04'!$D$7:$D$159,$C69,'04'!M$7:M$159)+SUMIF('05'!$D$7:$D$159,$C69,'05'!M$7:M$159)+SUMIF('06'!$D$7:$D$159,$C69,'06'!M$7:M$159)+SUMIF('07'!$D$7:$D$159,$C69,'07'!M$7:M$159)+SUMIF('08'!$D$7:$D$159,$C69,'08'!M$7:M$159)</f>
        <v>0</v>
      </c>
      <c r="L70" s="283">
        <f>SUMIF('02'!$D$7:$D$159,$C69,'02'!N$7:N$159)+SUMIF('03'!$D$7:$D$159,$C69,'03'!N$7:N$159)+SUMIF('04'!$D$7:$D$159,$C69,'04'!N$7:N$159)+SUMIF('05'!$D$7:$D$159,$C69,'05'!N$7:N$159)+SUMIF('06'!$D$7:$D$159,$C69,'06'!N$7:N$159)+SUMIF('07'!$D$7:$D$159,$C69,'07'!N$7:N$159)+SUMIF('08'!$D$7:$D$159,$C69,'08'!N$7:N$159)</f>
        <v>0</v>
      </c>
      <c r="M70" s="281">
        <f>SUMIF('02'!$D$7:$D$159,$C69,'02'!O$7:O$159)+SUMIF('03'!$D$7:$D$159,$C69,'03'!O$7:O$159)+SUMIF('04'!$D$7:$D$159,$C69,'04'!O$7:O$159)+SUMIF('05'!$D$7:$D$159,$C69,'05'!O$7:O$159)+SUMIF('06'!$D$7:$D$159,$C69,'06'!O$7:O$159)+SUMIF('07'!$D$7:$D$159,$C69,'07'!O$7:O$159)+SUMIF('08'!$D$7:$D$159,$C69,'08'!O$7:O$159)</f>
        <v>0</v>
      </c>
      <c r="N70" s="282">
        <f>SUMIF('02'!$D$7:$D$159,$C69,'02'!P$7:P$159)+SUMIF('03'!$D$7:$D$159,$C69,'03'!P$7:P$159)+SUMIF('04'!$D$7:$D$159,$C69,'04'!P$7:P$159)+SUMIF('05'!$D$7:$D$159,$C69,'05'!P$7:P$159)+SUMIF('06'!$D$7:$D$159,$C69,'06'!P$7:P$159)+SUMIF('07'!$D$7:$D$159,$C69,'07'!P$7:P$159)+SUMIF('08'!$D$7:$D$159,$C69,'08'!P$7:P$159)</f>
        <v>0</v>
      </c>
      <c r="O70" s="284">
        <f>SUMIF('02'!$D$7:$D$159,$C69,'02'!Q$7:Q$159)+SUMIF('03'!$D$7:$D$159,$C69,'03'!Q$7:Q$159)+SUMIF('04'!$D$7:$D$159,$C69,'04'!Q$7:Q$159)+SUMIF('05'!$D$7:$D$159,$C69,'05'!Q$7:Q$159)+SUMIF('06'!$D$7:$D$159,$C69,'06'!Q$7:Q$159)+SUMIF('07'!$D$7:$D$159,$C69,'07'!Q$7:Q$159)+SUMIF('08'!$D$7:$D$159,$C69,'08'!Q$7:Q$159)</f>
        <v>0</v>
      </c>
      <c r="P70" s="281">
        <f>SUMIF('02'!$D$7:$D$159,$C69,'02'!R$7:R$159)+SUMIF('03'!$D$7:$D$159,$C69,'03'!R$7:R$159)+SUMIF('04'!$D$7:$D$159,$C69,'04'!R$7:R$159)+SUMIF('05'!$D$7:$D$159,$C69,'05'!R$7:R$159)+SUMIF('06'!$D$7:$D$159,$C69,'06'!R$7:R$159)+SUMIF('07'!$D$7:$D$159,$C69,'07'!R$7:R$159)+SUMIF('08'!$D$7:$D$159,$C69,'08'!R$7:R$159)</f>
        <v>0</v>
      </c>
      <c r="Q70" s="282">
        <f>SUMIF('02'!$D$7:$D$159,$C69,'02'!S$7:S$159)+SUMIF('03'!$D$7:$D$159,$C69,'03'!S$7:S$159)+SUMIF('04'!$D$7:$D$159,$C69,'04'!S$7:S$159)+SUMIF('05'!$D$7:$D$159,$C69,'05'!S$7:S$159)+SUMIF('06'!$D$7:$D$159,$C69,'06'!S$7:S$159)+SUMIF('07'!$D$7:$D$159,$C69,'07'!S$7:S$159)+SUMIF('08'!$D$7:$D$159,$C69,'08'!S$7:S$159)</f>
        <v>0</v>
      </c>
      <c r="R70" s="283">
        <f>SUMIF('02'!$D$7:$D$159,$C69,'02'!T$7:T$159)+SUMIF('03'!$D$7:$D$159,$C69,'03'!T$7:T$159)+SUMIF('04'!$D$7:$D$159,$C69,'04'!T$7:T$159)+SUMIF('05'!$D$7:$D$159,$C69,'05'!T$7:T$159)+SUMIF('06'!$D$7:$D$159,$C69,'06'!T$7:T$159)+SUMIF('07'!$D$7:$D$159,$C69,'07'!T$7:T$159)+SUMIF('08'!$D$7:$D$159,$C69,'08'!T$7:T$159)</f>
        <v>0</v>
      </c>
      <c r="S70" s="281">
        <f>SUMIF('02'!$D$7:$D$159,$C69,'02'!U$7:U$159)+SUMIF('03'!$D$7:$D$159,$C69,'03'!U$7:U$159)+SUMIF('04'!$D$7:$D$159,$C69,'04'!U$7:U$159)+SUMIF('05'!$D$7:$D$159,$C69,'05'!U$7:U$159)+SUMIF('06'!$D$7:$D$159,$C69,'06'!U$7:U$159)+SUMIF('07'!$D$7:$D$159,$C69,'07'!U$7:U$159)+SUMIF('08'!$D$7:$D$159,$C69,'08'!U$7:U$159)</f>
        <v>0</v>
      </c>
      <c r="T70" s="282">
        <f>SUMIF('02'!$D$7:$D$159,$C69,'02'!V$7:V$159)+SUMIF('03'!$D$7:$D$159,$C69,'03'!V$7:V$159)+SUMIF('04'!$D$7:$D$159,$C69,'04'!V$7:V$159)+SUMIF('05'!$D$7:$D$159,$C69,'05'!V$7:V$159)+SUMIF('06'!$D$7:$D$159,$C69,'06'!V$7:V$159)+SUMIF('07'!$D$7:$D$159,$C69,'07'!V$7:V$159)+SUMIF('08'!$D$7:$D$159,$C69,'08'!V$7:V$159)</f>
        <v>0</v>
      </c>
      <c r="U70" s="285">
        <f>SUMIF('02'!$D$7:$D$159,$C69,'02'!W$7:W$159)+SUMIF('03'!$D$7:$D$159,$C69,'03'!W$7:W$159)+SUMIF('04'!$D$7:$D$159,$C69,'04'!W$7:W$159)+SUMIF('05'!$D$7:$D$159,$C69,'05'!W$7:W$159)+SUMIF('06'!$D$7:$D$159,$C69,'06'!W$7:W$159)+SUMIF('07'!$D$7:$D$159,$C69,'07'!W$7:W$159)+SUMIF('08'!$D$7:$D$159,$C69,'08'!W$7:W$159)</f>
        <v>0</v>
      </c>
      <c r="V70" s="284">
        <f>SUMIF('02'!$D$7:$D$159,$C69,'02'!X$7:X$159)+SUMIF('03'!$D$7:$D$159,$C69,'03'!X$7:X$159)+SUMIF('04'!$D$7:$D$159,$C69,'04'!X$7:X$159)+SUMIF('05'!$D$7:$D$159,$C69,'05'!X$7:X$159)+SUMIF('06'!$D$7:$D$159,$C69,'06'!X$7:X$159)+SUMIF('07'!$D$7:$D$159,$C69,'07'!X$7:X$159)+SUMIF('08'!$D$7:$D$159,$C69,'08'!X$7:X$159)</f>
        <v>0</v>
      </c>
      <c r="W70" s="284">
        <f>SUMIF('02'!$D$7:$D$159,$C69,'02'!Y$7:Y$159)+SUMIF('03'!$D$7:$D$159,$C69,'03'!Y$7:Y$159)+SUMIF('04'!$D$7:$D$159,$C69,'04'!Y$7:Y$159)+SUMIF('05'!$D$7:$D$159,$C69,'05'!Y$7:Y$159)+SUMIF('06'!$D$7:$D$159,$C69,'06'!Y$7:Y$159)+SUMIF('07'!$D$7:$D$159,$C69,'07'!Y$7:Y$159)+SUMIF('08'!$D$7:$D$159,$C69,'08'!Y$7:Y$159)</f>
        <v>0</v>
      </c>
      <c r="X70" s="286">
        <f t="shared" si="3"/>
        <v>0</v>
      </c>
      <c r="Y70" s="345"/>
      <c r="Z70" s="347"/>
    </row>
    <row r="71" spans="1:26" ht="14.25" customHeight="1" x14ac:dyDescent="0.3">
      <c r="A71" s="178">
        <f>IF(OR(C71="0",COUNTIF(КлючВесна,C71)&gt;1),0,MATCH(F71,ВидыНагр,0))</f>
        <v>0</v>
      </c>
      <c r="B71" s="178" t="b">
        <f>(COUNTA(D71:F72,J71:W71,H71:I72)=0)</f>
        <v>1</v>
      </c>
      <c r="C71" s="179" t="str">
        <f>IF(OR(TRIM(D71)="",COUNTIF(ВидыНагр,F71)&lt;&gt;1),"0",CONCATENATE("$",TRIM(D71),"$",TRIM(E71),"$",F71,"$"))</f>
        <v>0</v>
      </c>
      <c r="D71" s="340"/>
      <c r="E71" s="338"/>
      <c r="F71" s="342"/>
      <c r="G71" s="180" t="s">
        <v>7</v>
      </c>
      <c r="H71" s="181"/>
      <c r="I71" s="182"/>
      <c r="J71" s="183"/>
      <c r="K71" s="184"/>
      <c r="L71" s="185"/>
      <c r="M71" s="183"/>
      <c r="N71" s="184"/>
      <c r="O71" s="186"/>
      <c r="P71" s="183"/>
      <c r="Q71" s="184"/>
      <c r="R71" s="185"/>
      <c r="S71" s="183"/>
      <c r="T71" s="184"/>
      <c r="U71" s="187"/>
      <c r="V71" s="186"/>
      <c r="W71" s="186"/>
      <c r="X71" s="279">
        <f t="shared" si="2"/>
        <v>0</v>
      </c>
      <c r="Y71" s="344">
        <f>X72-X71</f>
        <v>0</v>
      </c>
      <c r="Z71" s="346"/>
    </row>
    <row r="72" spans="1:26" ht="14.25" customHeight="1" x14ac:dyDescent="0.3">
      <c r="A72" s="178">
        <f>-A71</f>
        <v>0</v>
      </c>
      <c r="B72" s="178" t="b">
        <f>B71</f>
        <v>1</v>
      </c>
      <c r="C72" s="188"/>
      <c r="D72" s="341"/>
      <c r="E72" s="339"/>
      <c r="F72" s="343"/>
      <c r="G72" s="189" t="s">
        <v>8</v>
      </c>
      <c r="H72" s="190"/>
      <c r="I72" s="280"/>
      <c r="J72" s="281">
        <f>SUMIF('02'!$D$7:$D$159,$C71,'02'!L$7:L$159)+SUMIF('03'!$D$7:$D$159,$C71,'03'!L$7:L$159)+SUMIF('04'!$D$7:$D$159,$C71,'04'!L$7:L$159)+SUMIF('05'!$D$7:$D$159,$C71,'05'!L$7:L$159)+SUMIF('06'!$D$7:$D$159,$C71,'06'!L$7:L$159)+SUMIF('07'!$D$7:$D$159,$C71,'07'!L$7:L$159)+SUMIF('08'!$D$7:$D$159,$C71,'08'!L$7:L$159)</f>
        <v>0</v>
      </c>
      <c r="K72" s="282">
        <f>SUMIF('02'!$D$7:$D$159,$C71,'02'!M$7:M$159)+SUMIF('03'!$D$7:$D$159,$C71,'03'!M$7:M$159)+SUMIF('04'!$D$7:$D$159,$C71,'04'!M$7:M$159)+SUMIF('05'!$D$7:$D$159,$C71,'05'!M$7:M$159)+SUMIF('06'!$D$7:$D$159,$C71,'06'!M$7:M$159)+SUMIF('07'!$D$7:$D$159,$C71,'07'!M$7:M$159)+SUMIF('08'!$D$7:$D$159,$C71,'08'!M$7:M$159)</f>
        <v>0</v>
      </c>
      <c r="L72" s="283">
        <f>SUMIF('02'!$D$7:$D$159,$C71,'02'!N$7:N$159)+SUMIF('03'!$D$7:$D$159,$C71,'03'!N$7:N$159)+SUMIF('04'!$D$7:$D$159,$C71,'04'!N$7:N$159)+SUMIF('05'!$D$7:$D$159,$C71,'05'!N$7:N$159)+SUMIF('06'!$D$7:$D$159,$C71,'06'!N$7:N$159)+SUMIF('07'!$D$7:$D$159,$C71,'07'!N$7:N$159)+SUMIF('08'!$D$7:$D$159,$C71,'08'!N$7:N$159)</f>
        <v>0</v>
      </c>
      <c r="M72" s="281">
        <f>SUMIF('02'!$D$7:$D$159,$C71,'02'!O$7:O$159)+SUMIF('03'!$D$7:$D$159,$C71,'03'!O$7:O$159)+SUMIF('04'!$D$7:$D$159,$C71,'04'!O$7:O$159)+SUMIF('05'!$D$7:$D$159,$C71,'05'!O$7:O$159)+SUMIF('06'!$D$7:$D$159,$C71,'06'!O$7:O$159)+SUMIF('07'!$D$7:$D$159,$C71,'07'!O$7:O$159)+SUMIF('08'!$D$7:$D$159,$C71,'08'!O$7:O$159)</f>
        <v>0</v>
      </c>
      <c r="N72" s="282">
        <f>SUMIF('02'!$D$7:$D$159,$C71,'02'!P$7:P$159)+SUMIF('03'!$D$7:$D$159,$C71,'03'!P$7:P$159)+SUMIF('04'!$D$7:$D$159,$C71,'04'!P$7:P$159)+SUMIF('05'!$D$7:$D$159,$C71,'05'!P$7:P$159)+SUMIF('06'!$D$7:$D$159,$C71,'06'!P$7:P$159)+SUMIF('07'!$D$7:$D$159,$C71,'07'!P$7:P$159)+SUMIF('08'!$D$7:$D$159,$C71,'08'!P$7:P$159)</f>
        <v>0</v>
      </c>
      <c r="O72" s="284">
        <f>SUMIF('02'!$D$7:$D$159,$C71,'02'!Q$7:Q$159)+SUMIF('03'!$D$7:$D$159,$C71,'03'!Q$7:Q$159)+SUMIF('04'!$D$7:$D$159,$C71,'04'!Q$7:Q$159)+SUMIF('05'!$D$7:$D$159,$C71,'05'!Q$7:Q$159)+SUMIF('06'!$D$7:$D$159,$C71,'06'!Q$7:Q$159)+SUMIF('07'!$D$7:$D$159,$C71,'07'!Q$7:Q$159)+SUMIF('08'!$D$7:$D$159,$C71,'08'!Q$7:Q$159)</f>
        <v>0</v>
      </c>
      <c r="P72" s="281">
        <f>SUMIF('02'!$D$7:$D$159,$C71,'02'!R$7:R$159)+SUMIF('03'!$D$7:$D$159,$C71,'03'!R$7:R$159)+SUMIF('04'!$D$7:$D$159,$C71,'04'!R$7:R$159)+SUMIF('05'!$D$7:$D$159,$C71,'05'!R$7:R$159)+SUMIF('06'!$D$7:$D$159,$C71,'06'!R$7:R$159)+SUMIF('07'!$D$7:$D$159,$C71,'07'!R$7:R$159)+SUMIF('08'!$D$7:$D$159,$C71,'08'!R$7:R$159)</f>
        <v>0</v>
      </c>
      <c r="Q72" s="282">
        <f>SUMIF('02'!$D$7:$D$159,$C71,'02'!S$7:S$159)+SUMIF('03'!$D$7:$D$159,$C71,'03'!S$7:S$159)+SUMIF('04'!$D$7:$D$159,$C71,'04'!S$7:S$159)+SUMIF('05'!$D$7:$D$159,$C71,'05'!S$7:S$159)+SUMIF('06'!$D$7:$D$159,$C71,'06'!S$7:S$159)+SUMIF('07'!$D$7:$D$159,$C71,'07'!S$7:S$159)+SUMIF('08'!$D$7:$D$159,$C71,'08'!S$7:S$159)</f>
        <v>0</v>
      </c>
      <c r="R72" s="283">
        <f>SUMIF('02'!$D$7:$D$159,$C71,'02'!T$7:T$159)+SUMIF('03'!$D$7:$D$159,$C71,'03'!T$7:T$159)+SUMIF('04'!$D$7:$D$159,$C71,'04'!T$7:T$159)+SUMIF('05'!$D$7:$D$159,$C71,'05'!T$7:T$159)+SUMIF('06'!$D$7:$D$159,$C71,'06'!T$7:T$159)+SUMIF('07'!$D$7:$D$159,$C71,'07'!T$7:T$159)+SUMIF('08'!$D$7:$D$159,$C71,'08'!T$7:T$159)</f>
        <v>0</v>
      </c>
      <c r="S72" s="281">
        <f>SUMIF('02'!$D$7:$D$159,$C71,'02'!U$7:U$159)+SUMIF('03'!$D$7:$D$159,$C71,'03'!U$7:U$159)+SUMIF('04'!$D$7:$D$159,$C71,'04'!U$7:U$159)+SUMIF('05'!$D$7:$D$159,$C71,'05'!U$7:U$159)+SUMIF('06'!$D$7:$D$159,$C71,'06'!U$7:U$159)+SUMIF('07'!$D$7:$D$159,$C71,'07'!U$7:U$159)+SUMIF('08'!$D$7:$D$159,$C71,'08'!U$7:U$159)</f>
        <v>0</v>
      </c>
      <c r="T72" s="282">
        <f>SUMIF('02'!$D$7:$D$159,$C71,'02'!V$7:V$159)+SUMIF('03'!$D$7:$D$159,$C71,'03'!V$7:V$159)+SUMIF('04'!$D$7:$D$159,$C71,'04'!V$7:V$159)+SUMIF('05'!$D$7:$D$159,$C71,'05'!V$7:V$159)+SUMIF('06'!$D$7:$D$159,$C71,'06'!V$7:V$159)+SUMIF('07'!$D$7:$D$159,$C71,'07'!V$7:V$159)+SUMIF('08'!$D$7:$D$159,$C71,'08'!V$7:V$159)</f>
        <v>0</v>
      </c>
      <c r="U72" s="285">
        <f>SUMIF('02'!$D$7:$D$159,$C71,'02'!W$7:W$159)+SUMIF('03'!$D$7:$D$159,$C71,'03'!W$7:W$159)+SUMIF('04'!$D$7:$D$159,$C71,'04'!W$7:W$159)+SUMIF('05'!$D$7:$D$159,$C71,'05'!W$7:W$159)+SUMIF('06'!$D$7:$D$159,$C71,'06'!W$7:W$159)+SUMIF('07'!$D$7:$D$159,$C71,'07'!W$7:W$159)+SUMIF('08'!$D$7:$D$159,$C71,'08'!W$7:W$159)</f>
        <v>0</v>
      </c>
      <c r="V72" s="284">
        <f>SUMIF('02'!$D$7:$D$159,$C71,'02'!X$7:X$159)+SUMIF('03'!$D$7:$D$159,$C71,'03'!X$7:X$159)+SUMIF('04'!$D$7:$D$159,$C71,'04'!X$7:X$159)+SUMIF('05'!$D$7:$D$159,$C71,'05'!X$7:X$159)+SUMIF('06'!$D$7:$D$159,$C71,'06'!X$7:X$159)+SUMIF('07'!$D$7:$D$159,$C71,'07'!X$7:X$159)+SUMIF('08'!$D$7:$D$159,$C71,'08'!X$7:X$159)</f>
        <v>0</v>
      </c>
      <c r="W72" s="284">
        <f>SUMIF('02'!$D$7:$D$159,$C71,'02'!Y$7:Y$159)+SUMIF('03'!$D$7:$D$159,$C71,'03'!Y$7:Y$159)+SUMIF('04'!$D$7:$D$159,$C71,'04'!Y$7:Y$159)+SUMIF('05'!$D$7:$D$159,$C71,'05'!Y$7:Y$159)+SUMIF('06'!$D$7:$D$159,$C71,'06'!Y$7:Y$159)+SUMIF('07'!$D$7:$D$159,$C71,'07'!Y$7:Y$159)+SUMIF('08'!$D$7:$D$159,$C71,'08'!Y$7:Y$159)</f>
        <v>0</v>
      </c>
      <c r="X72" s="286">
        <f t="shared" si="2"/>
        <v>0</v>
      </c>
      <c r="Y72" s="345"/>
      <c r="Z72" s="347"/>
    </row>
    <row r="73" spans="1:26" ht="14.25" customHeight="1" x14ac:dyDescent="0.3">
      <c r="A73" s="178">
        <f>IF(OR(C73="0",COUNTIF(КлючВесна,C73)&gt;1),0,MATCH(F73,ВидыНагр,0))</f>
        <v>0</v>
      </c>
      <c r="B73" s="178" t="b">
        <f>(COUNTA(D73:F74,J73:W73,H73:I74)=0)</f>
        <v>1</v>
      </c>
      <c r="C73" s="179" t="str">
        <f>IF(OR(TRIM(D73)="",COUNTIF(ВидыНагр,F73)&lt;&gt;1),"0",CONCATENATE("$",TRIM(D73),"$",TRIM(E73),"$",F73,"$"))</f>
        <v>0</v>
      </c>
      <c r="D73" s="340"/>
      <c r="E73" s="338"/>
      <c r="F73" s="342"/>
      <c r="G73" s="180" t="s">
        <v>7</v>
      </c>
      <c r="H73" s="181"/>
      <c r="I73" s="182"/>
      <c r="J73" s="183"/>
      <c r="K73" s="184"/>
      <c r="L73" s="185"/>
      <c r="M73" s="183"/>
      <c r="N73" s="184"/>
      <c r="O73" s="186"/>
      <c r="P73" s="183"/>
      <c r="Q73" s="184"/>
      <c r="R73" s="185"/>
      <c r="S73" s="183"/>
      <c r="T73" s="184"/>
      <c r="U73" s="187"/>
      <c r="V73" s="186"/>
      <c r="W73" s="186"/>
      <c r="X73" s="279">
        <f t="shared" si="2"/>
        <v>0</v>
      </c>
      <c r="Y73" s="344">
        <f>X74-X73</f>
        <v>0</v>
      </c>
      <c r="Z73" s="346"/>
    </row>
    <row r="74" spans="1:26" ht="14.25" customHeight="1" x14ac:dyDescent="0.3">
      <c r="A74" s="178">
        <f>-A73</f>
        <v>0</v>
      </c>
      <c r="B74" s="178" t="b">
        <f>B73</f>
        <v>1</v>
      </c>
      <c r="C74" s="188"/>
      <c r="D74" s="341"/>
      <c r="E74" s="339"/>
      <c r="F74" s="343"/>
      <c r="G74" s="189" t="s">
        <v>8</v>
      </c>
      <c r="H74" s="190"/>
      <c r="I74" s="280"/>
      <c r="J74" s="281">
        <f>SUMIF('02'!$D$7:$D$159,$C73,'02'!L$7:L$159)+SUMIF('03'!$D$7:$D$159,$C73,'03'!L$7:L$159)+SUMIF('04'!$D$7:$D$159,$C73,'04'!L$7:L$159)+SUMIF('05'!$D$7:$D$159,$C73,'05'!L$7:L$159)+SUMIF('06'!$D$7:$D$159,$C73,'06'!L$7:L$159)+SUMIF('07'!$D$7:$D$159,$C73,'07'!L$7:L$159)+SUMIF('08'!$D$7:$D$159,$C73,'08'!L$7:L$159)</f>
        <v>0</v>
      </c>
      <c r="K74" s="282">
        <f>SUMIF('02'!$D$7:$D$159,$C73,'02'!M$7:M$159)+SUMIF('03'!$D$7:$D$159,$C73,'03'!M$7:M$159)+SUMIF('04'!$D$7:$D$159,$C73,'04'!M$7:M$159)+SUMIF('05'!$D$7:$D$159,$C73,'05'!M$7:M$159)+SUMIF('06'!$D$7:$D$159,$C73,'06'!M$7:M$159)+SUMIF('07'!$D$7:$D$159,$C73,'07'!M$7:M$159)+SUMIF('08'!$D$7:$D$159,$C73,'08'!M$7:M$159)</f>
        <v>0</v>
      </c>
      <c r="L74" s="283">
        <f>SUMIF('02'!$D$7:$D$159,$C73,'02'!N$7:N$159)+SUMIF('03'!$D$7:$D$159,$C73,'03'!N$7:N$159)+SUMIF('04'!$D$7:$D$159,$C73,'04'!N$7:N$159)+SUMIF('05'!$D$7:$D$159,$C73,'05'!N$7:N$159)+SUMIF('06'!$D$7:$D$159,$C73,'06'!N$7:N$159)+SUMIF('07'!$D$7:$D$159,$C73,'07'!N$7:N$159)+SUMIF('08'!$D$7:$D$159,$C73,'08'!N$7:N$159)</f>
        <v>0</v>
      </c>
      <c r="M74" s="281">
        <f>SUMIF('02'!$D$7:$D$159,$C73,'02'!O$7:O$159)+SUMIF('03'!$D$7:$D$159,$C73,'03'!O$7:O$159)+SUMIF('04'!$D$7:$D$159,$C73,'04'!O$7:O$159)+SUMIF('05'!$D$7:$D$159,$C73,'05'!O$7:O$159)+SUMIF('06'!$D$7:$D$159,$C73,'06'!O$7:O$159)+SUMIF('07'!$D$7:$D$159,$C73,'07'!O$7:O$159)+SUMIF('08'!$D$7:$D$159,$C73,'08'!O$7:O$159)</f>
        <v>0</v>
      </c>
      <c r="N74" s="282">
        <f>SUMIF('02'!$D$7:$D$159,$C73,'02'!P$7:P$159)+SUMIF('03'!$D$7:$D$159,$C73,'03'!P$7:P$159)+SUMIF('04'!$D$7:$D$159,$C73,'04'!P$7:P$159)+SUMIF('05'!$D$7:$D$159,$C73,'05'!P$7:P$159)+SUMIF('06'!$D$7:$D$159,$C73,'06'!P$7:P$159)+SUMIF('07'!$D$7:$D$159,$C73,'07'!P$7:P$159)+SUMIF('08'!$D$7:$D$159,$C73,'08'!P$7:P$159)</f>
        <v>0</v>
      </c>
      <c r="O74" s="284">
        <f>SUMIF('02'!$D$7:$D$159,$C73,'02'!Q$7:Q$159)+SUMIF('03'!$D$7:$D$159,$C73,'03'!Q$7:Q$159)+SUMIF('04'!$D$7:$D$159,$C73,'04'!Q$7:Q$159)+SUMIF('05'!$D$7:$D$159,$C73,'05'!Q$7:Q$159)+SUMIF('06'!$D$7:$D$159,$C73,'06'!Q$7:Q$159)+SUMIF('07'!$D$7:$D$159,$C73,'07'!Q$7:Q$159)+SUMIF('08'!$D$7:$D$159,$C73,'08'!Q$7:Q$159)</f>
        <v>0</v>
      </c>
      <c r="P74" s="281">
        <f>SUMIF('02'!$D$7:$D$159,$C73,'02'!R$7:R$159)+SUMIF('03'!$D$7:$D$159,$C73,'03'!R$7:R$159)+SUMIF('04'!$D$7:$D$159,$C73,'04'!R$7:R$159)+SUMIF('05'!$D$7:$D$159,$C73,'05'!R$7:R$159)+SUMIF('06'!$D$7:$D$159,$C73,'06'!R$7:R$159)+SUMIF('07'!$D$7:$D$159,$C73,'07'!R$7:R$159)+SUMIF('08'!$D$7:$D$159,$C73,'08'!R$7:R$159)</f>
        <v>0</v>
      </c>
      <c r="Q74" s="282">
        <f>SUMIF('02'!$D$7:$D$159,$C73,'02'!S$7:S$159)+SUMIF('03'!$D$7:$D$159,$C73,'03'!S$7:S$159)+SUMIF('04'!$D$7:$D$159,$C73,'04'!S$7:S$159)+SUMIF('05'!$D$7:$D$159,$C73,'05'!S$7:S$159)+SUMIF('06'!$D$7:$D$159,$C73,'06'!S$7:S$159)+SUMIF('07'!$D$7:$D$159,$C73,'07'!S$7:S$159)+SUMIF('08'!$D$7:$D$159,$C73,'08'!S$7:S$159)</f>
        <v>0</v>
      </c>
      <c r="R74" s="283">
        <f>SUMIF('02'!$D$7:$D$159,$C73,'02'!T$7:T$159)+SUMIF('03'!$D$7:$D$159,$C73,'03'!T$7:T$159)+SUMIF('04'!$D$7:$D$159,$C73,'04'!T$7:T$159)+SUMIF('05'!$D$7:$D$159,$C73,'05'!T$7:T$159)+SUMIF('06'!$D$7:$D$159,$C73,'06'!T$7:T$159)+SUMIF('07'!$D$7:$D$159,$C73,'07'!T$7:T$159)+SUMIF('08'!$D$7:$D$159,$C73,'08'!T$7:T$159)</f>
        <v>0</v>
      </c>
      <c r="S74" s="281">
        <f>SUMIF('02'!$D$7:$D$159,$C73,'02'!U$7:U$159)+SUMIF('03'!$D$7:$D$159,$C73,'03'!U$7:U$159)+SUMIF('04'!$D$7:$D$159,$C73,'04'!U$7:U$159)+SUMIF('05'!$D$7:$D$159,$C73,'05'!U$7:U$159)+SUMIF('06'!$D$7:$D$159,$C73,'06'!U$7:U$159)+SUMIF('07'!$D$7:$D$159,$C73,'07'!U$7:U$159)+SUMIF('08'!$D$7:$D$159,$C73,'08'!U$7:U$159)</f>
        <v>0</v>
      </c>
      <c r="T74" s="282">
        <f>SUMIF('02'!$D$7:$D$159,$C73,'02'!V$7:V$159)+SUMIF('03'!$D$7:$D$159,$C73,'03'!V$7:V$159)+SUMIF('04'!$D$7:$D$159,$C73,'04'!V$7:V$159)+SUMIF('05'!$D$7:$D$159,$C73,'05'!V$7:V$159)+SUMIF('06'!$D$7:$D$159,$C73,'06'!V$7:V$159)+SUMIF('07'!$D$7:$D$159,$C73,'07'!V$7:V$159)+SUMIF('08'!$D$7:$D$159,$C73,'08'!V$7:V$159)</f>
        <v>0</v>
      </c>
      <c r="U74" s="285">
        <f>SUMIF('02'!$D$7:$D$159,$C73,'02'!W$7:W$159)+SUMIF('03'!$D$7:$D$159,$C73,'03'!W$7:W$159)+SUMIF('04'!$D$7:$D$159,$C73,'04'!W$7:W$159)+SUMIF('05'!$D$7:$D$159,$C73,'05'!W$7:W$159)+SUMIF('06'!$D$7:$D$159,$C73,'06'!W$7:W$159)+SUMIF('07'!$D$7:$D$159,$C73,'07'!W$7:W$159)+SUMIF('08'!$D$7:$D$159,$C73,'08'!W$7:W$159)</f>
        <v>0</v>
      </c>
      <c r="V74" s="284">
        <f>SUMIF('02'!$D$7:$D$159,$C73,'02'!X$7:X$159)+SUMIF('03'!$D$7:$D$159,$C73,'03'!X$7:X$159)+SUMIF('04'!$D$7:$D$159,$C73,'04'!X$7:X$159)+SUMIF('05'!$D$7:$D$159,$C73,'05'!X$7:X$159)+SUMIF('06'!$D$7:$D$159,$C73,'06'!X$7:X$159)+SUMIF('07'!$D$7:$D$159,$C73,'07'!X$7:X$159)+SUMIF('08'!$D$7:$D$159,$C73,'08'!X$7:X$159)</f>
        <v>0</v>
      </c>
      <c r="W74" s="284">
        <f>SUMIF('02'!$D$7:$D$159,$C73,'02'!Y$7:Y$159)+SUMIF('03'!$D$7:$D$159,$C73,'03'!Y$7:Y$159)+SUMIF('04'!$D$7:$D$159,$C73,'04'!Y$7:Y$159)+SUMIF('05'!$D$7:$D$159,$C73,'05'!Y$7:Y$159)+SUMIF('06'!$D$7:$D$159,$C73,'06'!Y$7:Y$159)+SUMIF('07'!$D$7:$D$159,$C73,'07'!Y$7:Y$159)+SUMIF('08'!$D$7:$D$159,$C73,'08'!Y$7:Y$159)</f>
        <v>0</v>
      </c>
      <c r="X74" s="286">
        <f t="shared" si="2"/>
        <v>0</v>
      </c>
      <c r="Y74" s="345"/>
      <c r="Z74" s="347"/>
    </row>
    <row r="75" spans="1:26" ht="14.25" customHeight="1" x14ac:dyDescent="0.3">
      <c r="A75" s="178">
        <f>IF(OR(C75="0",COUNTIF(КлючВесна,C75)&gt;1),0,MATCH(F75,ВидыНагр,0))</f>
        <v>0</v>
      </c>
      <c r="B75" s="178" t="b">
        <f>(COUNTA(D75:F76,J75:W75,H75:I76)=0)</f>
        <v>1</v>
      </c>
      <c r="C75" s="179" t="str">
        <f>IF(OR(TRIM(D75)="",COUNTIF(ВидыНагр,F75)&lt;&gt;1),"0",CONCATENATE("$",TRIM(D75),"$",TRIM(E75),"$",F75,"$"))</f>
        <v>0</v>
      </c>
      <c r="D75" s="340"/>
      <c r="E75" s="338"/>
      <c r="F75" s="342"/>
      <c r="G75" s="180" t="s">
        <v>7</v>
      </c>
      <c r="H75" s="181"/>
      <c r="I75" s="182"/>
      <c r="J75" s="183"/>
      <c r="K75" s="184"/>
      <c r="L75" s="185"/>
      <c r="M75" s="183"/>
      <c r="N75" s="184"/>
      <c r="O75" s="186"/>
      <c r="P75" s="183"/>
      <c r="Q75" s="184"/>
      <c r="R75" s="185"/>
      <c r="S75" s="183"/>
      <c r="T75" s="184"/>
      <c r="U75" s="187"/>
      <c r="V75" s="186"/>
      <c r="W75" s="186"/>
      <c r="X75" s="279">
        <f t="shared" si="2"/>
        <v>0</v>
      </c>
      <c r="Y75" s="344">
        <f>X76-X75</f>
        <v>0</v>
      </c>
      <c r="Z75" s="346"/>
    </row>
    <row r="76" spans="1:26" ht="14.25" customHeight="1" x14ac:dyDescent="0.3">
      <c r="A76" s="178">
        <f>-A75</f>
        <v>0</v>
      </c>
      <c r="B76" s="178" t="b">
        <f>B75</f>
        <v>1</v>
      </c>
      <c r="C76" s="188"/>
      <c r="D76" s="341"/>
      <c r="E76" s="339"/>
      <c r="F76" s="343"/>
      <c r="G76" s="189" t="s">
        <v>8</v>
      </c>
      <c r="H76" s="190"/>
      <c r="I76" s="280"/>
      <c r="J76" s="281">
        <f>SUMIF('02'!$D$7:$D$159,$C75,'02'!L$7:L$159)+SUMIF('03'!$D$7:$D$159,$C75,'03'!L$7:L$159)+SUMIF('04'!$D$7:$D$159,$C75,'04'!L$7:L$159)+SUMIF('05'!$D$7:$D$159,$C75,'05'!L$7:L$159)+SUMIF('06'!$D$7:$D$159,$C75,'06'!L$7:L$159)+SUMIF('07'!$D$7:$D$159,$C75,'07'!L$7:L$159)+SUMIF('08'!$D$7:$D$159,$C75,'08'!L$7:L$159)</f>
        <v>0</v>
      </c>
      <c r="K76" s="282">
        <f>SUMIF('02'!$D$7:$D$159,$C75,'02'!M$7:M$159)+SUMIF('03'!$D$7:$D$159,$C75,'03'!M$7:M$159)+SUMIF('04'!$D$7:$D$159,$C75,'04'!M$7:M$159)+SUMIF('05'!$D$7:$D$159,$C75,'05'!M$7:M$159)+SUMIF('06'!$D$7:$D$159,$C75,'06'!M$7:M$159)+SUMIF('07'!$D$7:$D$159,$C75,'07'!M$7:M$159)+SUMIF('08'!$D$7:$D$159,$C75,'08'!M$7:M$159)</f>
        <v>0</v>
      </c>
      <c r="L76" s="283">
        <f>SUMIF('02'!$D$7:$D$159,$C75,'02'!N$7:N$159)+SUMIF('03'!$D$7:$D$159,$C75,'03'!N$7:N$159)+SUMIF('04'!$D$7:$D$159,$C75,'04'!N$7:N$159)+SUMIF('05'!$D$7:$D$159,$C75,'05'!N$7:N$159)+SUMIF('06'!$D$7:$D$159,$C75,'06'!N$7:N$159)+SUMIF('07'!$D$7:$D$159,$C75,'07'!N$7:N$159)+SUMIF('08'!$D$7:$D$159,$C75,'08'!N$7:N$159)</f>
        <v>0</v>
      </c>
      <c r="M76" s="281">
        <f>SUMIF('02'!$D$7:$D$159,$C75,'02'!O$7:O$159)+SUMIF('03'!$D$7:$D$159,$C75,'03'!O$7:O$159)+SUMIF('04'!$D$7:$D$159,$C75,'04'!O$7:O$159)+SUMIF('05'!$D$7:$D$159,$C75,'05'!O$7:O$159)+SUMIF('06'!$D$7:$D$159,$C75,'06'!O$7:O$159)+SUMIF('07'!$D$7:$D$159,$C75,'07'!O$7:O$159)+SUMIF('08'!$D$7:$D$159,$C75,'08'!O$7:O$159)</f>
        <v>0</v>
      </c>
      <c r="N76" s="282">
        <f>SUMIF('02'!$D$7:$D$159,$C75,'02'!P$7:P$159)+SUMIF('03'!$D$7:$D$159,$C75,'03'!P$7:P$159)+SUMIF('04'!$D$7:$D$159,$C75,'04'!P$7:P$159)+SUMIF('05'!$D$7:$D$159,$C75,'05'!P$7:P$159)+SUMIF('06'!$D$7:$D$159,$C75,'06'!P$7:P$159)+SUMIF('07'!$D$7:$D$159,$C75,'07'!P$7:P$159)+SUMIF('08'!$D$7:$D$159,$C75,'08'!P$7:P$159)</f>
        <v>0</v>
      </c>
      <c r="O76" s="284">
        <f>SUMIF('02'!$D$7:$D$159,$C75,'02'!Q$7:Q$159)+SUMIF('03'!$D$7:$D$159,$C75,'03'!Q$7:Q$159)+SUMIF('04'!$D$7:$D$159,$C75,'04'!Q$7:Q$159)+SUMIF('05'!$D$7:$D$159,$C75,'05'!Q$7:Q$159)+SUMIF('06'!$D$7:$D$159,$C75,'06'!Q$7:Q$159)+SUMIF('07'!$D$7:$D$159,$C75,'07'!Q$7:Q$159)+SUMIF('08'!$D$7:$D$159,$C75,'08'!Q$7:Q$159)</f>
        <v>0</v>
      </c>
      <c r="P76" s="281">
        <f>SUMIF('02'!$D$7:$D$159,$C75,'02'!R$7:R$159)+SUMIF('03'!$D$7:$D$159,$C75,'03'!R$7:R$159)+SUMIF('04'!$D$7:$D$159,$C75,'04'!R$7:R$159)+SUMIF('05'!$D$7:$D$159,$C75,'05'!R$7:R$159)+SUMIF('06'!$D$7:$D$159,$C75,'06'!R$7:R$159)+SUMIF('07'!$D$7:$D$159,$C75,'07'!R$7:R$159)+SUMIF('08'!$D$7:$D$159,$C75,'08'!R$7:R$159)</f>
        <v>0</v>
      </c>
      <c r="Q76" s="282">
        <f>SUMIF('02'!$D$7:$D$159,$C75,'02'!S$7:S$159)+SUMIF('03'!$D$7:$D$159,$C75,'03'!S$7:S$159)+SUMIF('04'!$D$7:$D$159,$C75,'04'!S$7:S$159)+SUMIF('05'!$D$7:$D$159,$C75,'05'!S$7:S$159)+SUMIF('06'!$D$7:$D$159,$C75,'06'!S$7:S$159)+SUMIF('07'!$D$7:$D$159,$C75,'07'!S$7:S$159)+SUMIF('08'!$D$7:$D$159,$C75,'08'!S$7:S$159)</f>
        <v>0</v>
      </c>
      <c r="R76" s="283">
        <f>SUMIF('02'!$D$7:$D$159,$C75,'02'!T$7:T$159)+SUMIF('03'!$D$7:$D$159,$C75,'03'!T$7:T$159)+SUMIF('04'!$D$7:$D$159,$C75,'04'!T$7:T$159)+SUMIF('05'!$D$7:$D$159,$C75,'05'!T$7:T$159)+SUMIF('06'!$D$7:$D$159,$C75,'06'!T$7:T$159)+SUMIF('07'!$D$7:$D$159,$C75,'07'!T$7:T$159)+SUMIF('08'!$D$7:$D$159,$C75,'08'!T$7:T$159)</f>
        <v>0</v>
      </c>
      <c r="S76" s="281">
        <f>SUMIF('02'!$D$7:$D$159,$C75,'02'!U$7:U$159)+SUMIF('03'!$D$7:$D$159,$C75,'03'!U$7:U$159)+SUMIF('04'!$D$7:$D$159,$C75,'04'!U$7:U$159)+SUMIF('05'!$D$7:$D$159,$C75,'05'!U$7:U$159)+SUMIF('06'!$D$7:$D$159,$C75,'06'!U$7:U$159)+SUMIF('07'!$D$7:$D$159,$C75,'07'!U$7:U$159)+SUMIF('08'!$D$7:$D$159,$C75,'08'!U$7:U$159)</f>
        <v>0</v>
      </c>
      <c r="T76" s="282">
        <f>SUMIF('02'!$D$7:$D$159,$C75,'02'!V$7:V$159)+SUMIF('03'!$D$7:$D$159,$C75,'03'!V$7:V$159)+SUMIF('04'!$D$7:$D$159,$C75,'04'!V$7:V$159)+SUMIF('05'!$D$7:$D$159,$C75,'05'!V$7:V$159)+SUMIF('06'!$D$7:$D$159,$C75,'06'!V$7:V$159)+SUMIF('07'!$D$7:$D$159,$C75,'07'!V$7:V$159)+SUMIF('08'!$D$7:$D$159,$C75,'08'!V$7:V$159)</f>
        <v>0</v>
      </c>
      <c r="U76" s="285">
        <f>SUMIF('02'!$D$7:$D$159,$C75,'02'!W$7:W$159)+SUMIF('03'!$D$7:$D$159,$C75,'03'!W$7:W$159)+SUMIF('04'!$D$7:$D$159,$C75,'04'!W$7:W$159)+SUMIF('05'!$D$7:$D$159,$C75,'05'!W$7:W$159)+SUMIF('06'!$D$7:$D$159,$C75,'06'!W$7:W$159)+SUMIF('07'!$D$7:$D$159,$C75,'07'!W$7:W$159)+SUMIF('08'!$D$7:$D$159,$C75,'08'!W$7:W$159)</f>
        <v>0</v>
      </c>
      <c r="V76" s="284">
        <f>SUMIF('02'!$D$7:$D$159,$C75,'02'!X$7:X$159)+SUMIF('03'!$D$7:$D$159,$C75,'03'!X$7:X$159)+SUMIF('04'!$D$7:$D$159,$C75,'04'!X$7:X$159)+SUMIF('05'!$D$7:$D$159,$C75,'05'!X$7:X$159)+SUMIF('06'!$D$7:$D$159,$C75,'06'!X$7:X$159)+SUMIF('07'!$D$7:$D$159,$C75,'07'!X$7:X$159)+SUMIF('08'!$D$7:$D$159,$C75,'08'!X$7:X$159)</f>
        <v>0</v>
      </c>
      <c r="W76" s="284">
        <f>SUMIF('02'!$D$7:$D$159,$C75,'02'!Y$7:Y$159)+SUMIF('03'!$D$7:$D$159,$C75,'03'!Y$7:Y$159)+SUMIF('04'!$D$7:$D$159,$C75,'04'!Y$7:Y$159)+SUMIF('05'!$D$7:$D$159,$C75,'05'!Y$7:Y$159)+SUMIF('06'!$D$7:$D$159,$C75,'06'!Y$7:Y$159)+SUMIF('07'!$D$7:$D$159,$C75,'07'!Y$7:Y$159)+SUMIF('08'!$D$7:$D$159,$C75,'08'!Y$7:Y$159)</f>
        <v>0</v>
      </c>
      <c r="X76" s="286">
        <f t="shared" si="2"/>
        <v>0</v>
      </c>
      <c r="Y76" s="345"/>
      <c r="Z76" s="347"/>
    </row>
    <row r="77" spans="1:26" ht="14.25" customHeight="1" x14ac:dyDescent="0.3">
      <c r="A77" s="178">
        <f>IF(OR(C77="0",COUNTIF(КлючВесна,C77)&gt;1),0,MATCH(F77,ВидыНагр,0))</f>
        <v>0</v>
      </c>
      <c r="B77" s="178" t="b">
        <f>(COUNTA(D77:F78,J77:W77,H77:I78)=0)</f>
        <v>1</v>
      </c>
      <c r="C77" s="179" t="str">
        <f>IF(OR(TRIM(D77)="",COUNTIF(ВидыНагр,F77)&lt;&gt;1),"0",CONCATENATE("$",TRIM(D77),"$",TRIM(E77),"$",F77,"$"))</f>
        <v>0</v>
      </c>
      <c r="D77" s="340"/>
      <c r="E77" s="338"/>
      <c r="F77" s="342"/>
      <c r="G77" s="180" t="s">
        <v>7</v>
      </c>
      <c r="H77" s="181"/>
      <c r="I77" s="182"/>
      <c r="J77" s="183"/>
      <c r="K77" s="184"/>
      <c r="L77" s="185"/>
      <c r="M77" s="183"/>
      <c r="N77" s="184"/>
      <c r="O77" s="186"/>
      <c r="P77" s="183"/>
      <c r="Q77" s="184"/>
      <c r="R77" s="185"/>
      <c r="S77" s="183"/>
      <c r="T77" s="184"/>
      <c r="U77" s="187"/>
      <c r="V77" s="186"/>
      <c r="W77" s="186"/>
      <c r="X77" s="279">
        <f t="shared" si="2"/>
        <v>0</v>
      </c>
      <c r="Y77" s="344">
        <f>X78-X77</f>
        <v>0</v>
      </c>
      <c r="Z77" s="346"/>
    </row>
    <row r="78" spans="1:26" ht="14.25" customHeight="1" x14ac:dyDescent="0.3">
      <c r="A78" s="178">
        <f>-A77</f>
        <v>0</v>
      </c>
      <c r="B78" s="178" t="b">
        <f>B77</f>
        <v>1</v>
      </c>
      <c r="C78" s="188"/>
      <c r="D78" s="341"/>
      <c r="E78" s="339"/>
      <c r="F78" s="343"/>
      <c r="G78" s="189" t="s">
        <v>8</v>
      </c>
      <c r="H78" s="190"/>
      <c r="I78" s="280"/>
      <c r="J78" s="281">
        <f>SUMIF('02'!$D$7:$D$159,$C77,'02'!L$7:L$159)+SUMIF('03'!$D$7:$D$159,$C77,'03'!L$7:L$159)+SUMIF('04'!$D$7:$D$159,$C77,'04'!L$7:L$159)+SUMIF('05'!$D$7:$D$159,$C77,'05'!L$7:L$159)+SUMIF('06'!$D$7:$D$159,$C77,'06'!L$7:L$159)+SUMIF('07'!$D$7:$D$159,$C77,'07'!L$7:L$159)+SUMIF('08'!$D$7:$D$159,$C77,'08'!L$7:L$159)</f>
        <v>0</v>
      </c>
      <c r="K78" s="282">
        <f>SUMIF('02'!$D$7:$D$159,$C77,'02'!M$7:M$159)+SUMIF('03'!$D$7:$D$159,$C77,'03'!M$7:M$159)+SUMIF('04'!$D$7:$D$159,$C77,'04'!M$7:M$159)+SUMIF('05'!$D$7:$D$159,$C77,'05'!M$7:M$159)+SUMIF('06'!$D$7:$D$159,$C77,'06'!M$7:M$159)+SUMIF('07'!$D$7:$D$159,$C77,'07'!M$7:M$159)+SUMIF('08'!$D$7:$D$159,$C77,'08'!M$7:M$159)</f>
        <v>0</v>
      </c>
      <c r="L78" s="283">
        <f>SUMIF('02'!$D$7:$D$159,$C77,'02'!N$7:N$159)+SUMIF('03'!$D$7:$D$159,$C77,'03'!N$7:N$159)+SUMIF('04'!$D$7:$D$159,$C77,'04'!N$7:N$159)+SUMIF('05'!$D$7:$D$159,$C77,'05'!N$7:N$159)+SUMIF('06'!$D$7:$D$159,$C77,'06'!N$7:N$159)+SUMIF('07'!$D$7:$D$159,$C77,'07'!N$7:N$159)+SUMIF('08'!$D$7:$D$159,$C77,'08'!N$7:N$159)</f>
        <v>0</v>
      </c>
      <c r="M78" s="281">
        <f>SUMIF('02'!$D$7:$D$159,$C77,'02'!O$7:O$159)+SUMIF('03'!$D$7:$D$159,$C77,'03'!O$7:O$159)+SUMIF('04'!$D$7:$D$159,$C77,'04'!O$7:O$159)+SUMIF('05'!$D$7:$D$159,$C77,'05'!O$7:O$159)+SUMIF('06'!$D$7:$D$159,$C77,'06'!O$7:O$159)+SUMIF('07'!$D$7:$D$159,$C77,'07'!O$7:O$159)+SUMIF('08'!$D$7:$D$159,$C77,'08'!O$7:O$159)</f>
        <v>0</v>
      </c>
      <c r="N78" s="282">
        <f>SUMIF('02'!$D$7:$D$159,$C77,'02'!P$7:P$159)+SUMIF('03'!$D$7:$D$159,$C77,'03'!P$7:P$159)+SUMIF('04'!$D$7:$D$159,$C77,'04'!P$7:P$159)+SUMIF('05'!$D$7:$D$159,$C77,'05'!P$7:P$159)+SUMIF('06'!$D$7:$D$159,$C77,'06'!P$7:P$159)+SUMIF('07'!$D$7:$D$159,$C77,'07'!P$7:P$159)+SUMIF('08'!$D$7:$D$159,$C77,'08'!P$7:P$159)</f>
        <v>0</v>
      </c>
      <c r="O78" s="284">
        <f>SUMIF('02'!$D$7:$D$159,$C77,'02'!Q$7:Q$159)+SUMIF('03'!$D$7:$D$159,$C77,'03'!Q$7:Q$159)+SUMIF('04'!$D$7:$D$159,$C77,'04'!Q$7:Q$159)+SUMIF('05'!$D$7:$D$159,$C77,'05'!Q$7:Q$159)+SUMIF('06'!$D$7:$D$159,$C77,'06'!Q$7:Q$159)+SUMIF('07'!$D$7:$D$159,$C77,'07'!Q$7:Q$159)+SUMIF('08'!$D$7:$D$159,$C77,'08'!Q$7:Q$159)</f>
        <v>0</v>
      </c>
      <c r="P78" s="281">
        <f>SUMIF('02'!$D$7:$D$159,$C77,'02'!R$7:R$159)+SUMIF('03'!$D$7:$D$159,$C77,'03'!R$7:R$159)+SUMIF('04'!$D$7:$D$159,$C77,'04'!R$7:R$159)+SUMIF('05'!$D$7:$D$159,$C77,'05'!R$7:R$159)+SUMIF('06'!$D$7:$D$159,$C77,'06'!R$7:R$159)+SUMIF('07'!$D$7:$D$159,$C77,'07'!R$7:R$159)+SUMIF('08'!$D$7:$D$159,$C77,'08'!R$7:R$159)</f>
        <v>0</v>
      </c>
      <c r="Q78" s="282">
        <f>SUMIF('02'!$D$7:$D$159,$C77,'02'!S$7:S$159)+SUMIF('03'!$D$7:$D$159,$C77,'03'!S$7:S$159)+SUMIF('04'!$D$7:$D$159,$C77,'04'!S$7:S$159)+SUMIF('05'!$D$7:$D$159,$C77,'05'!S$7:S$159)+SUMIF('06'!$D$7:$D$159,$C77,'06'!S$7:S$159)+SUMIF('07'!$D$7:$D$159,$C77,'07'!S$7:S$159)+SUMIF('08'!$D$7:$D$159,$C77,'08'!S$7:S$159)</f>
        <v>0</v>
      </c>
      <c r="R78" s="283">
        <f>SUMIF('02'!$D$7:$D$159,$C77,'02'!T$7:T$159)+SUMIF('03'!$D$7:$D$159,$C77,'03'!T$7:T$159)+SUMIF('04'!$D$7:$D$159,$C77,'04'!T$7:T$159)+SUMIF('05'!$D$7:$D$159,$C77,'05'!T$7:T$159)+SUMIF('06'!$D$7:$D$159,$C77,'06'!T$7:T$159)+SUMIF('07'!$D$7:$D$159,$C77,'07'!T$7:T$159)+SUMIF('08'!$D$7:$D$159,$C77,'08'!T$7:T$159)</f>
        <v>0</v>
      </c>
      <c r="S78" s="281">
        <f>SUMIF('02'!$D$7:$D$159,$C77,'02'!U$7:U$159)+SUMIF('03'!$D$7:$D$159,$C77,'03'!U$7:U$159)+SUMIF('04'!$D$7:$D$159,$C77,'04'!U$7:U$159)+SUMIF('05'!$D$7:$D$159,$C77,'05'!U$7:U$159)+SUMIF('06'!$D$7:$D$159,$C77,'06'!U$7:U$159)+SUMIF('07'!$D$7:$D$159,$C77,'07'!U$7:U$159)+SUMIF('08'!$D$7:$D$159,$C77,'08'!U$7:U$159)</f>
        <v>0</v>
      </c>
      <c r="T78" s="282">
        <f>SUMIF('02'!$D$7:$D$159,$C77,'02'!V$7:V$159)+SUMIF('03'!$D$7:$D$159,$C77,'03'!V$7:V$159)+SUMIF('04'!$D$7:$D$159,$C77,'04'!V$7:V$159)+SUMIF('05'!$D$7:$D$159,$C77,'05'!V$7:V$159)+SUMIF('06'!$D$7:$D$159,$C77,'06'!V$7:V$159)+SUMIF('07'!$D$7:$D$159,$C77,'07'!V$7:V$159)+SUMIF('08'!$D$7:$D$159,$C77,'08'!V$7:V$159)</f>
        <v>0</v>
      </c>
      <c r="U78" s="285">
        <f>SUMIF('02'!$D$7:$D$159,$C77,'02'!W$7:W$159)+SUMIF('03'!$D$7:$D$159,$C77,'03'!W$7:W$159)+SUMIF('04'!$D$7:$D$159,$C77,'04'!W$7:W$159)+SUMIF('05'!$D$7:$D$159,$C77,'05'!W$7:W$159)+SUMIF('06'!$D$7:$D$159,$C77,'06'!W$7:W$159)+SUMIF('07'!$D$7:$D$159,$C77,'07'!W$7:W$159)+SUMIF('08'!$D$7:$D$159,$C77,'08'!W$7:W$159)</f>
        <v>0</v>
      </c>
      <c r="V78" s="284">
        <f>SUMIF('02'!$D$7:$D$159,$C77,'02'!X$7:X$159)+SUMIF('03'!$D$7:$D$159,$C77,'03'!X$7:X$159)+SUMIF('04'!$D$7:$D$159,$C77,'04'!X$7:X$159)+SUMIF('05'!$D$7:$D$159,$C77,'05'!X$7:X$159)+SUMIF('06'!$D$7:$D$159,$C77,'06'!X$7:X$159)+SUMIF('07'!$D$7:$D$159,$C77,'07'!X$7:X$159)+SUMIF('08'!$D$7:$D$159,$C77,'08'!X$7:X$159)</f>
        <v>0</v>
      </c>
      <c r="W78" s="284">
        <f>SUMIF('02'!$D$7:$D$159,$C77,'02'!Y$7:Y$159)+SUMIF('03'!$D$7:$D$159,$C77,'03'!Y$7:Y$159)+SUMIF('04'!$D$7:$D$159,$C77,'04'!Y$7:Y$159)+SUMIF('05'!$D$7:$D$159,$C77,'05'!Y$7:Y$159)+SUMIF('06'!$D$7:$D$159,$C77,'06'!Y$7:Y$159)+SUMIF('07'!$D$7:$D$159,$C77,'07'!Y$7:Y$159)+SUMIF('08'!$D$7:$D$159,$C77,'08'!Y$7:Y$159)</f>
        <v>0</v>
      </c>
      <c r="X78" s="286">
        <f t="shared" si="2"/>
        <v>0</v>
      </c>
      <c r="Y78" s="345"/>
      <c r="Z78" s="347"/>
    </row>
    <row r="79" spans="1:26" ht="14.25" customHeight="1" x14ac:dyDescent="0.3">
      <c r="A79" s="178">
        <f>IF(OR(C79="0",COUNTIF(КлючВесна,C79)&gt;1),0,MATCH(F79,ВидыНагр,0))</f>
        <v>0</v>
      </c>
      <c r="B79" s="178" t="b">
        <f>(COUNTA(D79:F80,J79:W79,H79:I80)=0)</f>
        <v>1</v>
      </c>
      <c r="C79" s="179" t="str">
        <f>IF(OR(TRIM(D79)="",COUNTIF(ВидыНагр,F79)&lt;&gt;1),"0",CONCATENATE("$",TRIM(D79),"$",TRIM(E79),"$",F79,"$"))</f>
        <v>0</v>
      </c>
      <c r="D79" s="340"/>
      <c r="E79" s="338"/>
      <c r="F79" s="342"/>
      <c r="G79" s="180" t="s">
        <v>7</v>
      </c>
      <c r="H79" s="181"/>
      <c r="I79" s="182"/>
      <c r="J79" s="183"/>
      <c r="K79" s="184"/>
      <c r="L79" s="185"/>
      <c r="M79" s="183"/>
      <c r="N79" s="184"/>
      <c r="O79" s="186"/>
      <c r="P79" s="183"/>
      <c r="Q79" s="184"/>
      <c r="R79" s="185"/>
      <c r="S79" s="183"/>
      <c r="T79" s="184"/>
      <c r="U79" s="187"/>
      <c r="V79" s="186"/>
      <c r="W79" s="186"/>
      <c r="X79" s="279">
        <f t="shared" si="2"/>
        <v>0</v>
      </c>
      <c r="Y79" s="344">
        <f>X80-X79</f>
        <v>0</v>
      </c>
      <c r="Z79" s="346"/>
    </row>
    <row r="80" spans="1:26" ht="14.25" customHeight="1" x14ac:dyDescent="0.3">
      <c r="A80" s="178">
        <f>-A79</f>
        <v>0</v>
      </c>
      <c r="B80" s="178" t="b">
        <f>B79</f>
        <v>1</v>
      </c>
      <c r="C80" s="188"/>
      <c r="D80" s="341"/>
      <c r="E80" s="339"/>
      <c r="F80" s="343"/>
      <c r="G80" s="189" t="s">
        <v>8</v>
      </c>
      <c r="H80" s="190"/>
      <c r="I80" s="280"/>
      <c r="J80" s="281">
        <f>SUMIF('02'!$D$7:$D$159,$C79,'02'!L$7:L$159)+SUMIF('03'!$D$7:$D$159,$C79,'03'!L$7:L$159)+SUMIF('04'!$D$7:$D$159,$C79,'04'!L$7:L$159)+SUMIF('05'!$D$7:$D$159,$C79,'05'!L$7:L$159)+SUMIF('06'!$D$7:$D$159,$C79,'06'!L$7:L$159)+SUMIF('07'!$D$7:$D$159,$C79,'07'!L$7:L$159)+SUMIF('08'!$D$7:$D$159,$C79,'08'!L$7:L$159)</f>
        <v>0</v>
      </c>
      <c r="K80" s="282">
        <f>SUMIF('02'!$D$7:$D$159,$C79,'02'!M$7:M$159)+SUMIF('03'!$D$7:$D$159,$C79,'03'!M$7:M$159)+SUMIF('04'!$D$7:$D$159,$C79,'04'!M$7:M$159)+SUMIF('05'!$D$7:$D$159,$C79,'05'!M$7:M$159)+SUMIF('06'!$D$7:$D$159,$C79,'06'!M$7:M$159)+SUMIF('07'!$D$7:$D$159,$C79,'07'!M$7:M$159)+SUMIF('08'!$D$7:$D$159,$C79,'08'!M$7:M$159)</f>
        <v>0</v>
      </c>
      <c r="L80" s="283">
        <f>SUMIF('02'!$D$7:$D$159,$C79,'02'!N$7:N$159)+SUMIF('03'!$D$7:$D$159,$C79,'03'!N$7:N$159)+SUMIF('04'!$D$7:$D$159,$C79,'04'!N$7:N$159)+SUMIF('05'!$D$7:$D$159,$C79,'05'!N$7:N$159)+SUMIF('06'!$D$7:$D$159,$C79,'06'!N$7:N$159)+SUMIF('07'!$D$7:$D$159,$C79,'07'!N$7:N$159)+SUMIF('08'!$D$7:$D$159,$C79,'08'!N$7:N$159)</f>
        <v>0</v>
      </c>
      <c r="M80" s="281">
        <f>SUMIF('02'!$D$7:$D$159,$C79,'02'!O$7:O$159)+SUMIF('03'!$D$7:$D$159,$C79,'03'!O$7:O$159)+SUMIF('04'!$D$7:$D$159,$C79,'04'!O$7:O$159)+SUMIF('05'!$D$7:$D$159,$C79,'05'!O$7:O$159)+SUMIF('06'!$D$7:$D$159,$C79,'06'!O$7:O$159)+SUMIF('07'!$D$7:$D$159,$C79,'07'!O$7:O$159)+SUMIF('08'!$D$7:$D$159,$C79,'08'!O$7:O$159)</f>
        <v>0</v>
      </c>
      <c r="N80" s="282">
        <f>SUMIF('02'!$D$7:$D$159,$C79,'02'!P$7:P$159)+SUMIF('03'!$D$7:$D$159,$C79,'03'!P$7:P$159)+SUMIF('04'!$D$7:$D$159,$C79,'04'!P$7:P$159)+SUMIF('05'!$D$7:$D$159,$C79,'05'!P$7:P$159)+SUMIF('06'!$D$7:$D$159,$C79,'06'!P$7:P$159)+SUMIF('07'!$D$7:$D$159,$C79,'07'!P$7:P$159)+SUMIF('08'!$D$7:$D$159,$C79,'08'!P$7:P$159)</f>
        <v>0</v>
      </c>
      <c r="O80" s="284">
        <f>SUMIF('02'!$D$7:$D$159,$C79,'02'!Q$7:Q$159)+SUMIF('03'!$D$7:$D$159,$C79,'03'!Q$7:Q$159)+SUMIF('04'!$D$7:$D$159,$C79,'04'!Q$7:Q$159)+SUMIF('05'!$D$7:$D$159,$C79,'05'!Q$7:Q$159)+SUMIF('06'!$D$7:$D$159,$C79,'06'!Q$7:Q$159)+SUMIF('07'!$D$7:$D$159,$C79,'07'!Q$7:Q$159)+SUMIF('08'!$D$7:$D$159,$C79,'08'!Q$7:Q$159)</f>
        <v>0</v>
      </c>
      <c r="P80" s="281">
        <f>SUMIF('02'!$D$7:$D$159,$C79,'02'!R$7:R$159)+SUMIF('03'!$D$7:$D$159,$C79,'03'!R$7:R$159)+SUMIF('04'!$D$7:$D$159,$C79,'04'!R$7:R$159)+SUMIF('05'!$D$7:$D$159,$C79,'05'!R$7:R$159)+SUMIF('06'!$D$7:$D$159,$C79,'06'!R$7:R$159)+SUMIF('07'!$D$7:$D$159,$C79,'07'!R$7:R$159)+SUMIF('08'!$D$7:$D$159,$C79,'08'!R$7:R$159)</f>
        <v>0</v>
      </c>
      <c r="Q80" s="282">
        <f>SUMIF('02'!$D$7:$D$159,$C79,'02'!S$7:S$159)+SUMIF('03'!$D$7:$D$159,$C79,'03'!S$7:S$159)+SUMIF('04'!$D$7:$D$159,$C79,'04'!S$7:S$159)+SUMIF('05'!$D$7:$D$159,$C79,'05'!S$7:S$159)+SUMIF('06'!$D$7:$D$159,$C79,'06'!S$7:S$159)+SUMIF('07'!$D$7:$D$159,$C79,'07'!S$7:S$159)+SUMIF('08'!$D$7:$D$159,$C79,'08'!S$7:S$159)</f>
        <v>0</v>
      </c>
      <c r="R80" s="283">
        <f>SUMIF('02'!$D$7:$D$159,$C79,'02'!T$7:T$159)+SUMIF('03'!$D$7:$D$159,$C79,'03'!T$7:T$159)+SUMIF('04'!$D$7:$D$159,$C79,'04'!T$7:T$159)+SUMIF('05'!$D$7:$D$159,$C79,'05'!T$7:T$159)+SUMIF('06'!$D$7:$D$159,$C79,'06'!T$7:T$159)+SUMIF('07'!$D$7:$D$159,$C79,'07'!T$7:T$159)+SUMIF('08'!$D$7:$D$159,$C79,'08'!T$7:T$159)</f>
        <v>0</v>
      </c>
      <c r="S80" s="281">
        <f>SUMIF('02'!$D$7:$D$159,$C79,'02'!U$7:U$159)+SUMIF('03'!$D$7:$D$159,$C79,'03'!U$7:U$159)+SUMIF('04'!$D$7:$D$159,$C79,'04'!U$7:U$159)+SUMIF('05'!$D$7:$D$159,$C79,'05'!U$7:U$159)+SUMIF('06'!$D$7:$D$159,$C79,'06'!U$7:U$159)+SUMIF('07'!$D$7:$D$159,$C79,'07'!U$7:U$159)+SUMIF('08'!$D$7:$D$159,$C79,'08'!U$7:U$159)</f>
        <v>0</v>
      </c>
      <c r="T80" s="282">
        <f>SUMIF('02'!$D$7:$D$159,$C79,'02'!V$7:V$159)+SUMIF('03'!$D$7:$D$159,$C79,'03'!V$7:V$159)+SUMIF('04'!$D$7:$D$159,$C79,'04'!V$7:V$159)+SUMIF('05'!$D$7:$D$159,$C79,'05'!V$7:V$159)+SUMIF('06'!$D$7:$D$159,$C79,'06'!V$7:V$159)+SUMIF('07'!$D$7:$D$159,$C79,'07'!V$7:V$159)+SUMIF('08'!$D$7:$D$159,$C79,'08'!V$7:V$159)</f>
        <v>0</v>
      </c>
      <c r="U80" s="285">
        <f>SUMIF('02'!$D$7:$D$159,$C79,'02'!W$7:W$159)+SUMIF('03'!$D$7:$D$159,$C79,'03'!W$7:W$159)+SUMIF('04'!$D$7:$D$159,$C79,'04'!W$7:W$159)+SUMIF('05'!$D$7:$D$159,$C79,'05'!W$7:W$159)+SUMIF('06'!$D$7:$D$159,$C79,'06'!W$7:W$159)+SUMIF('07'!$D$7:$D$159,$C79,'07'!W$7:W$159)+SUMIF('08'!$D$7:$D$159,$C79,'08'!W$7:W$159)</f>
        <v>0</v>
      </c>
      <c r="V80" s="284">
        <f>SUMIF('02'!$D$7:$D$159,$C79,'02'!X$7:X$159)+SUMIF('03'!$D$7:$D$159,$C79,'03'!X$7:X$159)+SUMIF('04'!$D$7:$D$159,$C79,'04'!X$7:X$159)+SUMIF('05'!$D$7:$D$159,$C79,'05'!X$7:X$159)+SUMIF('06'!$D$7:$D$159,$C79,'06'!X$7:X$159)+SUMIF('07'!$D$7:$D$159,$C79,'07'!X$7:X$159)+SUMIF('08'!$D$7:$D$159,$C79,'08'!X$7:X$159)</f>
        <v>0</v>
      </c>
      <c r="W80" s="284">
        <f>SUMIF('02'!$D$7:$D$159,$C79,'02'!Y$7:Y$159)+SUMIF('03'!$D$7:$D$159,$C79,'03'!Y$7:Y$159)+SUMIF('04'!$D$7:$D$159,$C79,'04'!Y$7:Y$159)+SUMIF('05'!$D$7:$D$159,$C79,'05'!Y$7:Y$159)+SUMIF('06'!$D$7:$D$159,$C79,'06'!Y$7:Y$159)+SUMIF('07'!$D$7:$D$159,$C79,'07'!Y$7:Y$159)+SUMIF('08'!$D$7:$D$159,$C79,'08'!Y$7:Y$159)</f>
        <v>0</v>
      </c>
      <c r="X80" s="286">
        <f t="shared" si="2"/>
        <v>0</v>
      </c>
      <c r="Y80" s="345"/>
      <c r="Z80" s="347"/>
    </row>
    <row r="81" spans="1:26" ht="14.25" customHeight="1" x14ac:dyDescent="0.3">
      <c r="A81" s="178">
        <f>IF(OR(C81="0",COUNTIF(КлючВесна,C81)&gt;1),0,MATCH(F81,ВидыНагр,0))</f>
        <v>0</v>
      </c>
      <c r="B81" s="178" t="b">
        <f>(COUNTA(D81:F82,J81:W81,H81:I82)=0)</f>
        <v>1</v>
      </c>
      <c r="C81" s="179" t="str">
        <f>IF(OR(TRIM(D81)="",COUNTIF(ВидыНагр,F81)&lt;&gt;1),"0",CONCATENATE("$",TRIM(D81),"$",TRIM(E81),"$",F81,"$"))</f>
        <v>0</v>
      </c>
      <c r="D81" s="340"/>
      <c r="E81" s="338"/>
      <c r="F81" s="342"/>
      <c r="G81" s="180" t="s">
        <v>7</v>
      </c>
      <c r="H81" s="181"/>
      <c r="I81" s="182"/>
      <c r="J81" s="183"/>
      <c r="K81" s="184"/>
      <c r="L81" s="185"/>
      <c r="M81" s="183"/>
      <c r="N81" s="184"/>
      <c r="O81" s="186"/>
      <c r="P81" s="183"/>
      <c r="Q81" s="184"/>
      <c r="R81" s="185"/>
      <c r="S81" s="183"/>
      <c r="T81" s="184"/>
      <c r="U81" s="187"/>
      <c r="V81" s="186"/>
      <c r="W81" s="186"/>
      <c r="X81" s="279">
        <f t="shared" si="2"/>
        <v>0</v>
      </c>
      <c r="Y81" s="344">
        <f>X82-X81</f>
        <v>0</v>
      </c>
      <c r="Z81" s="346"/>
    </row>
    <row r="82" spans="1:26" ht="14.25" customHeight="1" x14ac:dyDescent="0.3">
      <c r="A82" s="178">
        <f>-A81</f>
        <v>0</v>
      </c>
      <c r="B82" s="178" t="b">
        <f>B81</f>
        <v>1</v>
      </c>
      <c r="C82" s="188"/>
      <c r="D82" s="341"/>
      <c r="E82" s="339"/>
      <c r="F82" s="343"/>
      <c r="G82" s="189" t="s">
        <v>8</v>
      </c>
      <c r="H82" s="190"/>
      <c r="I82" s="280"/>
      <c r="J82" s="281">
        <f>SUMIF('02'!$D$7:$D$159,$C81,'02'!L$7:L$159)+SUMIF('03'!$D$7:$D$159,$C81,'03'!L$7:L$159)+SUMIF('04'!$D$7:$D$159,$C81,'04'!L$7:L$159)+SUMIF('05'!$D$7:$D$159,$C81,'05'!L$7:L$159)+SUMIF('06'!$D$7:$D$159,$C81,'06'!L$7:L$159)+SUMIF('07'!$D$7:$D$159,$C81,'07'!L$7:L$159)+SUMIF('08'!$D$7:$D$159,$C81,'08'!L$7:L$159)</f>
        <v>0</v>
      </c>
      <c r="K82" s="282">
        <f>SUMIF('02'!$D$7:$D$159,$C81,'02'!M$7:M$159)+SUMIF('03'!$D$7:$D$159,$C81,'03'!M$7:M$159)+SUMIF('04'!$D$7:$D$159,$C81,'04'!M$7:M$159)+SUMIF('05'!$D$7:$D$159,$C81,'05'!M$7:M$159)+SUMIF('06'!$D$7:$D$159,$C81,'06'!M$7:M$159)+SUMIF('07'!$D$7:$D$159,$C81,'07'!M$7:M$159)+SUMIF('08'!$D$7:$D$159,$C81,'08'!M$7:M$159)</f>
        <v>0</v>
      </c>
      <c r="L82" s="283">
        <f>SUMIF('02'!$D$7:$D$159,$C81,'02'!N$7:N$159)+SUMIF('03'!$D$7:$D$159,$C81,'03'!N$7:N$159)+SUMIF('04'!$D$7:$D$159,$C81,'04'!N$7:N$159)+SUMIF('05'!$D$7:$D$159,$C81,'05'!N$7:N$159)+SUMIF('06'!$D$7:$D$159,$C81,'06'!N$7:N$159)+SUMIF('07'!$D$7:$D$159,$C81,'07'!N$7:N$159)+SUMIF('08'!$D$7:$D$159,$C81,'08'!N$7:N$159)</f>
        <v>0</v>
      </c>
      <c r="M82" s="281">
        <f>SUMIF('02'!$D$7:$D$159,$C81,'02'!O$7:O$159)+SUMIF('03'!$D$7:$D$159,$C81,'03'!O$7:O$159)+SUMIF('04'!$D$7:$D$159,$C81,'04'!O$7:O$159)+SUMIF('05'!$D$7:$D$159,$C81,'05'!O$7:O$159)+SUMIF('06'!$D$7:$D$159,$C81,'06'!O$7:O$159)+SUMIF('07'!$D$7:$D$159,$C81,'07'!O$7:O$159)+SUMIF('08'!$D$7:$D$159,$C81,'08'!O$7:O$159)</f>
        <v>0</v>
      </c>
      <c r="N82" s="282">
        <f>SUMIF('02'!$D$7:$D$159,$C81,'02'!P$7:P$159)+SUMIF('03'!$D$7:$D$159,$C81,'03'!P$7:P$159)+SUMIF('04'!$D$7:$D$159,$C81,'04'!P$7:P$159)+SUMIF('05'!$D$7:$D$159,$C81,'05'!P$7:P$159)+SUMIF('06'!$D$7:$D$159,$C81,'06'!P$7:P$159)+SUMIF('07'!$D$7:$D$159,$C81,'07'!P$7:P$159)+SUMIF('08'!$D$7:$D$159,$C81,'08'!P$7:P$159)</f>
        <v>0</v>
      </c>
      <c r="O82" s="284">
        <f>SUMIF('02'!$D$7:$D$159,$C81,'02'!Q$7:Q$159)+SUMIF('03'!$D$7:$D$159,$C81,'03'!Q$7:Q$159)+SUMIF('04'!$D$7:$D$159,$C81,'04'!Q$7:Q$159)+SUMIF('05'!$D$7:$D$159,$C81,'05'!Q$7:Q$159)+SUMIF('06'!$D$7:$D$159,$C81,'06'!Q$7:Q$159)+SUMIF('07'!$D$7:$D$159,$C81,'07'!Q$7:Q$159)+SUMIF('08'!$D$7:$D$159,$C81,'08'!Q$7:Q$159)</f>
        <v>0</v>
      </c>
      <c r="P82" s="281">
        <f>SUMIF('02'!$D$7:$D$159,$C81,'02'!R$7:R$159)+SUMIF('03'!$D$7:$D$159,$C81,'03'!R$7:R$159)+SUMIF('04'!$D$7:$D$159,$C81,'04'!R$7:R$159)+SUMIF('05'!$D$7:$D$159,$C81,'05'!R$7:R$159)+SUMIF('06'!$D$7:$D$159,$C81,'06'!R$7:R$159)+SUMIF('07'!$D$7:$D$159,$C81,'07'!R$7:R$159)+SUMIF('08'!$D$7:$D$159,$C81,'08'!R$7:R$159)</f>
        <v>0</v>
      </c>
      <c r="Q82" s="282">
        <f>SUMIF('02'!$D$7:$D$159,$C81,'02'!S$7:S$159)+SUMIF('03'!$D$7:$D$159,$C81,'03'!S$7:S$159)+SUMIF('04'!$D$7:$D$159,$C81,'04'!S$7:S$159)+SUMIF('05'!$D$7:$D$159,$C81,'05'!S$7:S$159)+SUMIF('06'!$D$7:$D$159,$C81,'06'!S$7:S$159)+SUMIF('07'!$D$7:$D$159,$C81,'07'!S$7:S$159)+SUMIF('08'!$D$7:$D$159,$C81,'08'!S$7:S$159)</f>
        <v>0</v>
      </c>
      <c r="R82" s="283">
        <f>SUMIF('02'!$D$7:$D$159,$C81,'02'!T$7:T$159)+SUMIF('03'!$D$7:$D$159,$C81,'03'!T$7:T$159)+SUMIF('04'!$D$7:$D$159,$C81,'04'!T$7:T$159)+SUMIF('05'!$D$7:$D$159,$C81,'05'!T$7:T$159)+SUMIF('06'!$D$7:$D$159,$C81,'06'!T$7:T$159)+SUMIF('07'!$D$7:$D$159,$C81,'07'!T$7:T$159)+SUMIF('08'!$D$7:$D$159,$C81,'08'!T$7:T$159)</f>
        <v>0</v>
      </c>
      <c r="S82" s="281">
        <f>SUMIF('02'!$D$7:$D$159,$C81,'02'!U$7:U$159)+SUMIF('03'!$D$7:$D$159,$C81,'03'!U$7:U$159)+SUMIF('04'!$D$7:$D$159,$C81,'04'!U$7:U$159)+SUMIF('05'!$D$7:$D$159,$C81,'05'!U$7:U$159)+SUMIF('06'!$D$7:$D$159,$C81,'06'!U$7:U$159)+SUMIF('07'!$D$7:$D$159,$C81,'07'!U$7:U$159)+SUMIF('08'!$D$7:$D$159,$C81,'08'!U$7:U$159)</f>
        <v>0</v>
      </c>
      <c r="T82" s="282">
        <f>SUMIF('02'!$D$7:$D$159,$C81,'02'!V$7:V$159)+SUMIF('03'!$D$7:$D$159,$C81,'03'!V$7:V$159)+SUMIF('04'!$D$7:$D$159,$C81,'04'!V$7:V$159)+SUMIF('05'!$D$7:$D$159,$C81,'05'!V$7:V$159)+SUMIF('06'!$D$7:$D$159,$C81,'06'!V$7:V$159)+SUMIF('07'!$D$7:$D$159,$C81,'07'!V$7:V$159)+SUMIF('08'!$D$7:$D$159,$C81,'08'!V$7:V$159)</f>
        <v>0</v>
      </c>
      <c r="U82" s="285">
        <f>SUMIF('02'!$D$7:$D$159,$C81,'02'!W$7:W$159)+SUMIF('03'!$D$7:$D$159,$C81,'03'!W$7:W$159)+SUMIF('04'!$D$7:$D$159,$C81,'04'!W$7:W$159)+SUMIF('05'!$D$7:$D$159,$C81,'05'!W$7:W$159)+SUMIF('06'!$D$7:$D$159,$C81,'06'!W$7:W$159)+SUMIF('07'!$D$7:$D$159,$C81,'07'!W$7:W$159)+SUMIF('08'!$D$7:$D$159,$C81,'08'!W$7:W$159)</f>
        <v>0</v>
      </c>
      <c r="V82" s="284">
        <f>SUMIF('02'!$D$7:$D$159,$C81,'02'!X$7:X$159)+SUMIF('03'!$D$7:$D$159,$C81,'03'!X$7:X$159)+SUMIF('04'!$D$7:$D$159,$C81,'04'!X$7:X$159)+SUMIF('05'!$D$7:$D$159,$C81,'05'!X$7:X$159)+SUMIF('06'!$D$7:$D$159,$C81,'06'!X$7:X$159)+SUMIF('07'!$D$7:$D$159,$C81,'07'!X$7:X$159)+SUMIF('08'!$D$7:$D$159,$C81,'08'!X$7:X$159)</f>
        <v>0</v>
      </c>
      <c r="W82" s="284">
        <f>SUMIF('02'!$D$7:$D$159,$C81,'02'!Y$7:Y$159)+SUMIF('03'!$D$7:$D$159,$C81,'03'!Y$7:Y$159)+SUMIF('04'!$D$7:$D$159,$C81,'04'!Y$7:Y$159)+SUMIF('05'!$D$7:$D$159,$C81,'05'!Y$7:Y$159)+SUMIF('06'!$D$7:$D$159,$C81,'06'!Y$7:Y$159)+SUMIF('07'!$D$7:$D$159,$C81,'07'!Y$7:Y$159)+SUMIF('08'!$D$7:$D$159,$C81,'08'!Y$7:Y$159)</f>
        <v>0</v>
      </c>
      <c r="X82" s="286">
        <f t="shared" si="2"/>
        <v>0</v>
      </c>
      <c r="Y82" s="345"/>
      <c r="Z82" s="347"/>
    </row>
    <row r="83" spans="1:26" ht="14.25" customHeight="1" x14ac:dyDescent="0.3">
      <c r="A83" s="178">
        <f>IF(OR(C83="0",COUNTIF(КлючВесна,C83)&gt;1),0,MATCH(F83,ВидыНагр,0))</f>
        <v>0</v>
      </c>
      <c r="B83" s="178" t="b">
        <f>(COUNTA(D83:F84,J83:W83,H83:I84)=0)</f>
        <v>1</v>
      </c>
      <c r="C83" s="179" t="str">
        <f>IF(OR(TRIM(D83)="",COUNTIF(ВидыНагр,F83)&lt;&gt;1),"0",CONCATENATE("$",TRIM(D83),"$",TRIM(E83),"$",F83,"$"))</f>
        <v>0</v>
      </c>
      <c r="D83" s="340"/>
      <c r="E83" s="338"/>
      <c r="F83" s="342"/>
      <c r="G83" s="180" t="s">
        <v>7</v>
      </c>
      <c r="H83" s="181"/>
      <c r="I83" s="182"/>
      <c r="J83" s="183"/>
      <c r="K83" s="184"/>
      <c r="L83" s="185"/>
      <c r="M83" s="183"/>
      <c r="N83" s="184"/>
      <c r="O83" s="186"/>
      <c r="P83" s="183"/>
      <c r="Q83" s="184"/>
      <c r="R83" s="185"/>
      <c r="S83" s="183"/>
      <c r="T83" s="184"/>
      <c r="U83" s="187"/>
      <c r="V83" s="186"/>
      <c r="W83" s="186"/>
      <c r="X83" s="279">
        <f t="shared" si="2"/>
        <v>0</v>
      </c>
      <c r="Y83" s="344">
        <f>X84-X83</f>
        <v>0</v>
      </c>
      <c r="Z83" s="346"/>
    </row>
    <row r="84" spans="1:26" ht="14.25" customHeight="1" x14ac:dyDescent="0.3">
      <c r="A84" s="178">
        <f>-A83</f>
        <v>0</v>
      </c>
      <c r="B84" s="178" t="b">
        <f>B83</f>
        <v>1</v>
      </c>
      <c r="C84" s="188"/>
      <c r="D84" s="341"/>
      <c r="E84" s="339"/>
      <c r="F84" s="343"/>
      <c r="G84" s="189" t="s">
        <v>8</v>
      </c>
      <c r="H84" s="190"/>
      <c r="I84" s="280"/>
      <c r="J84" s="281">
        <f>SUMIF('02'!$D$7:$D$159,$C83,'02'!L$7:L$159)+SUMIF('03'!$D$7:$D$159,$C83,'03'!L$7:L$159)+SUMIF('04'!$D$7:$D$159,$C83,'04'!L$7:L$159)+SUMIF('05'!$D$7:$D$159,$C83,'05'!L$7:L$159)+SUMIF('06'!$D$7:$D$159,$C83,'06'!L$7:L$159)+SUMIF('07'!$D$7:$D$159,$C83,'07'!L$7:L$159)+SUMIF('08'!$D$7:$D$159,$C83,'08'!L$7:L$159)</f>
        <v>0</v>
      </c>
      <c r="K84" s="282">
        <f>SUMIF('02'!$D$7:$D$159,$C83,'02'!M$7:M$159)+SUMIF('03'!$D$7:$D$159,$C83,'03'!M$7:M$159)+SUMIF('04'!$D$7:$D$159,$C83,'04'!M$7:M$159)+SUMIF('05'!$D$7:$D$159,$C83,'05'!M$7:M$159)+SUMIF('06'!$D$7:$D$159,$C83,'06'!M$7:M$159)+SUMIF('07'!$D$7:$D$159,$C83,'07'!M$7:M$159)+SUMIF('08'!$D$7:$D$159,$C83,'08'!M$7:M$159)</f>
        <v>0</v>
      </c>
      <c r="L84" s="283">
        <f>SUMIF('02'!$D$7:$D$159,$C83,'02'!N$7:N$159)+SUMIF('03'!$D$7:$D$159,$C83,'03'!N$7:N$159)+SUMIF('04'!$D$7:$D$159,$C83,'04'!N$7:N$159)+SUMIF('05'!$D$7:$D$159,$C83,'05'!N$7:N$159)+SUMIF('06'!$D$7:$D$159,$C83,'06'!N$7:N$159)+SUMIF('07'!$D$7:$D$159,$C83,'07'!N$7:N$159)+SUMIF('08'!$D$7:$D$159,$C83,'08'!N$7:N$159)</f>
        <v>0</v>
      </c>
      <c r="M84" s="281">
        <f>SUMIF('02'!$D$7:$D$159,$C83,'02'!O$7:O$159)+SUMIF('03'!$D$7:$D$159,$C83,'03'!O$7:O$159)+SUMIF('04'!$D$7:$D$159,$C83,'04'!O$7:O$159)+SUMIF('05'!$D$7:$D$159,$C83,'05'!O$7:O$159)+SUMIF('06'!$D$7:$D$159,$C83,'06'!O$7:O$159)+SUMIF('07'!$D$7:$D$159,$C83,'07'!O$7:O$159)+SUMIF('08'!$D$7:$D$159,$C83,'08'!O$7:O$159)</f>
        <v>0</v>
      </c>
      <c r="N84" s="282">
        <f>SUMIF('02'!$D$7:$D$159,$C83,'02'!P$7:P$159)+SUMIF('03'!$D$7:$D$159,$C83,'03'!P$7:P$159)+SUMIF('04'!$D$7:$D$159,$C83,'04'!P$7:P$159)+SUMIF('05'!$D$7:$D$159,$C83,'05'!P$7:P$159)+SUMIF('06'!$D$7:$D$159,$C83,'06'!P$7:P$159)+SUMIF('07'!$D$7:$D$159,$C83,'07'!P$7:P$159)+SUMIF('08'!$D$7:$D$159,$C83,'08'!P$7:P$159)</f>
        <v>0</v>
      </c>
      <c r="O84" s="284">
        <f>SUMIF('02'!$D$7:$D$159,$C83,'02'!Q$7:Q$159)+SUMIF('03'!$D$7:$D$159,$C83,'03'!Q$7:Q$159)+SUMIF('04'!$D$7:$D$159,$C83,'04'!Q$7:Q$159)+SUMIF('05'!$D$7:$D$159,$C83,'05'!Q$7:Q$159)+SUMIF('06'!$D$7:$D$159,$C83,'06'!Q$7:Q$159)+SUMIF('07'!$D$7:$D$159,$C83,'07'!Q$7:Q$159)+SUMIF('08'!$D$7:$D$159,$C83,'08'!Q$7:Q$159)</f>
        <v>0</v>
      </c>
      <c r="P84" s="281">
        <f>SUMIF('02'!$D$7:$D$159,$C83,'02'!R$7:R$159)+SUMIF('03'!$D$7:$D$159,$C83,'03'!R$7:R$159)+SUMIF('04'!$D$7:$D$159,$C83,'04'!R$7:R$159)+SUMIF('05'!$D$7:$D$159,$C83,'05'!R$7:R$159)+SUMIF('06'!$D$7:$D$159,$C83,'06'!R$7:R$159)+SUMIF('07'!$D$7:$D$159,$C83,'07'!R$7:R$159)+SUMIF('08'!$D$7:$D$159,$C83,'08'!R$7:R$159)</f>
        <v>0</v>
      </c>
      <c r="Q84" s="282">
        <f>SUMIF('02'!$D$7:$D$159,$C83,'02'!S$7:S$159)+SUMIF('03'!$D$7:$D$159,$C83,'03'!S$7:S$159)+SUMIF('04'!$D$7:$D$159,$C83,'04'!S$7:S$159)+SUMIF('05'!$D$7:$D$159,$C83,'05'!S$7:S$159)+SUMIF('06'!$D$7:$D$159,$C83,'06'!S$7:S$159)+SUMIF('07'!$D$7:$D$159,$C83,'07'!S$7:S$159)+SUMIF('08'!$D$7:$D$159,$C83,'08'!S$7:S$159)</f>
        <v>0</v>
      </c>
      <c r="R84" s="283">
        <f>SUMIF('02'!$D$7:$D$159,$C83,'02'!T$7:T$159)+SUMIF('03'!$D$7:$D$159,$C83,'03'!T$7:T$159)+SUMIF('04'!$D$7:$D$159,$C83,'04'!T$7:T$159)+SUMIF('05'!$D$7:$D$159,$C83,'05'!T$7:T$159)+SUMIF('06'!$D$7:$D$159,$C83,'06'!T$7:T$159)+SUMIF('07'!$D$7:$D$159,$C83,'07'!T$7:T$159)+SUMIF('08'!$D$7:$D$159,$C83,'08'!T$7:T$159)</f>
        <v>0</v>
      </c>
      <c r="S84" s="281">
        <f>SUMIF('02'!$D$7:$D$159,$C83,'02'!U$7:U$159)+SUMIF('03'!$D$7:$D$159,$C83,'03'!U$7:U$159)+SUMIF('04'!$D$7:$D$159,$C83,'04'!U$7:U$159)+SUMIF('05'!$D$7:$D$159,$C83,'05'!U$7:U$159)+SUMIF('06'!$D$7:$D$159,$C83,'06'!U$7:U$159)+SUMIF('07'!$D$7:$D$159,$C83,'07'!U$7:U$159)+SUMIF('08'!$D$7:$D$159,$C83,'08'!U$7:U$159)</f>
        <v>0</v>
      </c>
      <c r="T84" s="282">
        <f>SUMIF('02'!$D$7:$D$159,$C83,'02'!V$7:V$159)+SUMIF('03'!$D$7:$D$159,$C83,'03'!V$7:V$159)+SUMIF('04'!$D$7:$D$159,$C83,'04'!V$7:V$159)+SUMIF('05'!$D$7:$D$159,$C83,'05'!V$7:V$159)+SUMIF('06'!$D$7:$D$159,$C83,'06'!V$7:V$159)+SUMIF('07'!$D$7:$D$159,$C83,'07'!V$7:V$159)+SUMIF('08'!$D$7:$D$159,$C83,'08'!V$7:V$159)</f>
        <v>0</v>
      </c>
      <c r="U84" s="285">
        <f>SUMIF('02'!$D$7:$D$159,$C83,'02'!W$7:W$159)+SUMIF('03'!$D$7:$D$159,$C83,'03'!W$7:W$159)+SUMIF('04'!$D$7:$D$159,$C83,'04'!W$7:W$159)+SUMIF('05'!$D$7:$D$159,$C83,'05'!W$7:W$159)+SUMIF('06'!$D$7:$D$159,$C83,'06'!W$7:W$159)+SUMIF('07'!$D$7:$D$159,$C83,'07'!W$7:W$159)+SUMIF('08'!$D$7:$D$159,$C83,'08'!W$7:W$159)</f>
        <v>0</v>
      </c>
      <c r="V84" s="284">
        <f>SUMIF('02'!$D$7:$D$159,$C83,'02'!X$7:X$159)+SUMIF('03'!$D$7:$D$159,$C83,'03'!X$7:X$159)+SUMIF('04'!$D$7:$D$159,$C83,'04'!X$7:X$159)+SUMIF('05'!$D$7:$D$159,$C83,'05'!X$7:X$159)+SUMIF('06'!$D$7:$D$159,$C83,'06'!X$7:X$159)+SUMIF('07'!$D$7:$D$159,$C83,'07'!X$7:X$159)+SUMIF('08'!$D$7:$D$159,$C83,'08'!X$7:X$159)</f>
        <v>0</v>
      </c>
      <c r="W84" s="284">
        <f>SUMIF('02'!$D$7:$D$159,$C83,'02'!Y$7:Y$159)+SUMIF('03'!$D$7:$D$159,$C83,'03'!Y$7:Y$159)+SUMIF('04'!$D$7:$D$159,$C83,'04'!Y$7:Y$159)+SUMIF('05'!$D$7:$D$159,$C83,'05'!Y$7:Y$159)+SUMIF('06'!$D$7:$D$159,$C83,'06'!Y$7:Y$159)+SUMIF('07'!$D$7:$D$159,$C83,'07'!Y$7:Y$159)+SUMIF('08'!$D$7:$D$159,$C83,'08'!Y$7:Y$159)</f>
        <v>0</v>
      </c>
      <c r="X84" s="286">
        <f t="shared" si="2"/>
        <v>0</v>
      </c>
      <c r="Y84" s="345"/>
      <c r="Z84" s="347"/>
    </row>
    <row r="85" spans="1:26" ht="14.25" customHeight="1" x14ac:dyDescent="0.3">
      <c r="A85" s="178">
        <f>IF(OR(C85="0",COUNTIF(КлючВесна,C85)&gt;1),0,MATCH(F85,ВидыНагр,0))</f>
        <v>0</v>
      </c>
      <c r="B85" s="178" t="b">
        <f>(COUNTA(D85:F86,J85:W85,H85:I86)=0)</f>
        <v>1</v>
      </c>
      <c r="C85" s="179" t="str">
        <f>IF(OR(TRIM(D85)="",COUNTIF(ВидыНагр,F85)&lt;&gt;1),"0",CONCATENATE("$",TRIM(D85),"$",TRIM(E85),"$",F85,"$"))</f>
        <v>0</v>
      </c>
      <c r="D85" s="340"/>
      <c r="E85" s="338"/>
      <c r="F85" s="342"/>
      <c r="G85" s="180" t="s">
        <v>7</v>
      </c>
      <c r="H85" s="181"/>
      <c r="I85" s="182"/>
      <c r="J85" s="183"/>
      <c r="K85" s="184"/>
      <c r="L85" s="185"/>
      <c r="M85" s="183"/>
      <c r="N85" s="184"/>
      <c r="O85" s="186"/>
      <c r="P85" s="183"/>
      <c r="Q85" s="184"/>
      <c r="R85" s="185"/>
      <c r="S85" s="183"/>
      <c r="T85" s="184"/>
      <c r="U85" s="187"/>
      <c r="V85" s="186"/>
      <c r="W85" s="186"/>
      <c r="X85" s="279">
        <f t="shared" ref="X85:X96" si="4">SUM(J85:W85)</f>
        <v>0</v>
      </c>
      <c r="Y85" s="344">
        <f>X86-X85</f>
        <v>0</v>
      </c>
      <c r="Z85" s="346"/>
    </row>
    <row r="86" spans="1:26" ht="14.25" customHeight="1" x14ac:dyDescent="0.3">
      <c r="A86" s="178">
        <f>-A85</f>
        <v>0</v>
      </c>
      <c r="B86" s="178" t="b">
        <f>B85</f>
        <v>1</v>
      </c>
      <c r="C86" s="188"/>
      <c r="D86" s="341"/>
      <c r="E86" s="339"/>
      <c r="F86" s="343"/>
      <c r="G86" s="189" t="s">
        <v>8</v>
      </c>
      <c r="H86" s="190"/>
      <c r="I86" s="280"/>
      <c r="J86" s="281">
        <f>SUMIF('02'!$D$7:$D$159,$C85,'02'!L$7:L$159)+SUMIF('03'!$D$7:$D$159,$C85,'03'!L$7:L$159)+SUMIF('04'!$D$7:$D$159,$C85,'04'!L$7:L$159)+SUMIF('05'!$D$7:$D$159,$C85,'05'!L$7:L$159)+SUMIF('06'!$D$7:$D$159,$C85,'06'!L$7:L$159)+SUMIF('07'!$D$7:$D$159,$C85,'07'!L$7:L$159)+SUMIF('08'!$D$7:$D$159,$C85,'08'!L$7:L$159)</f>
        <v>0</v>
      </c>
      <c r="K86" s="282">
        <f>SUMIF('02'!$D$7:$D$159,$C85,'02'!M$7:M$159)+SUMIF('03'!$D$7:$D$159,$C85,'03'!M$7:M$159)+SUMIF('04'!$D$7:$D$159,$C85,'04'!M$7:M$159)+SUMIF('05'!$D$7:$D$159,$C85,'05'!M$7:M$159)+SUMIF('06'!$D$7:$D$159,$C85,'06'!M$7:M$159)+SUMIF('07'!$D$7:$D$159,$C85,'07'!M$7:M$159)+SUMIF('08'!$D$7:$D$159,$C85,'08'!M$7:M$159)</f>
        <v>0</v>
      </c>
      <c r="L86" s="283">
        <f>SUMIF('02'!$D$7:$D$159,$C85,'02'!N$7:N$159)+SUMIF('03'!$D$7:$D$159,$C85,'03'!N$7:N$159)+SUMIF('04'!$D$7:$D$159,$C85,'04'!N$7:N$159)+SUMIF('05'!$D$7:$D$159,$C85,'05'!N$7:N$159)+SUMIF('06'!$D$7:$D$159,$C85,'06'!N$7:N$159)+SUMIF('07'!$D$7:$D$159,$C85,'07'!N$7:N$159)+SUMIF('08'!$D$7:$D$159,$C85,'08'!N$7:N$159)</f>
        <v>0</v>
      </c>
      <c r="M86" s="281">
        <f>SUMIF('02'!$D$7:$D$159,$C85,'02'!O$7:O$159)+SUMIF('03'!$D$7:$D$159,$C85,'03'!O$7:O$159)+SUMIF('04'!$D$7:$D$159,$C85,'04'!O$7:O$159)+SUMIF('05'!$D$7:$D$159,$C85,'05'!O$7:O$159)+SUMIF('06'!$D$7:$D$159,$C85,'06'!O$7:O$159)+SUMIF('07'!$D$7:$D$159,$C85,'07'!O$7:O$159)+SUMIF('08'!$D$7:$D$159,$C85,'08'!O$7:O$159)</f>
        <v>0</v>
      </c>
      <c r="N86" s="282">
        <f>SUMIF('02'!$D$7:$D$159,$C85,'02'!P$7:P$159)+SUMIF('03'!$D$7:$D$159,$C85,'03'!P$7:P$159)+SUMIF('04'!$D$7:$D$159,$C85,'04'!P$7:P$159)+SUMIF('05'!$D$7:$D$159,$C85,'05'!P$7:P$159)+SUMIF('06'!$D$7:$D$159,$C85,'06'!P$7:P$159)+SUMIF('07'!$D$7:$D$159,$C85,'07'!P$7:P$159)+SUMIF('08'!$D$7:$D$159,$C85,'08'!P$7:P$159)</f>
        <v>0</v>
      </c>
      <c r="O86" s="284">
        <f>SUMIF('02'!$D$7:$D$159,$C85,'02'!Q$7:Q$159)+SUMIF('03'!$D$7:$D$159,$C85,'03'!Q$7:Q$159)+SUMIF('04'!$D$7:$D$159,$C85,'04'!Q$7:Q$159)+SUMIF('05'!$D$7:$D$159,$C85,'05'!Q$7:Q$159)+SUMIF('06'!$D$7:$D$159,$C85,'06'!Q$7:Q$159)+SUMIF('07'!$D$7:$D$159,$C85,'07'!Q$7:Q$159)+SUMIF('08'!$D$7:$D$159,$C85,'08'!Q$7:Q$159)</f>
        <v>0</v>
      </c>
      <c r="P86" s="281">
        <f>SUMIF('02'!$D$7:$D$159,$C85,'02'!R$7:R$159)+SUMIF('03'!$D$7:$D$159,$C85,'03'!R$7:R$159)+SUMIF('04'!$D$7:$D$159,$C85,'04'!R$7:R$159)+SUMIF('05'!$D$7:$D$159,$C85,'05'!R$7:R$159)+SUMIF('06'!$D$7:$D$159,$C85,'06'!R$7:R$159)+SUMIF('07'!$D$7:$D$159,$C85,'07'!R$7:R$159)+SUMIF('08'!$D$7:$D$159,$C85,'08'!R$7:R$159)</f>
        <v>0</v>
      </c>
      <c r="Q86" s="282">
        <f>SUMIF('02'!$D$7:$D$159,$C85,'02'!S$7:S$159)+SUMIF('03'!$D$7:$D$159,$C85,'03'!S$7:S$159)+SUMIF('04'!$D$7:$D$159,$C85,'04'!S$7:S$159)+SUMIF('05'!$D$7:$D$159,$C85,'05'!S$7:S$159)+SUMIF('06'!$D$7:$D$159,$C85,'06'!S$7:S$159)+SUMIF('07'!$D$7:$D$159,$C85,'07'!S$7:S$159)+SUMIF('08'!$D$7:$D$159,$C85,'08'!S$7:S$159)</f>
        <v>0</v>
      </c>
      <c r="R86" s="283">
        <f>SUMIF('02'!$D$7:$D$159,$C85,'02'!T$7:T$159)+SUMIF('03'!$D$7:$D$159,$C85,'03'!T$7:T$159)+SUMIF('04'!$D$7:$D$159,$C85,'04'!T$7:T$159)+SUMIF('05'!$D$7:$D$159,$C85,'05'!T$7:T$159)+SUMIF('06'!$D$7:$D$159,$C85,'06'!T$7:T$159)+SUMIF('07'!$D$7:$D$159,$C85,'07'!T$7:T$159)+SUMIF('08'!$D$7:$D$159,$C85,'08'!T$7:T$159)</f>
        <v>0</v>
      </c>
      <c r="S86" s="281">
        <f>SUMIF('02'!$D$7:$D$159,$C85,'02'!U$7:U$159)+SUMIF('03'!$D$7:$D$159,$C85,'03'!U$7:U$159)+SUMIF('04'!$D$7:$D$159,$C85,'04'!U$7:U$159)+SUMIF('05'!$D$7:$D$159,$C85,'05'!U$7:U$159)+SUMIF('06'!$D$7:$D$159,$C85,'06'!U$7:U$159)+SUMIF('07'!$D$7:$D$159,$C85,'07'!U$7:U$159)+SUMIF('08'!$D$7:$D$159,$C85,'08'!U$7:U$159)</f>
        <v>0</v>
      </c>
      <c r="T86" s="282">
        <f>SUMIF('02'!$D$7:$D$159,$C85,'02'!V$7:V$159)+SUMIF('03'!$D$7:$D$159,$C85,'03'!V$7:V$159)+SUMIF('04'!$D$7:$D$159,$C85,'04'!V$7:V$159)+SUMIF('05'!$D$7:$D$159,$C85,'05'!V$7:V$159)+SUMIF('06'!$D$7:$D$159,$C85,'06'!V$7:V$159)+SUMIF('07'!$D$7:$D$159,$C85,'07'!V$7:V$159)+SUMIF('08'!$D$7:$D$159,$C85,'08'!V$7:V$159)</f>
        <v>0</v>
      </c>
      <c r="U86" s="285">
        <f>SUMIF('02'!$D$7:$D$159,$C85,'02'!W$7:W$159)+SUMIF('03'!$D$7:$D$159,$C85,'03'!W$7:W$159)+SUMIF('04'!$D$7:$D$159,$C85,'04'!W$7:W$159)+SUMIF('05'!$D$7:$D$159,$C85,'05'!W$7:W$159)+SUMIF('06'!$D$7:$D$159,$C85,'06'!W$7:W$159)+SUMIF('07'!$D$7:$D$159,$C85,'07'!W$7:W$159)+SUMIF('08'!$D$7:$D$159,$C85,'08'!W$7:W$159)</f>
        <v>0</v>
      </c>
      <c r="V86" s="284">
        <f>SUMIF('02'!$D$7:$D$159,$C85,'02'!X$7:X$159)+SUMIF('03'!$D$7:$D$159,$C85,'03'!X$7:X$159)+SUMIF('04'!$D$7:$D$159,$C85,'04'!X$7:X$159)+SUMIF('05'!$D$7:$D$159,$C85,'05'!X$7:X$159)+SUMIF('06'!$D$7:$D$159,$C85,'06'!X$7:X$159)+SUMIF('07'!$D$7:$D$159,$C85,'07'!X$7:X$159)+SUMIF('08'!$D$7:$D$159,$C85,'08'!X$7:X$159)</f>
        <v>0</v>
      </c>
      <c r="W86" s="284">
        <f>SUMIF('02'!$D$7:$D$159,$C85,'02'!Y$7:Y$159)+SUMIF('03'!$D$7:$D$159,$C85,'03'!Y$7:Y$159)+SUMIF('04'!$D$7:$D$159,$C85,'04'!Y$7:Y$159)+SUMIF('05'!$D$7:$D$159,$C85,'05'!Y$7:Y$159)+SUMIF('06'!$D$7:$D$159,$C85,'06'!Y$7:Y$159)+SUMIF('07'!$D$7:$D$159,$C85,'07'!Y$7:Y$159)+SUMIF('08'!$D$7:$D$159,$C85,'08'!Y$7:Y$159)</f>
        <v>0</v>
      </c>
      <c r="X86" s="286">
        <f t="shared" si="4"/>
        <v>0</v>
      </c>
      <c r="Y86" s="345"/>
      <c r="Z86" s="347"/>
    </row>
    <row r="87" spans="1:26" ht="14.25" customHeight="1" x14ac:dyDescent="0.3">
      <c r="A87" s="178">
        <f>IF(OR(C87="0",COUNTIF(КлючВесна,C87)&gt;1),0,MATCH(F87,ВидыНагр,0))</f>
        <v>0</v>
      </c>
      <c r="B87" s="178" t="b">
        <f>(COUNTA(D87:F88,J87:W87,H87:I88)=0)</f>
        <v>1</v>
      </c>
      <c r="C87" s="179" t="str">
        <f>IF(OR(TRIM(D87)="",COUNTIF(ВидыНагр,F87)&lt;&gt;1),"0",CONCATENATE("$",TRIM(D87),"$",TRIM(E87),"$",F87,"$"))</f>
        <v>0</v>
      </c>
      <c r="D87" s="340"/>
      <c r="E87" s="338"/>
      <c r="F87" s="342"/>
      <c r="G87" s="180" t="s">
        <v>7</v>
      </c>
      <c r="H87" s="181"/>
      <c r="I87" s="182"/>
      <c r="J87" s="183"/>
      <c r="K87" s="184"/>
      <c r="L87" s="185"/>
      <c r="M87" s="183"/>
      <c r="N87" s="184"/>
      <c r="O87" s="186"/>
      <c r="P87" s="183"/>
      <c r="Q87" s="184"/>
      <c r="R87" s="185"/>
      <c r="S87" s="183"/>
      <c r="T87" s="184"/>
      <c r="U87" s="187"/>
      <c r="V87" s="186"/>
      <c r="W87" s="186"/>
      <c r="X87" s="279">
        <f t="shared" si="4"/>
        <v>0</v>
      </c>
      <c r="Y87" s="344">
        <f>X88-X87</f>
        <v>0</v>
      </c>
      <c r="Z87" s="346"/>
    </row>
    <row r="88" spans="1:26" ht="14.25" customHeight="1" x14ac:dyDescent="0.3">
      <c r="A88" s="178">
        <f>-A87</f>
        <v>0</v>
      </c>
      <c r="B88" s="178" t="b">
        <f>B87</f>
        <v>1</v>
      </c>
      <c r="C88" s="188"/>
      <c r="D88" s="341"/>
      <c r="E88" s="339"/>
      <c r="F88" s="343"/>
      <c r="G88" s="189" t="s">
        <v>8</v>
      </c>
      <c r="H88" s="190"/>
      <c r="I88" s="280"/>
      <c r="J88" s="281">
        <f>SUMIF('02'!$D$7:$D$159,$C87,'02'!L$7:L$159)+SUMIF('03'!$D$7:$D$159,$C87,'03'!L$7:L$159)+SUMIF('04'!$D$7:$D$159,$C87,'04'!L$7:L$159)+SUMIF('05'!$D$7:$D$159,$C87,'05'!L$7:L$159)+SUMIF('06'!$D$7:$D$159,$C87,'06'!L$7:L$159)+SUMIF('07'!$D$7:$D$159,$C87,'07'!L$7:L$159)+SUMIF('08'!$D$7:$D$159,$C87,'08'!L$7:L$159)</f>
        <v>0</v>
      </c>
      <c r="K88" s="282">
        <f>SUMIF('02'!$D$7:$D$159,$C87,'02'!M$7:M$159)+SUMIF('03'!$D$7:$D$159,$C87,'03'!M$7:M$159)+SUMIF('04'!$D$7:$D$159,$C87,'04'!M$7:M$159)+SUMIF('05'!$D$7:$D$159,$C87,'05'!M$7:M$159)+SUMIF('06'!$D$7:$D$159,$C87,'06'!M$7:M$159)+SUMIF('07'!$D$7:$D$159,$C87,'07'!M$7:M$159)+SUMIF('08'!$D$7:$D$159,$C87,'08'!M$7:M$159)</f>
        <v>0</v>
      </c>
      <c r="L88" s="283">
        <f>SUMIF('02'!$D$7:$D$159,$C87,'02'!N$7:N$159)+SUMIF('03'!$D$7:$D$159,$C87,'03'!N$7:N$159)+SUMIF('04'!$D$7:$D$159,$C87,'04'!N$7:N$159)+SUMIF('05'!$D$7:$D$159,$C87,'05'!N$7:N$159)+SUMIF('06'!$D$7:$D$159,$C87,'06'!N$7:N$159)+SUMIF('07'!$D$7:$D$159,$C87,'07'!N$7:N$159)+SUMIF('08'!$D$7:$D$159,$C87,'08'!N$7:N$159)</f>
        <v>0</v>
      </c>
      <c r="M88" s="281">
        <f>SUMIF('02'!$D$7:$D$159,$C87,'02'!O$7:O$159)+SUMIF('03'!$D$7:$D$159,$C87,'03'!O$7:O$159)+SUMIF('04'!$D$7:$D$159,$C87,'04'!O$7:O$159)+SUMIF('05'!$D$7:$D$159,$C87,'05'!O$7:O$159)+SUMIF('06'!$D$7:$D$159,$C87,'06'!O$7:O$159)+SUMIF('07'!$D$7:$D$159,$C87,'07'!O$7:O$159)+SUMIF('08'!$D$7:$D$159,$C87,'08'!O$7:O$159)</f>
        <v>0</v>
      </c>
      <c r="N88" s="282">
        <f>SUMIF('02'!$D$7:$D$159,$C87,'02'!P$7:P$159)+SUMIF('03'!$D$7:$D$159,$C87,'03'!P$7:P$159)+SUMIF('04'!$D$7:$D$159,$C87,'04'!P$7:P$159)+SUMIF('05'!$D$7:$D$159,$C87,'05'!P$7:P$159)+SUMIF('06'!$D$7:$D$159,$C87,'06'!P$7:P$159)+SUMIF('07'!$D$7:$D$159,$C87,'07'!P$7:P$159)+SUMIF('08'!$D$7:$D$159,$C87,'08'!P$7:P$159)</f>
        <v>0</v>
      </c>
      <c r="O88" s="284">
        <f>SUMIF('02'!$D$7:$D$159,$C87,'02'!Q$7:Q$159)+SUMIF('03'!$D$7:$D$159,$C87,'03'!Q$7:Q$159)+SUMIF('04'!$D$7:$D$159,$C87,'04'!Q$7:Q$159)+SUMIF('05'!$D$7:$D$159,$C87,'05'!Q$7:Q$159)+SUMIF('06'!$D$7:$D$159,$C87,'06'!Q$7:Q$159)+SUMIF('07'!$D$7:$D$159,$C87,'07'!Q$7:Q$159)+SUMIF('08'!$D$7:$D$159,$C87,'08'!Q$7:Q$159)</f>
        <v>0</v>
      </c>
      <c r="P88" s="281">
        <f>SUMIF('02'!$D$7:$D$159,$C87,'02'!R$7:R$159)+SUMIF('03'!$D$7:$D$159,$C87,'03'!R$7:R$159)+SUMIF('04'!$D$7:$D$159,$C87,'04'!R$7:R$159)+SUMIF('05'!$D$7:$D$159,$C87,'05'!R$7:R$159)+SUMIF('06'!$D$7:$D$159,$C87,'06'!R$7:R$159)+SUMIF('07'!$D$7:$D$159,$C87,'07'!R$7:R$159)+SUMIF('08'!$D$7:$D$159,$C87,'08'!R$7:R$159)</f>
        <v>0</v>
      </c>
      <c r="Q88" s="282">
        <f>SUMIF('02'!$D$7:$D$159,$C87,'02'!S$7:S$159)+SUMIF('03'!$D$7:$D$159,$C87,'03'!S$7:S$159)+SUMIF('04'!$D$7:$D$159,$C87,'04'!S$7:S$159)+SUMIF('05'!$D$7:$D$159,$C87,'05'!S$7:S$159)+SUMIF('06'!$D$7:$D$159,$C87,'06'!S$7:S$159)+SUMIF('07'!$D$7:$D$159,$C87,'07'!S$7:S$159)+SUMIF('08'!$D$7:$D$159,$C87,'08'!S$7:S$159)</f>
        <v>0</v>
      </c>
      <c r="R88" s="283">
        <f>SUMIF('02'!$D$7:$D$159,$C87,'02'!T$7:T$159)+SUMIF('03'!$D$7:$D$159,$C87,'03'!T$7:T$159)+SUMIF('04'!$D$7:$D$159,$C87,'04'!T$7:T$159)+SUMIF('05'!$D$7:$D$159,$C87,'05'!T$7:T$159)+SUMIF('06'!$D$7:$D$159,$C87,'06'!T$7:T$159)+SUMIF('07'!$D$7:$D$159,$C87,'07'!T$7:T$159)+SUMIF('08'!$D$7:$D$159,$C87,'08'!T$7:T$159)</f>
        <v>0</v>
      </c>
      <c r="S88" s="281">
        <f>SUMIF('02'!$D$7:$D$159,$C87,'02'!U$7:U$159)+SUMIF('03'!$D$7:$D$159,$C87,'03'!U$7:U$159)+SUMIF('04'!$D$7:$D$159,$C87,'04'!U$7:U$159)+SUMIF('05'!$D$7:$D$159,$C87,'05'!U$7:U$159)+SUMIF('06'!$D$7:$D$159,$C87,'06'!U$7:U$159)+SUMIF('07'!$D$7:$D$159,$C87,'07'!U$7:U$159)+SUMIF('08'!$D$7:$D$159,$C87,'08'!U$7:U$159)</f>
        <v>0</v>
      </c>
      <c r="T88" s="282">
        <f>SUMIF('02'!$D$7:$D$159,$C87,'02'!V$7:V$159)+SUMIF('03'!$D$7:$D$159,$C87,'03'!V$7:V$159)+SUMIF('04'!$D$7:$D$159,$C87,'04'!V$7:V$159)+SUMIF('05'!$D$7:$D$159,$C87,'05'!V$7:V$159)+SUMIF('06'!$D$7:$D$159,$C87,'06'!V$7:V$159)+SUMIF('07'!$D$7:$D$159,$C87,'07'!V$7:V$159)+SUMIF('08'!$D$7:$D$159,$C87,'08'!V$7:V$159)</f>
        <v>0</v>
      </c>
      <c r="U88" s="285">
        <f>SUMIF('02'!$D$7:$D$159,$C87,'02'!W$7:W$159)+SUMIF('03'!$D$7:$D$159,$C87,'03'!W$7:W$159)+SUMIF('04'!$D$7:$D$159,$C87,'04'!W$7:W$159)+SUMIF('05'!$D$7:$D$159,$C87,'05'!W$7:W$159)+SUMIF('06'!$D$7:$D$159,$C87,'06'!W$7:W$159)+SUMIF('07'!$D$7:$D$159,$C87,'07'!W$7:W$159)+SUMIF('08'!$D$7:$D$159,$C87,'08'!W$7:W$159)</f>
        <v>0</v>
      </c>
      <c r="V88" s="284">
        <f>SUMIF('02'!$D$7:$D$159,$C87,'02'!X$7:X$159)+SUMIF('03'!$D$7:$D$159,$C87,'03'!X$7:X$159)+SUMIF('04'!$D$7:$D$159,$C87,'04'!X$7:X$159)+SUMIF('05'!$D$7:$D$159,$C87,'05'!X$7:X$159)+SUMIF('06'!$D$7:$D$159,$C87,'06'!X$7:X$159)+SUMIF('07'!$D$7:$D$159,$C87,'07'!X$7:X$159)+SUMIF('08'!$D$7:$D$159,$C87,'08'!X$7:X$159)</f>
        <v>0</v>
      </c>
      <c r="W88" s="284">
        <f>SUMIF('02'!$D$7:$D$159,$C87,'02'!Y$7:Y$159)+SUMIF('03'!$D$7:$D$159,$C87,'03'!Y$7:Y$159)+SUMIF('04'!$D$7:$D$159,$C87,'04'!Y$7:Y$159)+SUMIF('05'!$D$7:$D$159,$C87,'05'!Y$7:Y$159)+SUMIF('06'!$D$7:$D$159,$C87,'06'!Y$7:Y$159)+SUMIF('07'!$D$7:$D$159,$C87,'07'!Y$7:Y$159)+SUMIF('08'!$D$7:$D$159,$C87,'08'!Y$7:Y$159)</f>
        <v>0</v>
      </c>
      <c r="X88" s="286">
        <f t="shared" si="4"/>
        <v>0</v>
      </c>
      <c r="Y88" s="345"/>
      <c r="Z88" s="347"/>
    </row>
    <row r="89" spans="1:26" ht="14.25" customHeight="1" x14ac:dyDescent="0.3">
      <c r="A89" s="178">
        <f>IF(OR(C89="0",COUNTIF(КлючВесна,C89)&gt;1),0,MATCH(F89,ВидыНагр,0))</f>
        <v>0</v>
      </c>
      <c r="B89" s="178" t="b">
        <f>(COUNTA(D89:F90,J89:W89,H89:I90)=0)</f>
        <v>1</v>
      </c>
      <c r="C89" s="179" t="str">
        <f>IF(OR(TRIM(D89)="",COUNTIF(ВидыНагр,F89)&lt;&gt;1),"0",CONCATENATE("$",TRIM(D89),"$",TRIM(E89),"$",F89,"$"))</f>
        <v>0</v>
      </c>
      <c r="D89" s="340"/>
      <c r="E89" s="338"/>
      <c r="F89" s="342"/>
      <c r="G89" s="180" t="s">
        <v>7</v>
      </c>
      <c r="H89" s="181"/>
      <c r="I89" s="182"/>
      <c r="J89" s="183"/>
      <c r="K89" s="184"/>
      <c r="L89" s="185"/>
      <c r="M89" s="183"/>
      <c r="N89" s="184"/>
      <c r="O89" s="186"/>
      <c r="P89" s="183"/>
      <c r="Q89" s="184"/>
      <c r="R89" s="185"/>
      <c r="S89" s="183"/>
      <c r="T89" s="184"/>
      <c r="U89" s="187"/>
      <c r="V89" s="186"/>
      <c r="W89" s="186"/>
      <c r="X89" s="279">
        <f t="shared" si="4"/>
        <v>0</v>
      </c>
      <c r="Y89" s="344">
        <f>X90-X89</f>
        <v>0</v>
      </c>
      <c r="Z89" s="346"/>
    </row>
    <row r="90" spans="1:26" ht="14.25" customHeight="1" x14ac:dyDescent="0.3">
      <c r="A90" s="178">
        <f>-A89</f>
        <v>0</v>
      </c>
      <c r="B90" s="178" t="b">
        <f>B89</f>
        <v>1</v>
      </c>
      <c r="C90" s="188"/>
      <c r="D90" s="341"/>
      <c r="E90" s="339"/>
      <c r="F90" s="343"/>
      <c r="G90" s="189" t="s">
        <v>8</v>
      </c>
      <c r="H90" s="190"/>
      <c r="I90" s="280"/>
      <c r="J90" s="281">
        <f>SUMIF('02'!$D$7:$D$159,$C89,'02'!L$7:L$159)+SUMIF('03'!$D$7:$D$159,$C89,'03'!L$7:L$159)+SUMIF('04'!$D$7:$D$159,$C89,'04'!L$7:L$159)+SUMIF('05'!$D$7:$D$159,$C89,'05'!L$7:L$159)+SUMIF('06'!$D$7:$D$159,$C89,'06'!L$7:L$159)+SUMIF('07'!$D$7:$D$159,$C89,'07'!L$7:L$159)+SUMIF('08'!$D$7:$D$159,$C89,'08'!L$7:L$159)</f>
        <v>0</v>
      </c>
      <c r="K90" s="282">
        <f>SUMIF('02'!$D$7:$D$159,$C89,'02'!M$7:M$159)+SUMIF('03'!$D$7:$D$159,$C89,'03'!M$7:M$159)+SUMIF('04'!$D$7:$D$159,$C89,'04'!M$7:M$159)+SUMIF('05'!$D$7:$D$159,$C89,'05'!M$7:M$159)+SUMIF('06'!$D$7:$D$159,$C89,'06'!M$7:M$159)+SUMIF('07'!$D$7:$D$159,$C89,'07'!M$7:M$159)+SUMIF('08'!$D$7:$D$159,$C89,'08'!M$7:M$159)</f>
        <v>0</v>
      </c>
      <c r="L90" s="283">
        <f>SUMIF('02'!$D$7:$D$159,$C89,'02'!N$7:N$159)+SUMIF('03'!$D$7:$D$159,$C89,'03'!N$7:N$159)+SUMIF('04'!$D$7:$D$159,$C89,'04'!N$7:N$159)+SUMIF('05'!$D$7:$D$159,$C89,'05'!N$7:N$159)+SUMIF('06'!$D$7:$D$159,$C89,'06'!N$7:N$159)+SUMIF('07'!$D$7:$D$159,$C89,'07'!N$7:N$159)+SUMIF('08'!$D$7:$D$159,$C89,'08'!N$7:N$159)</f>
        <v>0</v>
      </c>
      <c r="M90" s="281">
        <f>SUMIF('02'!$D$7:$D$159,$C89,'02'!O$7:O$159)+SUMIF('03'!$D$7:$D$159,$C89,'03'!O$7:O$159)+SUMIF('04'!$D$7:$D$159,$C89,'04'!O$7:O$159)+SUMIF('05'!$D$7:$D$159,$C89,'05'!O$7:O$159)+SUMIF('06'!$D$7:$D$159,$C89,'06'!O$7:O$159)+SUMIF('07'!$D$7:$D$159,$C89,'07'!O$7:O$159)+SUMIF('08'!$D$7:$D$159,$C89,'08'!O$7:O$159)</f>
        <v>0</v>
      </c>
      <c r="N90" s="282">
        <f>SUMIF('02'!$D$7:$D$159,$C89,'02'!P$7:P$159)+SUMIF('03'!$D$7:$D$159,$C89,'03'!P$7:P$159)+SUMIF('04'!$D$7:$D$159,$C89,'04'!P$7:P$159)+SUMIF('05'!$D$7:$D$159,$C89,'05'!P$7:P$159)+SUMIF('06'!$D$7:$D$159,$C89,'06'!P$7:P$159)+SUMIF('07'!$D$7:$D$159,$C89,'07'!P$7:P$159)+SUMIF('08'!$D$7:$D$159,$C89,'08'!P$7:P$159)</f>
        <v>0</v>
      </c>
      <c r="O90" s="284">
        <f>SUMIF('02'!$D$7:$D$159,$C89,'02'!Q$7:Q$159)+SUMIF('03'!$D$7:$D$159,$C89,'03'!Q$7:Q$159)+SUMIF('04'!$D$7:$D$159,$C89,'04'!Q$7:Q$159)+SUMIF('05'!$D$7:$D$159,$C89,'05'!Q$7:Q$159)+SUMIF('06'!$D$7:$D$159,$C89,'06'!Q$7:Q$159)+SUMIF('07'!$D$7:$D$159,$C89,'07'!Q$7:Q$159)+SUMIF('08'!$D$7:$D$159,$C89,'08'!Q$7:Q$159)</f>
        <v>0</v>
      </c>
      <c r="P90" s="281">
        <f>SUMIF('02'!$D$7:$D$159,$C89,'02'!R$7:R$159)+SUMIF('03'!$D$7:$D$159,$C89,'03'!R$7:R$159)+SUMIF('04'!$D$7:$D$159,$C89,'04'!R$7:R$159)+SUMIF('05'!$D$7:$D$159,$C89,'05'!R$7:R$159)+SUMIF('06'!$D$7:$D$159,$C89,'06'!R$7:R$159)+SUMIF('07'!$D$7:$D$159,$C89,'07'!R$7:R$159)+SUMIF('08'!$D$7:$D$159,$C89,'08'!R$7:R$159)</f>
        <v>0</v>
      </c>
      <c r="Q90" s="282">
        <f>SUMIF('02'!$D$7:$D$159,$C89,'02'!S$7:S$159)+SUMIF('03'!$D$7:$D$159,$C89,'03'!S$7:S$159)+SUMIF('04'!$D$7:$D$159,$C89,'04'!S$7:S$159)+SUMIF('05'!$D$7:$D$159,$C89,'05'!S$7:S$159)+SUMIF('06'!$D$7:$D$159,$C89,'06'!S$7:S$159)+SUMIF('07'!$D$7:$D$159,$C89,'07'!S$7:S$159)+SUMIF('08'!$D$7:$D$159,$C89,'08'!S$7:S$159)</f>
        <v>0</v>
      </c>
      <c r="R90" s="283">
        <f>SUMIF('02'!$D$7:$D$159,$C89,'02'!T$7:T$159)+SUMIF('03'!$D$7:$D$159,$C89,'03'!T$7:T$159)+SUMIF('04'!$D$7:$D$159,$C89,'04'!T$7:T$159)+SUMIF('05'!$D$7:$D$159,$C89,'05'!T$7:T$159)+SUMIF('06'!$D$7:$D$159,$C89,'06'!T$7:T$159)+SUMIF('07'!$D$7:$D$159,$C89,'07'!T$7:T$159)+SUMIF('08'!$D$7:$D$159,$C89,'08'!T$7:T$159)</f>
        <v>0</v>
      </c>
      <c r="S90" s="281">
        <f>SUMIF('02'!$D$7:$D$159,$C89,'02'!U$7:U$159)+SUMIF('03'!$D$7:$D$159,$C89,'03'!U$7:U$159)+SUMIF('04'!$D$7:$D$159,$C89,'04'!U$7:U$159)+SUMIF('05'!$D$7:$D$159,$C89,'05'!U$7:U$159)+SUMIF('06'!$D$7:$D$159,$C89,'06'!U$7:U$159)+SUMIF('07'!$D$7:$D$159,$C89,'07'!U$7:U$159)+SUMIF('08'!$D$7:$D$159,$C89,'08'!U$7:U$159)</f>
        <v>0</v>
      </c>
      <c r="T90" s="282">
        <f>SUMIF('02'!$D$7:$D$159,$C89,'02'!V$7:V$159)+SUMIF('03'!$D$7:$D$159,$C89,'03'!V$7:V$159)+SUMIF('04'!$D$7:$D$159,$C89,'04'!V$7:V$159)+SUMIF('05'!$D$7:$D$159,$C89,'05'!V$7:V$159)+SUMIF('06'!$D$7:$D$159,$C89,'06'!V$7:V$159)+SUMIF('07'!$D$7:$D$159,$C89,'07'!V$7:V$159)+SUMIF('08'!$D$7:$D$159,$C89,'08'!V$7:V$159)</f>
        <v>0</v>
      </c>
      <c r="U90" s="285">
        <f>SUMIF('02'!$D$7:$D$159,$C89,'02'!W$7:W$159)+SUMIF('03'!$D$7:$D$159,$C89,'03'!W$7:W$159)+SUMIF('04'!$D$7:$D$159,$C89,'04'!W$7:W$159)+SUMIF('05'!$D$7:$D$159,$C89,'05'!W$7:W$159)+SUMIF('06'!$D$7:$D$159,$C89,'06'!W$7:W$159)+SUMIF('07'!$D$7:$D$159,$C89,'07'!W$7:W$159)+SUMIF('08'!$D$7:$D$159,$C89,'08'!W$7:W$159)</f>
        <v>0</v>
      </c>
      <c r="V90" s="284">
        <f>SUMIF('02'!$D$7:$D$159,$C89,'02'!X$7:X$159)+SUMIF('03'!$D$7:$D$159,$C89,'03'!X$7:X$159)+SUMIF('04'!$D$7:$D$159,$C89,'04'!X$7:X$159)+SUMIF('05'!$D$7:$D$159,$C89,'05'!X$7:X$159)+SUMIF('06'!$D$7:$D$159,$C89,'06'!X$7:X$159)+SUMIF('07'!$D$7:$D$159,$C89,'07'!X$7:X$159)+SUMIF('08'!$D$7:$D$159,$C89,'08'!X$7:X$159)</f>
        <v>0</v>
      </c>
      <c r="W90" s="284">
        <f>SUMIF('02'!$D$7:$D$159,$C89,'02'!Y$7:Y$159)+SUMIF('03'!$D$7:$D$159,$C89,'03'!Y$7:Y$159)+SUMIF('04'!$D$7:$D$159,$C89,'04'!Y$7:Y$159)+SUMIF('05'!$D$7:$D$159,$C89,'05'!Y$7:Y$159)+SUMIF('06'!$D$7:$D$159,$C89,'06'!Y$7:Y$159)+SUMIF('07'!$D$7:$D$159,$C89,'07'!Y$7:Y$159)+SUMIF('08'!$D$7:$D$159,$C89,'08'!Y$7:Y$159)</f>
        <v>0</v>
      </c>
      <c r="X90" s="286">
        <f t="shared" si="4"/>
        <v>0</v>
      </c>
      <c r="Y90" s="345"/>
      <c r="Z90" s="347"/>
    </row>
    <row r="91" spans="1:26" ht="14.25" customHeight="1" x14ac:dyDescent="0.3">
      <c r="A91" s="178">
        <f>IF(OR(C91="0",COUNTIF(КлючВесна,C91)&gt;1),0,MATCH(F91,ВидыНагр,0))</f>
        <v>0</v>
      </c>
      <c r="B91" s="178" t="b">
        <f>(COUNTA(D91:F92,J91:W91,H91:I92)=0)</f>
        <v>1</v>
      </c>
      <c r="C91" s="179" t="str">
        <f>IF(OR(TRIM(D91)="",COUNTIF(ВидыНагр,F91)&lt;&gt;1),"0",CONCATENATE("$",TRIM(D91),"$",TRIM(E91),"$",F91,"$"))</f>
        <v>0</v>
      </c>
      <c r="D91" s="340"/>
      <c r="E91" s="338"/>
      <c r="F91" s="342"/>
      <c r="G91" s="180" t="s">
        <v>7</v>
      </c>
      <c r="H91" s="181"/>
      <c r="I91" s="182"/>
      <c r="J91" s="183"/>
      <c r="K91" s="184"/>
      <c r="L91" s="185"/>
      <c r="M91" s="183"/>
      <c r="N91" s="184"/>
      <c r="O91" s="186"/>
      <c r="P91" s="183"/>
      <c r="Q91" s="184"/>
      <c r="R91" s="185"/>
      <c r="S91" s="183"/>
      <c r="T91" s="184"/>
      <c r="U91" s="187"/>
      <c r="V91" s="186"/>
      <c r="W91" s="186"/>
      <c r="X91" s="279">
        <f t="shared" si="4"/>
        <v>0</v>
      </c>
      <c r="Y91" s="344">
        <f>X92-X91</f>
        <v>0</v>
      </c>
      <c r="Z91" s="346"/>
    </row>
    <row r="92" spans="1:26" ht="14.25" customHeight="1" x14ac:dyDescent="0.3">
      <c r="A92" s="178">
        <f>-A91</f>
        <v>0</v>
      </c>
      <c r="B92" s="178" t="b">
        <f>B91</f>
        <v>1</v>
      </c>
      <c r="C92" s="188"/>
      <c r="D92" s="341"/>
      <c r="E92" s="339"/>
      <c r="F92" s="343"/>
      <c r="G92" s="189" t="s">
        <v>8</v>
      </c>
      <c r="H92" s="190"/>
      <c r="I92" s="280"/>
      <c r="J92" s="281">
        <f>SUMIF('02'!$D$7:$D$159,$C91,'02'!L$7:L$159)+SUMIF('03'!$D$7:$D$159,$C91,'03'!L$7:L$159)+SUMIF('04'!$D$7:$D$159,$C91,'04'!L$7:L$159)+SUMIF('05'!$D$7:$D$159,$C91,'05'!L$7:L$159)+SUMIF('06'!$D$7:$D$159,$C91,'06'!L$7:L$159)+SUMIF('07'!$D$7:$D$159,$C91,'07'!L$7:L$159)+SUMIF('08'!$D$7:$D$159,$C91,'08'!L$7:L$159)</f>
        <v>0</v>
      </c>
      <c r="K92" s="282">
        <f>SUMIF('02'!$D$7:$D$159,$C91,'02'!M$7:M$159)+SUMIF('03'!$D$7:$D$159,$C91,'03'!M$7:M$159)+SUMIF('04'!$D$7:$D$159,$C91,'04'!M$7:M$159)+SUMIF('05'!$D$7:$D$159,$C91,'05'!M$7:M$159)+SUMIF('06'!$D$7:$D$159,$C91,'06'!M$7:M$159)+SUMIF('07'!$D$7:$D$159,$C91,'07'!M$7:M$159)+SUMIF('08'!$D$7:$D$159,$C91,'08'!M$7:M$159)</f>
        <v>0</v>
      </c>
      <c r="L92" s="283">
        <f>SUMIF('02'!$D$7:$D$159,$C91,'02'!N$7:N$159)+SUMIF('03'!$D$7:$D$159,$C91,'03'!N$7:N$159)+SUMIF('04'!$D$7:$D$159,$C91,'04'!N$7:N$159)+SUMIF('05'!$D$7:$D$159,$C91,'05'!N$7:N$159)+SUMIF('06'!$D$7:$D$159,$C91,'06'!N$7:N$159)+SUMIF('07'!$D$7:$D$159,$C91,'07'!N$7:N$159)+SUMIF('08'!$D$7:$D$159,$C91,'08'!N$7:N$159)</f>
        <v>0</v>
      </c>
      <c r="M92" s="281">
        <f>SUMIF('02'!$D$7:$D$159,$C91,'02'!O$7:O$159)+SUMIF('03'!$D$7:$D$159,$C91,'03'!O$7:O$159)+SUMIF('04'!$D$7:$D$159,$C91,'04'!O$7:O$159)+SUMIF('05'!$D$7:$D$159,$C91,'05'!O$7:O$159)+SUMIF('06'!$D$7:$D$159,$C91,'06'!O$7:O$159)+SUMIF('07'!$D$7:$D$159,$C91,'07'!O$7:O$159)+SUMIF('08'!$D$7:$D$159,$C91,'08'!O$7:O$159)</f>
        <v>0</v>
      </c>
      <c r="N92" s="282">
        <f>SUMIF('02'!$D$7:$D$159,$C91,'02'!P$7:P$159)+SUMIF('03'!$D$7:$D$159,$C91,'03'!P$7:P$159)+SUMIF('04'!$D$7:$D$159,$C91,'04'!P$7:P$159)+SUMIF('05'!$D$7:$D$159,$C91,'05'!P$7:P$159)+SUMIF('06'!$D$7:$D$159,$C91,'06'!P$7:P$159)+SUMIF('07'!$D$7:$D$159,$C91,'07'!P$7:P$159)+SUMIF('08'!$D$7:$D$159,$C91,'08'!P$7:P$159)</f>
        <v>0</v>
      </c>
      <c r="O92" s="284">
        <f>SUMIF('02'!$D$7:$D$159,$C91,'02'!Q$7:Q$159)+SUMIF('03'!$D$7:$D$159,$C91,'03'!Q$7:Q$159)+SUMIF('04'!$D$7:$D$159,$C91,'04'!Q$7:Q$159)+SUMIF('05'!$D$7:$D$159,$C91,'05'!Q$7:Q$159)+SUMIF('06'!$D$7:$D$159,$C91,'06'!Q$7:Q$159)+SUMIF('07'!$D$7:$D$159,$C91,'07'!Q$7:Q$159)+SUMIF('08'!$D$7:$D$159,$C91,'08'!Q$7:Q$159)</f>
        <v>0</v>
      </c>
      <c r="P92" s="281">
        <f>SUMIF('02'!$D$7:$D$159,$C91,'02'!R$7:R$159)+SUMIF('03'!$D$7:$D$159,$C91,'03'!R$7:R$159)+SUMIF('04'!$D$7:$D$159,$C91,'04'!R$7:R$159)+SUMIF('05'!$D$7:$D$159,$C91,'05'!R$7:R$159)+SUMIF('06'!$D$7:$D$159,$C91,'06'!R$7:R$159)+SUMIF('07'!$D$7:$D$159,$C91,'07'!R$7:R$159)+SUMIF('08'!$D$7:$D$159,$C91,'08'!R$7:R$159)</f>
        <v>0</v>
      </c>
      <c r="Q92" s="282">
        <f>SUMIF('02'!$D$7:$D$159,$C91,'02'!S$7:S$159)+SUMIF('03'!$D$7:$D$159,$C91,'03'!S$7:S$159)+SUMIF('04'!$D$7:$D$159,$C91,'04'!S$7:S$159)+SUMIF('05'!$D$7:$D$159,$C91,'05'!S$7:S$159)+SUMIF('06'!$D$7:$D$159,$C91,'06'!S$7:S$159)+SUMIF('07'!$D$7:$D$159,$C91,'07'!S$7:S$159)+SUMIF('08'!$D$7:$D$159,$C91,'08'!S$7:S$159)</f>
        <v>0</v>
      </c>
      <c r="R92" s="283">
        <f>SUMIF('02'!$D$7:$D$159,$C91,'02'!T$7:T$159)+SUMIF('03'!$D$7:$D$159,$C91,'03'!T$7:T$159)+SUMIF('04'!$D$7:$D$159,$C91,'04'!T$7:T$159)+SUMIF('05'!$D$7:$D$159,$C91,'05'!T$7:T$159)+SUMIF('06'!$D$7:$D$159,$C91,'06'!T$7:T$159)+SUMIF('07'!$D$7:$D$159,$C91,'07'!T$7:T$159)+SUMIF('08'!$D$7:$D$159,$C91,'08'!T$7:T$159)</f>
        <v>0</v>
      </c>
      <c r="S92" s="281">
        <f>SUMIF('02'!$D$7:$D$159,$C91,'02'!U$7:U$159)+SUMIF('03'!$D$7:$D$159,$C91,'03'!U$7:U$159)+SUMIF('04'!$D$7:$D$159,$C91,'04'!U$7:U$159)+SUMIF('05'!$D$7:$D$159,$C91,'05'!U$7:U$159)+SUMIF('06'!$D$7:$D$159,$C91,'06'!U$7:U$159)+SUMIF('07'!$D$7:$D$159,$C91,'07'!U$7:U$159)+SUMIF('08'!$D$7:$D$159,$C91,'08'!U$7:U$159)</f>
        <v>0</v>
      </c>
      <c r="T92" s="282">
        <f>SUMIF('02'!$D$7:$D$159,$C91,'02'!V$7:V$159)+SUMIF('03'!$D$7:$D$159,$C91,'03'!V$7:V$159)+SUMIF('04'!$D$7:$D$159,$C91,'04'!V$7:V$159)+SUMIF('05'!$D$7:$D$159,$C91,'05'!V$7:V$159)+SUMIF('06'!$D$7:$D$159,$C91,'06'!V$7:V$159)+SUMIF('07'!$D$7:$D$159,$C91,'07'!V$7:V$159)+SUMIF('08'!$D$7:$D$159,$C91,'08'!V$7:V$159)</f>
        <v>0</v>
      </c>
      <c r="U92" s="285">
        <f>SUMIF('02'!$D$7:$D$159,$C91,'02'!W$7:W$159)+SUMIF('03'!$D$7:$D$159,$C91,'03'!W$7:W$159)+SUMIF('04'!$D$7:$D$159,$C91,'04'!W$7:W$159)+SUMIF('05'!$D$7:$D$159,$C91,'05'!W$7:W$159)+SUMIF('06'!$D$7:$D$159,$C91,'06'!W$7:W$159)+SUMIF('07'!$D$7:$D$159,$C91,'07'!W$7:W$159)+SUMIF('08'!$D$7:$D$159,$C91,'08'!W$7:W$159)</f>
        <v>0</v>
      </c>
      <c r="V92" s="284">
        <f>SUMIF('02'!$D$7:$D$159,$C91,'02'!X$7:X$159)+SUMIF('03'!$D$7:$D$159,$C91,'03'!X$7:X$159)+SUMIF('04'!$D$7:$D$159,$C91,'04'!X$7:X$159)+SUMIF('05'!$D$7:$D$159,$C91,'05'!X$7:X$159)+SUMIF('06'!$D$7:$D$159,$C91,'06'!X$7:X$159)+SUMIF('07'!$D$7:$D$159,$C91,'07'!X$7:X$159)+SUMIF('08'!$D$7:$D$159,$C91,'08'!X$7:X$159)</f>
        <v>0</v>
      </c>
      <c r="W92" s="284">
        <f>SUMIF('02'!$D$7:$D$159,$C91,'02'!Y$7:Y$159)+SUMIF('03'!$D$7:$D$159,$C91,'03'!Y$7:Y$159)+SUMIF('04'!$D$7:$D$159,$C91,'04'!Y$7:Y$159)+SUMIF('05'!$D$7:$D$159,$C91,'05'!Y$7:Y$159)+SUMIF('06'!$D$7:$D$159,$C91,'06'!Y$7:Y$159)+SUMIF('07'!$D$7:$D$159,$C91,'07'!Y$7:Y$159)+SUMIF('08'!$D$7:$D$159,$C91,'08'!Y$7:Y$159)</f>
        <v>0</v>
      </c>
      <c r="X92" s="286">
        <f t="shared" si="4"/>
        <v>0</v>
      </c>
      <c r="Y92" s="345"/>
      <c r="Z92" s="347"/>
    </row>
    <row r="93" spans="1:26" ht="14.25" customHeight="1" x14ac:dyDescent="0.3">
      <c r="A93" s="178">
        <f>IF(OR(C93="0",COUNTIF(КлючВесна,C93)&gt;1),0,MATCH(F93,ВидыНагр,0))</f>
        <v>0</v>
      </c>
      <c r="B93" s="178" t="b">
        <f>(COUNTA(D93:F94,J93:W93,H93:I94)=0)</f>
        <v>1</v>
      </c>
      <c r="C93" s="179" t="str">
        <f>IF(OR(TRIM(D93)="",COUNTIF(ВидыНагр,F93)&lt;&gt;1),"0",CONCATENATE("$",TRIM(D93),"$",TRIM(E93),"$",F93,"$"))</f>
        <v>0</v>
      </c>
      <c r="D93" s="340"/>
      <c r="E93" s="338"/>
      <c r="F93" s="342"/>
      <c r="G93" s="180" t="s">
        <v>7</v>
      </c>
      <c r="H93" s="181"/>
      <c r="I93" s="182"/>
      <c r="J93" s="183"/>
      <c r="K93" s="184"/>
      <c r="L93" s="185"/>
      <c r="M93" s="183"/>
      <c r="N93" s="184"/>
      <c r="O93" s="186"/>
      <c r="P93" s="183"/>
      <c r="Q93" s="184"/>
      <c r="R93" s="185"/>
      <c r="S93" s="183"/>
      <c r="T93" s="184"/>
      <c r="U93" s="187"/>
      <c r="V93" s="186"/>
      <c r="W93" s="186"/>
      <c r="X93" s="279">
        <f t="shared" si="4"/>
        <v>0</v>
      </c>
      <c r="Y93" s="344">
        <f>X94-X93</f>
        <v>0</v>
      </c>
      <c r="Z93" s="346"/>
    </row>
    <row r="94" spans="1:26" ht="14.25" customHeight="1" x14ac:dyDescent="0.3">
      <c r="A94" s="178">
        <f>-A93</f>
        <v>0</v>
      </c>
      <c r="B94" s="178" t="b">
        <f>B93</f>
        <v>1</v>
      </c>
      <c r="C94" s="188"/>
      <c r="D94" s="341"/>
      <c r="E94" s="339"/>
      <c r="F94" s="343"/>
      <c r="G94" s="189" t="s">
        <v>8</v>
      </c>
      <c r="H94" s="190"/>
      <c r="I94" s="280"/>
      <c r="J94" s="281">
        <f>SUMIF('02'!$D$7:$D$159,$C93,'02'!L$7:L$159)+SUMIF('03'!$D$7:$D$159,$C93,'03'!L$7:L$159)+SUMIF('04'!$D$7:$D$159,$C93,'04'!L$7:L$159)+SUMIF('05'!$D$7:$D$159,$C93,'05'!L$7:L$159)+SUMIF('06'!$D$7:$D$159,$C93,'06'!L$7:L$159)+SUMIF('07'!$D$7:$D$159,$C93,'07'!L$7:L$159)+SUMIF('08'!$D$7:$D$159,$C93,'08'!L$7:L$159)</f>
        <v>0</v>
      </c>
      <c r="K94" s="282">
        <f>SUMIF('02'!$D$7:$D$159,$C93,'02'!M$7:M$159)+SUMIF('03'!$D$7:$D$159,$C93,'03'!M$7:M$159)+SUMIF('04'!$D$7:$D$159,$C93,'04'!M$7:M$159)+SUMIF('05'!$D$7:$D$159,$C93,'05'!M$7:M$159)+SUMIF('06'!$D$7:$D$159,$C93,'06'!M$7:M$159)+SUMIF('07'!$D$7:$D$159,$C93,'07'!M$7:M$159)+SUMIF('08'!$D$7:$D$159,$C93,'08'!M$7:M$159)</f>
        <v>0</v>
      </c>
      <c r="L94" s="283">
        <f>SUMIF('02'!$D$7:$D$159,$C93,'02'!N$7:N$159)+SUMIF('03'!$D$7:$D$159,$C93,'03'!N$7:N$159)+SUMIF('04'!$D$7:$D$159,$C93,'04'!N$7:N$159)+SUMIF('05'!$D$7:$D$159,$C93,'05'!N$7:N$159)+SUMIF('06'!$D$7:$D$159,$C93,'06'!N$7:N$159)+SUMIF('07'!$D$7:$D$159,$C93,'07'!N$7:N$159)+SUMIF('08'!$D$7:$D$159,$C93,'08'!N$7:N$159)</f>
        <v>0</v>
      </c>
      <c r="M94" s="281">
        <f>SUMIF('02'!$D$7:$D$159,$C93,'02'!O$7:O$159)+SUMIF('03'!$D$7:$D$159,$C93,'03'!O$7:O$159)+SUMIF('04'!$D$7:$D$159,$C93,'04'!O$7:O$159)+SUMIF('05'!$D$7:$D$159,$C93,'05'!O$7:O$159)+SUMIF('06'!$D$7:$D$159,$C93,'06'!O$7:O$159)+SUMIF('07'!$D$7:$D$159,$C93,'07'!O$7:O$159)+SUMIF('08'!$D$7:$D$159,$C93,'08'!O$7:O$159)</f>
        <v>0</v>
      </c>
      <c r="N94" s="282">
        <f>SUMIF('02'!$D$7:$D$159,$C93,'02'!P$7:P$159)+SUMIF('03'!$D$7:$D$159,$C93,'03'!P$7:P$159)+SUMIF('04'!$D$7:$D$159,$C93,'04'!P$7:P$159)+SUMIF('05'!$D$7:$D$159,$C93,'05'!P$7:P$159)+SUMIF('06'!$D$7:$D$159,$C93,'06'!P$7:P$159)+SUMIF('07'!$D$7:$D$159,$C93,'07'!P$7:P$159)+SUMIF('08'!$D$7:$D$159,$C93,'08'!P$7:P$159)</f>
        <v>0</v>
      </c>
      <c r="O94" s="284">
        <f>SUMIF('02'!$D$7:$D$159,$C93,'02'!Q$7:Q$159)+SUMIF('03'!$D$7:$D$159,$C93,'03'!Q$7:Q$159)+SUMIF('04'!$D$7:$D$159,$C93,'04'!Q$7:Q$159)+SUMIF('05'!$D$7:$D$159,$C93,'05'!Q$7:Q$159)+SUMIF('06'!$D$7:$D$159,$C93,'06'!Q$7:Q$159)+SUMIF('07'!$D$7:$D$159,$C93,'07'!Q$7:Q$159)+SUMIF('08'!$D$7:$D$159,$C93,'08'!Q$7:Q$159)</f>
        <v>0</v>
      </c>
      <c r="P94" s="281">
        <f>SUMIF('02'!$D$7:$D$159,$C93,'02'!R$7:R$159)+SUMIF('03'!$D$7:$D$159,$C93,'03'!R$7:R$159)+SUMIF('04'!$D$7:$D$159,$C93,'04'!R$7:R$159)+SUMIF('05'!$D$7:$D$159,$C93,'05'!R$7:R$159)+SUMIF('06'!$D$7:$D$159,$C93,'06'!R$7:R$159)+SUMIF('07'!$D$7:$D$159,$C93,'07'!R$7:R$159)+SUMIF('08'!$D$7:$D$159,$C93,'08'!R$7:R$159)</f>
        <v>0</v>
      </c>
      <c r="Q94" s="282">
        <f>SUMIF('02'!$D$7:$D$159,$C93,'02'!S$7:S$159)+SUMIF('03'!$D$7:$D$159,$C93,'03'!S$7:S$159)+SUMIF('04'!$D$7:$D$159,$C93,'04'!S$7:S$159)+SUMIF('05'!$D$7:$D$159,$C93,'05'!S$7:S$159)+SUMIF('06'!$D$7:$D$159,$C93,'06'!S$7:S$159)+SUMIF('07'!$D$7:$D$159,$C93,'07'!S$7:S$159)+SUMIF('08'!$D$7:$D$159,$C93,'08'!S$7:S$159)</f>
        <v>0</v>
      </c>
      <c r="R94" s="283">
        <f>SUMIF('02'!$D$7:$D$159,$C93,'02'!T$7:T$159)+SUMIF('03'!$D$7:$D$159,$C93,'03'!T$7:T$159)+SUMIF('04'!$D$7:$D$159,$C93,'04'!T$7:T$159)+SUMIF('05'!$D$7:$D$159,$C93,'05'!T$7:T$159)+SUMIF('06'!$D$7:$D$159,$C93,'06'!T$7:T$159)+SUMIF('07'!$D$7:$D$159,$C93,'07'!T$7:T$159)+SUMIF('08'!$D$7:$D$159,$C93,'08'!T$7:T$159)</f>
        <v>0</v>
      </c>
      <c r="S94" s="281">
        <f>SUMIF('02'!$D$7:$D$159,$C93,'02'!U$7:U$159)+SUMIF('03'!$D$7:$D$159,$C93,'03'!U$7:U$159)+SUMIF('04'!$D$7:$D$159,$C93,'04'!U$7:U$159)+SUMIF('05'!$D$7:$D$159,$C93,'05'!U$7:U$159)+SUMIF('06'!$D$7:$D$159,$C93,'06'!U$7:U$159)+SUMIF('07'!$D$7:$D$159,$C93,'07'!U$7:U$159)+SUMIF('08'!$D$7:$D$159,$C93,'08'!U$7:U$159)</f>
        <v>0</v>
      </c>
      <c r="T94" s="282">
        <f>SUMIF('02'!$D$7:$D$159,$C93,'02'!V$7:V$159)+SUMIF('03'!$D$7:$D$159,$C93,'03'!V$7:V$159)+SUMIF('04'!$D$7:$D$159,$C93,'04'!V$7:V$159)+SUMIF('05'!$D$7:$D$159,$C93,'05'!V$7:V$159)+SUMIF('06'!$D$7:$D$159,$C93,'06'!V$7:V$159)+SUMIF('07'!$D$7:$D$159,$C93,'07'!V$7:V$159)+SUMIF('08'!$D$7:$D$159,$C93,'08'!V$7:V$159)</f>
        <v>0</v>
      </c>
      <c r="U94" s="285">
        <f>SUMIF('02'!$D$7:$D$159,$C93,'02'!W$7:W$159)+SUMIF('03'!$D$7:$D$159,$C93,'03'!W$7:W$159)+SUMIF('04'!$D$7:$D$159,$C93,'04'!W$7:W$159)+SUMIF('05'!$D$7:$D$159,$C93,'05'!W$7:W$159)+SUMIF('06'!$D$7:$D$159,$C93,'06'!W$7:W$159)+SUMIF('07'!$D$7:$D$159,$C93,'07'!W$7:W$159)+SUMIF('08'!$D$7:$D$159,$C93,'08'!W$7:W$159)</f>
        <v>0</v>
      </c>
      <c r="V94" s="284">
        <f>SUMIF('02'!$D$7:$D$159,$C93,'02'!X$7:X$159)+SUMIF('03'!$D$7:$D$159,$C93,'03'!X$7:X$159)+SUMIF('04'!$D$7:$D$159,$C93,'04'!X$7:X$159)+SUMIF('05'!$D$7:$D$159,$C93,'05'!X$7:X$159)+SUMIF('06'!$D$7:$D$159,$C93,'06'!X$7:X$159)+SUMIF('07'!$D$7:$D$159,$C93,'07'!X$7:X$159)+SUMIF('08'!$D$7:$D$159,$C93,'08'!X$7:X$159)</f>
        <v>0</v>
      </c>
      <c r="W94" s="284">
        <f>SUMIF('02'!$D$7:$D$159,$C93,'02'!Y$7:Y$159)+SUMIF('03'!$D$7:$D$159,$C93,'03'!Y$7:Y$159)+SUMIF('04'!$D$7:$D$159,$C93,'04'!Y$7:Y$159)+SUMIF('05'!$D$7:$D$159,$C93,'05'!Y$7:Y$159)+SUMIF('06'!$D$7:$D$159,$C93,'06'!Y$7:Y$159)+SUMIF('07'!$D$7:$D$159,$C93,'07'!Y$7:Y$159)+SUMIF('08'!$D$7:$D$159,$C93,'08'!Y$7:Y$159)</f>
        <v>0</v>
      </c>
      <c r="X94" s="286">
        <f t="shared" si="4"/>
        <v>0</v>
      </c>
      <c r="Y94" s="345"/>
      <c r="Z94" s="347"/>
    </row>
    <row r="95" spans="1:26" ht="14.25" customHeight="1" x14ac:dyDescent="0.3">
      <c r="A95" s="178">
        <f>IF(OR(C95="0",COUNTIF(КлючВесна,C95)&gt;1),0,MATCH(F95,ВидыНагр,0))</f>
        <v>0</v>
      </c>
      <c r="B95" s="178" t="b">
        <f>(COUNTA(D95:F96,J95:W95,H95:I96)=0)</f>
        <v>1</v>
      </c>
      <c r="C95" s="179" t="str">
        <f>IF(OR(TRIM(D95)="",COUNTIF(ВидыНагр,F95)&lt;&gt;1),"0",CONCATENATE("$",TRIM(D95),"$",TRIM(E95),"$",F95,"$"))</f>
        <v>0</v>
      </c>
      <c r="D95" s="340"/>
      <c r="E95" s="338"/>
      <c r="F95" s="342"/>
      <c r="G95" s="180" t="s">
        <v>7</v>
      </c>
      <c r="H95" s="181"/>
      <c r="I95" s="182"/>
      <c r="J95" s="183"/>
      <c r="K95" s="184"/>
      <c r="L95" s="185"/>
      <c r="M95" s="183"/>
      <c r="N95" s="184"/>
      <c r="O95" s="186"/>
      <c r="P95" s="183"/>
      <c r="Q95" s="184"/>
      <c r="R95" s="185"/>
      <c r="S95" s="183"/>
      <c r="T95" s="184"/>
      <c r="U95" s="187"/>
      <c r="V95" s="186"/>
      <c r="W95" s="186"/>
      <c r="X95" s="279">
        <f t="shared" si="4"/>
        <v>0</v>
      </c>
      <c r="Y95" s="344">
        <f>X96-X95</f>
        <v>0</v>
      </c>
      <c r="Z95" s="346"/>
    </row>
    <row r="96" spans="1:26" ht="14.25" customHeight="1" x14ac:dyDescent="0.3">
      <c r="A96" s="178">
        <f>-A95</f>
        <v>0</v>
      </c>
      <c r="B96" s="178" t="b">
        <f>B95</f>
        <v>1</v>
      </c>
      <c r="C96" s="188"/>
      <c r="D96" s="341"/>
      <c r="E96" s="339"/>
      <c r="F96" s="343"/>
      <c r="G96" s="189" t="s">
        <v>8</v>
      </c>
      <c r="H96" s="190"/>
      <c r="I96" s="280"/>
      <c r="J96" s="281">
        <f>SUMIF('02'!$D$7:$D$159,$C95,'02'!L$7:L$159)+SUMIF('03'!$D$7:$D$159,$C95,'03'!L$7:L$159)+SUMIF('04'!$D$7:$D$159,$C95,'04'!L$7:L$159)+SUMIF('05'!$D$7:$D$159,$C95,'05'!L$7:L$159)+SUMIF('06'!$D$7:$D$159,$C95,'06'!L$7:L$159)+SUMIF('07'!$D$7:$D$159,$C95,'07'!L$7:L$159)+SUMIF('08'!$D$7:$D$159,$C95,'08'!L$7:L$159)</f>
        <v>0</v>
      </c>
      <c r="K96" s="282">
        <f>SUMIF('02'!$D$7:$D$159,$C95,'02'!M$7:M$159)+SUMIF('03'!$D$7:$D$159,$C95,'03'!M$7:M$159)+SUMIF('04'!$D$7:$D$159,$C95,'04'!M$7:M$159)+SUMIF('05'!$D$7:$D$159,$C95,'05'!M$7:M$159)+SUMIF('06'!$D$7:$D$159,$C95,'06'!M$7:M$159)+SUMIF('07'!$D$7:$D$159,$C95,'07'!M$7:M$159)+SUMIF('08'!$D$7:$D$159,$C95,'08'!M$7:M$159)</f>
        <v>0</v>
      </c>
      <c r="L96" s="283">
        <f>SUMIF('02'!$D$7:$D$159,$C95,'02'!N$7:N$159)+SUMIF('03'!$D$7:$D$159,$C95,'03'!N$7:N$159)+SUMIF('04'!$D$7:$D$159,$C95,'04'!N$7:N$159)+SUMIF('05'!$D$7:$D$159,$C95,'05'!N$7:N$159)+SUMIF('06'!$D$7:$D$159,$C95,'06'!N$7:N$159)+SUMIF('07'!$D$7:$D$159,$C95,'07'!N$7:N$159)+SUMIF('08'!$D$7:$D$159,$C95,'08'!N$7:N$159)</f>
        <v>0</v>
      </c>
      <c r="M96" s="281">
        <f>SUMIF('02'!$D$7:$D$159,$C95,'02'!O$7:O$159)+SUMIF('03'!$D$7:$D$159,$C95,'03'!O$7:O$159)+SUMIF('04'!$D$7:$D$159,$C95,'04'!O$7:O$159)+SUMIF('05'!$D$7:$D$159,$C95,'05'!O$7:O$159)+SUMIF('06'!$D$7:$D$159,$C95,'06'!O$7:O$159)+SUMIF('07'!$D$7:$D$159,$C95,'07'!O$7:O$159)+SUMIF('08'!$D$7:$D$159,$C95,'08'!O$7:O$159)</f>
        <v>0</v>
      </c>
      <c r="N96" s="282">
        <f>SUMIF('02'!$D$7:$D$159,$C95,'02'!P$7:P$159)+SUMIF('03'!$D$7:$D$159,$C95,'03'!P$7:P$159)+SUMIF('04'!$D$7:$D$159,$C95,'04'!P$7:P$159)+SUMIF('05'!$D$7:$D$159,$C95,'05'!P$7:P$159)+SUMIF('06'!$D$7:$D$159,$C95,'06'!P$7:P$159)+SUMIF('07'!$D$7:$D$159,$C95,'07'!P$7:P$159)+SUMIF('08'!$D$7:$D$159,$C95,'08'!P$7:P$159)</f>
        <v>0</v>
      </c>
      <c r="O96" s="284">
        <f>SUMIF('02'!$D$7:$D$159,$C95,'02'!Q$7:Q$159)+SUMIF('03'!$D$7:$D$159,$C95,'03'!Q$7:Q$159)+SUMIF('04'!$D$7:$D$159,$C95,'04'!Q$7:Q$159)+SUMIF('05'!$D$7:$D$159,$C95,'05'!Q$7:Q$159)+SUMIF('06'!$D$7:$D$159,$C95,'06'!Q$7:Q$159)+SUMIF('07'!$D$7:$D$159,$C95,'07'!Q$7:Q$159)+SUMIF('08'!$D$7:$D$159,$C95,'08'!Q$7:Q$159)</f>
        <v>0</v>
      </c>
      <c r="P96" s="281">
        <f>SUMIF('02'!$D$7:$D$159,$C95,'02'!R$7:R$159)+SUMIF('03'!$D$7:$D$159,$C95,'03'!R$7:R$159)+SUMIF('04'!$D$7:$D$159,$C95,'04'!R$7:R$159)+SUMIF('05'!$D$7:$D$159,$C95,'05'!R$7:R$159)+SUMIF('06'!$D$7:$D$159,$C95,'06'!R$7:R$159)+SUMIF('07'!$D$7:$D$159,$C95,'07'!R$7:R$159)+SUMIF('08'!$D$7:$D$159,$C95,'08'!R$7:R$159)</f>
        <v>0</v>
      </c>
      <c r="Q96" s="282">
        <f>SUMIF('02'!$D$7:$D$159,$C95,'02'!S$7:S$159)+SUMIF('03'!$D$7:$D$159,$C95,'03'!S$7:S$159)+SUMIF('04'!$D$7:$D$159,$C95,'04'!S$7:S$159)+SUMIF('05'!$D$7:$D$159,$C95,'05'!S$7:S$159)+SUMIF('06'!$D$7:$D$159,$C95,'06'!S$7:S$159)+SUMIF('07'!$D$7:$D$159,$C95,'07'!S$7:S$159)+SUMIF('08'!$D$7:$D$159,$C95,'08'!S$7:S$159)</f>
        <v>0</v>
      </c>
      <c r="R96" s="283">
        <f>SUMIF('02'!$D$7:$D$159,$C95,'02'!T$7:T$159)+SUMIF('03'!$D$7:$D$159,$C95,'03'!T$7:T$159)+SUMIF('04'!$D$7:$D$159,$C95,'04'!T$7:T$159)+SUMIF('05'!$D$7:$D$159,$C95,'05'!T$7:T$159)+SUMIF('06'!$D$7:$D$159,$C95,'06'!T$7:T$159)+SUMIF('07'!$D$7:$D$159,$C95,'07'!T$7:T$159)+SUMIF('08'!$D$7:$D$159,$C95,'08'!T$7:T$159)</f>
        <v>0</v>
      </c>
      <c r="S96" s="281">
        <f>SUMIF('02'!$D$7:$D$159,$C95,'02'!U$7:U$159)+SUMIF('03'!$D$7:$D$159,$C95,'03'!U$7:U$159)+SUMIF('04'!$D$7:$D$159,$C95,'04'!U$7:U$159)+SUMIF('05'!$D$7:$D$159,$C95,'05'!U$7:U$159)+SUMIF('06'!$D$7:$D$159,$C95,'06'!U$7:U$159)+SUMIF('07'!$D$7:$D$159,$C95,'07'!U$7:U$159)+SUMIF('08'!$D$7:$D$159,$C95,'08'!U$7:U$159)</f>
        <v>0</v>
      </c>
      <c r="T96" s="282">
        <f>SUMIF('02'!$D$7:$D$159,$C95,'02'!V$7:V$159)+SUMIF('03'!$D$7:$D$159,$C95,'03'!V$7:V$159)+SUMIF('04'!$D$7:$D$159,$C95,'04'!V$7:V$159)+SUMIF('05'!$D$7:$D$159,$C95,'05'!V$7:V$159)+SUMIF('06'!$D$7:$D$159,$C95,'06'!V$7:V$159)+SUMIF('07'!$D$7:$D$159,$C95,'07'!V$7:V$159)+SUMIF('08'!$D$7:$D$159,$C95,'08'!V$7:V$159)</f>
        <v>0</v>
      </c>
      <c r="U96" s="285">
        <f>SUMIF('02'!$D$7:$D$159,$C95,'02'!W$7:W$159)+SUMIF('03'!$D$7:$D$159,$C95,'03'!W$7:W$159)+SUMIF('04'!$D$7:$D$159,$C95,'04'!W$7:W$159)+SUMIF('05'!$D$7:$D$159,$C95,'05'!W$7:W$159)+SUMIF('06'!$D$7:$D$159,$C95,'06'!W$7:W$159)+SUMIF('07'!$D$7:$D$159,$C95,'07'!W$7:W$159)+SUMIF('08'!$D$7:$D$159,$C95,'08'!W$7:W$159)</f>
        <v>0</v>
      </c>
      <c r="V96" s="284">
        <f>SUMIF('02'!$D$7:$D$159,$C95,'02'!X$7:X$159)+SUMIF('03'!$D$7:$D$159,$C95,'03'!X$7:X$159)+SUMIF('04'!$D$7:$D$159,$C95,'04'!X$7:X$159)+SUMIF('05'!$D$7:$D$159,$C95,'05'!X$7:X$159)+SUMIF('06'!$D$7:$D$159,$C95,'06'!X$7:X$159)+SUMIF('07'!$D$7:$D$159,$C95,'07'!X$7:X$159)+SUMIF('08'!$D$7:$D$159,$C95,'08'!X$7:X$159)</f>
        <v>0</v>
      </c>
      <c r="W96" s="284">
        <f>SUMIF('02'!$D$7:$D$159,$C95,'02'!Y$7:Y$159)+SUMIF('03'!$D$7:$D$159,$C95,'03'!Y$7:Y$159)+SUMIF('04'!$D$7:$D$159,$C95,'04'!Y$7:Y$159)+SUMIF('05'!$D$7:$D$159,$C95,'05'!Y$7:Y$159)+SUMIF('06'!$D$7:$D$159,$C95,'06'!Y$7:Y$159)+SUMIF('07'!$D$7:$D$159,$C95,'07'!Y$7:Y$159)+SUMIF('08'!$D$7:$D$159,$C95,'08'!Y$7:Y$159)</f>
        <v>0</v>
      </c>
      <c r="X96" s="286">
        <f t="shared" si="4"/>
        <v>0</v>
      </c>
      <c r="Y96" s="345"/>
      <c r="Z96" s="347"/>
    </row>
    <row r="97" spans="1:26" ht="14.25" customHeight="1" x14ac:dyDescent="0.3">
      <c r="A97" s="178">
        <f>IF(OR(C97="0",COUNTIF(КлючВесна,C97)&gt;1),0,MATCH(F97,ВидыНагр,0))</f>
        <v>0</v>
      </c>
      <c r="B97" s="178" t="b">
        <f>(COUNTA(D97:F98,J97:W97,H97:I98)=0)</f>
        <v>1</v>
      </c>
      <c r="C97" s="179" t="str">
        <f>IF(OR(TRIM(D97)="",COUNTIF(ВидыНагр,F97)&lt;&gt;1),"0",CONCATENATE("$",TRIM(D97),"$",TRIM(E97),"$",F97,"$"))</f>
        <v>0</v>
      </c>
      <c r="D97" s="340"/>
      <c r="E97" s="338"/>
      <c r="F97" s="342"/>
      <c r="G97" s="180" t="s">
        <v>7</v>
      </c>
      <c r="H97" s="181"/>
      <c r="I97" s="182"/>
      <c r="J97" s="183"/>
      <c r="K97" s="184"/>
      <c r="L97" s="185"/>
      <c r="M97" s="183"/>
      <c r="N97" s="184"/>
      <c r="O97" s="186"/>
      <c r="P97" s="183"/>
      <c r="Q97" s="184"/>
      <c r="R97" s="185"/>
      <c r="S97" s="183"/>
      <c r="T97" s="184"/>
      <c r="U97" s="187"/>
      <c r="V97" s="186"/>
      <c r="W97" s="186"/>
      <c r="X97" s="279">
        <f t="shared" ref="X97:X172" si="5">SUM(J97:W97)</f>
        <v>0</v>
      </c>
      <c r="Y97" s="344">
        <f>X98-X97</f>
        <v>0</v>
      </c>
      <c r="Z97" s="346"/>
    </row>
    <row r="98" spans="1:26" ht="14.25" customHeight="1" x14ac:dyDescent="0.3">
      <c r="A98" s="178">
        <f>-A97</f>
        <v>0</v>
      </c>
      <c r="B98" s="178" t="b">
        <f>B97</f>
        <v>1</v>
      </c>
      <c r="C98" s="188"/>
      <c r="D98" s="341"/>
      <c r="E98" s="339"/>
      <c r="F98" s="343"/>
      <c r="G98" s="189" t="s">
        <v>8</v>
      </c>
      <c r="H98" s="190"/>
      <c r="I98" s="280"/>
      <c r="J98" s="281">
        <f>SUMIF('02'!$D$7:$D$159,$C97,'02'!L$7:L$159)+SUMIF('03'!$D$7:$D$159,$C97,'03'!L$7:L$159)+SUMIF('04'!$D$7:$D$159,$C97,'04'!L$7:L$159)+SUMIF('05'!$D$7:$D$159,$C97,'05'!L$7:L$159)+SUMIF('06'!$D$7:$D$159,$C97,'06'!L$7:L$159)+SUMIF('07'!$D$7:$D$159,$C97,'07'!L$7:L$159)+SUMIF('08'!$D$7:$D$159,$C97,'08'!L$7:L$159)</f>
        <v>0</v>
      </c>
      <c r="K98" s="282">
        <f>SUMIF('02'!$D$7:$D$159,$C97,'02'!M$7:M$159)+SUMIF('03'!$D$7:$D$159,$C97,'03'!M$7:M$159)+SUMIF('04'!$D$7:$D$159,$C97,'04'!M$7:M$159)+SUMIF('05'!$D$7:$D$159,$C97,'05'!M$7:M$159)+SUMIF('06'!$D$7:$D$159,$C97,'06'!M$7:M$159)+SUMIF('07'!$D$7:$D$159,$C97,'07'!M$7:M$159)+SUMIF('08'!$D$7:$D$159,$C97,'08'!M$7:M$159)</f>
        <v>0</v>
      </c>
      <c r="L98" s="283">
        <f>SUMIF('02'!$D$7:$D$159,$C97,'02'!N$7:N$159)+SUMIF('03'!$D$7:$D$159,$C97,'03'!N$7:N$159)+SUMIF('04'!$D$7:$D$159,$C97,'04'!N$7:N$159)+SUMIF('05'!$D$7:$D$159,$C97,'05'!N$7:N$159)+SUMIF('06'!$D$7:$D$159,$C97,'06'!N$7:N$159)+SUMIF('07'!$D$7:$D$159,$C97,'07'!N$7:N$159)+SUMIF('08'!$D$7:$D$159,$C97,'08'!N$7:N$159)</f>
        <v>0</v>
      </c>
      <c r="M98" s="281">
        <f>SUMIF('02'!$D$7:$D$159,$C97,'02'!O$7:O$159)+SUMIF('03'!$D$7:$D$159,$C97,'03'!O$7:O$159)+SUMIF('04'!$D$7:$D$159,$C97,'04'!O$7:O$159)+SUMIF('05'!$D$7:$D$159,$C97,'05'!O$7:O$159)+SUMIF('06'!$D$7:$D$159,$C97,'06'!O$7:O$159)+SUMIF('07'!$D$7:$D$159,$C97,'07'!O$7:O$159)+SUMIF('08'!$D$7:$D$159,$C97,'08'!O$7:O$159)</f>
        <v>0</v>
      </c>
      <c r="N98" s="282">
        <f>SUMIF('02'!$D$7:$D$159,$C97,'02'!P$7:P$159)+SUMIF('03'!$D$7:$D$159,$C97,'03'!P$7:P$159)+SUMIF('04'!$D$7:$D$159,$C97,'04'!P$7:P$159)+SUMIF('05'!$D$7:$D$159,$C97,'05'!P$7:P$159)+SUMIF('06'!$D$7:$D$159,$C97,'06'!P$7:P$159)+SUMIF('07'!$D$7:$D$159,$C97,'07'!P$7:P$159)+SUMIF('08'!$D$7:$D$159,$C97,'08'!P$7:P$159)</f>
        <v>0</v>
      </c>
      <c r="O98" s="284">
        <f>SUMIF('02'!$D$7:$D$159,$C97,'02'!Q$7:Q$159)+SUMIF('03'!$D$7:$D$159,$C97,'03'!Q$7:Q$159)+SUMIF('04'!$D$7:$D$159,$C97,'04'!Q$7:Q$159)+SUMIF('05'!$D$7:$D$159,$C97,'05'!Q$7:Q$159)+SUMIF('06'!$D$7:$D$159,$C97,'06'!Q$7:Q$159)+SUMIF('07'!$D$7:$D$159,$C97,'07'!Q$7:Q$159)+SUMIF('08'!$D$7:$D$159,$C97,'08'!Q$7:Q$159)</f>
        <v>0</v>
      </c>
      <c r="P98" s="281">
        <f>SUMIF('02'!$D$7:$D$159,$C97,'02'!R$7:R$159)+SUMIF('03'!$D$7:$D$159,$C97,'03'!R$7:R$159)+SUMIF('04'!$D$7:$D$159,$C97,'04'!R$7:R$159)+SUMIF('05'!$D$7:$D$159,$C97,'05'!R$7:R$159)+SUMIF('06'!$D$7:$D$159,$C97,'06'!R$7:R$159)+SUMIF('07'!$D$7:$D$159,$C97,'07'!R$7:R$159)+SUMIF('08'!$D$7:$D$159,$C97,'08'!R$7:R$159)</f>
        <v>0</v>
      </c>
      <c r="Q98" s="282">
        <f>SUMIF('02'!$D$7:$D$159,$C97,'02'!S$7:S$159)+SUMIF('03'!$D$7:$D$159,$C97,'03'!S$7:S$159)+SUMIF('04'!$D$7:$D$159,$C97,'04'!S$7:S$159)+SUMIF('05'!$D$7:$D$159,$C97,'05'!S$7:S$159)+SUMIF('06'!$D$7:$D$159,$C97,'06'!S$7:S$159)+SUMIF('07'!$D$7:$D$159,$C97,'07'!S$7:S$159)+SUMIF('08'!$D$7:$D$159,$C97,'08'!S$7:S$159)</f>
        <v>0</v>
      </c>
      <c r="R98" s="283">
        <f>SUMIF('02'!$D$7:$D$159,$C97,'02'!T$7:T$159)+SUMIF('03'!$D$7:$D$159,$C97,'03'!T$7:T$159)+SUMIF('04'!$D$7:$D$159,$C97,'04'!T$7:T$159)+SUMIF('05'!$D$7:$D$159,$C97,'05'!T$7:T$159)+SUMIF('06'!$D$7:$D$159,$C97,'06'!T$7:T$159)+SUMIF('07'!$D$7:$D$159,$C97,'07'!T$7:T$159)+SUMIF('08'!$D$7:$D$159,$C97,'08'!T$7:T$159)</f>
        <v>0</v>
      </c>
      <c r="S98" s="281">
        <f>SUMIF('02'!$D$7:$D$159,$C97,'02'!U$7:U$159)+SUMIF('03'!$D$7:$D$159,$C97,'03'!U$7:U$159)+SUMIF('04'!$D$7:$D$159,$C97,'04'!U$7:U$159)+SUMIF('05'!$D$7:$D$159,$C97,'05'!U$7:U$159)+SUMIF('06'!$D$7:$D$159,$C97,'06'!U$7:U$159)+SUMIF('07'!$D$7:$D$159,$C97,'07'!U$7:U$159)+SUMIF('08'!$D$7:$D$159,$C97,'08'!U$7:U$159)</f>
        <v>0</v>
      </c>
      <c r="T98" s="282">
        <f>SUMIF('02'!$D$7:$D$159,$C97,'02'!V$7:V$159)+SUMIF('03'!$D$7:$D$159,$C97,'03'!V$7:V$159)+SUMIF('04'!$D$7:$D$159,$C97,'04'!V$7:V$159)+SUMIF('05'!$D$7:$D$159,$C97,'05'!V$7:V$159)+SUMIF('06'!$D$7:$D$159,$C97,'06'!V$7:V$159)+SUMIF('07'!$D$7:$D$159,$C97,'07'!V$7:V$159)+SUMIF('08'!$D$7:$D$159,$C97,'08'!V$7:V$159)</f>
        <v>0</v>
      </c>
      <c r="U98" s="285">
        <f>SUMIF('02'!$D$7:$D$159,$C97,'02'!W$7:W$159)+SUMIF('03'!$D$7:$D$159,$C97,'03'!W$7:W$159)+SUMIF('04'!$D$7:$D$159,$C97,'04'!W$7:W$159)+SUMIF('05'!$D$7:$D$159,$C97,'05'!W$7:W$159)+SUMIF('06'!$D$7:$D$159,$C97,'06'!W$7:W$159)+SUMIF('07'!$D$7:$D$159,$C97,'07'!W$7:W$159)+SUMIF('08'!$D$7:$D$159,$C97,'08'!W$7:W$159)</f>
        <v>0</v>
      </c>
      <c r="V98" s="284">
        <f>SUMIF('02'!$D$7:$D$159,$C97,'02'!X$7:X$159)+SUMIF('03'!$D$7:$D$159,$C97,'03'!X$7:X$159)+SUMIF('04'!$D$7:$D$159,$C97,'04'!X$7:X$159)+SUMIF('05'!$D$7:$D$159,$C97,'05'!X$7:X$159)+SUMIF('06'!$D$7:$D$159,$C97,'06'!X$7:X$159)+SUMIF('07'!$D$7:$D$159,$C97,'07'!X$7:X$159)+SUMIF('08'!$D$7:$D$159,$C97,'08'!X$7:X$159)</f>
        <v>0</v>
      </c>
      <c r="W98" s="284">
        <f>SUMIF('02'!$D$7:$D$159,$C97,'02'!Y$7:Y$159)+SUMIF('03'!$D$7:$D$159,$C97,'03'!Y$7:Y$159)+SUMIF('04'!$D$7:$D$159,$C97,'04'!Y$7:Y$159)+SUMIF('05'!$D$7:$D$159,$C97,'05'!Y$7:Y$159)+SUMIF('06'!$D$7:$D$159,$C97,'06'!Y$7:Y$159)+SUMIF('07'!$D$7:$D$159,$C97,'07'!Y$7:Y$159)+SUMIF('08'!$D$7:$D$159,$C97,'08'!Y$7:Y$159)</f>
        <v>0</v>
      </c>
      <c r="X98" s="286">
        <f t="shared" si="5"/>
        <v>0</v>
      </c>
      <c r="Y98" s="345"/>
      <c r="Z98" s="347"/>
    </row>
    <row r="99" spans="1:26" ht="14.25" customHeight="1" x14ac:dyDescent="0.3">
      <c r="A99" s="178">
        <f>IF(OR(C99="0",COUNTIF(КлючВесна,C99)&gt;1),0,MATCH(F99,ВидыНагр,0))</f>
        <v>0</v>
      </c>
      <c r="B99" s="178" t="b">
        <f>(COUNTA(D99:F100,J99:W99,H99:I100)=0)</f>
        <v>1</v>
      </c>
      <c r="C99" s="179" t="str">
        <f>IF(OR(TRIM(D99)="",COUNTIF(ВидыНагр,F99)&lt;&gt;1),"0",CONCATENATE("$",TRIM(D99),"$",TRIM(E99),"$",F99,"$"))</f>
        <v>0</v>
      </c>
      <c r="D99" s="340"/>
      <c r="E99" s="338"/>
      <c r="F99" s="342"/>
      <c r="G99" s="180" t="s">
        <v>7</v>
      </c>
      <c r="H99" s="181"/>
      <c r="I99" s="182"/>
      <c r="J99" s="183"/>
      <c r="K99" s="184"/>
      <c r="L99" s="185"/>
      <c r="M99" s="183"/>
      <c r="N99" s="184"/>
      <c r="O99" s="186"/>
      <c r="P99" s="183"/>
      <c r="Q99" s="184"/>
      <c r="R99" s="185"/>
      <c r="S99" s="183"/>
      <c r="T99" s="184"/>
      <c r="U99" s="187"/>
      <c r="V99" s="186"/>
      <c r="W99" s="186"/>
      <c r="X99" s="279">
        <f t="shared" si="5"/>
        <v>0</v>
      </c>
      <c r="Y99" s="344">
        <f>X100-X99</f>
        <v>0</v>
      </c>
      <c r="Z99" s="346"/>
    </row>
    <row r="100" spans="1:26" ht="14.25" customHeight="1" x14ac:dyDescent="0.3">
      <c r="A100" s="178">
        <f>-A99</f>
        <v>0</v>
      </c>
      <c r="B100" s="178" t="b">
        <f>B99</f>
        <v>1</v>
      </c>
      <c r="C100" s="188"/>
      <c r="D100" s="341"/>
      <c r="E100" s="339"/>
      <c r="F100" s="343"/>
      <c r="G100" s="189" t="s">
        <v>8</v>
      </c>
      <c r="H100" s="190"/>
      <c r="I100" s="280"/>
      <c r="J100" s="281">
        <f>SUMIF('02'!$D$7:$D$159,$C99,'02'!L$7:L$159)+SUMIF('03'!$D$7:$D$159,$C99,'03'!L$7:L$159)+SUMIF('04'!$D$7:$D$159,$C99,'04'!L$7:L$159)+SUMIF('05'!$D$7:$D$159,$C99,'05'!L$7:L$159)+SUMIF('06'!$D$7:$D$159,$C99,'06'!L$7:L$159)+SUMIF('07'!$D$7:$D$159,$C99,'07'!L$7:L$159)+SUMIF('08'!$D$7:$D$159,$C99,'08'!L$7:L$159)</f>
        <v>0</v>
      </c>
      <c r="K100" s="282">
        <f>SUMIF('02'!$D$7:$D$159,$C99,'02'!M$7:M$159)+SUMIF('03'!$D$7:$D$159,$C99,'03'!M$7:M$159)+SUMIF('04'!$D$7:$D$159,$C99,'04'!M$7:M$159)+SUMIF('05'!$D$7:$D$159,$C99,'05'!M$7:M$159)+SUMIF('06'!$D$7:$D$159,$C99,'06'!M$7:M$159)+SUMIF('07'!$D$7:$D$159,$C99,'07'!M$7:M$159)+SUMIF('08'!$D$7:$D$159,$C99,'08'!M$7:M$159)</f>
        <v>0</v>
      </c>
      <c r="L100" s="283">
        <f>SUMIF('02'!$D$7:$D$159,$C99,'02'!N$7:N$159)+SUMIF('03'!$D$7:$D$159,$C99,'03'!N$7:N$159)+SUMIF('04'!$D$7:$D$159,$C99,'04'!N$7:N$159)+SUMIF('05'!$D$7:$D$159,$C99,'05'!N$7:N$159)+SUMIF('06'!$D$7:$D$159,$C99,'06'!N$7:N$159)+SUMIF('07'!$D$7:$D$159,$C99,'07'!N$7:N$159)+SUMIF('08'!$D$7:$D$159,$C99,'08'!N$7:N$159)</f>
        <v>0</v>
      </c>
      <c r="M100" s="281">
        <f>SUMIF('02'!$D$7:$D$159,$C99,'02'!O$7:O$159)+SUMIF('03'!$D$7:$D$159,$C99,'03'!O$7:O$159)+SUMIF('04'!$D$7:$D$159,$C99,'04'!O$7:O$159)+SUMIF('05'!$D$7:$D$159,$C99,'05'!O$7:O$159)+SUMIF('06'!$D$7:$D$159,$C99,'06'!O$7:O$159)+SUMIF('07'!$D$7:$D$159,$C99,'07'!O$7:O$159)+SUMIF('08'!$D$7:$D$159,$C99,'08'!O$7:O$159)</f>
        <v>0</v>
      </c>
      <c r="N100" s="282">
        <f>SUMIF('02'!$D$7:$D$159,$C99,'02'!P$7:P$159)+SUMIF('03'!$D$7:$D$159,$C99,'03'!P$7:P$159)+SUMIF('04'!$D$7:$D$159,$C99,'04'!P$7:P$159)+SUMIF('05'!$D$7:$D$159,$C99,'05'!P$7:P$159)+SUMIF('06'!$D$7:$D$159,$C99,'06'!P$7:P$159)+SUMIF('07'!$D$7:$D$159,$C99,'07'!P$7:P$159)+SUMIF('08'!$D$7:$D$159,$C99,'08'!P$7:P$159)</f>
        <v>0</v>
      </c>
      <c r="O100" s="284">
        <f>SUMIF('02'!$D$7:$D$159,$C99,'02'!Q$7:Q$159)+SUMIF('03'!$D$7:$D$159,$C99,'03'!Q$7:Q$159)+SUMIF('04'!$D$7:$D$159,$C99,'04'!Q$7:Q$159)+SUMIF('05'!$D$7:$D$159,$C99,'05'!Q$7:Q$159)+SUMIF('06'!$D$7:$D$159,$C99,'06'!Q$7:Q$159)+SUMIF('07'!$D$7:$D$159,$C99,'07'!Q$7:Q$159)+SUMIF('08'!$D$7:$D$159,$C99,'08'!Q$7:Q$159)</f>
        <v>0</v>
      </c>
      <c r="P100" s="281">
        <f>SUMIF('02'!$D$7:$D$159,$C99,'02'!R$7:R$159)+SUMIF('03'!$D$7:$D$159,$C99,'03'!R$7:R$159)+SUMIF('04'!$D$7:$D$159,$C99,'04'!R$7:R$159)+SUMIF('05'!$D$7:$D$159,$C99,'05'!R$7:R$159)+SUMIF('06'!$D$7:$D$159,$C99,'06'!R$7:R$159)+SUMIF('07'!$D$7:$D$159,$C99,'07'!R$7:R$159)+SUMIF('08'!$D$7:$D$159,$C99,'08'!R$7:R$159)</f>
        <v>0</v>
      </c>
      <c r="Q100" s="282">
        <f>SUMIF('02'!$D$7:$D$159,$C99,'02'!S$7:S$159)+SUMIF('03'!$D$7:$D$159,$C99,'03'!S$7:S$159)+SUMIF('04'!$D$7:$D$159,$C99,'04'!S$7:S$159)+SUMIF('05'!$D$7:$D$159,$C99,'05'!S$7:S$159)+SUMIF('06'!$D$7:$D$159,$C99,'06'!S$7:S$159)+SUMIF('07'!$D$7:$D$159,$C99,'07'!S$7:S$159)+SUMIF('08'!$D$7:$D$159,$C99,'08'!S$7:S$159)</f>
        <v>0</v>
      </c>
      <c r="R100" s="283">
        <f>SUMIF('02'!$D$7:$D$159,$C99,'02'!T$7:T$159)+SUMIF('03'!$D$7:$D$159,$C99,'03'!T$7:T$159)+SUMIF('04'!$D$7:$D$159,$C99,'04'!T$7:T$159)+SUMIF('05'!$D$7:$D$159,$C99,'05'!T$7:T$159)+SUMIF('06'!$D$7:$D$159,$C99,'06'!T$7:T$159)+SUMIF('07'!$D$7:$D$159,$C99,'07'!T$7:T$159)+SUMIF('08'!$D$7:$D$159,$C99,'08'!T$7:T$159)</f>
        <v>0</v>
      </c>
      <c r="S100" s="281">
        <f>SUMIF('02'!$D$7:$D$159,$C99,'02'!U$7:U$159)+SUMIF('03'!$D$7:$D$159,$C99,'03'!U$7:U$159)+SUMIF('04'!$D$7:$D$159,$C99,'04'!U$7:U$159)+SUMIF('05'!$D$7:$D$159,$C99,'05'!U$7:U$159)+SUMIF('06'!$D$7:$D$159,$C99,'06'!U$7:U$159)+SUMIF('07'!$D$7:$D$159,$C99,'07'!U$7:U$159)+SUMIF('08'!$D$7:$D$159,$C99,'08'!U$7:U$159)</f>
        <v>0</v>
      </c>
      <c r="T100" s="282">
        <f>SUMIF('02'!$D$7:$D$159,$C99,'02'!V$7:V$159)+SUMIF('03'!$D$7:$D$159,$C99,'03'!V$7:V$159)+SUMIF('04'!$D$7:$D$159,$C99,'04'!V$7:V$159)+SUMIF('05'!$D$7:$D$159,$C99,'05'!V$7:V$159)+SUMIF('06'!$D$7:$D$159,$C99,'06'!V$7:V$159)+SUMIF('07'!$D$7:$D$159,$C99,'07'!V$7:V$159)+SUMIF('08'!$D$7:$D$159,$C99,'08'!V$7:V$159)</f>
        <v>0</v>
      </c>
      <c r="U100" s="285">
        <f>SUMIF('02'!$D$7:$D$159,$C99,'02'!W$7:W$159)+SUMIF('03'!$D$7:$D$159,$C99,'03'!W$7:W$159)+SUMIF('04'!$D$7:$D$159,$C99,'04'!W$7:W$159)+SUMIF('05'!$D$7:$D$159,$C99,'05'!W$7:W$159)+SUMIF('06'!$D$7:$D$159,$C99,'06'!W$7:W$159)+SUMIF('07'!$D$7:$D$159,$C99,'07'!W$7:W$159)+SUMIF('08'!$D$7:$D$159,$C99,'08'!W$7:W$159)</f>
        <v>0</v>
      </c>
      <c r="V100" s="284">
        <f>SUMIF('02'!$D$7:$D$159,$C99,'02'!X$7:X$159)+SUMIF('03'!$D$7:$D$159,$C99,'03'!X$7:X$159)+SUMIF('04'!$D$7:$D$159,$C99,'04'!X$7:X$159)+SUMIF('05'!$D$7:$D$159,$C99,'05'!X$7:X$159)+SUMIF('06'!$D$7:$D$159,$C99,'06'!X$7:X$159)+SUMIF('07'!$D$7:$D$159,$C99,'07'!X$7:X$159)+SUMIF('08'!$D$7:$D$159,$C99,'08'!X$7:X$159)</f>
        <v>0</v>
      </c>
      <c r="W100" s="284">
        <f>SUMIF('02'!$D$7:$D$159,$C99,'02'!Y$7:Y$159)+SUMIF('03'!$D$7:$D$159,$C99,'03'!Y$7:Y$159)+SUMIF('04'!$D$7:$D$159,$C99,'04'!Y$7:Y$159)+SUMIF('05'!$D$7:$D$159,$C99,'05'!Y$7:Y$159)+SUMIF('06'!$D$7:$D$159,$C99,'06'!Y$7:Y$159)+SUMIF('07'!$D$7:$D$159,$C99,'07'!Y$7:Y$159)+SUMIF('08'!$D$7:$D$159,$C99,'08'!Y$7:Y$159)</f>
        <v>0</v>
      </c>
      <c r="X100" s="286">
        <f t="shared" si="5"/>
        <v>0</v>
      </c>
      <c r="Y100" s="345"/>
      <c r="Z100" s="347"/>
    </row>
    <row r="101" spans="1:26" ht="14.25" customHeight="1" x14ac:dyDescent="0.3">
      <c r="A101" s="178">
        <f>IF(OR(C101="0",COUNTIF(КлючВесна,C101)&gt;1),0,MATCH(F101,ВидыНагр,0))</f>
        <v>0</v>
      </c>
      <c r="B101" s="178" t="b">
        <f>(COUNTA(D101:F102,J101:W101,H101:I102)=0)</f>
        <v>1</v>
      </c>
      <c r="C101" s="179" t="str">
        <f>IF(OR(TRIM(D101)="",COUNTIF(ВидыНагр,F101)&lt;&gt;1),"0",CONCATENATE("$",TRIM(D101),"$",TRIM(E101),"$",F101,"$"))</f>
        <v>0</v>
      </c>
      <c r="D101" s="340"/>
      <c r="E101" s="338"/>
      <c r="F101" s="342"/>
      <c r="G101" s="180" t="s">
        <v>7</v>
      </c>
      <c r="H101" s="181"/>
      <c r="I101" s="182"/>
      <c r="J101" s="183"/>
      <c r="K101" s="184"/>
      <c r="L101" s="185"/>
      <c r="M101" s="183"/>
      <c r="N101" s="184"/>
      <c r="O101" s="186"/>
      <c r="P101" s="183"/>
      <c r="Q101" s="184"/>
      <c r="R101" s="185"/>
      <c r="S101" s="183"/>
      <c r="T101" s="184"/>
      <c r="U101" s="187"/>
      <c r="V101" s="186"/>
      <c r="W101" s="186"/>
      <c r="X101" s="279">
        <f t="shared" si="5"/>
        <v>0</v>
      </c>
      <c r="Y101" s="344">
        <f>X102-X101</f>
        <v>0</v>
      </c>
      <c r="Z101" s="346"/>
    </row>
    <row r="102" spans="1:26" ht="14.25" customHeight="1" x14ac:dyDescent="0.3">
      <c r="A102" s="178">
        <f>-A101</f>
        <v>0</v>
      </c>
      <c r="B102" s="178" t="b">
        <f>B101</f>
        <v>1</v>
      </c>
      <c r="C102" s="188"/>
      <c r="D102" s="341"/>
      <c r="E102" s="339"/>
      <c r="F102" s="343"/>
      <c r="G102" s="189" t="s">
        <v>8</v>
      </c>
      <c r="H102" s="190"/>
      <c r="I102" s="280"/>
      <c r="J102" s="281">
        <f>SUMIF('02'!$D$7:$D$159,$C101,'02'!L$7:L$159)+SUMIF('03'!$D$7:$D$159,$C101,'03'!L$7:L$159)+SUMIF('04'!$D$7:$D$159,$C101,'04'!L$7:L$159)+SUMIF('05'!$D$7:$D$159,$C101,'05'!L$7:L$159)+SUMIF('06'!$D$7:$D$159,$C101,'06'!L$7:L$159)+SUMIF('07'!$D$7:$D$159,$C101,'07'!L$7:L$159)+SUMIF('08'!$D$7:$D$159,$C101,'08'!L$7:L$159)</f>
        <v>0</v>
      </c>
      <c r="K102" s="282">
        <f>SUMIF('02'!$D$7:$D$159,$C101,'02'!M$7:M$159)+SUMIF('03'!$D$7:$D$159,$C101,'03'!M$7:M$159)+SUMIF('04'!$D$7:$D$159,$C101,'04'!M$7:M$159)+SUMIF('05'!$D$7:$D$159,$C101,'05'!M$7:M$159)+SUMIF('06'!$D$7:$D$159,$C101,'06'!M$7:M$159)+SUMIF('07'!$D$7:$D$159,$C101,'07'!M$7:M$159)+SUMIF('08'!$D$7:$D$159,$C101,'08'!M$7:M$159)</f>
        <v>0</v>
      </c>
      <c r="L102" s="283">
        <f>SUMIF('02'!$D$7:$D$159,$C101,'02'!N$7:N$159)+SUMIF('03'!$D$7:$D$159,$C101,'03'!N$7:N$159)+SUMIF('04'!$D$7:$D$159,$C101,'04'!N$7:N$159)+SUMIF('05'!$D$7:$D$159,$C101,'05'!N$7:N$159)+SUMIF('06'!$D$7:$D$159,$C101,'06'!N$7:N$159)+SUMIF('07'!$D$7:$D$159,$C101,'07'!N$7:N$159)+SUMIF('08'!$D$7:$D$159,$C101,'08'!N$7:N$159)</f>
        <v>0</v>
      </c>
      <c r="M102" s="281">
        <f>SUMIF('02'!$D$7:$D$159,$C101,'02'!O$7:O$159)+SUMIF('03'!$D$7:$D$159,$C101,'03'!O$7:O$159)+SUMIF('04'!$D$7:$D$159,$C101,'04'!O$7:O$159)+SUMIF('05'!$D$7:$D$159,$C101,'05'!O$7:O$159)+SUMIF('06'!$D$7:$D$159,$C101,'06'!O$7:O$159)+SUMIF('07'!$D$7:$D$159,$C101,'07'!O$7:O$159)+SUMIF('08'!$D$7:$D$159,$C101,'08'!O$7:O$159)</f>
        <v>0</v>
      </c>
      <c r="N102" s="282">
        <f>SUMIF('02'!$D$7:$D$159,$C101,'02'!P$7:P$159)+SUMIF('03'!$D$7:$D$159,$C101,'03'!P$7:P$159)+SUMIF('04'!$D$7:$D$159,$C101,'04'!P$7:P$159)+SUMIF('05'!$D$7:$D$159,$C101,'05'!P$7:P$159)+SUMIF('06'!$D$7:$D$159,$C101,'06'!P$7:P$159)+SUMIF('07'!$D$7:$D$159,$C101,'07'!P$7:P$159)+SUMIF('08'!$D$7:$D$159,$C101,'08'!P$7:P$159)</f>
        <v>0</v>
      </c>
      <c r="O102" s="284">
        <f>SUMIF('02'!$D$7:$D$159,$C101,'02'!Q$7:Q$159)+SUMIF('03'!$D$7:$D$159,$C101,'03'!Q$7:Q$159)+SUMIF('04'!$D$7:$D$159,$C101,'04'!Q$7:Q$159)+SUMIF('05'!$D$7:$D$159,$C101,'05'!Q$7:Q$159)+SUMIF('06'!$D$7:$D$159,$C101,'06'!Q$7:Q$159)+SUMIF('07'!$D$7:$D$159,$C101,'07'!Q$7:Q$159)+SUMIF('08'!$D$7:$D$159,$C101,'08'!Q$7:Q$159)</f>
        <v>0</v>
      </c>
      <c r="P102" s="281">
        <f>SUMIF('02'!$D$7:$D$159,$C101,'02'!R$7:R$159)+SUMIF('03'!$D$7:$D$159,$C101,'03'!R$7:R$159)+SUMIF('04'!$D$7:$D$159,$C101,'04'!R$7:R$159)+SUMIF('05'!$D$7:$D$159,$C101,'05'!R$7:R$159)+SUMIF('06'!$D$7:$D$159,$C101,'06'!R$7:R$159)+SUMIF('07'!$D$7:$D$159,$C101,'07'!R$7:R$159)+SUMIF('08'!$D$7:$D$159,$C101,'08'!R$7:R$159)</f>
        <v>0</v>
      </c>
      <c r="Q102" s="282">
        <f>SUMIF('02'!$D$7:$D$159,$C101,'02'!S$7:S$159)+SUMIF('03'!$D$7:$D$159,$C101,'03'!S$7:S$159)+SUMIF('04'!$D$7:$D$159,$C101,'04'!S$7:S$159)+SUMIF('05'!$D$7:$D$159,$C101,'05'!S$7:S$159)+SUMIF('06'!$D$7:$D$159,$C101,'06'!S$7:S$159)+SUMIF('07'!$D$7:$D$159,$C101,'07'!S$7:S$159)+SUMIF('08'!$D$7:$D$159,$C101,'08'!S$7:S$159)</f>
        <v>0</v>
      </c>
      <c r="R102" s="283">
        <f>SUMIF('02'!$D$7:$D$159,$C101,'02'!T$7:T$159)+SUMIF('03'!$D$7:$D$159,$C101,'03'!T$7:T$159)+SUMIF('04'!$D$7:$D$159,$C101,'04'!T$7:T$159)+SUMIF('05'!$D$7:$D$159,$C101,'05'!T$7:T$159)+SUMIF('06'!$D$7:$D$159,$C101,'06'!T$7:T$159)+SUMIF('07'!$D$7:$D$159,$C101,'07'!T$7:T$159)+SUMIF('08'!$D$7:$D$159,$C101,'08'!T$7:T$159)</f>
        <v>0</v>
      </c>
      <c r="S102" s="281">
        <f>SUMIF('02'!$D$7:$D$159,$C101,'02'!U$7:U$159)+SUMIF('03'!$D$7:$D$159,$C101,'03'!U$7:U$159)+SUMIF('04'!$D$7:$D$159,$C101,'04'!U$7:U$159)+SUMIF('05'!$D$7:$D$159,$C101,'05'!U$7:U$159)+SUMIF('06'!$D$7:$D$159,$C101,'06'!U$7:U$159)+SUMIF('07'!$D$7:$D$159,$C101,'07'!U$7:U$159)+SUMIF('08'!$D$7:$D$159,$C101,'08'!U$7:U$159)</f>
        <v>0</v>
      </c>
      <c r="T102" s="282">
        <f>SUMIF('02'!$D$7:$D$159,$C101,'02'!V$7:V$159)+SUMIF('03'!$D$7:$D$159,$C101,'03'!V$7:V$159)+SUMIF('04'!$D$7:$D$159,$C101,'04'!V$7:V$159)+SUMIF('05'!$D$7:$D$159,$C101,'05'!V$7:V$159)+SUMIF('06'!$D$7:$D$159,$C101,'06'!V$7:V$159)+SUMIF('07'!$D$7:$D$159,$C101,'07'!V$7:V$159)+SUMIF('08'!$D$7:$D$159,$C101,'08'!V$7:V$159)</f>
        <v>0</v>
      </c>
      <c r="U102" s="285">
        <f>SUMIF('02'!$D$7:$D$159,$C101,'02'!W$7:W$159)+SUMIF('03'!$D$7:$D$159,$C101,'03'!W$7:W$159)+SUMIF('04'!$D$7:$D$159,$C101,'04'!W$7:W$159)+SUMIF('05'!$D$7:$D$159,$C101,'05'!W$7:W$159)+SUMIF('06'!$D$7:$D$159,$C101,'06'!W$7:W$159)+SUMIF('07'!$D$7:$D$159,$C101,'07'!W$7:W$159)+SUMIF('08'!$D$7:$D$159,$C101,'08'!W$7:W$159)</f>
        <v>0</v>
      </c>
      <c r="V102" s="284">
        <f>SUMIF('02'!$D$7:$D$159,$C101,'02'!X$7:X$159)+SUMIF('03'!$D$7:$D$159,$C101,'03'!X$7:X$159)+SUMIF('04'!$D$7:$D$159,$C101,'04'!X$7:X$159)+SUMIF('05'!$D$7:$D$159,$C101,'05'!X$7:X$159)+SUMIF('06'!$D$7:$D$159,$C101,'06'!X$7:X$159)+SUMIF('07'!$D$7:$D$159,$C101,'07'!X$7:X$159)+SUMIF('08'!$D$7:$D$159,$C101,'08'!X$7:X$159)</f>
        <v>0</v>
      </c>
      <c r="W102" s="284">
        <f>SUMIF('02'!$D$7:$D$159,$C101,'02'!Y$7:Y$159)+SUMIF('03'!$D$7:$D$159,$C101,'03'!Y$7:Y$159)+SUMIF('04'!$D$7:$D$159,$C101,'04'!Y$7:Y$159)+SUMIF('05'!$D$7:$D$159,$C101,'05'!Y$7:Y$159)+SUMIF('06'!$D$7:$D$159,$C101,'06'!Y$7:Y$159)+SUMIF('07'!$D$7:$D$159,$C101,'07'!Y$7:Y$159)+SUMIF('08'!$D$7:$D$159,$C101,'08'!Y$7:Y$159)</f>
        <v>0</v>
      </c>
      <c r="X102" s="286">
        <f t="shared" si="5"/>
        <v>0</v>
      </c>
      <c r="Y102" s="345"/>
      <c r="Z102" s="347"/>
    </row>
    <row r="103" spans="1:26" ht="14.25" customHeight="1" x14ac:dyDescent="0.3">
      <c r="A103" s="178">
        <f>IF(OR(C103="0",COUNTIF(КлючВесна,C103)&gt;1),0,MATCH(F103,ВидыНагр,0))</f>
        <v>0</v>
      </c>
      <c r="B103" s="178" t="b">
        <f>(COUNTA(D103:F104,J103:W103,H103:I104)=0)</f>
        <v>1</v>
      </c>
      <c r="C103" s="179" t="str">
        <f>IF(OR(TRIM(D103)="",COUNTIF(ВидыНагр,F103)&lt;&gt;1),"0",CONCATENATE("$",TRIM(D103),"$",TRIM(E103),"$",F103,"$"))</f>
        <v>0</v>
      </c>
      <c r="D103" s="340"/>
      <c r="E103" s="338"/>
      <c r="F103" s="342"/>
      <c r="G103" s="180" t="s">
        <v>7</v>
      </c>
      <c r="H103" s="181"/>
      <c r="I103" s="182"/>
      <c r="J103" s="183"/>
      <c r="K103" s="184"/>
      <c r="L103" s="185"/>
      <c r="M103" s="183"/>
      <c r="N103" s="184"/>
      <c r="O103" s="186"/>
      <c r="P103" s="183"/>
      <c r="Q103" s="184"/>
      <c r="R103" s="185"/>
      <c r="S103" s="183"/>
      <c r="T103" s="184"/>
      <c r="U103" s="187"/>
      <c r="V103" s="186"/>
      <c r="W103" s="186"/>
      <c r="X103" s="279">
        <f t="shared" si="5"/>
        <v>0</v>
      </c>
      <c r="Y103" s="344">
        <f>X104-X103</f>
        <v>0</v>
      </c>
      <c r="Z103" s="346"/>
    </row>
    <row r="104" spans="1:26" ht="14.25" customHeight="1" x14ac:dyDescent="0.3">
      <c r="A104" s="178">
        <f>-A103</f>
        <v>0</v>
      </c>
      <c r="B104" s="178" t="b">
        <f>B103</f>
        <v>1</v>
      </c>
      <c r="C104" s="188"/>
      <c r="D104" s="341"/>
      <c r="E104" s="339"/>
      <c r="F104" s="343"/>
      <c r="G104" s="189" t="s">
        <v>8</v>
      </c>
      <c r="H104" s="190"/>
      <c r="I104" s="280"/>
      <c r="J104" s="281">
        <f>SUMIF('02'!$D$7:$D$159,$C103,'02'!L$7:L$159)+SUMIF('03'!$D$7:$D$159,$C103,'03'!L$7:L$159)+SUMIF('04'!$D$7:$D$159,$C103,'04'!L$7:L$159)+SUMIF('05'!$D$7:$D$159,$C103,'05'!L$7:L$159)+SUMIF('06'!$D$7:$D$159,$C103,'06'!L$7:L$159)+SUMIF('07'!$D$7:$D$159,$C103,'07'!L$7:L$159)+SUMIF('08'!$D$7:$D$159,$C103,'08'!L$7:L$159)</f>
        <v>0</v>
      </c>
      <c r="K104" s="282">
        <f>SUMIF('02'!$D$7:$D$159,$C103,'02'!M$7:M$159)+SUMIF('03'!$D$7:$D$159,$C103,'03'!M$7:M$159)+SUMIF('04'!$D$7:$D$159,$C103,'04'!M$7:M$159)+SUMIF('05'!$D$7:$D$159,$C103,'05'!M$7:M$159)+SUMIF('06'!$D$7:$D$159,$C103,'06'!M$7:M$159)+SUMIF('07'!$D$7:$D$159,$C103,'07'!M$7:M$159)+SUMIF('08'!$D$7:$D$159,$C103,'08'!M$7:M$159)</f>
        <v>0</v>
      </c>
      <c r="L104" s="283">
        <f>SUMIF('02'!$D$7:$D$159,$C103,'02'!N$7:N$159)+SUMIF('03'!$D$7:$D$159,$C103,'03'!N$7:N$159)+SUMIF('04'!$D$7:$D$159,$C103,'04'!N$7:N$159)+SUMIF('05'!$D$7:$D$159,$C103,'05'!N$7:N$159)+SUMIF('06'!$D$7:$D$159,$C103,'06'!N$7:N$159)+SUMIF('07'!$D$7:$D$159,$C103,'07'!N$7:N$159)+SUMIF('08'!$D$7:$D$159,$C103,'08'!N$7:N$159)</f>
        <v>0</v>
      </c>
      <c r="M104" s="281">
        <f>SUMIF('02'!$D$7:$D$159,$C103,'02'!O$7:O$159)+SUMIF('03'!$D$7:$D$159,$C103,'03'!O$7:O$159)+SUMIF('04'!$D$7:$D$159,$C103,'04'!O$7:O$159)+SUMIF('05'!$D$7:$D$159,$C103,'05'!O$7:O$159)+SUMIF('06'!$D$7:$D$159,$C103,'06'!O$7:O$159)+SUMIF('07'!$D$7:$D$159,$C103,'07'!O$7:O$159)+SUMIF('08'!$D$7:$D$159,$C103,'08'!O$7:O$159)</f>
        <v>0</v>
      </c>
      <c r="N104" s="282">
        <f>SUMIF('02'!$D$7:$D$159,$C103,'02'!P$7:P$159)+SUMIF('03'!$D$7:$D$159,$C103,'03'!P$7:P$159)+SUMIF('04'!$D$7:$D$159,$C103,'04'!P$7:P$159)+SUMIF('05'!$D$7:$D$159,$C103,'05'!P$7:P$159)+SUMIF('06'!$D$7:$D$159,$C103,'06'!P$7:P$159)+SUMIF('07'!$D$7:$D$159,$C103,'07'!P$7:P$159)+SUMIF('08'!$D$7:$D$159,$C103,'08'!P$7:P$159)</f>
        <v>0</v>
      </c>
      <c r="O104" s="284">
        <f>SUMIF('02'!$D$7:$D$159,$C103,'02'!Q$7:Q$159)+SUMIF('03'!$D$7:$D$159,$C103,'03'!Q$7:Q$159)+SUMIF('04'!$D$7:$D$159,$C103,'04'!Q$7:Q$159)+SUMIF('05'!$D$7:$D$159,$C103,'05'!Q$7:Q$159)+SUMIF('06'!$D$7:$D$159,$C103,'06'!Q$7:Q$159)+SUMIF('07'!$D$7:$D$159,$C103,'07'!Q$7:Q$159)+SUMIF('08'!$D$7:$D$159,$C103,'08'!Q$7:Q$159)</f>
        <v>0</v>
      </c>
      <c r="P104" s="281">
        <f>SUMIF('02'!$D$7:$D$159,$C103,'02'!R$7:R$159)+SUMIF('03'!$D$7:$D$159,$C103,'03'!R$7:R$159)+SUMIF('04'!$D$7:$D$159,$C103,'04'!R$7:R$159)+SUMIF('05'!$D$7:$D$159,$C103,'05'!R$7:R$159)+SUMIF('06'!$D$7:$D$159,$C103,'06'!R$7:R$159)+SUMIF('07'!$D$7:$D$159,$C103,'07'!R$7:R$159)+SUMIF('08'!$D$7:$D$159,$C103,'08'!R$7:R$159)</f>
        <v>0</v>
      </c>
      <c r="Q104" s="282">
        <f>SUMIF('02'!$D$7:$D$159,$C103,'02'!S$7:S$159)+SUMIF('03'!$D$7:$D$159,$C103,'03'!S$7:S$159)+SUMIF('04'!$D$7:$D$159,$C103,'04'!S$7:S$159)+SUMIF('05'!$D$7:$D$159,$C103,'05'!S$7:S$159)+SUMIF('06'!$D$7:$D$159,$C103,'06'!S$7:S$159)+SUMIF('07'!$D$7:$D$159,$C103,'07'!S$7:S$159)+SUMIF('08'!$D$7:$D$159,$C103,'08'!S$7:S$159)</f>
        <v>0</v>
      </c>
      <c r="R104" s="283">
        <f>SUMIF('02'!$D$7:$D$159,$C103,'02'!T$7:T$159)+SUMIF('03'!$D$7:$D$159,$C103,'03'!T$7:T$159)+SUMIF('04'!$D$7:$D$159,$C103,'04'!T$7:T$159)+SUMIF('05'!$D$7:$D$159,$C103,'05'!T$7:T$159)+SUMIF('06'!$D$7:$D$159,$C103,'06'!T$7:T$159)+SUMIF('07'!$D$7:$D$159,$C103,'07'!T$7:T$159)+SUMIF('08'!$D$7:$D$159,$C103,'08'!T$7:T$159)</f>
        <v>0</v>
      </c>
      <c r="S104" s="281">
        <f>SUMIF('02'!$D$7:$D$159,$C103,'02'!U$7:U$159)+SUMIF('03'!$D$7:$D$159,$C103,'03'!U$7:U$159)+SUMIF('04'!$D$7:$D$159,$C103,'04'!U$7:U$159)+SUMIF('05'!$D$7:$D$159,$C103,'05'!U$7:U$159)+SUMIF('06'!$D$7:$D$159,$C103,'06'!U$7:U$159)+SUMIF('07'!$D$7:$D$159,$C103,'07'!U$7:U$159)+SUMIF('08'!$D$7:$D$159,$C103,'08'!U$7:U$159)</f>
        <v>0</v>
      </c>
      <c r="T104" s="282">
        <f>SUMIF('02'!$D$7:$D$159,$C103,'02'!V$7:V$159)+SUMIF('03'!$D$7:$D$159,$C103,'03'!V$7:V$159)+SUMIF('04'!$D$7:$D$159,$C103,'04'!V$7:V$159)+SUMIF('05'!$D$7:$D$159,$C103,'05'!V$7:V$159)+SUMIF('06'!$D$7:$D$159,$C103,'06'!V$7:V$159)+SUMIF('07'!$D$7:$D$159,$C103,'07'!V$7:V$159)+SUMIF('08'!$D$7:$D$159,$C103,'08'!V$7:V$159)</f>
        <v>0</v>
      </c>
      <c r="U104" s="285">
        <f>SUMIF('02'!$D$7:$D$159,$C103,'02'!W$7:W$159)+SUMIF('03'!$D$7:$D$159,$C103,'03'!W$7:W$159)+SUMIF('04'!$D$7:$D$159,$C103,'04'!W$7:W$159)+SUMIF('05'!$D$7:$D$159,$C103,'05'!W$7:W$159)+SUMIF('06'!$D$7:$D$159,$C103,'06'!W$7:W$159)+SUMIF('07'!$D$7:$D$159,$C103,'07'!W$7:W$159)+SUMIF('08'!$D$7:$D$159,$C103,'08'!W$7:W$159)</f>
        <v>0</v>
      </c>
      <c r="V104" s="284">
        <f>SUMIF('02'!$D$7:$D$159,$C103,'02'!X$7:X$159)+SUMIF('03'!$D$7:$D$159,$C103,'03'!X$7:X$159)+SUMIF('04'!$D$7:$D$159,$C103,'04'!X$7:X$159)+SUMIF('05'!$D$7:$D$159,$C103,'05'!X$7:X$159)+SUMIF('06'!$D$7:$D$159,$C103,'06'!X$7:X$159)+SUMIF('07'!$D$7:$D$159,$C103,'07'!X$7:X$159)+SUMIF('08'!$D$7:$D$159,$C103,'08'!X$7:X$159)</f>
        <v>0</v>
      </c>
      <c r="W104" s="284">
        <f>SUMIF('02'!$D$7:$D$159,$C103,'02'!Y$7:Y$159)+SUMIF('03'!$D$7:$D$159,$C103,'03'!Y$7:Y$159)+SUMIF('04'!$D$7:$D$159,$C103,'04'!Y$7:Y$159)+SUMIF('05'!$D$7:$D$159,$C103,'05'!Y$7:Y$159)+SUMIF('06'!$D$7:$D$159,$C103,'06'!Y$7:Y$159)+SUMIF('07'!$D$7:$D$159,$C103,'07'!Y$7:Y$159)+SUMIF('08'!$D$7:$D$159,$C103,'08'!Y$7:Y$159)</f>
        <v>0</v>
      </c>
      <c r="X104" s="286">
        <f t="shared" si="5"/>
        <v>0</v>
      </c>
      <c r="Y104" s="345"/>
      <c r="Z104" s="347"/>
    </row>
    <row r="105" spans="1:26" ht="14.25" customHeight="1" x14ac:dyDescent="0.3">
      <c r="A105" s="178">
        <f>IF(OR(C105="0",COUNTIF(КлючВесна,C105)&gt;1),0,MATCH(F105,ВидыНагр,0))</f>
        <v>0</v>
      </c>
      <c r="B105" s="178" t="b">
        <f>(COUNTA(D105:F106,J105:W105,H105:I106)=0)</f>
        <v>1</v>
      </c>
      <c r="C105" s="179" t="str">
        <f>IF(OR(TRIM(D105)="",COUNTIF(ВидыНагр,F105)&lt;&gt;1),"0",CONCATENATE("$",TRIM(D105),"$",TRIM(E105),"$",F105,"$"))</f>
        <v>0</v>
      </c>
      <c r="D105" s="340"/>
      <c r="E105" s="338"/>
      <c r="F105" s="342"/>
      <c r="G105" s="180" t="s">
        <v>7</v>
      </c>
      <c r="H105" s="181"/>
      <c r="I105" s="182"/>
      <c r="J105" s="183"/>
      <c r="K105" s="184"/>
      <c r="L105" s="185"/>
      <c r="M105" s="183"/>
      <c r="N105" s="184"/>
      <c r="O105" s="186"/>
      <c r="P105" s="183"/>
      <c r="Q105" s="184"/>
      <c r="R105" s="185"/>
      <c r="S105" s="183"/>
      <c r="T105" s="184"/>
      <c r="U105" s="187"/>
      <c r="V105" s="186"/>
      <c r="W105" s="186"/>
      <c r="X105" s="279">
        <f t="shared" si="5"/>
        <v>0</v>
      </c>
      <c r="Y105" s="344">
        <f>X106-X105</f>
        <v>0</v>
      </c>
      <c r="Z105" s="346"/>
    </row>
    <row r="106" spans="1:26" ht="14.25" customHeight="1" x14ac:dyDescent="0.3">
      <c r="A106" s="178">
        <f>-A105</f>
        <v>0</v>
      </c>
      <c r="B106" s="178" t="b">
        <f>B105</f>
        <v>1</v>
      </c>
      <c r="C106" s="188"/>
      <c r="D106" s="341"/>
      <c r="E106" s="339"/>
      <c r="F106" s="343"/>
      <c r="G106" s="189" t="s">
        <v>8</v>
      </c>
      <c r="H106" s="190"/>
      <c r="I106" s="280"/>
      <c r="J106" s="281">
        <f>SUMIF('02'!$D$7:$D$159,$C105,'02'!L$7:L$159)+SUMIF('03'!$D$7:$D$159,$C105,'03'!L$7:L$159)+SUMIF('04'!$D$7:$D$159,$C105,'04'!L$7:L$159)+SUMIF('05'!$D$7:$D$159,$C105,'05'!L$7:L$159)+SUMIF('06'!$D$7:$D$159,$C105,'06'!L$7:L$159)+SUMIF('07'!$D$7:$D$159,$C105,'07'!L$7:L$159)+SUMIF('08'!$D$7:$D$159,$C105,'08'!L$7:L$159)</f>
        <v>0</v>
      </c>
      <c r="K106" s="282">
        <f>SUMIF('02'!$D$7:$D$159,$C105,'02'!M$7:M$159)+SUMIF('03'!$D$7:$D$159,$C105,'03'!M$7:M$159)+SUMIF('04'!$D$7:$D$159,$C105,'04'!M$7:M$159)+SUMIF('05'!$D$7:$D$159,$C105,'05'!M$7:M$159)+SUMIF('06'!$D$7:$D$159,$C105,'06'!M$7:M$159)+SUMIF('07'!$D$7:$D$159,$C105,'07'!M$7:M$159)+SUMIF('08'!$D$7:$D$159,$C105,'08'!M$7:M$159)</f>
        <v>0</v>
      </c>
      <c r="L106" s="283">
        <f>SUMIF('02'!$D$7:$D$159,$C105,'02'!N$7:N$159)+SUMIF('03'!$D$7:$D$159,$C105,'03'!N$7:N$159)+SUMIF('04'!$D$7:$D$159,$C105,'04'!N$7:N$159)+SUMIF('05'!$D$7:$D$159,$C105,'05'!N$7:N$159)+SUMIF('06'!$D$7:$D$159,$C105,'06'!N$7:N$159)+SUMIF('07'!$D$7:$D$159,$C105,'07'!N$7:N$159)+SUMIF('08'!$D$7:$D$159,$C105,'08'!N$7:N$159)</f>
        <v>0</v>
      </c>
      <c r="M106" s="281">
        <f>SUMIF('02'!$D$7:$D$159,$C105,'02'!O$7:O$159)+SUMIF('03'!$D$7:$D$159,$C105,'03'!O$7:O$159)+SUMIF('04'!$D$7:$D$159,$C105,'04'!O$7:O$159)+SUMIF('05'!$D$7:$D$159,$C105,'05'!O$7:O$159)+SUMIF('06'!$D$7:$D$159,$C105,'06'!O$7:O$159)+SUMIF('07'!$D$7:$D$159,$C105,'07'!O$7:O$159)+SUMIF('08'!$D$7:$D$159,$C105,'08'!O$7:O$159)</f>
        <v>0</v>
      </c>
      <c r="N106" s="282">
        <f>SUMIF('02'!$D$7:$D$159,$C105,'02'!P$7:P$159)+SUMIF('03'!$D$7:$D$159,$C105,'03'!P$7:P$159)+SUMIF('04'!$D$7:$D$159,$C105,'04'!P$7:P$159)+SUMIF('05'!$D$7:$D$159,$C105,'05'!P$7:P$159)+SUMIF('06'!$D$7:$D$159,$C105,'06'!P$7:P$159)+SUMIF('07'!$D$7:$D$159,$C105,'07'!P$7:P$159)+SUMIF('08'!$D$7:$D$159,$C105,'08'!P$7:P$159)</f>
        <v>0</v>
      </c>
      <c r="O106" s="284">
        <f>SUMIF('02'!$D$7:$D$159,$C105,'02'!Q$7:Q$159)+SUMIF('03'!$D$7:$D$159,$C105,'03'!Q$7:Q$159)+SUMIF('04'!$D$7:$D$159,$C105,'04'!Q$7:Q$159)+SUMIF('05'!$D$7:$D$159,$C105,'05'!Q$7:Q$159)+SUMIF('06'!$D$7:$D$159,$C105,'06'!Q$7:Q$159)+SUMIF('07'!$D$7:$D$159,$C105,'07'!Q$7:Q$159)+SUMIF('08'!$D$7:$D$159,$C105,'08'!Q$7:Q$159)</f>
        <v>0</v>
      </c>
      <c r="P106" s="281">
        <f>SUMIF('02'!$D$7:$D$159,$C105,'02'!R$7:R$159)+SUMIF('03'!$D$7:$D$159,$C105,'03'!R$7:R$159)+SUMIF('04'!$D$7:$D$159,$C105,'04'!R$7:R$159)+SUMIF('05'!$D$7:$D$159,$C105,'05'!R$7:R$159)+SUMIF('06'!$D$7:$D$159,$C105,'06'!R$7:R$159)+SUMIF('07'!$D$7:$D$159,$C105,'07'!R$7:R$159)+SUMIF('08'!$D$7:$D$159,$C105,'08'!R$7:R$159)</f>
        <v>0</v>
      </c>
      <c r="Q106" s="282">
        <f>SUMIF('02'!$D$7:$D$159,$C105,'02'!S$7:S$159)+SUMIF('03'!$D$7:$D$159,$C105,'03'!S$7:S$159)+SUMIF('04'!$D$7:$D$159,$C105,'04'!S$7:S$159)+SUMIF('05'!$D$7:$D$159,$C105,'05'!S$7:S$159)+SUMIF('06'!$D$7:$D$159,$C105,'06'!S$7:S$159)+SUMIF('07'!$D$7:$D$159,$C105,'07'!S$7:S$159)+SUMIF('08'!$D$7:$D$159,$C105,'08'!S$7:S$159)</f>
        <v>0</v>
      </c>
      <c r="R106" s="283">
        <f>SUMIF('02'!$D$7:$D$159,$C105,'02'!T$7:T$159)+SUMIF('03'!$D$7:$D$159,$C105,'03'!T$7:T$159)+SUMIF('04'!$D$7:$D$159,$C105,'04'!T$7:T$159)+SUMIF('05'!$D$7:$D$159,$C105,'05'!T$7:T$159)+SUMIF('06'!$D$7:$D$159,$C105,'06'!T$7:T$159)+SUMIF('07'!$D$7:$D$159,$C105,'07'!T$7:T$159)+SUMIF('08'!$D$7:$D$159,$C105,'08'!T$7:T$159)</f>
        <v>0</v>
      </c>
      <c r="S106" s="281">
        <f>SUMIF('02'!$D$7:$D$159,$C105,'02'!U$7:U$159)+SUMIF('03'!$D$7:$D$159,$C105,'03'!U$7:U$159)+SUMIF('04'!$D$7:$D$159,$C105,'04'!U$7:U$159)+SUMIF('05'!$D$7:$D$159,$C105,'05'!U$7:U$159)+SUMIF('06'!$D$7:$D$159,$C105,'06'!U$7:U$159)+SUMIF('07'!$D$7:$D$159,$C105,'07'!U$7:U$159)+SUMIF('08'!$D$7:$D$159,$C105,'08'!U$7:U$159)</f>
        <v>0</v>
      </c>
      <c r="T106" s="282">
        <f>SUMIF('02'!$D$7:$D$159,$C105,'02'!V$7:V$159)+SUMIF('03'!$D$7:$D$159,$C105,'03'!V$7:V$159)+SUMIF('04'!$D$7:$D$159,$C105,'04'!V$7:V$159)+SUMIF('05'!$D$7:$D$159,$C105,'05'!V$7:V$159)+SUMIF('06'!$D$7:$D$159,$C105,'06'!V$7:V$159)+SUMIF('07'!$D$7:$D$159,$C105,'07'!V$7:V$159)+SUMIF('08'!$D$7:$D$159,$C105,'08'!V$7:V$159)</f>
        <v>0</v>
      </c>
      <c r="U106" s="285">
        <f>SUMIF('02'!$D$7:$D$159,$C105,'02'!W$7:W$159)+SUMIF('03'!$D$7:$D$159,$C105,'03'!W$7:W$159)+SUMIF('04'!$D$7:$D$159,$C105,'04'!W$7:W$159)+SUMIF('05'!$D$7:$D$159,$C105,'05'!W$7:W$159)+SUMIF('06'!$D$7:$D$159,$C105,'06'!W$7:W$159)+SUMIF('07'!$D$7:$D$159,$C105,'07'!W$7:W$159)+SUMIF('08'!$D$7:$D$159,$C105,'08'!W$7:W$159)</f>
        <v>0</v>
      </c>
      <c r="V106" s="284">
        <f>SUMIF('02'!$D$7:$D$159,$C105,'02'!X$7:X$159)+SUMIF('03'!$D$7:$D$159,$C105,'03'!X$7:X$159)+SUMIF('04'!$D$7:$D$159,$C105,'04'!X$7:X$159)+SUMIF('05'!$D$7:$D$159,$C105,'05'!X$7:X$159)+SUMIF('06'!$D$7:$D$159,$C105,'06'!X$7:X$159)+SUMIF('07'!$D$7:$D$159,$C105,'07'!X$7:X$159)+SUMIF('08'!$D$7:$D$159,$C105,'08'!X$7:X$159)</f>
        <v>0</v>
      </c>
      <c r="W106" s="284">
        <f>SUMIF('02'!$D$7:$D$159,$C105,'02'!Y$7:Y$159)+SUMIF('03'!$D$7:$D$159,$C105,'03'!Y$7:Y$159)+SUMIF('04'!$D$7:$D$159,$C105,'04'!Y$7:Y$159)+SUMIF('05'!$D$7:$D$159,$C105,'05'!Y$7:Y$159)+SUMIF('06'!$D$7:$D$159,$C105,'06'!Y$7:Y$159)+SUMIF('07'!$D$7:$D$159,$C105,'07'!Y$7:Y$159)+SUMIF('08'!$D$7:$D$159,$C105,'08'!Y$7:Y$159)</f>
        <v>0</v>
      </c>
      <c r="X106" s="286">
        <f t="shared" si="5"/>
        <v>0</v>
      </c>
      <c r="Y106" s="345"/>
      <c r="Z106" s="347"/>
    </row>
    <row r="107" spans="1:26" ht="14.25" customHeight="1" x14ac:dyDescent="0.3">
      <c r="A107" s="178">
        <f>IF(OR(C107="0",COUNTIF(КлючВесна,C107)&gt;1),0,MATCH(F107,ВидыНагр,0))</f>
        <v>0</v>
      </c>
      <c r="B107" s="178" t="b">
        <f>(COUNTA(D107:F108,J107:W107,H107:I108)=0)</f>
        <v>1</v>
      </c>
      <c r="C107" s="179" t="str">
        <f>IF(OR(TRIM(D107)="",COUNTIF(ВидыНагр,F107)&lt;&gt;1),"0",CONCATENATE("$",TRIM(D107),"$",TRIM(E107),"$",F107,"$"))</f>
        <v>0</v>
      </c>
      <c r="D107" s="340"/>
      <c r="E107" s="338"/>
      <c r="F107" s="342"/>
      <c r="G107" s="180" t="s">
        <v>7</v>
      </c>
      <c r="H107" s="181"/>
      <c r="I107" s="182"/>
      <c r="J107" s="183"/>
      <c r="K107" s="184"/>
      <c r="L107" s="185"/>
      <c r="M107" s="183"/>
      <c r="N107" s="184"/>
      <c r="O107" s="186"/>
      <c r="P107" s="183"/>
      <c r="Q107" s="184"/>
      <c r="R107" s="185"/>
      <c r="S107" s="183"/>
      <c r="T107" s="184"/>
      <c r="U107" s="187"/>
      <c r="V107" s="186"/>
      <c r="W107" s="186"/>
      <c r="X107" s="279">
        <f t="shared" si="5"/>
        <v>0</v>
      </c>
      <c r="Y107" s="344">
        <f>X108-X107</f>
        <v>0</v>
      </c>
      <c r="Z107" s="346"/>
    </row>
    <row r="108" spans="1:26" ht="14.25" customHeight="1" x14ac:dyDescent="0.3">
      <c r="A108" s="178">
        <f>-A107</f>
        <v>0</v>
      </c>
      <c r="B108" s="178" t="b">
        <f>B107</f>
        <v>1</v>
      </c>
      <c r="C108" s="188"/>
      <c r="D108" s="341"/>
      <c r="E108" s="339"/>
      <c r="F108" s="343"/>
      <c r="G108" s="189" t="s">
        <v>8</v>
      </c>
      <c r="H108" s="190"/>
      <c r="I108" s="280"/>
      <c r="J108" s="281">
        <f>SUMIF('02'!$D$7:$D$159,$C107,'02'!L$7:L$159)+SUMIF('03'!$D$7:$D$159,$C107,'03'!L$7:L$159)+SUMIF('04'!$D$7:$D$159,$C107,'04'!L$7:L$159)+SUMIF('05'!$D$7:$D$159,$C107,'05'!L$7:L$159)+SUMIF('06'!$D$7:$D$159,$C107,'06'!L$7:L$159)+SUMIF('07'!$D$7:$D$159,$C107,'07'!L$7:L$159)+SUMIF('08'!$D$7:$D$159,$C107,'08'!L$7:L$159)</f>
        <v>0</v>
      </c>
      <c r="K108" s="282">
        <f>SUMIF('02'!$D$7:$D$159,$C107,'02'!M$7:M$159)+SUMIF('03'!$D$7:$D$159,$C107,'03'!M$7:M$159)+SUMIF('04'!$D$7:$D$159,$C107,'04'!M$7:M$159)+SUMIF('05'!$D$7:$D$159,$C107,'05'!M$7:M$159)+SUMIF('06'!$D$7:$D$159,$C107,'06'!M$7:M$159)+SUMIF('07'!$D$7:$D$159,$C107,'07'!M$7:M$159)+SUMIF('08'!$D$7:$D$159,$C107,'08'!M$7:M$159)</f>
        <v>0</v>
      </c>
      <c r="L108" s="283">
        <f>SUMIF('02'!$D$7:$D$159,$C107,'02'!N$7:N$159)+SUMIF('03'!$D$7:$D$159,$C107,'03'!N$7:N$159)+SUMIF('04'!$D$7:$D$159,$C107,'04'!N$7:N$159)+SUMIF('05'!$D$7:$D$159,$C107,'05'!N$7:N$159)+SUMIF('06'!$D$7:$D$159,$C107,'06'!N$7:N$159)+SUMIF('07'!$D$7:$D$159,$C107,'07'!N$7:N$159)+SUMIF('08'!$D$7:$D$159,$C107,'08'!N$7:N$159)</f>
        <v>0</v>
      </c>
      <c r="M108" s="281">
        <f>SUMIF('02'!$D$7:$D$159,$C107,'02'!O$7:O$159)+SUMIF('03'!$D$7:$D$159,$C107,'03'!O$7:O$159)+SUMIF('04'!$D$7:$D$159,$C107,'04'!O$7:O$159)+SUMIF('05'!$D$7:$D$159,$C107,'05'!O$7:O$159)+SUMIF('06'!$D$7:$D$159,$C107,'06'!O$7:O$159)+SUMIF('07'!$D$7:$D$159,$C107,'07'!O$7:O$159)+SUMIF('08'!$D$7:$D$159,$C107,'08'!O$7:O$159)</f>
        <v>0</v>
      </c>
      <c r="N108" s="282">
        <f>SUMIF('02'!$D$7:$D$159,$C107,'02'!P$7:P$159)+SUMIF('03'!$D$7:$D$159,$C107,'03'!P$7:P$159)+SUMIF('04'!$D$7:$D$159,$C107,'04'!P$7:P$159)+SUMIF('05'!$D$7:$D$159,$C107,'05'!P$7:P$159)+SUMIF('06'!$D$7:$D$159,$C107,'06'!P$7:P$159)+SUMIF('07'!$D$7:$D$159,$C107,'07'!P$7:P$159)+SUMIF('08'!$D$7:$D$159,$C107,'08'!P$7:P$159)</f>
        <v>0</v>
      </c>
      <c r="O108" s="284">
        <f>SUMIF('02'!$D$7:$D$159,$C107,'02'!Q$7:Q$159)+SUMIF('03'!$D$7:$D$159,$C107,'03'!Q$7:Q$159)+SUMIF('04'!$D$7:$D$159,$C107,'04'!Q$7:Q$159)+SUMIF('05'!$D$7:$D$159,$C107,'05'!Q$7:Q$159)+SUMIF('06'!$D$7:$D$159,$C107,'06'!Q$7:Q$159)+SUMIF('07'!$D$7:$D$159,$C107,'07'!Q$7:Q$159)+SUMIF('08'!$D$7:$D$159,$C107,'08'!Q$7:Q$159)</f>
        <v>0</v>
      </c>
      <c r="P108" s="281">
        <f>SUMIF('02'!$D$7:$D$159,$C107,'02'!R$7:R$159)+SUMIF('03'!$D$7:$D$159,$C107,'03'!R$7:R$159)+SUMIF('04'!$D$7:$D$159,$C107,'04'!R$7:R$159)+SUMIF('05'!$D$7:$D$159,$C107,'05'!R$7:R$159)+SUMIF('06'!$D$7:$D$159,$C107,'06'!R$7:R$159)+SUMIF('07'!$D$7:$D$159,$C107,'07'!R$7:R$159)+SUMIF('08'!$D$7:$D$159,$C107,'08'!R$7:R$159)</f>
        <v>0</v>
      </c>
      <c r="Q108" s="282">
        <f>SUMIF('02'!$D$7:$D$159,$C107,'02'!S$7:S$159)+SUMIF('03'!$D$7:$D$159,$C107,'03'!S$7:S$159)+SUMIF('04'!$D$7:$D$159,$C107,'04'!S$7:S$159)+SUMIF('05'!$D$7:$D$159,$C107,'05'!S$7:S$159)+SUMIF('06'!$D$7:$D$159,$C107,'06'!S$7:S$159)+SUMIF('07'!$D$7:$D$159,$C107,'07'!S$7:S$159)+SUMIF('08'!$D$7:$D$159,$C107,'08'!S$7:S$159)</f>
        <v>0</v>
      </c>
      <c r="R108" s="283">
        <f>SUMIF('02'!$D$7:$D$159,$C107,'02'!T$7:T$159)+SUMIF('03'!$D$7:$D$159,$C107,'03'!T$7:T$159)+SUMIF('04'!$D$7:$D$159,$C107,'04'!T$7:T$159)+SUMIF('05'!$D$7:$D$159,$C107,'05'!T$7:T$159)+SUMIF('06'!$D$7:$D$159,$C107,'06'!T$7:T$159)+SUMIF('07'!$D$7:$D$159,$C107,'07'!T$7:T$159)+SUMIF('08'!$D$7:$D$159,$C107,'08'!T$7:T$159)</f>
        <v>0</v>
      </c>
      <c r="S108" s="281">
        <f>SUMIF('02'!$D$7:$D$159,$C107,'02'!U$7:U$159)+SUMIF('03'!$D$7:$D$159,$C107,'03'!U$7:U$159)+SUMIF('04'!$D$7:$D$159,$C107,'04'!U$7:U$159)+SUMIF('05'!$D$7:$D$159,$C107,'05'!U$7:U$159)+SUMIF('06'!$D$7:$D$159,$C107,'06'!U$7:U$159)+SUMIF('07'!$D$7:$D$159,$C107,'07'!U$7:U$159)+SUMIF('08'!$D$7:$D$159,$C107,'08'!U$7:U$159)</f>
        <v>0</v>
      </c>
      <c r="T108" s="282">
        <f>SUMIF('02'!$D$7:$D$159,$C107,'02'!V$7:V$159)+SUMIF('03'!$D$7:$D$159,$C107,'03'!V$7:V$159)+SUMIF('04'!$D$7:$D$159,$C107,'04'!V$7:V$159)+SUMIF('05'!$D$7:$D$159,$C107,'05'!V$7:V$159)+SUMIF('06'!$D$7:$D$159,$C107,'06'!V$7:V$159)+SUMIF('07'!$D$7:$D$159,$C107,'07'!V$7:V$159)+SUMIF('08'!$D$7:$D$159,$C107,'08'!V$7:V$159)</f>
        <v>0</v>
      </c>
      <c r="U108" s="285">
        <f>SUMIF('02'!$D$7:$D$159,$C107,'02'!W$7:W$159)+SUMIF('03'!$D$7:$D$159,$C107,'03'!W$7:W$159)+SUMIF('04'!$D$7:$D$159,$C107,'04'!W$7:W$159)+SUMIF('05'!$D$7:$D$159,$C107,'05'!W$7:W$159)+SUMIF('06'!$D$7:$D$159,$C107,'06'!W$7:W$159)+SUMIF('07'!$D$7:$D$159,$C107,'07'!W$7:W$159)+SUMIF('08'!$D$7:$D$159,$C107,'08'!W$7:W$159)</f>
        <v>0</v>
      </c>
      <c r="V108" s="284">
        <f>SUMIF('02'!$D$7:$D$159,$C107,'02'!X$7:X$159)+SUMIF('03'!$D$7:$D$159,$C107,'03'!X$7:X$159)+SUMIF('04'!$D$7:$D$159,$C107,'04'!X$7:X$159)+SUMIF('05'!$D$7:$D$159,$C107,'05'!X$7:X$159)+SUMIF('06'!$D$7:$D$159,$C107,'06'!X$7:X$159)+SUMIF('07'!$D$7:$D$159,$C107,'07'!X$7:X$159)+SUMIF('08'!$D$7:$D$159,$C107,'08'!X$7:X$159)</f>
        <v>0</v>
      </c>
      <c r="W108" s="284">
        <f>SUMIF('02'!$D$7:$D$159,$C107,'02'!Y$7:Y$159)+SUMIF('03'!$D$7:$D$159,$C107,'03'!Y$7:Y$159)+SUMIF('04'!$D$7:$D$159,$C107,'04'!Y$7:Y$159)+SUMIF('05'!$D$7:$D$159,$C107,'05'!Y$7:Y$159)+SUMIF('06'!$D$7:$D$159,$C107,'06'!Y$7:Y$159)+SUMIF('07'!$D$7:$D$159,$C107,'07'!Y$7:Y$159)+SUMIF('08'!$D$7:$D$159,$C107,'08'!Y$7:Y$159)</f>
        <v>0</v>
      </c>
      <c r="X108" s="286">
        <f t="shared" si="5"/>
        <v>0</v>
      </c>
      <c r="Y108" s="345"/>
      <c r="Z108" s="347"/>
    </row>
    <row r="109" spans="1:26" ht="14.25" customHeight="1" x14ac:dyDescent="0.3">
      <c r="A109" s="178">
        <f>IF(OR(C109="0",COUNTIF(КлючВесна,C109)&gt;1),0,MATCH(F109,ВидыНагр,0))</f>
        <v>0</v>
      </c>
      <c r="B109" s="178" t="b">
        <f>(COUNTA(D109:F110,J109:W109,H109:I110)=0)</f>
        <v>1</v>
      </c>
      <c r="C109" s="179" t="str">
        <f>IF(OR(TRIM(D109)="",COUNTIF(ВидыНагр,F109)&lt;&gt;1),"0",CONCATENATE("$",TRIM(D109),"$",TRIM(E109),"$",F109,"$"))</f>
        <v>0</v>
      </c>
      <c r="D109" s="340"/>
      <c r="E109" s="338"/>
      <c r="F109" s="342"/>
      <c r="G109" s="180" t="s">
        <v>7</v>
      </c>
      <c r="H109" s="181"/>
      <c r="I109" s="182"/>
      <c r="J109" s="183"/>
      <c r="K109" s="184"/>
      <c r="L109" s="185"/>
      <c r="M109" s="183"/>
      <c r="N109" s="184"/>
      <c r="O109" s="186"/>
      <c r="P109" s="183"/>
      <c r="Q109" s="184"/>
      <c r="R109" s="185"/>
      <c r="S109" s="183"/>
      <c r="T109" s="184"/>
      <c r="U109" s="187"/>
      <c r="V109" s="186"/>
      <c r="W109" s="186"/>
      <c r="X109" s="279">
        <f t="shared" ref="X109:X120" si="6">SUM(J109:W109)</f>
        <v>0</v>
      </c>
      <c r="Y109" s="344">
        <f>X110-X109</f>
        <v>0</v>
      </c>
      <c r="Z109" s="346"/>
    </row>
    <row r="110" spans="1:26" ht="14.25" customHeight="1" x14ac:dyDescent="0.3">
      <c r="A110" s="178">
        <f>-A109</f>
        <v>0</v>
      </c>
      <c r="B110" s="178" t="b">
        <f>B109</f>
        <v>1</v>
      </c>
      <c r="C110" s="188"/>
      <c r="D110" s="341"/>
      <c r="E110" s="339"/>
      <c r="F110" s="343"/>
      <c r="G110" s="189" t="s">
        <v>8</v>
      </c>
      <c r="H110" s="190"/>
      <c r="I110" s="280"/>
      <c r="J110" s="281">
        <f>SUMIF('02'!$D$7:$D$159,$C109,'02'!L$7:L$159)+SUMIF('03'!$D$7:$D$159,$C109,'03'!L$7:L$159)+SUMIF('04'!$D$7:$D$159,$C109,'04'!L$7:L$159)+SUMIF('05'!$D$7:$D$159,$C109,'05'!L$7:L$159)+SUMIF('06'!$D$7:$D$159,$C109,'06'!L$7:L$159)+SUMIF('07'!$D$7:$D$159,$C109,'07'!L$7:L$159)+SUMIF('08'!$D$7:$D$159,$C109,'08'!L$7:L$159)</f>
        <v>0</v>
      </c>
      <c r="K110" s="282">
        <f>SUMIF('02'!$D$7:$D$159,$C109,'02'!M$7:M$159)+SUMIF('03'!$D$7:$D$159,$C109,'03'!M$7:M$159)+SUMIF('04'!$D$7:$D$159,$C109,'04'!M$7:M$159)+SUMIF('05'!$D$7:$D$159,$C109,'05'!M$7:M$159)+SUMIF('06'!$D$7:$D$159,$C109,'06'!M$7:M$159)+SUMIF('07'!$D$7:$D$159,$C109,'07'!M$7:M$159)+SUMIF('08'!$D$7:$D$159,$C109,'08'!M$7:M$159)</f>
        <v>0</v>
      </c>
      <c r="L110" s="283">
        <f>SUMIF('02'!$D$7:$D$159,$C109,'02'!N$7:N$159)+SUMIF('03'!$D$7:$D$159,$C109,'03'!N$7:N$159)+SUMIF('04'!$D$7:$D$159,$C109,'04'!N$7:N$159)+SUMIF('05'!$D$7:$D$159,$C109,'05'!N$7:N$159)+SUMIF('06'!$D$7:$D$159,$C109,'06'!N$7:N$159)+SUMIF('07'!$D$7:$D$159,$C109,'07'!N$7:N$159)+SUMIF('08'!$D$7:$D$159,$C109,'08'!N$7:N$159)</f>
        <v>0</v>
      </c>
      <c r="M110" s="281">
        <f>SUMIF('02'!$D$7:$D$159,$C109,'02'!O$7:O$159)+SUMIF('03'!$D$7:$D$159,$C109,'03'!O$7:O$159)+SUMIF('04'!$D$7:$D$159,$C109,'04'!O$7:O$159)+SUMIF('05'!$D$7:$D$159,$C109,'05'!O$7:O$159)+SUMIF('06'!$D$7:$D$159,$C109,'06'!O$7:O$159)+SUMIF('07'!$D$7:$D$159,$C109,'07'!O$7:O$159)+SUMIF('08'!$D$7:$D$159,$C109,'08'!O$7:O$159)</f>
        <v>0</v>
      </c>
      <c r="N110" s="282">
        <f>SUMIF('02'!$D$7:$D$159,$C109,'02'!P$7:P$159)+SUMIF('03'!$D$7:$D$159,$C109,'03'!P$7:P$159)+SUMIF('04'!$D$7:$D$159,$C109,'04'!P$7:P$159)+SUMIF('05'!$D$7:$D$159,$C109,'05'!P$7:P$159)+SUMIF('06'!$D$7:$D$159,$C109,'06'!P$7:P$159)+SUMIF('07'!$D$7:$D$159,$C109,'07'!P$7:P$159)+SUMIF('08'!$D$7:$D$159,$C109,'08'!P$7:P$159)</f>
        <v>0</v>
      </c>
      <c r="O110" s="284">
        <f>SUMIF('02'!$D$7:$D$159,$C109,'02'!Q$7:Q$159)+SUMIF('03'!$D$7:$D$159,$C109,'03'!Q$7:Q$159)+SUMIF('04'!$D$7:$D$159,$C109,'04'!Q$7:Q$159)+SUMIF('05'!$D$7:$D$159,$C109,'05'!Q$7:Q$159)+SUMIF('06'!$D$7:$D$159,$C109,'06'!Q$7:Q$159)+SUMIF('07'!$D$7:$D$159,$C109,'07'!Q$7:Q$159)+SUMIF('08'!$D$7:$D$159,$C109,'08'!Q$7:Q$159)</f>
        <v>0</v>
      </c>
      <c r="P110" s="281">
        <f>SUMIF('02'!$D$7:$D$159,$C109,'02'!R$7:R$159)+SUMIF('03'!$D$7:$D$159,$C109,'03'!R$7:R$159)+SUMIF('04'!$D$7:$D$159,$C109,'04'!R$7:R$159)+SUMIF('05'!$D$7:$D$159,$C109,'05'!R$7:R$159)+SUMIF('06'!$D$7:$D$159,$C109,'06'!R$7:R$159)+SUMIF('07'!$D$7:$D$159,$C109,'07'!R$7:R$159)+SUMIF('08'!$D$7:$D$159,$C109,'08'!R$7:R$159)</f>
        <v>0</v>
      </c>
      <c r="Q110" s="282">
        <f>SUMIF('02'!$D$7:$D$159,$C109,'02'!S$7:S$159)+SUMIF('03'!$D$7:$D$159,$C109,'03'!S$7:S$159)+SUMIF('04'!$D$7:$D$159,$C109,'04'!S$7:S$159)+SUMIF('05'!$D$7:$D$159,$C109,'05'!S$7:S$159)+SUMIF('06'!$D$7:$D$159,$C109,'06'!S$7:S$159)+SUMIF('07'!$D$7:$D$159,$C109,'07'!S$7:S$159)+SUMIF('08'!$D$7:$D$159,$C109,'08'!S$7:S$159)</f>
        <v>0</v>
      </c>
      <c r="R110" s="283">
        <f>SUMIF('02'!$D$7:$D$159,$C109,'02'!T$7:T$159)+SUMIF('03'!$D$7:$D$159,$C109,'03'!T$7:T$159)+SUMIF('04'!$D$7:$D$159,$C109,'04'!T$7:T$159)+SUMIF('05'!$D$7:$D$159,$C109,'05'!T$7:T$159)+SUMIF('06'!$D$7:$D$159,$C109,'06'!T$7:T$159)+SUMIF('07'!$D$7:$D$159,$C109,'07'!T$7:T$159)+SUMIF('08'!$D$7:$D$159,$C109,'08'!T$7:T$159)</f>
        <v>0</v>
      </c>
      <c r="S110" s="281">
        <f>SUMIF('02'!$D$7:$D$159,$C109,'02'!U$7:U$159)+SUMIF('03'!$D$7:$D$159,$C109,'03'!U$7:U$159)+SUMIF('04'!$D$7:$D$159,$C109,'04'!U$7:U$159)+SUMIF('05'!$D$7:$D$159,$C109,'05'!U$7:U$159)+SUMIF('06'!$D$7:$D$159,$C109,'06'!U$7:U$159)+SUMIF('07'!$D$7:$D$159,$C109,'07'!U$7:U$159)+SUMIF('08'!$D$7:$D$159,$C109,'08'!U$7:U$159)</f>
        <v>0</v>
      </c>
      <c r="T110" s="282">
        <f>SUMIF('02'!$D$7:$D$159,$C109,'02'!V$7:V$159)+SUMIF('03'!$D$7:$D$159,$C109,'03'!V$7:V$159)+SUMIF('04'!$D$7:$D$159,$C109,'04'!V$7:V$159)+SUMIF('05'!$D$7:$D$159,$C109,'05'!V$7:V$159)+SUMIF('06'!$D$7:$D$159,$C109,'06'!V$7:V$159)+SUMIF('07'!$D$7:$D$159,$C109,'07'!V$7:V$159)+SUMIF('08'!$D$7:$D$159,$C109,'08'!V$7:V$159)</f>
        <v>0</v>
      </c>
      <c r="U110" s="285">
        <f>SUMIF('02'!$D$7:$D$159,$C109,'02'!W$7:W$159)+SUMIF('03'!$D$7:$D$159,$C109,'03'!W$7:W$159)+SUMIF('04'!$D$7:$D$159,$C109,'04'!W$7:W$159)+SUMIF('05'!$D$7:$D$159,$C109,'05'!W$7:W$159)+SUMIF('06'!$D$7:$D$159,$C109,'06'!W$7:W$159)+SUMIF('07'!$D$7:$D$159,$C109,'07'!W$7:W$159)+SUMIF('08'!$D$7:$D$159,$C109,'08'!W$7:W$159)</f>
        <v>0</v>
      </c>
      <c r="V110" s="284">
        <f>SUMIF('02'!$D$7:$D$159,$C109,'02'!X$7:X$159)+SUMIF('03'!$D$7:$D$159,$C109,'03'!X$7:X$159)+SUMIF('04'!$D$7:$D$159,$C109,'04'!X$7:X$159)+SUMIF('05'!$D$7:$D$159,$C109,'05'!X$7:X$159)+SUMIF('06'!$D$7:$D$159,$C109,'06'!X$7:X$159)+SUMIF('07'!$D$7:$D$159,$C109,'07'!X$7:X$159)+SUMIF('08'!$D$7:$D$159,$C109,'08'!X$7:X$159)</f>
        <v>0</v>
      </c>
      <c r="W110" s="284">
        <f>SUMIF('02'!$D$7:$D$159,$C109,'02'!Y$7:Y$159)+SUMIF('03'!$D$7:$D$159,$C109,'03'!Y$7:Y$159)+SUMIF('04'!$D$7:$D$159,$C109,'04'!Y$7:Y$159)+SUMIF('05'!$D$7:$D$159,$C109,'05'!Y$7:Y$159)+SUMIF('06'!$D$7:$D$159,$C109,'06'!Y$7:Y$159)+SUMIF('07'!$D$7:$D$159,$C109,'07'!Y$7:Y$159)+SUMIF('08'!$D$7:$D$159,$C109,'08'!Y$7:Y$159)</f>
        <v>0</v>
      </c>
      <c r="X110" s="286">
        <f t="shared" si="6"/>
        <v>0</v>
      </c>
      <c r="Y110" s="345"/>
      <c r="Z110" s="347"/>
    </row>
    <row r="111" spans="1:26" ht="14.25" customHeight="1" x14ac:dyDescent="0.3">
      <c r="A111" s="178">
        <f>IF(OR(C111="0",COUNTIF(КлючВесна,C111)&gt;1),0,MATCH(F111,ВидыНагр,0))</f>
        <v>0</v>
      </c>
      <c r="B111" s="178" t="b">
        <f>(COUNTA(D111:F112,J111:W111,H111:I112)=0)</f>
        <v>1</v>
      </c>
      <c r="C111" s="179" t="str">
        <f>IF(OR(TRIM(D111)="",COUNTIF(ВидыНагр,F111)&lt;&gt;1),"0",CONCATENATE("$",TRIM(D111),"$",TRIM(E111),"$",F111,"$"))</f>
        <v>0</v>
      </c>
      <c r="D111" s="340"/>
      <c r="E111" s="338"/>
      <c r="F111" s="342"/>
      <c r="G111" s="180" t="s">
        <v>7</v>
      </c>
      <c r="H111" s="181"/>
      <c r="I111" s="182"/>
      <c r="J111" s="183"/>
      <c r="K111" s="184"/>
      <c r="L111" s="185"/>
      <c r="M111" s="183"/>
      <c r="N111" s="184"/>
      <c r="O111" s="186"/>
      <c r="P111" s="183"/>
      <c r="Q111" s="184"/>
      <c r="R111" s="185"/>
      <c r="S111" s="183"/>
      <c r="T111" s="184"/>
      <c r="U111" s="187"/>
      <c r="V111" s="186"/>
      <c r="W111" s="186"/>
      <c r="X111" s="279">
        <f t="shared" si="6"/>
        <v>0</v>
      </c>
      <c r="Y111" s="344">
        <f>X112-X111</f>
        <v>0</v>
      </c>
      <c r="Z111" s="346"/>
    </row>
    <row r="112" spans="1:26" ht="14.25" customHeight="1" x14ac:dyDescent="0.3">
      <c r="A112" s="178">
        <f>-A111</f>
        <v>0</v>
      </c>
      <c r="B112" s="178" t="b">
        <f>B111</f>
        <v>1</v>
      </c>
      <c r="C112" s="188"/>
      <c r="D112" s="341"/>
      <c r="E112" s="339"/>
      <c r="F112" s="343"/>
      <c r="G112" s="189" t="s">
        <v>8</v>
      </c>
      <c r="H112" s="190"/>
      <c r="I112" s="280"/>
      <c r="J112" s="281">
        <f>SUMIF('02'!$D$7:$D$159,$C111,'02'!L$7:L$159)+SUMIF('03'!$D$7:$D$159,$C111,'03'!L$7:L$159)+SUMIF('04'!$D$7:$D$159,$C111,'04'!L$7:L$159)+SUMIF('05'!$D$7:$D$159,$C111,'05'!L$7:L$159)+SUMIF('06'!$D$7:$D$159,$C111,'06'!L$7:L$159)+SUMIF('07'!$D$7:$D$159,$C111,'07'!L$7:L$159)+SUMIF('08'!$D$7:$D$159,$C111,'08'!L$7:L$159)</f>
        <v>0</v>
      </c>
      <c r="K112" s="282">
        <f>SUMIF('02'!$D$7:$D$159,$C111,'02'!M$7:M$159)+SUMIF('03'!$D$7:$D$159,$C111,'03'!M$7:M$159)+SUMIF('04'!$D$7:$D$159,$C111,'04'!M$7:M$159)+SUMIF('05'!$D$7:$D$159,$C111,'05'!M$7:M$159)+SUMIF('06'!$D$7:$D$159,$C111,'06'!M$7:M$159)+SUMIF('07'!$D$7:$D$159,$C111,'07'!M$7:M$159)+SUMIF('08'!$D$7:$D$159,$C111,'08'!M$7:M$159)</f>
        <v>0</v>
      </c>
      <c r="L112" s="283">
        <f>SUMIF('02'!$D$7:$D$159,$C111,'02'!N$7:N$159)+SUMIF('03'!$D$7:$D$159,$C111,'03'!N$7:N$159)+SUMIF('04'!$D$7:$D$159,$C111,'04'!N$7:N$159)+SUMIF('05'!$D$7:$D$159,$C111,'05'!N$7:N$159)+SUMIF('06'!$D$7:$D$159,$C111,'06'!N$7:N$159)+SUMIF('07'!$D$7:$D$159,$C111,'07'!N$7:N$159)+SUMIF('08'!$D$7:$D$159,$C111,'08'!N$7:N$159)</f>
        <v>0</v>
      </c>
      <c r="M112" s="281">
        <f>SUMIF('02'!$D$7:$D$159,$C111,'02'!O$7:O$159)+SUMIF('03'!$D$7:$D$159,$C111,'03'!O$7:O$159)+SUMIF('04'!$D$7:$D$159,$C111,'04'!O$7:O$159)+SUMIF('05'!$D$7:$D$159,$C111,'05'!O$7:O$159)+SUMIF('06'!$D$7:$D$159,$C111,'06'!O$7:O$159)+SUMIF('07'!$D$7:$D$159,$C111,'07'!O$7:O$159)+SUMIF('08'!$D$7:$D$159,$C111,'08'!O$7:O$159)</f>
        <v>0</v>
      </c>
      <c r="N112" s="282">
        <f>SUMIF('02'!$D$7:$D$159,$C111,'02'!P$7:P$159)+SUMIF('03'!$D$7:$D$159,$C111,'03'!P$7:P$159)+SUMIF('04'!$D$7:$D$159,$C111,'04'!P$7:P$159)+SUMIF('05'!$D$7:$D$159,$C111,'05'!P$7:P$159)+SUMIF('06'!$D$7:$D$159,$C111,'06'!P$7:P$159)+SUMIF('07'!$D$7:$D$159,$C111,'07'!P$7:P$159)+SUMIF('08'!$D$7:$D$159,$C111,'08'!P$7:P$159)</f>
        <v>0</v>
      </c>
      <c r="O112" s="284">
        <f>SUMIF('02'!$D$7:$D$159,$C111,'02'!Q$7:Q$159)+SUMIF('03'!$D$7:$D$159,$C111,'03'!Q$7:Q$159)+SUMIF('04'!$D$7:$D$159,$C111,'04'!Q$7:Q$159)+SUMIF('05'!$D$7:$D$159,$C111,'05'!Q$7:Q$159)+SUMIF('06'!$D$7:$D$159,$C111,'06'!Q$7:Q$159)+SUMIF('07'!$D$7:$D$159,$C111,'07'!Q$7:Q$159)+SUMIF('08'!$D$7:$D$159,$C111,'08'!Q$7:Q$159)</f>
        <v>0</v>
      </c>
      <c r="P112" s="281">
        <f>SUMIF('02'!$D$7:$D$159,$C111,'02'!R$7:R$159)+SUMIF('03'!$D$7:$D$159,$C111,'03'!R$7:R$159)+SUMIF('04'!$D$7:$D$159,$C111,'04'!R$7:R$159)+SUMIF('05'!$D$7:$D$159,$C111,'05'!R$7:R$159)+SUMIF('06'!$D$7:$D$159,$C111,'06'!R$7:R$159)+SUMIF('07'!$D$7:$D$159,$C111,'07'!R$7:R$159)+SUMIF('08'!$D$7:$D$159,$C111,'08'!R$7:R$159)</f>
        <v>0</v>
      </c>
      <c r="Q112" s="282">
        <f>SUMIF('02'!$D$7:$D$159,$C111,'02'!S$7:S$159)+SUMIF('03'!$D$7:$D$159,$C111,'03'!S$7:S$159)+SUMIF('04'!$D$7:$D$159,$C111,'04'!S$7:S$159)+SUMIF('05'!$D$7:$D$159,$C111,'05'!S$7:S$159)+SUMIF('06'!$D$7:$D$159,$C111,'06'!S$7:S$159)+SUMIF('07'!$D$7:$D$159,$C111,'07'!S$7:S$159)+SUMIF('08'!$D$7:$D$159,$C111,'08'!S$7:S$159)</f>
        <v>0</v>
      </c>
      <c r="R112" s="283">
        <f>SUMIF('02'!$D$7:$D$159,$C111,'02'!T$7:T$159)+SUMIF('03'!$D$7:$D$159,$C111,'03'!T$7:T$159)+SUMIF('04'!$D$7:$D$159,$C111,'04'!T$7:T$159)+SUMIF('05'!$D$7:$D$159,$C111,'05'!T$7:T$159)+SUMIF('06'!$D$7:$D$159,$C111,'06'!T$7:T$159)+SUMIF('07'!$D$7:$D$159,$C111,'07'!T$7:T$159)+SUMIF('08'!$D$7:$D$159,$C111,'08'!T$7:T$159)</f>
        <v>0</v>
      </c>
      <c r="S112" s="281">
        <f>SUMIF('02'!$D$7:$D$159,$C111,'02'!U$7:U$159)+SUMIF('03'!$D$7:$D$159,$C111,'03'!U$7:U$159)+SUMIF('04'!$D$7:$D$159,$C111,'04'!U$7:U$159)+SUMIF('05'!$D$7:$D$159,$C111,'05'!U$7:U$159)+SUMIF('06'!$D$7:$D$159,$C111,'06'!U$7:U$159)+SUMIF('07'!$D$7:$D$159,$C111,'07'!U$7:U$159)+SUMIF('08'!$D$7:$D$159,$C111,'08'!U$7:U$159)</f>
        <v>0</v>
      </c>
      <c r="T112" s="282">
        <f>SUMIF('02'!$D$7:$D$159,$C111,'02'!V$7:V$159)+SUMIF('03'!$D$7:$D$159,$C111,'03'!V$7:V$159)+SUMIF('04'!$D$7:$D$159,$C111,'04'!V$7:V$159)+SUMIF('05'!$D$7:$D$159,$C111,'05'!V$7:V$159)+SUMIF('06'!$D$7:$D$159,$C111,'06'!V$7:V$159)+SUMIF('07'!$D$7:$D$159,$C111,'07'!V$7:V$159)+SUMIF('08'!$D$7:$D$159,$C111,'08'!V$7:V$159)</f>
        <v>0</v>
      </c>
      <c r="U112" s="285">
        <f>SUMIF('02'!$D$7:$D$159,$C111,'02'!W$7:W$159)+SUMIF('03'!$D$7:$D$159,$C111,'03'!W$7:W$159)+SUMIF('04'!$D$7:$D$159,$C111,'04'!W$7:W$159)+SUMIF('05'!$D$7:$D$159,$C111,'05'!W$7:W$159)+SUMIF('06'!$D$7:$D$159,$C111,'06'!W$7:W$159)+SUMIF('07'!$D$7:$D$159,$C111,'07'!W$7:W$159)+SUMIF('08'!$D$7:$D$159,$C111,'08'!W$7:W$159)</f>
        <v>0</v>
      </c>
      <c r="V112" s="284">
        <f>SUMIF('02'!$D$7:$D$159,$C111,'02'!X$7:X$159)+SUMIF('03'!$D$7:$D$159,$C111,'03'!X$7:X$159)+SUMIF('04'!$D$7:$D$159,$C111,'04'!X$7:X$159)+SUMIF('05'!$D$7:$D$159,$C111,'05'!X$7:X$159)+SUMIF('06'!$D$7:$D$159,$C111,'06'!X$7:X$159)+SUMIF('07'!$D$7:$D$159,$C111,'07'!X$7:X$159)+SUMIF('08'!$D$7:$D$159,$C111,'08'!X$7:X$159)</f>
        <v>0</v>
      </c>
      <c r="W112" s="284">
        <f>SUMIF('02'!$D$7:$D$159,$C111,'02'!Y$7:Y$159)+SUMIF('03'!$D$7:$D$159,$C111,'03'!Y$7:Y$159)+SUMIF('04'!$D$7:$D$159,$C111,'04'!Y$7:Y$159)+SUMIF('05'!$D$7:$D$159,$C111,'05'!Y$7:Y$159)+SUMIF('06'!$D$7:$D$159,$C111,'06'!Y$7:Y$159)+SUMIF('07'!$D$7:$D$159,$C111,'07'!Y$7:Y$159)+SUMIF('08'!$D$7:$D$159,$C111,'08'!Y$7:Y$159)</f>
        <v>0</v>
      </c>
      <c r="X112" s="286">
        <f t="shared" si="6"/>
        <v>0</v>
      </c>
      <c r="Y112" s="345"/>
      <c r="Z112" s="347"/>
    </row>
    <row r="113" spans="1:26" ht="14.25" customHeight="1" x14ac:dyDescent="0.3">
      <c r="A113" s="178">
        <f>IF(OR(C113="0",COUNTIF(КлючВесна,C113)&gt;1),0,MATCH(F113,ВидыНагр,0))</f>
        <v>0</v>
      </c>
      <c r="B113" s="178" t="b">
        <f>(COUNTA(D113:F114,J113:W113,H113:I114)=0)</f>
        <v>1</v>
      </c>
      <c r="C113" s="179" t="str">
        <f>IF(OR(TRIM(D113)="",COUNTIF(ВидыНагр,F113)&lt;&gt;1),"0",CONCATENATE("$",TRIM(D113),"$",TRIM(E113),"$",F113,"$"))</f>
        <v>0</v>
      </c>
      <c r="D113" s="340"/>
      <c r="E113" s="338"/>
      <c r="F113" s="342"/>
      <c r="G113" s="180" t="s">
        <v>7</v>
      </c>
      <c r="H113" s="181"/>
      <c r="I113" s="182"/>
      <c r="J113" s="183"/>
      <c r="K113" s="184"/>
      <c r="L113" s="185"/>
      <c r="M113" s="183"/>
      <c r="N113" s="184"/>
      <c r="O113" s="186"/>
      <c r="P113" s="183"/>
      <c r="Q113" s="184"/>
      <c r="R113" s="185"/>
      <c r="S113" s="183"/>
      <c r="T113" s="184"/>
      <c r="U113" s="187"/>
      <c r="V113" s="186"/>
      <c r="W113" s="186"/>
      <c r="X113" s="279">
        <f t="shared" si="6"/>
        <v>0</v>
      </c>
      <c r="Y113" s="344">
        <f>X114-X113</f>
        <v>0</v>
      </c>
      <c r="Z113" s="346"/>
    </row>
    <row r="114" spans="1:26" ht="14.25" customHeight="1" x14ac:dyDescent="0.3">
      <c r="A114" s="178">
        <f>-A113</f>
        <v>0</v>
      </c>
      <c r="B114" s="178" t="b">
        <f>B113</f>
        <v>1</v>
      </c>
      <c r="C114" s="188"/>
      <c r="D114" s="341"/>
      <c r="E114" s="339"/>
      <c r="F114" s="343"/>
      <c r="G114" s="189" t="s">
        <v>8</v>
      </c>
      <c r="H114" s="190"/>
      <c r="I114" s="280"/>
      <c r="J114" s="281">
        <f>SUMIF('02'!$D$7:$D$159,$C113,'02'!L$7:L$159)+SUMIF('03'!$D$7:$D$159,$C113,'03'!L$7:L$159)+SUMIF('04'!$D$7:$D$159,$C113,'04'!L$7:L$159)+SUMIF('05'!$D$7:$D$159,$C113,'05'!L$7:L$159)+SUMIF('06'!$D$7:$D$159,$C113,'06'!L$7:L$159)+SUMIF('07'!$D$7:$D$159,$C113,'07'!L$7:L$159)+SUMIF('08'!$D$7:$D$159,$C113,'08'!L$7:L$159)</f>
        <v>0</v>
      </c>
      <c r="K114" s="282">
        <f>SUMIF('02'!$D$7:$D$159,$C113,'02'!M$7:M$159)+SUMIF('03'!$D$7:$D$159,$C113,'03'!M$7:M$159)+SUMIF('04'!$D$7:$D$159,$C113,'04'!M$7:M$159)+SUMIF('05'!$D$7:$D$159,$C113,'05'!M$7:M$159)+SUMIF('06'!$D$7:$D$159,$C113,'06'!M$7:M$159)+SUMIF('07'!$D$7:$D$159,$C113,'07'!M$7:M$159)+SUMIF('08'!$D$7:$D$159,$C113,'08'!M$7:M$159)</f>
        <v>0</v>
      </c>
      <c r="L114" s="283">
        <f>SUMIF('02'!$D$7:$D$159,$C113,'02'!N$7:N$159)+SUMIF('03'!$D$7:$D$159,$C113,'03'!N$7:N$159)+SUMIF('04'!$D$7:$D$159,$C113,'04'!N$7:N$159)+SUMIF('05'!$D$7:$D$159,$C113,'05'!N$7:N$159)+SUMIF('06'!$D$7:$D$159,$C113,'06'!N$7:N$159)+SUMIF('07'!$D$7:$D$159,$C113,'07'!N$7:N$159)+SUMIF('08'!$D$7:$D$159,$C113,'08'!N$7:N$159)</f>
        <v>0</v>
      </c>
      <c r="M114" s="281">
        <f>SUMIF('02'!$D$7:$D$159,$C113,'02'!O$7:O$159)+SUMIF('03'!$D$7:$D$159,$C113,'03'!O$7:O$159)+SUMIF('04'!$D$7:$D$159,$C113,'04'!O$7:O$159)+SUMIF('05'!$D$7:$D$159,$C113,'05'!O$7:O$159)+SUMIF('06'!$D$7:$D$159,$C113,'06'!O$7:O$159)+SUMIF('07'!$D$7:$D$159,$C113,'07'!O$7:O$159)+SUMIF('08'!$D$7:$D$159,$C113,'08'!O$7:O$159)</f>
        <v>0</v>
      </c>
      <c r="N114" s="282">
        <f>SUMIF('02'!$D$7:$D$159,$C113,'02'!P$7:P$159)+SUMIF('03'!$D$7:$D$159,$C113,'03'!P$7:P$159)+SUMIF('04'!$D$7:$D$159,$C113,'04'!P$7:P$159)+SUMIF('05'!$D$7:$D$159,$C113,'05'!P$7:P$159)+SUMIF('06'!$D$7:$D$159,$C113,'06'!P$7:P$159)+SUMIF('07'!$D$7:$D$159,$C113,'07'!P$7:P$159)+SUMIF('08'!$D$7:$D$159,$C113,'08'!P$7:P$159)</f>
        <v>0</v>
      </c>
      <c r="O114" s="284">
        <f>SUMIF('02'!$D$7:$D$159,$C113,'02'!Q$7:Q$159)+SUMIF('03'!$D$7:$D$159,$C113,'03'!Q$7:Q$159)+SUMIF('04'!$D$7:$D$159,$C113,'04'!Q$7:Q$159)+SUMIF('05'!$D$7:$D$159,$C113,'05'!Q$7:Q$159)+SUMIF('06'!$D$7:$D$159,$C113,'06'!Q$7:Q$159)+SUMIF('07'!$D$7:$D$159,$C113,'07'!Q$7:Q$159)+SUMIF('08'!$D$7:$D$159,$C113,'08'!Q$7:Q$159)</f>
        <v>0</v>
      </c>
      <c r="P114" s="281">
        <f>SUMIF('02'!$D$7:$D$159,$C113,'02'!R$7:R$159)+SUMIF('03'!$D$7:$D$159,$C113,'03'!R$7:R$159)+SUMIF('04'!$D$7:$D$159,$C113,'04'!R$7:R$159)+SUMIF('05'!$D$7:$D$159,$C113,'05'!R$7:R$159)+SUMIF('06'!$D$7:$D$159,$C113,'06'!R$7:R$159)+SUMIF('07'!$D$7:$D$159,$C113,'07'!R$7:R$159)+SUMIF('08'!$D$7:$D$159,$C113,'08'!R$7:R$159)</f>
        <v>0</v>
      </c>
      <c r="Q114" s="282">
        <f>SUMIF('02'!$D$7:$D$159,$C113,'02'!S$7:S$159)+SUMIF('03'!$D$7:$D$159,$C113,'03'!S$7:S$159)+SUMIF('04'!$D$7:$D$159,$C113,'04'!S$7:S$159)+SUMIF('05'!$D$7:$D$159,$C113,'05'!S$7:S$159)+SUMIF('06'!$D$7:$D$159,$C113,'06'!S$7:S$159)+SUMIF('07'!$D$7:$D$159,$C113,'07'!S$7:S$159)+SUMIF('08'!$D$7:$D$159,$C113,'08'!S$7:S$159)</f>
        <v>0</v>
      </c>
      <c r="R114" s="283">
        <f>SUMIF('02'!$D$7:$D$159,$C113,'02'!T$7:T$159)+SUMIF('03'!$D$7:$D$159,$C113,'03'!T$7:T$159)+SUMIF('04'!$D$7:$D$159,$C113,'04'!T$7:T$159)+SUMIF('05'!$D$7:$D$159,$C113,'05'!T$7:T$159)+SUMIF('06'!$D$7:$D$159,$C113,'06'!T$7:T$159)+SUMIF('07'!$D$7:$D$159,$C113,'07'!T$7:T$159)+SUMIF('08'!$D$7:$D$159,$C113,'08'!T$7:T$159)</f>
        <v>0</v>
      </c>
      <c r="S114" s="281">
        <f>SUMIF('02'!$D$7:$D$159,$C113,'02'!U$7:U$159)+SUMIF('03'!$D$7:$D$159,$C113,'03'!U$7:U$159)+SUMIF('04'!$D$7:$D$159,$C113,'04'!U$7:U$159)+SUMIF('05'!$D$7:$D$159,$C113,'05'!U$7:U$159)+SUMIF('06'!$D$7:$D$159,$C113,'06'!U$7:U$159)+SUMIF('07'!$D$7:$D$159,$C113,'07'!U$7:U$159)+SUMIF('08'!$D$7:$D$159,$C113,'08'!U$7:U$159)</f>
        <v>0</v>
      </c>
      <c r="T114" s="282">
        <f>SUMIF('02'!$D$7:$D$159,$C113,'02'!V$7:V$159)+SUMIF('03'!$D$7:$D$159,$C113,'03'!V$7:V$159)+SUMIF('04'!$D$7:$D$159,$C113,'04'!V$7:V$159)+SUMIF('05'!$D$7:$D$159,$C113,'05'!V$7:V$159)+SUMIF('06'!$D$7:$D$159,$C113,'06'!V$7:V$159)+SUMIF('07'!$D$7:$D$159,$C113,'07'!V$7:V$159)+SUMIF('08'!$D$7:$D$159,$C113,'08'!V$7:V$159)</f>
        <v>0</v>
      </c>
      <c r="U114" s="285">
        <f>SUMIF('02'!$D$7:$D$159,$C113,'02'!W$7:W$159)+SUMIF('03'!$D$7:$D$159,$C113,'03'!W$7:W$159)+SUMIF('04'!$D$7:$D$159,$C113,'04'!W$7:W$159)+SUMIF('05'!$D$7:$D$159,$C113,'05'!W$7:W$159)+SUMIF('06'!$D$7:$D$159,$C113,'06'!W$7:W$159)+SUMIF('07'!$D$7:$D$159,$C113,'07'!W$7:W$159)+SUMIF('08'!$D$7:$D$159,$C113,'08'!W$7:W$159)</f>
        <v>0</v>
      </c>
      <c r="V114" s="284">
        <f>SUMIF('02'!$D$7:$D$159,$C113,'02'!X$7:X$159)+SUMIF('03'!$D$7:$D$159,$C113,'03'!X$7:X$159)+SUMIF('04'!$D$7:$D$159,$C113,'04'!X$7:X$159)+SUMIF('05'!$D$7:$D$159,$C113,'05'!X$7:X$159)+SUMIF('06'!$D$7:$D$159,$C113,'06'!X$7:X$159)+SUMIF('07'!$D$7:$D$159,$C113,'07'!X$7:X$159)+SUMIF('08'!$D$7:$D$159,$C113,'08'!X$7:X$159)</f>
        <v>0</v>
      </c>
      <c r="W114" s="284">
        <f>SUMIF('02'!$D$7:$D$159,$C113,'02'!Y$7:Y$159)+SUMIF('03'!$D$7:$D$159,$C113,'03'!Y$7:Y$159)+SUMIF('04'!$D$7:$D$159,$C113,'04'!Y$7:Y$159)+SUMIF('05'!$D$7:$D$159,$C113,'05'!Y$7:Y$159)+SUMIF('06'!$D$7:$D$159,$C113,'06'!Y$7:Y$159)+SUMIF('07'!$D$7:$D$159,$C113,'07'!Y$7:Y$159)+SUMIF('08'!$D$7:$D$159,$C113,'08'!Y$7:Y$159)</f>
        <v>0</v>
      </c>
      <c r="X114" s="286">
        <f t="shared" si="6"/>
        <v>0</v>
      </c>
      <c r="Y114" s="345"/>
      <c r="Z114" s="347"/>
    </row>
    <row r="115" spans="1:26" ht="14.25" customHeight="1" x14ac:dyDescent="0.3">
      <c r="A115" s="178">
        <f>IF(OR(C115="0",COUNTIF(КлючВесна,C115)&gt;1),0,MATCH(F115,ВидыНагр,0))</f>
        <v>0</v>
      </c>
      <c r="B115" s="178" t="b">
        <f>(COUNTA(D115:F116,J115:W115,H115:I116)=0)</f>
        <v>1</v>
      </c>
      <c r="C115" s="179" t="str">
        <f>IF(OR(TRIM(D115)="",COUNTIF(ВидыНагр,F115)&lt;&gt;1),"0",CONCATENATE("$",TRIM(D115),"$",TRIM(E115),"$",F115,"$"))</f>
        <v>0</v>
      </c>
      <c r="D115" s="340"/>
      <c r="E115" s="338"/>
      <c r="F115" s="342"/>
      <c r="G115" s="180" t="s">
        <v>7</v>
      </c>
      <c r="H115" s="181"/>
      <c r="I115" s="182"/>
      <c r="J115" s="183"/>
      <c r="K115" s="184"/>
      <c r="L115" s="185"/>
      <c r="M115" s="183"/>
      <c r="N115" s="184"/>
      <c r="O115" s="186"/>
      <c r="P115" s="183"/>
      <c r="Q115" s="184"/>
      <c r="R115" s="185"/>
      <c r="S115" s="183"/>
      <c r="T115" s="184"/>
      <c r="U115" s="187"/>
      <c r="V115" s="186"/>
      <c r="W115" s="186"/>
      <c r="X115" s="279">
        <f t="shared" si="6"/>
        <v>0</v>
      </c>
      <c r="Y115" s="344">
        <f>X116-X115</f>
        <v>0</v>
      </c>
      <c r="Z115" s="346"/>
    </row>
    <row r="116" spans="1:26" ht="14.25" customHeight="1" x14ac:dyDescent="0.3">
      <c r="A116" s="178">
        <f>-A115</f>
        <v>0</v>
      </c>
      <c r="B116" s="178" t="b">
        <f>B115</f>
        <v>1</v>
      </c>
      <c r="C116" s="188"/>
      <c r="D116" s="341"/>
      <c r="E116" s="339"/>
      <c r="F116" s="343"/>
      <c r="G116" s="189" t="s">
        <v>8</v>
      </c>
      <c r="H116" s="190"/>
      <c r="I116" s="280"/>
      <c r="J116" s="281">
        <f>SUMIF('02'!$D$7:$D$159,$C115,'02'!L$7:L$159)+SUMIF('03'!$D$7:$D$159,$C115,'03'!L$7:L$159)+SUMIF('04'!$D$7:$D$159,$C115,'04'!L$7:L$159)+SUMIF('05'!$D$7:$D$159,$C115,'05'!L$7:L$159)+SUMIF('06'!$D$7:$D$159,$C115,'06'!L$7:L$159)+SUMIF('07'!$D$7:$D$159,$C115,'07'!L$7:L$159)+SUMIF('08'!$D$7:$D$159,$C115,'08'!L$7:L$159)</f>
        <v>0</v>
      </c>
      <c r="K116" s="282">
        <f>SUMIF('02'!$D$7:$D$159,$C115,'02'!M$7:M$159)+SUMIF('03'!$D$7:$D$159,$C115,'03'!M$7:M$159)+SUMIF('04'!$D$7:$D$159,$C115,'04'!M$7:M$159)+SUMIF('05'!$D$7:$D$159,$C115,'05'!M$7:M$159)+SUMIF('06'!$D$7:$D$159,$C115,'06'!M$7:M$159)+SUMIF('07'!$D$7:$D$159,$C115,'07'!M$7:M$159)+SUMIF('08'!$D$7:$D$159,$C115,'08'!M$7:M$159)</f>
        <v>0</v>
      </c>
      <c r="L116" s="283">
        <f>SUMIF('02'!$D$7:$D$159,$C115,'02'!N$7:N$159)+SUMIF('03'!$D$7:$D$159,$C115,'03'!N$7:N$159)+SUMIF('04'!$D$7:$D$159,$C115,'04'!N$7:N$159)+SUMIF('05'!$D$7:$D$159,$C115,'05'!N$7:N$159)+SUMIF('06'!$D$7:$D$159,$C115,'06'!N$7:N$159)+SUMIF('07'!$D$7:$D$159,$C115,'07'!N$7:N$159)+SUMIF('08'!$D$7:$D$159,$C115,'08'!N$7:N$159)</f>
        <v>0</v>
      </c>
      <c r="M116" s="281">
        <f>SUMIF('02'!$D$7:$D$159,$C115,'02'!O$7:O$159)+SUMIF('03'!$D$7:$D$159,$C115,'03'!O$7:O$159)+SUMIF('04'!$D$7:$D$159,$C115,'04'!O$7:O$159)+SUMIF('05'!$D$7:$D$159,$C115,'05'!O$7:O$159)+SUMIF('06'!$D$7:$D$159,$C115,'06'!O$7:O$159)+SUMIF('07'!$D$7:$D$159,$C115,'07'!O$7:O$159)+SUMIF('08'!$D$7:$D$159,$C115,'08'!O$7:O$159)</f>
        <v>0</v>
      </c>
      <c r="N116" s="282">
        <f>SUMIF('02'!$D$7:$D$159,$C115,'02'!P$7:P$159)+SUMIF('03'!$D$7:$D$159,$C115,'03'!P$7:P$159)+SUMIF('04'!$D$7:$D$159,$C115,'04'!P$7:P$159)+SUMIF('05'!$D$7:$D$159,$C115,'05'!P$7:P$159)+SUMIF('06'!$D$7:$D$159,$C115,'06'!P$7:P$159)+SUMIF('07'!$D$7:$D$159,$C115,'07'!P$7:P$159)+SUMIF('08'!$D$7:$D$159,$C115,'08'!P$7:P$159)</f>
        <v>0</v>
      </c>
      <c r="O116" s="284">
        <f>SUMIF('02'!$D$7:$D$159,$C115,'02'!Q$7:Q$159)+SUMIF('03'!$D$7:$D$159,$C115,'03'!Q$7:Q$159)+SUMIF('04'!$D$7:$D$159,$C115,'04'!Q$7:Q$159)+SUMIF('05'!$D$7:$D$159,$C115,'05'!Q$7:Q$159)+SUMIF('06'!$D$7:$D$159,$C115,'06'!Q$7:Q$159)+SUMIF('07'!$D$7:$D$159,$C115,'07'!Q$7:Q$159)+SUMIF('08'!$D$7:$D$159,$C115,'08'!Q$7:Q$159)</f>
        <v>0</v>
      </c>
      <c r="P116" s="281">
        <f>SUMIF('02'!$D$7:$D$159,$C115,'02'!R$7:R$159)+SUMIF('03'!$D$7:$D$159,$C115,'03'!R$7:R$159)+SUMIF('04'!$D$7:$D$159,$C115,'04'!R$7:R$159)+SUMIF('05'!$D$7:$D$159,$C115,'05'!R$7:R$159)+SUMIF('06'!$D$7:$D$159,$C115,'06'!R$7:R$159)+SUMIF('07'!$D$7:$D$159,$C115,'07'!R$7:R$159)+SUMIF('08'!$D$7:$D$159,$C115,'08'!R$7:R$159)</f>
        <v>0</v>
      </c>
      <c r="Q116" s="282">
        <f>SUMIF('02'!$D$7:$D$159,$C115,'02'!S$7:S$159)+SUMIF('03'!$D$7:$D$159,$C115,'03'!S$7:S$159)+SUMIF('04'!$D$7:$D$159,$C115,'04'!S$7:S$159)+SUMIF('05'!$D$7:$D$159,$C115,'05'!S$7:S$159)+SUMIF('06'!$D$7:$D$159,$C115,'06'!S$7:S$159)+SUMIF('07'!$D$7:$D$159,$C115,'07'!S$7:S$159)+SUMIF('08'!$D$7:$D$159,$C115,'08'!S$7:S$159)</f>
        <v>0</v>
      </c>
      <c r="R116" s="283">
        <f>SUMIF('02'!$D$7:$D$159,$C115,'02'!T$7:T$159)+SUMIF('03'!$D$7:$D$159,$C115,'03'!T$7:T$159)+SUMIF('04'!$D$7:$D$159,$C115,'04'!T$7:T$159)+SUMIF('05'!$D$7:$D$159,$C115,'05'!T$7:T$159)+SUMIF('06'!$D$7:$D$159,$C115,'06'!T$7:T$159)+SUMIF('07'!$D$7:$D$159,$C115,'07'!T$7:T$159)+SUMIF('08'!$D$7:$D$159,$C115,'08'!T$7:T$159)</f>
        <v>0</v>
      </c>
      <c r="S116" s="281">
        <f>SUMIF('02'!$D$7:$D$159,$C115,'02'!U$7:U$159)+SUMIF('03'!$D$7:$D$159,$C115,'03'!U$7:U$159)+SUMIF('04'!$D$7:$D$159,$C115,'04'!U$7:U$159)+SUMIF('05'!$D$7:$D$159,$C115,'05'!U$7:U$159)+SUMIF('06'!$D$7:$D$159,$C115,'06'!U$7:U$159)+SUMIF('07'!$D$7:$D$159,$C115,'07'!U$7:U$159)+SUMIF('08'!$D$7:$D$159,$C115,'08'!U$7:U$159)</f>
        <v>0</v>
      </c>
      <c r="T116" s="282">
        <f>SUMIF('02'!$D$7:$D$159,$C115,'02'!V$7:V$159)+SUMIF('03'!$D$7:$D$159,$C115,'03'!V$7:V$159)+SUMIF('04'!$D$7:$D$159,$C115,'04'!V$7:V$159)+SUMIF('05'!$D$7:$D$159,$C115,'05'!V$7:V$159)+SUMIF('06'!$D$7:$D$159,$C115,'06'!V$7:V$159)+SUMIF('07'!$D$7:$D$159,$C115,'07'!V$7:V$159)+SUMIF('08'!$D$7:$D$159,$C115,'08'!V$7:V$159)</f>
        <v>0</v>
      </c>
      <c r="U116" s="285">
        <f>SUMIF('02'!$D$7:$D$159,$C115,'02'!W$7:W$159)+SUMIF('03'!$D$7:$D$159,$C115,'03'!W$7:W$159)+SUMIF('04'!$D$7:$D$159,$C115,'04'!W$7:W$159)+SUMIF('05'!$D$7:$D$159,$C115,'05'!W$7:W$159)+SUMIF('06'!$D$7:$D$159,$C115,'06'!W$7:W$159)+SUMIF('07'!$D$7:$D$159,$C115,'07'!W$7:W$159)+SUMIF('08'!$D$7:$D$159,$C115,'08'!W$7:W$159)</f>
        <v>0</v>
      </c>
      <c r="V116" s="284">
        <f>SUMIF('02'!$D$7:$D$159,$C115,'02'!X$7:X$159)+SUMIF('03'!$D$7:$D$159,$C115,'03'!X$7:X$159)+SUMIF('04'!$D$7:$D$159,$C115,'04'!X$7:X$159)+SUMIF('05'!$D$7:$D$159,$C115,'05'!X$7:X$159)+SUMIF('06'!$D$7:$D$159,$C115,'06'!X$7:X$159)+SUMIF('07'!$D$7:$D$159,$C115,'07'!X$7:X$159)+SUMIF('08'!$D$7:$D$159,$C115,'08'!X$7:X$159)</f>
        <v>0</v>
      </c>
      <c r="W116" s="284">
        <f>SUMIF('02'!$D$7:$D$159,$C115,'02'!Y$7:Y$159)+SUMIF('03'!$D$7:$D$159,$C115,'03'!Y$7:Y$159)+SUMIF('04'!$D$7:$D$159,$C115,'04'!Y$7:Y$159)+SUMIF('05'!$D$7:$D$159,$C115,'05'!Y$7:Y$159)+SUMIF('06'!$D$7:$D$159,$C115,'06'!Y$7:Y$159)+SUMIF('07'!$D$7:$D$159,$C115,'07'!Y$7:Y$159)+SUMIF('08'!$D$7:$D$159,$C115,'08'!Y$7:Y$159)</f>
        <v>0</v>
      </c>
      <c r="X116" s="286">
        <f t="shared" si="6"/>
        <v>0</v>
      </c>
      <c r="Y116" s="345"/>
      <c r="Z116" s="347"/>
    </row>
    <row r="117" spans="1:26" ht="14.25" customHeight="1" x14ac:dyDescent="0.3">
      <c r="A117" s="178">
        <f>IF(OR(C117="0",COUNTIF(КлючВесна,C117)&gt;1),0,MATCH(F117,ВидыНагр,0))</f>
        <v>0</v>
      </c>
      <c r="B117" s="178" t="b">
        <f>(COUNTA(D117:F118,J117:W117,H117:I118)=0)</f>
        <v>1</v>
      </c>
      <c r="C117" s="179" t="str">
        <f>IF(OR(TRIM(D117)="",COUNTIF(ВидыНагр,F117)&lt;&gt;1),"0",CONCATENATE("$",TRIM(D117),"$",TRIM(E117),"$",F117,"$"))</f>
        <v>0</v>
      </c>
      <c r="D117" s="340"/>
      <c r="E117" s="338"/>
      <c r="F117" s="342"/>
      <c r="G117" s="180" t="s">
        <v>7</v>
      </c>
      <c r="H117" s="181"/>
      <c r="I117" s="182"/>
      <c r="J117" s="183"/>
      <c r="K117" s="184"/>
      <c r="L117" s="185"/>
      <c r="M117" s="183"/>
      <c r="N117" s="184"/>
      <c r="O117" s="186"/>
      <c r="P117" s="183"/>
      <c r="Q117" s="184"/>
      <c r="R117" s="185"/>
      <c r="S117" s="183"/>
      <c r="T117" s="184"/>
      <c r="U117" s="187"/>
      <c r="V117" s="186"/>
      <c r="W117" s="186"/>
      <c r="X117" s="279">
        <f t="shared" si="6"/>
        <v>0</v>
      </c>
      <c r="Y117" s="344">
        <f>X118-X117</f>
        <v>0</v>
      </c>
      <c r="Z117" s="346"/>
    </row>
    <row r="118" spans="1:26" ht="14.25" customHeight="1" x14ac:dyDescent="0.3">
      <c r="A118" s="178">
        <f>-A117</f>
        <v>0</v>
      </c>
      <c r="B118" s="178" t="b">
        <f>B117</f>
        <v>1</v>
      </c>
      <c r="C118" s="188"/>
      <c r="D118" s="341"/>
      <c r="E118" s="339"/>
      <c r="F118" s="343"/>
      <c r="G118" s="189" t="s">
        <v>8</v>
      </c>
      <c r="H118" s="190"/>
      <c r="I118" s="280"/>
      <c r="J118" s="281">
        <f>SUMIF('02'!$D$7:$D$159,$C117,'02'!L$7:L$159)+SUMIF('03'!$D$7:$D$159,$C117,'03'!L$7:L$159)+SUMIF('04'!$D$7:$D$159,$C117,'04'!L$7:L$159)+SUMIF('05'!$D$7:$D$159,$C117,'05'!L$7:L$159)+SUMIF('06'!$D$7:$D$159,$C117,'06'!L$7:L$159)+SUMIF('07'!$D$7:$D$159,$C117,'07'!L$7:L$159)+SUMIF('08'!$D$7:$D$159,$C117,'08'!L$7:L$159)</f>
        <v>0</v>
      </c>
      <c r="K118" s="282">
        <f>SUMIF('02'!$D$7:$D$159,$C117,'02'!M$7:M$159)+SUMIF('03'!$D$7:$D$159,$C117,'03'!M$7:M$159)+SUMIF('04'!$D$7:$D$159,$C117,'04'!M$7:M$159)+SUMIF('05'!$D$7:$D$159,$C117,'05'!M$7:M$159)+SUMIF('06'!$D$7:$D$159,$C117,'06'!M$7:M$159)+SUMIF('07'!$D$7:$D$159,$C117,'07'!M$7:M$159)+SUMIF('08'!$D$7:$D$159,$C117,'08'!M$7:M$159)</f>
        <v>0</v>
      </c>
      <c r="L118" s="283">
        <f>SUMIF('02'!$D$7:$D$159,$C117,'02'!N$7:N$159)+SUMIF('03'!$D$7:$D$159,$C117,'03'!N$7:N$159)+SUMIF('04'!$D$7:$D$159,$C117,'04'!N$7:N$159)+SUMIF('05'!$D$7:$D$159,$C117,'05'!N$7:N$159)+SUMIF('06'!$D$7:$D$159,$C117,'06'!N$7:N$159)+SUMIF('07'!$D$7:$D$159,$C117,'07'!N$7:N$159)+SUMIF('08'!$D$7:$D$159,$C117,'08'!N$7:N$159)</f>
        <v>0</v>
      </c>
      <c r="M118" s="281">
        <f>SUMIF('02'!$D$7:$D$159,$C117,'02'!O$7:O$159)+SUMIF('03'!$D$7:$D$159,$C117,'03'!O$7:O$159)+SUMIF('04'!$D$7:$D$159,$C117,'04'!O$7:O$159)+SUMIF('05'!$D$7:$D$159,$C117,'05'!O$7:O$159)+SUMIF('06'!$D$7:$D$159,$C117,'06'!O$7:O$159)+SUMIF('07'!$D$7:$D$159,$C117,'07'!O$7:O$159)+SUMIF('08'!$D$7:$D$159,$C117,'08'!O$7:O$159)</f>
        <v>0</v>
      </c>
      <c r="N118" s="282">
        <f>SUMIF('02'!$D$7:$D$159,$C117,'02'!P$7:P$159)+SUMIF('03'!$D$7:$D$159,$C117,'03'!P$7:P$159)+SUMIF('04'!$D$7:$D$159,$C117,'04'!P$7:P$159)+SUMIF('05'!$D$7:$D$159,$C117,'05'!P$7:P$159)+SUMIF('06'!$D$7:$D$159,$C117,'06'!P$7:P$159)+SUMIF('07'!$D$7:$D$159,$C117,'07'!P$7:P$159)+SUMIF('08'!$D$7:$D$159,$C117,'08'!P$7:P$159)</f>
        <v>0</v>
      </c>
      <c r="O118" s="284">
        <f>SUMIF('02'!$D$7:$D$159,$C117,'02'!Q$7:Q$159)+SUMIF('03'!$D$7:$D$159,$C117,'03'!Q$7:Q$159)+SUMIF('04'!$D$7:$D$159,$C117,'04'!Q$7:Q$159)+SUMIF('05'!$D$7:$D$159,$C117,'05'!Q$7:Q$159)+SUMIF('06'!$D$7:$D$159,$C117,'06'!Q$7:Q$159)+SUMIF('07'!$D$7:$D$159,$C117,'07'!Q$7:Q$159)+SUMIF('08'!$D$7:$D$159,$C117,'08'!Q$7:Q$159)</f>
        <v>0</v>
      </c>
      <c r="P118" s="281">
        <f>SUMIF('02'!$D$7:$D$159,$C117,'02'!R$7:R$159)+SUMIF('03'!$D$7:$D$159,$C117,'03'!R$7:R$159)+SUMIF('04'!$D$7:$D$159,$C117,'04'!R$7:R$159)+SUMIF('05'!$D$7:$D$159,$C117,'05'!R$7:R$159)+SUMIF('06'!$D$7:$D$159,$C117,'06'!R$7:R$159)+SUMIF('07'!$D$7:$D$159,$C117,'07'!R$7:R$159)+SUMIF('08'!$D$7:$D$159,$C117,'08'!R$7:R$159)</f>
        <v>0</v>
      </c>
      <c r="Q118" s="282">
        <f>SUMIF('02'!$D$7:$D$159,$C117,'02'!S$7:S$159)+SUMIF('03'!$D$7:$D$159,$C117,'03'!S$7:S$159)+SUMIF('04'!$D$7:$D$159,$C117,'04'!S$7:S$159)+SUMIF('05'!$D$7:$D$159,$C117,'05'!S$7:S$159)+SUMIF('06'!$D$7:$D$159,$C117,'06'!S$7:S$159)+SUMIF('07'!$D$7:$D$159,$C117,'07'!S$7:S$159)+SUMIF('08'!$D$7:$D$159,$C117,'08'!S$7:S$159)</f>
        <v>0</v>
      </c>
      <c r="R118" s="283">
        <f>SUMIF('02'!$D$7:$D$159,$C117,'02'!T$7:T$159)+SUMIF('03'!$D$7:$D$159,$C117,'03'!T$7:T$159)+SUMIF('04'!$D$7:$D$159,$C117,'04'!T$7:T$159)+SUMIF('05'!$D$7:$D$159,$C117,'05'!T$7:T$159)+SUMIF('06'!$D$7:$D$159,$C117,'06'!T$7:T$159)+SUMIF('07'!$D$7:$D$159,$C117,'07'!T$7:T$159)+SUMIF('08'!$D$7:$D$159,$C117,'08'!T$7:T$159)</f>
        <v>0</v>
      </c>
      <c r="S118" s="281">
        <f>SUMIF('02'!$D$7:$D$159,$C117,'02'!U$7:U$159)+SUMIF('03'!$D$7:$D$159,$C117,'03'!U$7:U$159)+SUMIF('04'!$D$7:$D$159,$C117,'04'!U$7:U$159)+SUMIF('05'!$D$7:$D$159,$C117,'05'!U$7:U$159)+SUMIF('06'!$D$7:$D$159,$C117,'06'!U$7:U$159)+SUMIF('07'!$D$7:$D$159,$C117,'07'!U$7:U$159)+SUMIF('08'!$D$7:$D$159,$C117,'08'!U$7:U$159)</f>
        <v>0</v>
      </c>
      <c r="T118" s="282">
        <f>SUMIF('02'!$D$7:$D$159,$C117,'02'!V$7:V$159)+SUMIF('03'!$D$7:$D$159,$C117,'03'!V$7:V$159)+SUMIF('04'!$D$7:$D$159,$C117,'04'!V$7:V$159)+SUMIF('05'!$D$7:$D$159,$C117,'05'!V$7:V$159)+SUMIF('06'!$D$7:$D$159,$C117,'06'!V$7:V$159)+SUMIF('07'!$D$7:$D$159,$C117,'07'!V$7:V$159)+SUMIF('08'!$D$7:$D$159,$C117,'08'!V$7:V$159)</f>
        <v>0</v>
      </c>
      <c r="U118" s="285">
        <f>SUMIF('02'!$D$7:$D$159,$C117,'02'!W$7:W$159)+SUMIF('03'!$D$7:$D$159,$C117,'03'!W$7:W$159)+SUMIF('04'!$D$7:$D$159,$C117,'04'!W$7:W$159)+SUMIF('05'!$D$7:$D$159,$C117,'05'!W$7:W$159)+SUMIF('06'!$D$7:$D$159,$C117,'06'!W$7:W$159)+SUMIF('07'!$D$7:$D$159,$C117,'07'!W$7:W$159)+SUMIF('08'!$D$7:$D$159,$C117,'08'!W$7:W$159)</f>
        <v>0</v>
      </c>
      <c r="V118" s="284">
        <f>SUMIF('02'!$D$7:$D$159,$C117,'02'!X$7:X$159)+SUMIF('03'!$D$7:$D$159,$C117,'03'!X$7:X$159)+SUMIF('04'!$D$7:$D$159,$C117,'04'!X$7:X$159)+SUMIF('05'!$D$7:$D$159,$C117,'05'!X$7:X$159)+SUMIF('06'!$D$7:$D$159,$C117,'06'!X$7:X$159)+SUMIF('07'!$D$7:$D$159,$C117,'07'!X$7:X$159)+SUMIF('08'!$D$7:$D$159,$C117,'08'!X$7:X$159)</f>
        <v>0</v>
      </c>
      <c r="W118" s="284">
        <f>SUMIF('02'!$D$7:$D$159,$C117,'02'!Y$7:Y$159)+SUMIF('03'!$D$7:$D$159,$C117,'03'!Y$7:Y$159)+SUMIF('04'!$D$7:$D$159,$C117,'04'!Y$7:Y$159)+SUMIF('05'!$D$7:$D$159,$C117,'05'!Y$7:Y$159)+SUMIF('06'!$D$7:$D$159,$C117,'06'!Y$7:Y$159)+SUMIF('07'!$D$7:$D$159,$C117,'07'!Y$7:Y$159)+SUMIF('08'!$D$7:$D$159,$C117,'08'!Y$7:Y$159)</f>
        <v>0</v>
      </c>
      <c r="X118" s="286">
        <f t="shared" si="6"/>
        <v>0</v>
      </c>
      <c r="Y118" s="345"/>
      <c r="Z118" s="347"/>
    </row>
    <row r="119" spans="1:26" ht="14.25" customHeight="1" x14ac:dyDescent="0.3">
      <c r="A119" s="178">
        <f>IF(OR(C119="0",COUNTIF(КлючВесна,C119)&gt;1),0,MATCH(F119,ВидыНагр,0))</f>
        <v>0</v>
      </c>
      <c r="B119" s="178" t="b">
        <f>(COUNTA(D119:F120,J119:W119,H119:I120)=0)</f>
        <v>1</v>
      </c>
      <c r="C119" s="179" t="str">
        <f>IF(OR(TRIM(D119)="",COUNTIF(ВидыНагр,F119)&lt;&gt;1),"0",CONCATENATE("$",TRIM(D119),"$",TRIM(E119),"$",F119,"$"))</f>
        <v>0</v>
      </c>
      <c r="D119" s="340"/>
      <c r="E119" s="338"/>
      <c r="F119" s="342"/>
      <c r="G119" s="180" t="s">
        <v>7</v>
      </c>
      <c r="H119" s="181"/>
      <c r="I119" s="182"/>
      <c r="J119" s="183"/>
      <c r="K119" s="184"/>
      <c r="L119" s="185"/>
      <c r="M119" s="183"/>
      <c r="N119" s="184"/>
      <c r="O119" s="186"/>
      <c r="P119" s="183"/>
      <c r="Q119" s="184"/>
      <c r="R119" s="185"/>
      <c r="S119" s="183"/>
      <c r="T119" s="184"/>
      <c r="U119" s="187"/>
      <c r="V119" s="186"/>
      <c r="W119" s="186"/>
      <c r="X119" s="279">
        <f t="shared" si="6"/>
        <v>0</v>
      </c>
      <c r="Y119" s="344">
        <f>X120-X119</f>
        <v>0</v>
      </c>
      <c r="Z119" s="346"/>
    </row>
    <row r="120" spans="1:26" ht="14.25" customHeight="1" x14ac:dyDescent="0.3">
      <c r="A120" s="178">
        <f>-A119</f>
        <v>0</v>
      </c>
      <c r="B120" s="178" t="b">
        <f>B119</f>
        <v>1</v>
      </c>
      <c r="C120" s="188"/>
      <c r="D120" s="341"/>
      <c r="E120" s="339"/>
      <c r="F120" s="343"/>
      <c r="G120" s="189" t="s">
        <v>8</v>
      </c>
      <c r="H120" s="190"/>
      <c r="I120" s="280"/>
      <c r="J120" s="281">
        <f>SUMIF('02'!$D$7:$D$159,$C119,'02'!L$7:L$159)+SUMIF('03'!$D$7:$D$159,$C119,'03'!L$7:L$159)+SUMIF('04'!$D$7:$D$159,$C119,'04'!L$7:L$159)+SUMIF('05'!$D$7:$D$159,$C119,'05'!L$7:L$159)+SUMIF('06'!$D$7:$D$159,$C119,'06'!L$7:L$159)+SUMIF('07'!$D$7:$D$159,$C119,'07'!L$7:L$159)+SUMIF('08'!$D$7:$D$159,$C119,'08'!L$7:L$159)</f>
        <v>0</v>
      </c>
      <c r="K120" s="282">
        <f>SUMIF('02'!$D$7:$D$159,$C119,'02'!M$7:M$159)+SUMIF('03'!$D$7:$D$159,$C119,'03'!M$7:M$159)+SUMIF('04'!$D$7:$D$159,$C119,'04'!M$7:M$159)+SUMIF('05'!$D$7:$D$159,$C119,'05'!M$7:M$159)+SUMIF('06'!$D$7:$D$159,$C119,'06'!M$7:M$159)+SUMIF('07'!$D$7:$D$159,$C119,'07'!M$7:M$159)+SUMIF('08'!$D$7:$D$159,$C119,'08'!M$7:M$159)</f>
        <v>0</v>
      </c>
      <c r="L120" s="283">
        <f>SUMIF('02'!$D$7:$D$159,$C119,'02'!N$7:N$159)+SUMIF('03'!$D$7:$D$159,$C119,'03'!N$7:N$159)+SUMIF('04'!$D$7:$D$159,$C119,'04'!N$7:N$159)+SUMIF('05'!$D$7:$D$159,$C119,'05'!N$7:N$159)+SUMIF('06'!$D$7:$D$159,$C119,'06'!N$7:N$159)+SUMIF('07'!$D$7:$D$159,$C119,'07'!N$7:N$159)+SUMIF('08'!$D$7:$D$159,$C119,'08'!N$7:N$159)</f>
        <v>0</v>
      </c>
      <c r="M120" s="281">
        <f>SUMIF('02'!$D$7:$D$159,$C119,'02'!O$7:O$159)+SUMIF('03'!$D$7:$D$159,$C119,'03'!O$7:O$159)+SUMIF('04'!$D$7:$D$159,$C119,'04'!O$7:O$159)+SUMIF('05'!$D$7:$D$159,$C119,'05'!O$7:O$159)+SUMIF('06'!$D$7:$D$159,$C119,'06'!O$7:O$159)+SUMIF('07'!$D$7:$D$159,$C119,'07'!O$7:O$159)+SUMIF('08'!$D$7:$D$159,$C119,'08'!O$7:O$159)</f>
        <v>0</v>
      </c>
      <c r="N120" s="282">
        <f>SUMIF('02'!$D$7:$D$159,$C119,'02'!P$7:P$159)+SUMIF('03'!$D$7:$D$159,$C119,'03'!P$7:P$159)+SUMIF('04'!$D$7:$D$159,$C119,'04'!P$7:P$159)+SUMIF('05'!$D$7:$D$159,$C119,'05'!P$7:P$159)+SUMIF('06'!$D$7:$D$159,$C119,'06'!P$7:P$159)+SUMIF('07'!$D$7:$D$159,$C119,'07'!P$7:P$159)+SUMIF('08'!$D$7:$D$159,$C119,'08'!P$7:P$159)</f>
        <v>0</v>
      </c>
      <c r="O120" s="284">
        <f>SUMIF('02'!$D$7:$D$159,$C119,'02'!Q$7:Q$159)+SUMIF('03'!$D$7:$D$159,$C119,'03'!Q$7:Q$159)+SUMIF('04'!$D$7:$D$159,$C119,'04'!Q$7:Q$159)+SUMIF('05'!$D$7:$D$159,$C119,'05'!Q$7:Q$159)+SUMIF('06'!$D$7:$D$159,$C119,'06'!Q$7:Q$159)+SUMIF('07'!$D$7:$D$159,$C119,'07'!Q$7:Q$159)+SUMIF('08'!$D$7:$D$159,$C119,'08'!Q$7:Q$159)</f>
        <v>0</v>
      </c>
      <c r="P120" s="281">
        <f>SUMIF('02'!$D$7:$D$159,$C119,'02'!R$7:R$159)+SUMIF('03'!$D$7:$D$159,$C119,'03'!R$7:R$159)+SUMIF('04'!$D$7:$D$159,$C119,'04'!R$7:R$159)+SUMIF('05'!$D$7:$D$159,$C119,'05'!R$7:R$159)+SUMIF('06'!$D$7:$D$159,$C119,'06'!R$7:R$159)+SUMIF('07'!$D$7:$D$159,$C119,'07'!R$7:R$159)+SUMIF('08'!$D$7:$D$159,$C119,'08'!R$7:R$159)</f>
        <v>0</v>
      </c>
      <c r="Q120" s="282">
        <f>SUMIF('02'!$D$7:$D$159,$C119,'02'!S$7:S$159)+SUMIF('03'!$D$7:$D$159,$C119,'03'!S$7:S$159)+SUMIF('04'!$D$7:$D$159,$C119,'04'!S$7:S$159)+SUMIF('05'!$D$7:$D$159,$C119,'05'!S$7:S$159)+SUMIF('06'!$D$7:$D$159,$C119,'06'!S$7:S$159)+SUMIF('07'!$D$7:$D$159,$C119,'07'!S$7:S$159)+SUMIF('08'!$D$7:$D$159,$C119,'08'!S$7:S$159)</f>
        <v>0</v>
      </c>
      <c r="R120" s="283">
        <f>SUMIF('02'!$D$7:$D$159,$C119,'02'!T$7:T$159)+SUMIF('03'!$D$7:$D$159,$C119,'03'!T$7:T$159)+SUMIF('04'!$D$7:$D$159,$C119,'04'!T$7:T$159)+SUMIF('05'!$D$7:$D$159,$C119,'05'!T$7:T$159)+SUMIF('06'!$D$7:$D$159,$C119,'06'!T$7:T$159)+SUMIF('07'!$D$7:$D$159,$C119,'07'!T$7:T$159)+SUMIF('08'!$D$7:$D$159,$C119,'08'!T$7:T$159)</f>
        <v>0</v>
      </c>
      <c r="S120" s="281">
        <f>SUMIF('02'!$D$7:$D$159,$C119,'02'!U$7:U$159)+SUMIF('03'!$D$7:$D$159,$C119,'03'!U$7:U$159)+SUMIF('04'!$D$7:$D$159,$C119,'04'!U$7:U$159)+SUMIF('05'!$D$7:$D$159,$C119,'05'!U$7:U$159)+SUMIF('06'!$D$7:$D$159,$C119,'06'!U$7:U$159)+SUMIF('07'!$D$7:$D$159,$C119,'07'!U$7:U$159)+SUMIF('08'!$D$7:$D$159,$C119,'08'!U$7:U$159)</f>
        <v>0</v>
      </c>
      <c r="T120" s="282">
        <f>SUMIF('02'!$D$7:$D$159,$C119,'02'!V$7:V$159)+SUMIF('03'!$D$7:$D$159,$C119,'03'!V$7:V$159)+SUMIF('04'!$D$7:$D$159,$C119,'04'!V$7:V$159)+SUMIF('05'!$D$7:$D$159,$C119,'05'!V$7:V$159)+SUMIF('06'!$D$7:$D$159,$C119,'06'!V$7:V$159)+SUMIF('07'!$D$7:$D$159,$C119,'07'!V$7:V$159)+SUMIF('08'!$D$7:$D$159,$C119,'08'!V$7:V$159)</f>
        <v>0</v>
      </c>
      <c r="U120" s="285">
        <f>SUMIF('02'!$D$7:$D$159,$C119,'02'!W$7:W$159)+SUMIF('03'!$D$7:$D$159,$C119,'03'!W$7:W$159)+SUMIF('04'!$D$7:$D$159,$C119,'04'!W$7:W$159)+SUMIF('05'!$D$7:$D$159,$C119,'05'!W$7:W$159)+SUMIF('06'!$D$7:$D$159,$C119,'06'!W$7:W$159)+SUMIF('07'!$D$7:$D$159,$C119,'07'!W$7:W$159)+SUMIF('08'!$D$7:$D$159,$C119,'08'!W$7:W$159)</f>
        <v>0</v>
      </c>
      <c r="V120" s="284">
        <f>SUMIF('02'!$D$7:$D$159,$C119,'02'!X$7:X$159)+SUMIF('03'!$D$7:$D$159,$C119,'03'!X$7:X$159)+SUMIF('04'!$D$7:$D$159,$C119,'04'!X$7:X$159)+SUMIF('05'!$D$7:$D$159,$C119,'05'!X$7:X$159)+SUMIF('06'!$D$7:$D$159,$C119,'06'!X$7:X$159)+SUMIF('07'!$D$7:$D$159,$C119,'07'!X$7:X$159)+SUMIF('08'!$D$7:$D$159,$C119,'08'!X$7:X$159)</f>
        <v>0</v>
      </c>
      <c r="W120" s="284">
        <f>SUMIF('02'!$D$7:$D$159,$C119,'02'!Y$7:Y$159)+SUMIF('03'!$D$7:$D$159,$C119,'03'!Y$7:Y$159)+SUMIF('04'!$D$7:$D$159,$C119,'04'!Y$7:Y$159)+SUMIF('05'!$D$7:$D$159,$C119,'05'!Y$7:Y$159)+SUMIF('06'!$D$7:$D$159,$C119,'06'!Y$7:Y$159)+SUMIF('07'!$D$7:$D$159,$C119,'07'!Y$7:Y$159)+SUMIF('08'!$D$7:$D$159,$C119,'08'!Y$7:Y$159)</f>
        <v>0</v>
      </c>
      <c r="X120" s="286">
        <f t="shared" si="6"/>
        <v>0</v>
      </c>
      <c r="Y120" s="345"/>
      <c r="Z120" s="347"/>
    </row>
    <row r="121" spans="1:26" ht="14.25" customHeight="1" x14ac:dyDescent="0.3">
      <c r="A121" s="178">
        <f>IF(OR(C121="0",COUNTIF(КлючВесна,C121)&gt;1),0,MATCH(F121,ВидыНагр,0))</f>
        <v>0</v>
      </c>
      <c r="B121" s="178" t="b">
        <f>(COUNTA(D121:F122,J121:W121,H121:I122)=0)</f>
        <v>1</v>
      </c>
      <c r="C121" s="179" t="str">
        <f>IF(OR(TRIM(D121)="",COUNTIF(ВидыНагр,F121)&lt;&gt;1),"0",CONCATENATE("$",TRIM(D121),"$",TRIM(E121),"$",F121,"$"))</f>
        <v>0</v>
      </c>
      <c r="D121" s="340"/>
      <c r="E121" s="338"/>
      <c r="F121" s="342"/>
      <c r="G121" s="180" t="s">
        <v>7</v>
      </c>
      <c r="H121" s="181"/>
      <c r="I121" s="182"/>
      <c r="J121" s="183"/>
      <c r="K121" s="184"/>
      <c r="L121" s="185"/>
      <c r="M121" s="183"/>
      <c r="N121" s="184"/>
      <c r="O121" s="186"/>
      <c r="P121" s="183"/>
      <c r="Q121" s="184"/>
      <c r="R121" s="185"/>
      <c r="S121" s="183"/>
      <c r="T121" s="184"/>
      <c r="U121" s="187"/>
      <c r="V121" s="186"/>
      <c r="W121" s="186"/>
      <c r="X121" s="279">
        <f t="shared" si="5"/>
        <v>0</v>
      </c>
      <c r="Y121" s="344">
        <f>X122-X121</f>
        <v>0</v>
      </c>
      <c r="Z121" s="346"/>
    </row>
    <row r="122" spans="1:26" ht="14.25" customHeight="1" x14ac:dyDescent="0.3">
      <c r="A122" s="178">
        <f>-A121</f>
        <v>0</v>
      </c>
      <c r="B122" s="178" t="b">
        <f>B121</f>
        <v>1</v>
      </c>
      <c r="C122" s="188"/>
      <c r="D122" s="341"/>
      <c r="E122" s="339"/>
      <c r="F122" s="343"/>
      <c r="G122" s="189" t="s">
        <v>8</v>
      </c>
      <c r="H122" s="190"/>
      <c r="I122" s="280"/>
      <c r="J122" s="281">
        <f>SUMIF('02'!$D$7:$D$159,$C121,'02'!L$7:L$159)+SUMIF('03'!$D$7:$D$159,$C121,'03'!L$7:L$159)+SUMIF('04'!$D$7:$D$159,$C121,'04'!L$7:L$159)+SUMIF('05'!$D$7:$D$159,$C121,'05'!L$7:L$159)+SUMIF('06'!$D$7:$D$159,$C121,'06'!L$7:L$159)+SUMIF('07'!$D$7:$D$159,$C121,'07'!L$7:L$159)+SUMIF('08'!$D$7:$D$159,$C121,'08'!L$7:L$159)</f>
        <v>0</v>
      </c>
      <c r="K122" s="282">
        <f>SUMIF('02'!$D$7:$D$159,$C121,'02'!M$7:M$159)+SUMIF('03'!$D$7:$D$159,$C121,'03'!M$7:M$159)+SUMIF('04'!$D$7:$D$159,$C121,'04'!M$7:M$159)+SUMIF('05'!$D$7:$D$159,$C121,'05'!M$7:M$159)+SUMIF('06'!$D$7:$D$159,$C121,'06'!M$7:M$159)+SUMIF('07'!$D$7:$D$159,$C121,'07'!M$7:M$159)+SUMIF('08'!$D$7:$D$159,$C121,'08'!M$7:M$159)</f>
        <v>0</v>
      </c>
      <c r="L122" s="283">
        <f>SUMIF('02'!$D$7:$D$159,$C121,'02'!N$7:N$159)+SUMIF('03'!$D$7:$D$159,$C121,'03'!N$7:N$159)+SUMIF('04'!$D$7:$D$159,$C121,'04'!N$7:N$159)+SUMIF('05'!$D$7:$D$159,$C121,'05'!N$7:N$159)+SUMIF('06'!$D$7:$D$159,$C121,'06'!N$7:N$159)+SUMIF('07'!$D$7:$D$159,$C121,'07'!N$7:N$159)+SUMIF('08'!$D$7:$D$159,$C121,'08'!N$7:N$159)</f>
        <v>0</v>
      </c>
      <c r="M122" s="281">
        <f>SUMIF('02'!$D$7:$D$159,$C121,'02'!O$7:O$159)+SUMIF('03'!$D$7:$D$159,$C121,'03'!O$7:O$159)+SUMIF('04'!$D$7:$D$159,$C121,'04'!O$7:O$159)+SUMIF('05'!$D$7:$D$159,$C121,'05'!O$7:O$159)+SUMIF('06'!$D$7:$D$159,$C121,'06'!O$7:O$159)+SUMIF('07'!$D$7:$D$159,$C121,'07'!O$7:O$159)+SUMIF('08'!$D$7:$D$159,$C121,'08'!O$7:O$159)</f>
        <v>0</v>
      </c>
      <c r="N122" s="282">
        <f>SUMIF('02'!$D$7:$D$159,$C121,'02'!P$7:P$159)+SUMIF('03'!$D$7:$D$159,$C121,'03'!P$7:P$159)+SUMIF('04'!$D$7:$D$159,$C121,'04'!P$7:P$159)+SUMIF('05'!$D$7:$D$159,$C121,'05'!P$7:P$159)+SUMIF('06'!$D$7:$D$159,$C121,'06'!P$7:P$159)+SUMIF('07'!$D$7:$D$159,$C121,'07'!P$7:P$159)+SUMIF('08'!$D$7:$D$159,$C121,'08'!P$7:P$159)</f>
        <v>0</v>
      </c>
      <c r="O122" s="284">
        <f>SUMIF('02'!$D$7:$D$159,$C121,'02'!Q$7:Q$159)+SUMIF('03'!$D$7:$D$159,$C121,'03'!Q$7:Q$159)+SUMIF('04'!$D$7:$D$159,$C121,'04'!Q$7:Q$159)+SUMIF('05'!$D$7:$D$159,$C121,'05'!Q$7:Q$159)+SUMIF('06'!$D$7:$D$159,$C121,'06'!Q$7:Q$159)+SUMIF('07'!$D$7:$D$159,$C121,'07'!Q$7:Q$159)+SUMIF('08'!$D$7:$D$159,$C121,'08'!Q$7:Q$159)</f>
        <v>0</v>
      </c>
      <c r="P122" s="281">
        <f>SUMIF('02'!$D$7:$D$159,$C121,'02'!R$7:R$159)+SUMIF('03'!$D$7:$D$159,$C121,'03'!R$7:R$159)+SUMIF('04'!$D$7:$D$159,$C121,'04'!R$7:R$159)+SUMIF('05'!$D$7:$D$159,$C121,'05'!R$7:R$159)+SUMIF('06'!$D$7:$D$159,$C121,'06'!R$7:R$159)+SUMIF('07'!$D$7:$D$159,$C121,'07'!R$7:R$159)+SUMIF('08'!$D$7:$D$159,$C121,'08'!R$7:R$159)</f>
        <v>0</v>
      </c>
      <c r="Q122" s="282">
        <f>SUMIF('02'!$D$7:$D$159,$C121,'02'!S$7:S$159)+SUMIF('03'!$D$7:$D$159,$C121,'03'!S$7:S$159)+SUMIF('04'!$D$7:$D$159,$C121,'04'!S$7:S$159)+SUMIF('05'!$D$7:$D$159,$C121,'05'!S$7:S$159)+SUMIF('06'!$D$7:$D$159,$C121,'06'!S$7:S$159)+SUMIF('07'!$D$7:$D$159,$C121,'07'!S$7:S$159)+SUMIF('08'!$D$7:$D$159,$C121,'08'!S$7:S$159)</f>
        <v>0</v>
      </c>
      <c r="R122" s="283">
        <f>SUMIF('02'!$D$7:$D$159,$C121,'02'!T$7:T$159)+SUMIF('03'!$D$7:$D$159,$C121,'03'!T$7:T$159)+SUMIF('04'!$D$7:$D$159,$C121,'04'!T$7:T$159)+SUMIF('05'!$D$7:$D$159,$C121,'05'!T$7:T$159)+SUMIF('06'!$D$7:$D$159,$C121,'06'!T$7:T$159)+SUMIF('07'!$D$7:$D$159,$C121,'07'!T$7:T$159)+SUMIF('08'!$D$7:$D$159,$C121,'08'!T$7:T$159)</f>
        <v>0</v>
      </c>
      <c r="S122" s="281">
        <f>SUMIF('02'!$D$7:$D$159,$C121,'02'!U$7:U$159)+SUMIF('03'!$D$7:$D$159,$C121,'03'!U$7:U$159)+SUMIF('04'!$D$7:$D$159,$C121,'04'!U$7:U$159)+SUMIF('05'!$D$7:$D$159,$C121,'05'!U$7:U$159)+SUMIF('06'!$D$7:$D$159,$C121,'06'!U$7:U$159)+SUMIF('07'!$D$7:$D$159,$C121,'07'!U$7:U$159)+SUMIF('08'!$D$7:$D$159,$C121,'08'!U$7:U$159)</f>
        <v>0</v>
      </c>
      <c r="T122" s="282">
        <f>SUMIF('02'!$D$7:$D$159,$C121,'02'!V$7:V$159)+SUMIF('03'!$D$7:$D$159,$C121,'03'!V$7:V$159)+SUMIF('04'!$D$7:$D$159,$C121,'04'!V$7:V$159)+SUMIF('05'!$D$7:$D$159,$C121,'05'!V$7:V$159)+SUMIF('06'!$D$7:$D$159,$C121,'06'!V$7:V$159)+SUMIF('07'!$D$7:$D$159,$C121,'07'!V$7:V$159)+SUMIF('08'!$D$7:$D$159,$C121,'08'!V$7:V$159)</f>
        <v>0</v>
      </c>
      <c r="U122" s="285">
        <f>SUMIF('02'!$D$7:$D$159,$C121,'02'!W$7:W$159)+SUMIF('03'!$D$7:$D$159,$C121,'03'!W$7:W$159)+SUMIF('04'!$D$7:$D$159,$C121,'04'!W$7:W$159)+SUMIF('05'!$D$7:$D$159,$C121,'05'!W$7:W$159)+SUMIF('06'!$D$7:$D$159,$C121,'06'!W$7:W$159)+SUMIF('07'!$D$7:$D$159,$C121,'07'!W$7:W$159)+SUMIF('08'!$D$7:$D$159,$C121,'08'!W$7:W$159)</f>
        <v>0</v>
      </c>
      <c r="V122" s="284">
        <f>SUMIF('02'!$D$7:$D$159,$C121,'02'!X$7:X$159)+SUMIF('03'!$D$7:$D$159,$C121,'03'!X$7:X$159)+SUMIF('04'!$D$7:$D$159,$C121,'04'!X$7:X$159)+SUMIF('05'!$D$7:$D$159,$C121,'05'!X$7:X$159)+SUMIF('06'!$D$7:$D$159,$C121,'06'!X$7:X$159)+SUMIF('07'!$D$7:$D$159,$C121,'07'!X$7:X$159)+SUMIF('08'!$D$7:$D$159,$C121,'08'!X$7:X$159)</f>
        <v>0</v>
      </c>
      <c r="W122" s="284">
        <f>SUMIF('02'!$D$7:$D$159,$C121,'02'!Y$7:Y$159)+SUMIF('03'!$D$7:$D$159,$C121,'03'!Y$7:Y$159)+SUMIF('04'!$D$7:$D$159,$C121,'04'!Y$7:Y$159)+SUMIF('05'!$D$7:$D$159,$C121,'05'!Y$7:Y$159)+SUMIF('06'!$D$7:$D$159,$C121,'06'!Y$7:Y$159)+SUMIF('07'!$D$7:$D$159,$C121,'07'!Y$7:Y$159)+SUMIF('08'!$D$7:$D$159,$C121,'08'!Y$7:Y$159)</f>
        <v>0</v>
      </c>
      <c r="X122" s="286">
        <f t="shared" si="5"/>
        <v>0</v>
      </c>
      <c r="Y122" s="345"/>
      <c r="Z122" s="347"/>
    </row>
    <row r="123" spans="1:26" ht="14.25" customHeight="1" x14ac:dyDescent="0.3">
      <c r="A123" s="178">
        <f>IF(OR(C123="0",COUNTIF(КлючВесна,C123)&gt;1),0,MATCH(F123,ВидыНагр,0))</f>
        <v>0</v>
      </c>
      <c r="B123" s="178" t="b">
        <f>(COUNTA(D123:F124,J123:W123,H123:I124)=0)</f>
        <v>1</v>
      </c>
      <c r="C123" s="179" t="str">
        <f>IF(OR(TRIM(D123)="",COUNTIF(ВидыНагр,F123)&lt;&gt;1),"0",CONCATENATE("$",TRIM(D123),"$",TRIM(E123),"$",F123,"$"))</f>
        <v>0</v>
      </c>
      <c r="D123" s="340"/>
      <c r="E123" s="338"/>
      <c r="F123" s="342"/>
      <c r="G123" s="180" t="s">
        <v>7</v>
      </c>
      <c r="H123" s="181"/>
      <c r="I123" s="182"/>
      <c r="J123" s="183"/>
      <c r="K123" s="184"/>
      <c r="L123" s="185"/>
      <c r="M123" s="183"/>
      <c r="N123" s="184"/>
      <c r="O123" s="186"/>
      <c r="P123" s="183"/>
      <c r="Q123" s="184"/>
      <c r="R123" s="185"/>
      <c r="S123" s="183"/>
      <c r="T123" s="184"/>
      <c r="U123" s="187"/>
      <c r="V123" s="186"/>
      <c r="W123" s="186"/>
      <c r="X123" s="279">
        <f t="shared" si="5"/>
        <v>0</v>
      </c>
      <c r="Y123" s="344">
        <f>X124-X123</f>
        <v>0</v>
      </c>
      <c r="Z123" s="346"/>
    </row>
    <row r="124" spans="1:26" ht="14.25" customHeight="1" x14ac:dyDescent="0.3">
      <c r="A124" s="178">
        <f>-A123</f>
        <v>0</v>
      </c>
      <c r="B124" s="178" t="b">
        <f>B123</f>
        <v>1</v>
      </c>
      <c r="C124" s="188"/>
      <c r="D124" s="341"/>
      <c r="E124" s="339"/>
      <c r="F124" s="343"/>
      <c r="G124" s="189" t="s">
        <v>8</v>
      </c>
      <c r="H124" s="190"/>
      <c r="I124" s="280"/>
      <c r="J124" s="281">
        <f>SUMIF('02'!$D$7:$D$159,$C123,'02'!L$7:L$159)+SUMIF('03'!$D$7:$D$159,$C123,'03'!L$7:L$159)+SUMIF('04'!$D$7:$D$159,$C123,'04'!L$7:L$159)+SUMIF('05'!$D$7:$D$159,$C123,'05'!L$7:L$159)+SUMIF('06'!$D$7:$D$159,$C123,'06'!L$7:L$159)+SUMIF('07'!$D$7:$D$159,$C123,'07'!L$7:L$159)+SUMIF('08'!$D$7:$D$159,$C123,'08'!L$7:L$159)</f>
        <v>0</v>
      </c>
      <c r="K124" s="282">
        <f>SUMIF('02'!$D$7:$D$159,$C123,'02'!M$7:M$159)+SUMIF('03'!$D$7:$D$159,$C123,'03'!M$7:M$159)+SUMIF('04'!$D$7:$D$159,$C123,'04'!M$7:M$159)+SUMIF('05'!$D$7:$D$159,$C123,'05'!M$7:M$159)+SUMIF('06'!$D$7:$D$159,$C123,'06'!M$7:M$159)+SUMIF('07'!$D$7:$D$159,$C123,'07'!M$7:M$159)+SUMIF('08'!$D$7:$D$159,$C123,'08'!M$7:M$159)</f>
        <v>0</v>
      </c>
      <c r="L124" s="283">
        <f>SUMIF('02'!$D$7:$D$159,$C123,'02'!N$7:N$159)+SUMIF('03'!$D$7:$D$159,$C123,'03'!N$7:N$159)+SUMIF('04'!$D$7:$D$159,$C123,'04'!N$7:N$159)+SUMIF('05'!$D$7:$D$159,$C123,'05'!N$7:N$159)+SUMIF('06'!$D$7:$D$159,$C123,'06'!N$7:N$159)+SUMIF('07'!$D$7:$D$159,$C123,'07'!N$7:N$159)+SUMIF('08'!$D$7:$D$159,$C123,'08'!N$7:N$159)</f>
        <v>0</v>
      </c>
      <c r="M124" s="281">
        <f>SUMIF('02'!$D$7:$D$159,$C123,'02'!O$7:O$159)+SUMIF('03'!$D$7:$D$159,$C123,'03'!O$7:O$159)+SUMIF('04'!$D$7:$D$159,$C123,'04'!O$7:O$159)+SUMIF('05'!$D$7:$D$159,$C123,'05'!O$7:O$159)+SUMIF('06'!$D$7:$D$159,$C123,'06'!O$7:O$159)+SUMIF('07'!$D$7:$D$159,$C123,'07'!O$7:O$159)+SUMIF('08'!$D$7:$D$159,$C123,'08'!O$7:O$159)</f>
        <v>0</v>
      </c>
      <c r="N124" s="282">
        <f>SUMIF('02'!$D$7:$D$159,$C123,'02'!P$7:P$159)+SUMIF('03'!$D$7:$D$159,$C123,'03'!P$7:P$159)+SUMIF('04'!$D$7:$D$159,$C123,'04'!P$7:P$159)+SUMIF('05'!$D$7:$D$159,$C123,'05'!P$7:P$159)+SUMIF('06'!$D$7:$D$159,$C123,'06'!P$7:P$159)+SUMIF('07'!$D$7:$D$159,$C123,'07'!P$7:P$159)+SUMIF('08'!$D$7:$D$159,$C123,'08'!P$7:P$159)</f>
        <v>0</v>
      </c>
      <c r="O124" s="284">
        <f>SUMIF('02'!$D$7:$D$159,$C123,'02'!Q$7:Q$159)+SUMIF('03'!$D$7:$D$159,$C123,'03'!Q$7:Q$159)+SUMIF('04'!$D$7:$D$159,$C123,'04'!Q$7:Q$159)+SUMIF('05'!$D$7:$D$159,$C123,'05'!Q$7:Q$159)+SUMIF('06'!$D$7:$D$159,$C123,'06'!Q$7:Q$159)+SUMIF('07'!$D$7:$D$159,$C123,'07'!Q$7:Q$159)+SUMIF('08'!$D$7:$D$159,$C123,'08'!Q$7:Q$159)</f>
        <v>0</v>
      </c>
      <c r="P124" s="281">
        <f>SUMIF('02'!$D$7:$D$159,$C123,'02'!R$7:R$159)+SUMIF('03'!$D$7:$D$159,$C123,'03'!R$7:R$159)+SUMIF('04'!$D$7:$D$159,$C123,'04'!R$7:R$159)+SUMIF('05'!$D$7:$D$159,$C123,'05'!R$7:R$159)+SUMIF('06'!$D$7:$D$159,$C123,'06'!R$7:R$159)+SUMIF('07'!$D$7:$D$159,$C123,'07'!R$7:R$159)+SUMIF('08'!$D$7:$D$159,$C123,'08'!R$7:R$159)</f>
        <v>0</v>
      </c>
      <c r="Q124" s="282">
        <f>SUMIF('02'!$D$7:$D$159,$C123,'02'!S$7:S$159)+SUMIF('03'!$D$7:$D$159,$C123,'03'!S$7:S$159)+SUMIF('04'!$D$7:$D$159,$C123,'04'!S$7:S$159)+SUMIF('05'!$D$7:$D$159,$C123,'05'!S$7:S$159)+SUMIF('06'!$D$7:$D$159,$C123,'06'!S$7:S$159)+SUMIF('07'!$D$7:$D$159,$C123,'07'!S$7:S$159)+SUMIF('08'!$D$7:$D$159,$C123,'08'!S$7:S$159)</f>
        <v>0</v>
      </c>
      <c r="R124" s="283">
        <f>SUMIF('02'!$D$7:$D$159,$C123,'02'!T$7:T$159)+SUMIF('03'!$D$7:$D$159,$C123,'03'!T$7:T$159)+SUMIF('04'!$D$7:$D$159,$C123,'04'!T$7:T$159)+SUMIF('05'!$D$7:$D$159,$C123,'05'!T$7:T$159)+SUMIF('06'!$D$7:$D$159,$C123,'06'!T$7:T$159)+SUMIF('07'!$D$7:$D$159,$C123,'07'!T$7:T$159)+SUMIF('08'!$D$7:$D$159,$C123,'08'!T$7:T$159)</f>
        <v>0</v>
      </c>
      <c r="S124" s="281">
        <f>SUMIF('02'!$D$7:$D$159,$C123,'02'!U$7:U$159)+SUMIF('03'!$D$7:$D$159,$C123,'03'!U$7:U$159)+SUMIF('04'!$D$7:$D$159,$C123,'04'!U$7:U$159)+SUMIF('05'!$D$7:$D$159,$C123,'05'!U$7:U$159)+SUMIF('06'!$D$7:$D$159,$C123,'06'!U$7:U$159)+SUMIF('07'!$D$7:$D$159,$C123,'07'!U$7:U$159)+SUMIF('08'!$D$7:$D$159,$C123,'08'!U$7:U$159)</f>
        <v>0</v>
      </c>
      <c r="T124" s="282">
        <f>SUMIF('02'!$D$7:$D$159,$C123,'02'!V$7:V$159)+SUMIF('03'!$D$7:$D$159,$C123,'03'!V$7:V$159)+SUMIF('04'!$D$7:$D$159,$C123,'04'!V$7:V$159)+SUMIF('05'!$D$7:$D$159,$C123,'05'!V$7:V$159)+SUMIF('06'!$D$7:$D$159,$C123,'06'!V$7:V$159)+SUMIF('07'!$D$7:$D$159,$C123,'07'!V$7:V$159)+SUMIF('08'!$D$7:$D$159,$C123,'08'!V$7:V$159)</f>
        <v>0</v>
      </c>
      <c r="U124" s="285">
        <f>SUMIF('02'!$D$7:$D$159,$C123,'02'!W$7:W$159)+SUMIF('03'!$D$7:$D$159,$C123,'03'!W$7:W$159)+SUMIF('04'!$D$7:$D$159,$C123,'04'!W$7:W$159)+SUMIF('05'!$D$7:$D$159,$C123,'05'!W$7:W$159)+SUMIF('06'!$D$7:$D$159,$C123,'06'!W$7:W$159)+SUMIF('07'!$D$7:$D$159,$C123,'07'!W$7:W$159)+SUMIF('08'!$D$7:$D$159,$C123,'08'!W$7:W$159)</f>
        <v>0</v>
      </c>
      <c r="V124" s="284">
        <f>SUMIF('02'!$D$7:$D$159,$C123,'02'!X$7:X$159)+SUMIF('03'!$D$7:$D$159,$C123,'03'!X$7:X$159)+SUMIF('04'!$D$7:$D$159,$C123,'04'!X$7:X$159)+SUMIF('05'!$D$7:$D$159,$C123,'05'!X$7:X$159)+SUMIF('06'!$D$7:$D$159,$C123,'06'!X$7:X$159)+SUMIF('07'!$D$7:$D$159,$C123,'07'!X$7:X$159)+SUMIF('08'!$D$7:$D$159,$C123,'08'!X$7:X$159)</f>
        <v>0</v>
      </c>
      <c r="W124" s="284">
        <f>SUMIF('02'!$D$7:$D$159,$C123,'02'!Y$7:Y$159)+SUMIF('03'!$D$7:$D$159,$C123,'03'!Y$7:Y$159)+SUMIF('04'!$D$7:$D$159,$C123,'04'!Y$7:Y$159)+SUMIF('05'!$D$7:$D$159,$C123,'05'!Y$7:Y$159)+SUMIF('06'!$D$7:$D$159,$C123,'06'!Y$7:Y$159)+SUMIF('07'!$D$7:$D$159,$C123,'07'!Y$7:Y$159)+SUMIF('08'!$D$7:$D$159,$C123,'08'!Y$7:Y$159)</f>
        <v>0</v>
      </c>
      <c r="X124" s="286">
        <f t="shared" si="5"/>
        <v>0</v>
      </c>
      <c r="Y124" s="345"/>
      <c r="Z124" s="347"/>
    </row>
    <row r="125" spans="1:26" ht="14.25" customHeight="1" x14ac:dyDescent="0.3">
      <c r="A125" s="178">
        <f>IF(OR(C125="0",COUNTIF(КлючВесна,C125)&gt;1),0,MATCH(F125,ВидыНагр,0))</f>
        <v>0</v>
      </c>
      <c r="B125" s="178" t="b">
        <f>(COUNTA(D125:F126,J125:W125,H125:I126)=0)</f>
        <v>1</v>
      </c>
      <c r="C125" s="179" t="str">
        <f>IF(OR(TRIM(D125)="",COUNTIF(ВидыНагр,F125)&lt;&gt;1),"0",CONCATENATE("$",TRIM(D125),"$",TRIM(E125),"$",F125,"$"))</f>
        <v>0</v>
      </c>
      <c r="D125" s="340"/>
      <c r="E125" s="338"/>
      <c r="F125" s="342"/>
      <c r="G125" s="180" t="s">
        <v>7</v>
      </c>
      <c r="H125" s="181"/>
      <c r="I125" s="182"/>
      <c r="J125" s="183"/>
      <c r="K125" s="184"/>
      <c r="L125" s="185"/>
      <c r="M125" s="183"/>
      <c r="N125" s="184"/>
      <c r="O125" s="186"/>
      <c r="P125" s="183"/>
      <c r="Q125" s="184"/>
      <c r="R125" s="185"/>
      <c r="S125" s="183"/>
      <c r="T125" s="184"/>
      <c r="U125" s="187"/>
      <c r="V125" s="186"/>
      <c r="W125" s="186"/>
      <c r="X125" s="279">
        <f t="shared" si="5"/>
        <v>0</v>
      </c>
      <c r="Y125" s="344">
        <f>X126-X125</f>
        <v>0</v>
      </c>
      <c r="Z125" s="346"/>
    </row>
    <row r="126" spans="1:26" ht="14.25" customHeight="1" x14ac:dyDescent="0.3">
      <c r="A126" s="178">
        <f>-A125</f>
        <v>0</v>
      </c>
      <c r="B126" s="178" t="b">
        <f>B125</f>
        <v>1</v>
      </c>
      <c r="C126" s="188"/>
      <c r="D126" s="341"/>
      <c r="E126" s="339"/>
      <c r="F126" s="343"/>
      <c r="G126" s="189" t="s">
        <v>8</v>
      </c>
      <c r="H126" s="190"/>
      <c r="I126" s="280"/>
      <c r="J126" s="281">
        <f>SUMIF('02'!$D$7:$D$159,$C125,'02'!L$7:L$159)+SUMIF('03'!$D$7:$D$159,$C125,'03'!L$7:L$159)+SUMIF('04'!$D$7:$D$159,$C125,'04'!L$7:L$159)+SUMIF('05'!$D$7:$D$159,$C125,'05'!L$7:L$159)+SUMIF('06'!$D$7:$D$159,$C125,'06'!L$7:L$159)+SUMIF('07'!$D$7:$D$159,$C125,'07'!L$7:L$159)+SUMIF('08'!$D$7:$D$159,$C125,'08'!L$7:L$159)</f>
        <v>0</v>
      </c>
      <c r="K126" s="282">
        <f>SUMIF('02'!$D$7:$D$159,$C125,'02'!M$7:M$159)+SUMIF('03'!$D$7:$D$159,$C125,'03'!M$7:M$159)+SUMIF('04'!$D$7:$D$159,$C125,'04'!M$7:M$159)+SUMIF('05'!$D$7:$D$159,$C125,'05'!M$7:M$159)+SUMIF('06'!$D$7:$D$159,$C125,'06'!M$7:M$159)+SUMIF('07'!$D$7:$D$159,$C125,'07'!M$7:M$159)+SUMIF('08'!$D$7:$D$159,$C125,'08'!M$7:M$159)</f>
        <v>0</v>
      </c>
      <c r="L126" s="283">
        <f>SUMIF('02'!$D$7:$D$159,$C125,'02'!N$7:N$159)+SUMIF('03'!$D$7:$D$159,$C125,'03'!N$7:N$159)+SUMIF('04'!$D$7:$D$159,$C125,'04'!N$7:N$159)+SUMIF('05'!$D$7:$D$159,$C125,'05'!N$7:N$159)+SUMIF('06'!$D$7:$D$159,$C125,'06'!N$7:N$159)+SUMIF('07'!$D$7:$D$159,$C125,'07'!N$7:N$159)+SUMIF('08'!$D$7:$D$159,$C125,'08'!N$7:N$159)</f>
        <v>0</v>
      </c>
      <c r="M126" s="281">
        <f>SUMIF('02'!$D$7:$D$159,$C125,'02'!O$7:O$159)+SUMIF('03'!$D$7:$D$159,$C125,'03'!O$7:O$159)+SUMIF('04'!$D$7:$D$159,$C125,'04'!O$7:O$159)+SUMIF('05'!$D$7:$D$159,$C125,'05'!O$7:O$159)+SUMIF('06'!$D$7:$D$159,$C125,'06'!O$7:O$159)+SUMIF('07'!$D$7:$D$159,$C125,'07'!O$7:O$159)+SUMIF('08'!$D$7:$D$159,$C125,'08'!O$7:O$159)</f>
        <v>0</v>
      </c>
      <c r="N126" s="282">
        <f>SUMIF('02'!$D$7:$D$159,$C125,'02'!P$7:P$159)+SUMIF('03'!$D$7:$D$159,$C125,'03'!P$7:P$159)+SUMIF('04'!$D$7:$D$159,$C125,'04'!P$7:P$159)+SUMIF('05'!$D$7:$D$159,$C125,'05'!P$7:P$159)+SUMIF('06'!$D$7:$D$159,$C125,'06'!P$7:P$159)+SUMIF('07'!$D$7:$D$159,$C125,'07'!P$7:P$159)+SUMIF('08'!$D$7:$D$159,$C125,'08'!P$7:P$159)</f>
        <v>0</v>
      </c>
      <c r="O126" s="284">
        <f>SUMIF('02'!$D$7:$D$159,$C125,'02'!Q$7:Q$159)+SUMIF('03'!$D$7:$D$159,$C125,'03'!Q$7:Q$159)+SUMIF('04'!$D$7:$D$159,$C125,'04'!Q$7:Q$159)+SUMIF('05'!$D$7:$D$159,$C125,'05'!Q$7:Q$159)+SUMIF('06'!$D$7:$D$159,$C125,'06'!Q$7:Q$159)+SUMIF('07'!$D$7:$D$159,$C125,'07'!Q$7:Q$159)+SUMIF('08'!$D$7:$D$159,$C125,'08'!Q$7:Q$159)</f>
        <v>0</v>
      </c>
      <c r="P126" s="281">
        <f>SUMIF('02'!$D$7:$D$159,$C125,'02'!R$7:R$159)+SUMIF('03'!$D$7:$D$159,$C125,'03'!R$7:R$159)+SUMIF('04'!$D$7:$D$159,$C125,'04'!R$7:R$159)+SUMIF('05'!$D$7:$D$159,$C125,'05'!R$7:R$159)+SUMIF('06'!$D$7:$D$159,$C125,'06'!R$7:R$159)+SUMIF('07'!$D$7:$D$159,$C125,'07'!R$7:R$159)+SUMIF('08'!$D$7:$D$159,$C125,'08'!R$7:R$159)</f>
        <v>0</v>
      </c>
      <c r="Q126" s="282">
        <f>SUMIF('02'!$D$7:$D$159,$C125,'02'!S$7:S$159)+SUMIF('03'!$D$7:$D$159,$C125,'03'!S$7:S$159)+SUMIF('04'!$D$7:$D$159,$C125,'04'!S$7:S$159)+SUMIF('05'!$D$7:$D$159,$C125,'05'!S$7:S$159)+SUMIF('06'!$D$7:$D$159,$C125,'06'!S$7:S$159)+SUMIF('07'!$D$7:$D$159,$C125,'07'!S$7:S$159)+SUMIF('08'!$D$7:$D$159,$C125,'08'!S$7:S$159)</f>
        <v>0</v>
      </c>
      <c r="R126" s="283">
        <f>SUMIF('02'!$D$7:$D$159,$C125,'02'!T$7:T$159)+SUMIF('03'!$D$7:$D$159,$C125,'03'!T$7:T$159)+SUMIF('04'!$D$7:$D$159,$C125,'04'!T$7:T$159)+SUMIF('05'!$D$7:$D$159,$C125,'05'!T$7:T$159)+SUMIF('06'!$D$7:$D$159,$C125,'06'!T$7:T$159)+SUMIF('07'!$D$7:$D$159,$C125,'07'!T$7:T$159)+SUMIF('08'!$D$7:$D$159,$C125,'08'!T$7:T$159)</f>
        <v>0</v>
      </c>
      <c r="S126" s="281">
        <f>SUMIF('02'!$D$7:$D$159,$C125,'02'!U$7:U$159)+SUMIF('03'!$D$7:$D$159,$C125,'03'!U$7:U$159)+SUMIF('04'!$D$7:$D$159,$C125,'04'!U$7:U$159)+SUMIF('05'!$D$7:$D$159,$C125,'05'!U$7:U$159)+SUMIF('06'!$D$7:$D$159,$C125,'06'!U$7:U$159)+SUMIF('07'!$D$7:$D$159,$C125,'07'!U$7:U$159)+SUMIF('08'!$D$7:$D$159,$C125,'08'!U$7:U$159)</f>
        <v>0</v>
      </c>
      <c r="T126" s="282">
        <f>SUMIF('02'!$D$7:$D$159,$C125,'02'!V$7:V$159)+SUMIF('03'!$D$7:$D$159,$C125,'03'!V$7:V$159)+SUMIF('04'!$D$7:$D$159,$C125,'04'!V$7:V$159)+SUMIF('05'!$D$7:$D$159,$C125,'05'!V$7:V$159)+SUMIF('06'!$D$7:$D$159,$C125,'06'!V$7:V$159)+SUMIF('07'!$D$7:$D$159,$C125,'07'!V$7:V$159)+SUMIF('08'!$D$7:$D$159,$C125,'08'!V$7:V$159)</f>
        <v>0</v>
      </c>
      <c r="U126" s="285">
        <f>SUMIF('02'!$D$7:$D$159,$C125,'02'!W$7:W$159)+SUMIF('03'!$D$7:$D$159,$C125,'03'!W$7:W$159)+SUMIF('04'!$D$7:$D$159,$C125,'04'!W$7:W$159)+SUMIF('05'!$D$7:$D$159,$C125,'05'!W$7:W$159)+SUMIF('06'!$D$7:$D$159,$C125,'06'!W$7:W$159)+SUMIF('07'!$D$7:$D$159,$C125,'07'!W$7:W$159)+SUMIF('08'!$D$7:$D$159,$C125,'08'!W$7:W$159)</f>
        <v>0</v>
      </c>
      <c r="V126" s="284">
        <f>SUMIF('02'!$D$7:$D$159,$C125,'02'!X$7:X$159)+SUMIF('03'!$D$7:$D$159,$C125,'03'!X$7:X$159)+SUMIF('04'!$D$7:$D$159,$C125,'04'!X$7:X$159)+SUMIF('05'!$D$7:$D$159,$C125,'05'!X$7:X$159)+SUMIF('06'!$D$7:$D$159,$C125,'06'!X$7:X$159)+SUMIF('07'!$D$7:$D$159,$C125,'07'!X$7:X$159)+SUMIF('08'!$D$7:$D$159,$C125,'08'!X$7:X$159)</f>
        <v>0</v>
      </c>
      <c r="W126" s="284">
        <f>SUMIF('02'!$D$7:$D$159,$C125,'02'!Y$7:Y$159)+SUMIF('03'!$D$7:$D$159,$C125,'03'!Y$7:Y$159)+SUMIF('04'!$D$7:$D$159,$C125,'04'!Y$7:Y$159)+SUMIF('05'!$D$7:$D$159,$C125,'05'!Y$7:Y$159)+SUMIF('06'!$D$7:$D$159,$C125,'06'!Y$7:Y$159)+SUMIF('07'!$D$7:$D$159,$C125,'07'!Y$7:Y$159)+SUMIF('08'!$D$7:$D$159,$C125,'08'!Y$7:Y$159)</f>
        <v>0</v>
      </c>
      <c r="X126" s="286">
        <f t="shared" si="5"/>
        <v>0</v>
      </c>
      <c r="Y126" s="345"/>
      <c r="Z126" s="347"/>
    </row>
    <row r="127" spans="1:26" ht="14.25" customHeight="1" x14ac:dyDescent="0.3">
      <c r="A127" s="178">
        <f>IF(OR(C127="0",COUNTIF(КлючВесна,C127)&gt;1),0,MATCH(F127,ВидыНагр,0))</f>
        <v>0</v>
      </c>
      <c r="B127" s="178" t="b">
        <f>(COUNTA(D127:F128,J127:W127,H127:I128)=0)</f>
        <v>1</v>
      </c>
      <c r="C127" s="179" t="str">
        <f>IF(OR(TRIM(D127)="",COUNTIF(ВидыНагр,F127)&lt;&gt;1),"0",CONCATENATE("$",TRIM(D127),"$",TRIM(E127),"$",F127,"$"))</f>
        <v>0</v>
      </c>
      <c r="D127" s="340"/>
      <c r="E127" s="338"/>
      <c r="F127" s="342"/>
      <c r="G127" s="180" t="s">
        <v>7</v>
      </c>
      <c r="H127" s="181"/>
      <c r="I127" s="182"/>
      <c r="J127" s="183"/>
      <c r="K127" s="184"/>
      <c r="L127" s="185"/>
      <c r="M127" s="183"/>
      <c r="N127" s="184"/>
      <c r="O127" s="186"/>
      <c r="P127" s="183"/>
      <c r="Q127" s="184"/>
      <c r="R127" s="185"/>
      <c r="S127" s="183"/>
      <c r="T127" s="184"/>
      <c r="U127" s="187"/>
      <c r="V127" s="186"/>
      <c r="W127" s="186"/>
      <c r="X127" s="279">
        <f t="shared" si="5"/>
        <v>0</v>
      </c>
      <c r="Y127" s="344">
        <f>X128-X127</f>
        <v>0</v>
      </c>
      <c r="Z127" s="346"/>
    </row>
    <row r="128" spans="1:26" ht="14.25" customHeight="1" x14ac:dyDescent="0.3">
      <c r="A128" s="178">
        <f>-A127</f>
        <v>0</v>
      </c>
      <c r="B128" s="178" t="b">
        <f>B127</f>
        <v>1</v>
      </c>
      <c r="C128" s="188"/>
      <c r="D128" s="341"/>
      <c r="E128" s="339"/>
      <c r="F128" s="343"/>
      <c r="G128" s="189" t="s">
        <v>8</v>
      </c>
      <c r="H128" s="190"/>
      <c r="I128" s="280"/>
      <c r="J128" s="281">
        <f>SUMIF('02'!$D$7:$D$159,$C127,'02'!L$7:L$159)+SUMIF('03'!$D$7:$D$159,$C127,'03'!L$7:L$159)+SUMIF('04'!$D$7:$D$159,$C127,'04'!L$7:L$159)+SUMIF('05'!$D$7:$D$159,$C127,'05'!L$7:L$159)+SUMIF('06'!$D$7:$D$159,$C127,'06'!L$7:L$159)+SUMIF('07'!$D$7:$D$159,$C127,'07'!L$7:L$159)+SUMIF('08'!$D$7:$D$159,$C127,'08'!L$7:L$159)</f>
        <v>0</v>
      </c>
      <c r="K128" s="282">
        <f>SUMIF('02'!$D$7:$D$159,$C127,'02'!M$7:M$159)+SUMIF('03'!$D$7:$D$159,$C127,'03'!M$7:M$159)+SUMIF('04'!$D$7:$D$159,$C127,'04'!M$7:M$159)+SUMIF('05'!$D$7:$D$159,$C127,'05'!M$7:M$159)+SUMIF('06'!$D$7:$D$159,$C127,'06'!M$7:M$159)+SUMIF('07'!$D$7:$D$159,$C127,'07'!M$7:M$159)+SUMIF('08'!$D$7:$D$159,$C127,'08'!M$7:M$159)</f>
        <v>0</v>
      </c>
      <c r="L128" s="283">
        <f>SUMIF('02'!$D$7:$D$159,$C127,'02'!N$7:N$159)+SUMIF('03'!$D$7:$D$159,$C127,'03'!N$7:N$159)+SUMIF('04'!$D$7:$D$159,$C127,'04'!N$7:N$159)+SUMIF('05'!$D$7:$D$159,$C127,'05'!N$7:N$159)+SUMIF('06'!$D$7:$D$159,$C127,'06'!N$7:N$159)+SUMIF('07'!$D$7:$D$159,$C127,'07'!N$7:N$159)+SUMIF('08'!$D$7:$D$159,$C127,'08'!N$7:N$159)</f>
        <v>0</v>
      </c>
      <c r="M128" s="281">
        <f>SUMIF('02'!$D$7:$D$159,$C127,'02'!O$7:O$159)+SUMIF('03'!$D$7:$D$159,$C127,'03'!O$7:O$159)+SUMIF('04'!$D$7:$D$159,$C127,'04'!O$7:O$159)+SUMIF('05'!$D$7:$D$159,$C127,'05'!O$7:O$159)+SUMIF('06'!$D$7:$D$159,$C127,'06'!O$7:O$159)+SUMIF('07'!$D$7:$D$159,$C127,'07'!O$7:O$159)+SUMIF('08'!$D$7:$D$159,$C127,'08'!O$7:O$159)</f>
        <v>0</v>
      </c>
      <c r="N128" s="282">
        <f>SUMIF('02'!$D$7:$D$159,$C127,'02'!P$7:P$159)+SUMIF('03'!$D$7:$D$159,$C127,'03'!P$7:P$159)+SUMIF('04'!$D$7:$D$159,$C127,'04'!P$7:P$159)+SUMIF('05'!$D$7:$D$159,$C127,'05'!P$7:P$159)+SUMIF('06'!$D$7:$D$159,$C127,'06'!P$7:P$159)+SUMIF('07'!$D$7:$D$159,$C127,'07'!P$7:P$159)+SUMIF('08'!$D$7:$D$159,$C127,'08'!P$7:P$159)</f>
        <v>0</v>
      </c>
      <c r="O128" s="284">
        <f>SUMIF('02'!$D$7:$D$159,$C127,'02'!Q$7:Q$159)+SUMIF('03'!$D$7:$D$159,$C127,'03'!Q$7:Q$159)+SUMIF('04'!$D$7:$D$159,$C127,'04'!Q$7:Q$159)+SUMIF('05'!$D$7:$D$159,$C127,'05'!Q$7:Q$159)+SUMIF('06'!$D$7:$D$159,$C127,'06'!Q$7:Q$159)+SUMIF('07'!$D$7:$D$159,$C127,'07'!Q$7:Q$159)+SUMIF('08'!$D$7:$D$159,$C127,'08'!Q$7:Q$159)</f>
        <v>0</v>
      </c>
      <c r="P128" s="281">
        <f>SUMIF('02'!$D$7:$D$159,$C127,'02'!R$7:R$159)+SUMIF('03'!$D$7:$D$159,$C127,'03'!R$7:R$159)+SUMIF('04'!$D$7:$D$159,$C127,'04'!R$7:R$159)+SUMIF('05'!$D$7:$D$159,$C127,'05'!R$7:R$159)+SUMIF('06'!$D$7:$D$159,$C127,'06'!R$7:R$159)+SUMIF('07'!$D$7:$D$159,$C127,'07'!R$7:R$159)+SUMIF('08'!$D$7:$D$159,$C127,'08'!R$7:R$159)</f>
        <v>0</v>
      </c>
      <c r="Q128" s="282">
        <f>SUMIF('02'!$D$7:$D$159,$C127,'02'!S$7:S$159)+SUMIF('03'!$D$7:$D$159,$C127,'03'!S$7:S$159)+SUMIF('04'!$D$7:$D$159,$C127,'04'!S$7:S$159)+SUMIF('05'!$D$7:$D$159,$C127,'05'!S$7:S$159)+SUMIF('06'!$D$7:$D$159,$C127,'06'!S$7:S$159)+SUMIF('07'!$D$7:$D$159,$C127,'07'!S$7:S$159)+SUMIF('08'!$D$7:$D$159,$C127,'08'!S$7:S$159)</f>
        <v>0</v>
      </c>
      <c r="R128" s="283">
        <f>SUMIF('02'!$D$7:$D$159,$C127,'02'!T$7:T$159)+SUMIF('03'!$D$7:$D$159,$C127,'03'!T$7:T$159)+SUMIF('04'!$D$7:$D$159,$C127,'04'!T$7:T$159)+SUMIF('05'!$D$7:$D$159,$C127,'05'!T$7:T$159)+SUMIF('06'!$D$7:$D$159,$C127,'06'!T$7:T$159)+SUMIF('07'!$D$7:$D$159,$C127,'07'!T$7:T$159)+SUMIF('08'!$D$7:$D$159,$C127,'08'!T$7:T$159)</f>
        <v>0</v>
      </c>
      <c r="S128" s="281">
        <f>SUMIF('02'!$D$7:$D$159,$C127,'02'!U$7:U$159)+SUMIF('03'!$D$7:$D$159,$C127,'03'!U$7:U$159)+SUMIF('04'!$D$7:$D$159,$C127,'04'!U$7:U$159)+SUMIF('05'!$D$7:$D$159,$C127,'05'!U$7:U$159)+SUMIF('06'!$D$7:$D$159,$C127,'06'!U$7:U$159)+SUMIF('07'!$D$7:$D$159,$C127,'07'!U$7:U$159)+SUMIF('08'!$D$7:$D$159,$C127,'08'!U$7:U$159)</f>
        <v>0</v>
      </c>
      <c r="T128" s="282">
        <f>SUMIF('02'!$D$7:$D$159,$C127,'02'!V$7:V$159)+SUMIF('03'!$D$7:$D$159,$C127,'03'!V$7:V$159)+SUMIF('04'!$D$7:$D$159,$C127,'04'!V$7:V$159)+SUMIF('05'!$D$7:$D$159,$C127,'05'!V$7:V$159)+SUMIF('06'!$D$7:$D$159,$C127,'06'!V$7:V$159)+SUMIF('07'!$D$7:$D$159,$C127,'07'!V$7:V$159)+SUMIF('08'!$D$7:$D$159,$C127,'08'!V$7:V$159)</f>
        <v>0</v>
      </c>
      <c r="U128" s="285">
        <f>SUMIF('02'!$D$7:$D$159,$C127,'02'!W$7:W$159)+SUMIF('03'!$D$7:$D$159,$C127,'03'!W$7:W$159)+SUMIF('04'!$D$7:$D$159,$C127,'04'!W$7:W$159)+SUMIF('05'!$D$7:$D$159,$C127,'05'!W$7:W$159)+SUMIF('06'!$D$7:$D$159,$C127,'06'!W$7:W$159)+SUMIF('07'!$D$7:$D$159,$C127,'07'!W$7:W$159)+SUMIF('08'!$D$7:$D$159,$C127,'08'!W$7:W$159)</f>
        <v>0</v>
      </c>
      <c r="V128" s="284">
        <f>SUMIF('02'!$D$7:$D$159,$C127,'02'!X$7:X$159)+SUMIF('03'!$D$7:$D$159,$C127,'03'!X$7:X$159)+SUMIF('04'!$D$7:$D$159,$C127,'04'!X$7:X$159)+SUMIF('05'!$D$7:$D$159,$C127,'05'!X$7:X$159)+SUMIF('06'!$D$7:$D$159,$C127,'06'!X$7:X$159)+SUMIF('07'!$D$7:$D$159,$C127,'07'!X$7:X$159)+SUMIF('08'!$D$7:$D$159,$C127,'08'!X$7:X$159)</f>
        <v>0</v>
      </c>
      <c r="W128" s="284">
        <f>SUMIF('02'!$D$7:$D$159,$C127,'02'!Y$7:Y$159)+SUMIF('03'!$D$7:$D$159,$C127,'03'!Y$7:Y$159)+SUMIF('04'!$D$7:$D$159,$C127,'04'!Y$7:Y$159)+SUMIF('05'!$D$7:$D$159,$C127,'05'!Y$7:Y$159)+SUMIF('06'!$D$7:$D$159,$C127,'06'!Y$7:Y$159)+SUMIF('07'!$D$7:$D$159,$C127,'07'!Y$7:Y$159)+SUMIF('08'!$D$7:$D$159,$C127,'08'!Y$7:Y$159)</f>
        <v>0</v>
      </c>
      <c r="X128" s="286">
        <f t="shared" si="5"/>
        <v>0</v>
      </c>
      <c r="Y128" s="345"/>
      <c r="Z128" s="347"/>
    </row>
    <row r="129" spans="1:26" ht="14.25" customHeight="1" x14ac:dyDescent="0.3">
      <c r="A129" s="178">
        <f>IF(OR(C129="0",COUNTIF(КлючВесна,C129)&gt;1),0,MATCH(F129,ВидыНагр,0))</f>
        <v>0</v>
      </c>
      <c r="B129" s="178" t="b">
        <f>(COUNTA(D129:F130,J129:W129,H129:I130)=0)</f>
        <v>1</v>
      </c>
      <c r="C129" s="179" t="str">
        <f>IF(OR(TRIM(D129)="",COUNTIF(ВидыНагр,F129)&lt;&gt;1),"0",CONCATENATE("$",TRIM(D129),"$",TRIM(E129),"$",F129,"$"))</f>
        <v>0</v>
      </c>
      <c r="D129" s="340"/>
      <c r="E129" s="338"/>
      <c r="F129" s="342"/>
      <c r="G129" s="180" t="s">
        <v>7</v>
      </c>
      <c r="H129" s="181"/>
      <c r="I129" s="182"/>
      <c r="J129" s="183"/>
      <c r="K129" s="184"/>
      <c r="L129" s="185"/>
      <c r="M129" s="183"/>
      <c r="N129" s="184"/>
      <c r="O129" s="186"/>
      <c r="P129" s="183"/>
      <c r="Q129" s="184"/>
      <c r="R129" s="185"/>
      <c r="S129" s="183"/>
      <c r="T129" s="184"/>
      <c r="U129" s="187"/>
      <c r="V129" s="186"/>
      <c r="W129" s="186"/>
      <c r="X129" s="279">
        <f t="shared" si="5"/>
        <v>0</v>
      </c>
      <c r="Y129" s="344">
        <f>X130-X129</f>
        <v>0</v>
      </c>
      <c r="Z129" s="346"/>
    </row>
    <row r="130" spans="1:26" ht="14.25" customHeight="1" x14ac:dyDescent="0.3">
      <c r="A130" s="178">
        <f>-A129</f>
        <v>0</v>
      </c>
      <c r="B130" s="178" t="b">
        <f>B129</f>
        <v>1</v>
      </c>
      <c r="C130" s="188"/>
      <c r="D130" s="341"/>
      <c r="E130" s="339"/>
      <c r="F130" s="343"/>
      <c r="G130" s="189" t="s">
        <v>8</v>
      </c>
      <c r="H130" s="190"/>
      <c r="I130" s="280"/>
      <c r="J130" s="281">
        <f>SUMIF('02'!$D$7:$D$159,$C129,'02'!L$7:L$159)+SUMIF('03'!$D$7:$D$159,$C129,'03'!L$7:L$159)+SUMIF('04'!$D$7:$D$159,$C129,'04'!L$7:L$159)+SUMIF('05'!$D$7:$D$159,$C129,'05'!L$7:L$159)+SUMIF('06'!$D$7:$D$159,$C129,'06'!L$7:L$159)+SUMIF('07'!$D$7:$D$159,$C129,'07'!L$7:L$159)+SUMIF('08'!$D$7:$D$159,$C129,'08'!L$7:L$159)</f>
        <v>0</v>
      </c>
      <c r="K130" s="282">
        <f>SUMIF('02'!$D$7:$D$159,$C129,'02'!M$7:M$159)+SUMIF('03'!$D$7:$D$159,$C129,'03'!M$7:M$159)+SUMIF('04'!$D$7:$D$159,$C129,'04'!M$7:M$159)+SUMIF('05'!$D$7:$D$159,$C129,'05'!M$7:M$159)+SUMIF('06'!$D$7:$D$159,$C129,'06'!M$7:M$159)+SUMIF('07'!$D$7:$D$159,$C129,'07'!M$7:M$159)+SUMIF('08'!$D$7:$D$159,$C129,'08'!M$7:M$159)</f>
        <v>0</v>
      </c>
      <c r="L130" s="283">
        <f>SUMIF('02'!$D$7:$D$159,$C129,'02'!N$7:N$159)+SUMIF('03'!$D$7:$D$159,$C129,'03'!N$7:N$159)+SUMIF('04'!$D$7:$D$159,$C129,'04'!N$7:N$159)+SUMIF('05'!$D$7:$D$159,$C129,'05'!N$7:N$159)+SUMIF('06'!$D$7:$D$159,$C129,'06'!N$7:N$159)+SUMIF('07'!$D$7:$D$159,$C129,'07'!N$7:N$159)+SUMIF('08'!$D$7:$D$159,$C129,'08'!N$7:N$159)</f>
        <v>0</v>
      </c>
      <c r="M130" s="281">
        <f>SUMIF('02'!$D$7:$D$159,$C129,'02'!O$7:O$159)+SUMIF('03'!$D$7:$D$159,$C129,'03'!O$7:O$159)+SUMIF('04'!$D$7:$D$159,$C129,'04'!O$7:O$159)+SUMIF('05'!$D$7:$D$159,$C129,'05'!O$7:O$159)+SUMIF('06'!$D$7:$D$159,$C129,'06'!O$7:O$159)+SUMIF('07'!$D$7:$D$159,$C129,'07'!O$7:O$159)+SUMIF('08'!$D$7:$D$159,$C129,'08'!O$7:O$159)</f>
        <v>0</v>
      </c>
      <c r="N130" s="282">
        <f>SUMIF('02'!$D$7:$D$159,$C129,'02'!P$7:P$159)+SUMIF('03'!$D$7:$D$159,$C129,'03'!P$7:P$159)+SUMIF('04'!$D$7:$D$159,$C129,'04'!P$7:P$159)+SUMIF('05'!$D$7:$D$159,$C129,'05'!P$7:P$159)+SUMIF('06'!$D$7:$D$159,$C129,'06'!P$7:P$159)+SUMIF('07'!$D$7:$D$159,$C129,'07'!P$7:P$159)+SUMIF('08'!$D$7:$D$159,$C129,'08'!P$7:P$159)</f>
        <v>0</v>
      </c>
      <c r="O130" s="284">
        <f>SUMIF('02'!$D$7:$D$159,$C129,'02'!Q$7:Q$159)+SUMIF('03'!$D$7:$D$159,$C129,'03'!Q$7:Q$159)+SUMIF('04'!$D$7:$D$159,$C129,'04'!Q$7:Q$159)+SUMIF('05'!$D$7:$D$159,$C129,'05'!Q$7:Q$159)+SUMIF('06'!$D$7:$D$159,$C129,'06'!Q$7:Q$159)+SUMIF('07'!$D$7:$D$159,$C129,'07'!Q$7:Q$159)+SUMIF('08'!$D$7:$D$159,$C129,'08'!Q$7:Q$159)</f>
        <v>0</v>
      </c>
      <c r="P130" s="281">
        <f>SUMIF('02'!$D$7:$D$159,$C129,'02'!R$7:R$159)+SUMIF('03'!$D$7:$D$159,$C129,'03'!R$7:R$159)+SUMIF('04'!$D$7:$D$159,$C129,'04'!R$7:R$159)+SUMIF('05'!$D$7:$D$159,$C129,'05'!R$7:R$159)+SUMIF('06'!$D$7:$D$159,$C129,'06'!R$7:R$159)+SUMIF('07'!$D$7:$D$159,$C129,'07'!R$7:R$159)+SUMIF('08'!$D$7:$D$159,$C129,'08'!R$7:R$159)</f>
        <v>0</v>
      </c>
      <c r="Q130" s="282">
        <f>SUMIF('02'!$D$7:$D$159,$C129,'02'!S$7:S$159)+SUMIF('03'!$D$7:$D$159,$C129,'03'!S$7:S$159)+SUMIF('04'!$D$7:$D$159,$C129,'04'!S$7:S$159)+SUMIF('05'!$D$7:$D$159,$C129,'05'!S$7:S$159)+SUMIF('06'!$D$7:$D$159,$C129,'06'!S$7:S$159)+SUMIF('07'!$D$7:$D$159,$C129,'07'!S$7:S$159)+SUMIF('08'!$D$7:$D$159,$C129,'08'!S$7:S$159)</f>
        <v>0</v>
      </c>
      <c r="R130" s="283">
        <f>SUMIF('02'!$D$7:$D$159,$C129,'02'!T$7:T$159)+SUMIF('03'!$D$7:$D$159,$C129,'03'!T$7:T$159)+SUMIF('04'!$D$7:$D$159,$C129,'04'!T$7:T$159)+SUMIF('05'!$D$7:$D$159,$C129,'05'!T$7:T$159)+SUMIF('06'!$D$7:$D$159,$C129,'06'!T$7:T$159)+SUMIF('07'!$D$7:$D$159,$C129,'07'!T$7:T$159)+SUMIF('08'!$D$7:$D$159,$C129,'08'!T$7:T$159)</f>
        <v>0</v>
      </c>
      <c r="S130" s="281">
        <f>SUMIF('02'!$D$7:$D$159,$C129,'02'!U$7:U$159)+SUMIF('03'!$D$7:$D$159,$C129,'03'!U$7:U$159)+SUMIF('04'!$D$7:$D$159,$C129,'04'!U$7:U$159)+SUMIF('05'!$D$7:$D$159,$C129,'05'!U$7:U$159)+SUMIF('06'!$D$7:$D$159,$C129,'06'!U$7:U$159)+SUMIF('07'!$D$7:$D$159,$C129,'07'!U$7:U$159)+SUMIF('08'!$D$7:$D$159,$C129,'08'!U$7:U$159)</f>
        <v>0</v>
      </c>
      <c r="T130" s="282">
        <f>SUMIF('02'!$D$7:$D$159,$C129,'02'!V$7:V$159)+SUMIF('03'!$D$7:$D$159,$C129,'03'!V$7:V$159)+SUMIF('04'!$D$7:$D$159,$C129,'04'!V$7:V$159)+SUMIF('05'!$D$7:$D$159,$C129,'05'!V$7:V$159)+SUMIF('06'!$D$7:$D$159,$C129,'06'!V$7:V$159)+SUMIF('07'!$D$7:$D$159,$C129,'07'!V$7:V$159)+SUMIF('08'!$D$7:$D$159,$C129,'08'!V$7:V$159)</f>
        <v>0</v>
      </c>
      <c r="U130" s="285">
        <f>SUMIF('02'!$D$7:$D$159,$C129,'02'!W$7:W$159)+SUMIF('03'!$D$7:$D$159,$C129,'03'!W$7:W$159)+SUMIF('04'!$D$7:$D$159,$C129,'04'!W$7:W$159)+SUMIF('05'!$D$7:$D$159,$C129,'05'!W$7:W$159)+SUMIF('06'!$D$7:$D$159,$C129,'06'!W$7:W$159)+SUMIF('07'!$D$7:$D$159,$C129,'07'!W$7:W$159)+SUMIF('08'!$D$7:$D$159,$C129,'08'!W$7:W$159)</f>
        <v>0</v>
      </c>
      <c r="V130" s="284">
        <f>SUMIF('02'!$D$7:$D$159,$C129,'02'!X$7:X$159)+SUMIF('03'!$D$7:$D$159,$C129,'03'!X$7:X$159)+SUMIF('04'!$D$7:$D$159,$C129,'04'!X$7:X$159)+SUMIF('05'!$D$7:$D$159,$C129,'05'!X$7:X$159)+SUMIF('06'!$D$7:$D$159,$C129,'06'!X$7:X$159)+SUMIF('07'!$D$7:$D$159,$C129,'07'!X$7:X$159)+SUMIF('08'!$D$7:$D$159,$C129,'08'!X$7:X$159)</f>
        <v>0</v>
      </c>
      <c r="W130" s="284">
        <f>SUMIF('02'!$D$7:$D$159,$C129,'02'!Y$7:Y$159)+SUMIF('03'!$D$7:$D$159,$C129,'03'!Y$7:Y$159)+SUMIF('04'!$D$7:$D$159,$C129,'04'!Y$7:Y$159)+SUMIF('05'!$D$7:$D$159,$C129,'05'!Y$7:Y$159)+SUMIF('06'!$D$7:$D$159,$C129,'06'!Y$7:Y$159)+SUMIF('07'!$D$7:$D$159,$C129,'07'!Y$7:Y$159)+SUMIF('08'!$D$7:$D$159,$C129,'08'!Y$7:Y$159)</f>
        <v>0</v>
      </c>
      <c r="X130" s="286">
        <f t="shared" si="5"/>
        <v>0</v>
      </c>
      <c r="Y130" s="345"/>
      <c r="Z130" s="347"/>
    </row>
    <row r="131" spans="1:26" ht="14.25" customHeight="1" x14ac:dyDescent="0.3">
      <c r="A131" s="178">
        <f>IF(OR(C131="0",COUNTIF(КлючВесна,C131)&gt;1),0,MATCH(F131,ВидыНагр,0))</f>
        <v>0</v>
      </c>
      <c r="B131" s="178" t="b">
        <f>(COUNTA(D131:F132,J131:W131,H131:I132)=0)</f>
        <v>1</v>
      </c>
      <c r="C131" s="179" t="str">
        <f>IF(OR(TRIM(D131)="",COUNTIF(ВидыНагр,F131)&lt;&gt;1),"0",CONCATENATE("$",TRIM(D131),"$",TRIM(E131),"$",F131,"$"))</f>
        <v>0</v>
      </c>
      <c r="D131" s="340"/>
      <c r="E131" s="338"/>
      <c r="F131" s="342"/>
      <c r="G131" s="180" t="s">
        <v>7</v>
      </c>
      <c r="H131" s="181"/>
      <c r="I131" s="182"/>
      <c r="J131" s="183"/>
      <c r="K131" s="184"/>
      <c r="L131" s="185"/>
      <c r="M131" s="183"/>
      <c r="N131" s="184"/>
      <c r="O131" s="186"/>
      <c r="P131" s="183"/>
      <c r="Q131" s="184"/>
      <c r="R131" s="185"/>
      <c r="S131" s="183"/>
      <c r="T131" s="184"/>
      <c r="U131" s="187"/>
      <c r="V131" s="186"/>
      <c r="W131" s="186"/>
      <c r="X131" s="279">
        <f t="shared" si="5"/>
        <v>0</v>
      </c>
      <c r="Y131" s="344">
        <f>X132-X131</f>
        <v>0</v>
      </c>
      <c r="Z131" s="346"/>
    </row>
    <row r="132" spans="1:26" ht="14.25" customHeight="1" x14ac:dyDescent="0.3">
      <c r="A132" s="178">
        <f>-A131</f>
        <v>0</v>
      </c>
      <c r="B132" s="178" t="b">
        <f>B131</f>
        <v>1</v>
      </c>
      <c r="C132" s="188"/>
      <c r="D132" s="341"/>
      <c r="E132" s="339"/>
      <c r="F132" s="343"/>
      <c r="G132" s="189" t="s">
        <v>8</v>
      </c>
      <c r="H132" s="190"/>
      <c r="I132" s="280"/>
      <c r="J132" s="281">
        <f>SUMIF('02'!$D$7:$D$159,$C131,'02'!L$7:L$159)+SUMIF('03'!$D$7:$D$159,$C131,'03'!L$7:L$159)+SUMIF('04'!$D$7:$D$159,$C131,'04'!L$7:L$159)+SUMIF('05'!$D$7:$D$159,$C131,'05'!L$7:L$159)+SUMIF('06'!$D$7:$D$159,$C131,'06'!L$7:L$159)+SUMIF('07'!$D$7:$D$159,$C131,'07'!L$7:L$159)+SUMIF('08'!$D$7:$D$159,$C131,'08'!L$7:L$159)</f>
        <v>0</v>
      </c>
      <c r="K132" s="282">
        <f>SUMIF('02'!$D$7:$D$159,$C131,'02'!M$7:M$159)+SUMIF('03'!$D$7:$D$159,$C131,'03'!M$7:M$159)+SUMIF('04'!$D$7:$D$159,$C131,'04'!M$7:M$159)+SUMIF('05'!$D$7:$D$159,$C131,'05'!M$7:M$159)+SUMIF('06'!$D$7:$D$159,$C131,'06'!M$7:M$159)+SUMIF('07'!$D$7:$D$159,$C131,'07'!M$7:M$159)+SUMIF('08'!$D$7:$D$159,$C131,'08'!M$7:M$159)</f>
        <v>0</v>
      </c>
      <c r="L132" s="283">
        <f>SUMIF('02'!$D$7:$D$159,$C131,'02'!N$7:N$159)+SUMIF('03'!$D$7:$D$159,$C131,'03'!N$7:N$159)+SUMIF('04'!$D$7:$D$159,$C131,'04'!N$7:N$159)+SUMIF('05'!$D$7:$D$159,$C131,'05'!N$7:N$159)+SUMIF('06'!$D$7:$D$159,$C131,'06'!N$7:N$159)+SUMIF('07'!$D$7:$D$159,$C131,'07'!N$7:N$159)+SUMIF('08'!$D$7:$D$159,$C131,'08'!N$7:N$159)</f>
        <v>0</v>
      </c>
      <c r="M132" s="281">
        <f>SUMIF('02'!$D$7:$D$159,$C131,'02'!O$7:O$159)+SUMIF('03'!$D$7:$D$159,$C131,'03'!O$7:O$159)+SUMIF('04'!$D$7:$D$159,$C131,'04'!O$7:O$159)+SUMIF('05'!$D$7:$D$159,$C131,'05'!O$7:O$159)+SUMIF('06'!$D$7:$D$159,$C131,'06'!O$7:O$159)+SUMIF('07'!$D$7:$D$159,$C131,'07'!O$7:O$159)+SUMIF('08'!$D$7:$D$159,$C131,'08'!O$7:O$159)</f>
        <v>0</v>
      </c>
      <c r="N132" s="282">
        <f>SUMIF('02'!$D$7:$D$159,$C131,'02'!P$7:P$159)+SUMIF('03'!$D$7:$D$159,$C131,'03'!P$7:P$159)+SUMIF('04'!$D$7:$D$159,$C131,'04'!P$7:P$159)+SUMIF('05'!$D$7:$D$159,$C131,'05'!P$7:P$159)+SUMIF('06'!$D$7:$D$159,$C131,'06'!P$7:P$159)+SUMIF('07'!$D$7:$D$159,$C131,'07'!P$7:P$159)+SUMIF('08'!$D$7:$D$159,$C131,'08'!P$7:P$159)</f>
        <v>0</v>
      </c>
      <c r="O132" s="284">
        <f>SUMIF('02'!$D$7:$D$159,$C131,'02'!Q$7:Q$159)+SUMIF('03'!$D$7:$D$159,$C131,'03'!Q$7:Q$159)+SUMIF('04'!$D$7:$D$159,$C131,'04'!Q$7:Q$159)+SUMIF('05'!$D$7:$D$159,$C131,'05'!Q$7:Q$159)+SUMIF('06'!$D$7:$D$159,$C131,'06'!Q$7:Q$159)+SUMIF('07'!$D$7:$D$159,$C131,'07'!Q$7:Q$159)+SUMIF('08'!$D$7:$D$159,$C131,'08'!Q$7:Q$159)</f>
        <v>0</v>
      </c>
      <c r="P132" s="281">
        <f>SUMIF('02'!$D$7:$D$159,$C131,'02'!R$7:R$159)+SUMIF('03'!$D$7:$D$159,$C131,'03'!R$7:R$159)+SUMIF('04'!$D$7:$D$159,$C131,'04'!R$7:R$159)+SUMIF('05'!$D$7:$D$159,$C131,'05'!R$7:R$159)+SUMIF('06'!$D$7:$D$159,$C131,'06'!R$7:R$159)+SUMIF('07'!$D$7:$D$159,$C131,'07'!R$7:R$159)+SUMIF('08'!$D$7:$D$159,$C131,'08'!R$7:R$159)</f>
        <v>0</v>
      </c>
      <c r="Q132" s="282">
        <f>SUMIF('02'!$D$7:$D$159,$C131,'02'!S$7:S$159)+SUMIF('03'!$D$7:$D$159,$C131,'03'!S$7:S$159)+SUMIF('04'!$D$7:$D$159,$C131,'04'!S$7:S$159)+SUMIF('05'!$D$7:$D$159,$C131,'05'!S$7:S$159)+SUMIF('06'!$D$7:$D$159,$C131,'06'!S$7:S$159)+SUMIF('07'!$D$7:$D$159,$C131,'07'!S$7:S$159)+SUMIF('08'!$D$7:$D$159,$C131,'08'!S$7:S$159)</f>
        <v>0</v>
      </c>
      <c r="R132" s="283">
        <f>SUMIF('02'!$D$7:$D$159,$C131,'02'!T$7:T$159)+SUMIF('03'!$D$7:$D$159,$C131,'03'!T$7:T$159)+SUMIF('04'!$D$7:$D$159,$C131,'04'!T$7:T$159)+SUMIF('05'!$D$7:$D$159,$C131,'05'!T$7:T$159)+SUMIF('06'!$D$7:$D$159,$C131,'06'!T$7:T$159)+SUMIF('07'!$D$7:$D$159,$C131,'07'!T$7:T$159)+SUMIF('08'!$D$7:$D$159,$C131,'08'!T$7:T$159)</f>
        <v>0</v>
      </c>
      <c r="S132" s="281">
        <f>SUMIF('02'!$D$7:$D$159,$C131,'02'!U$7:U$159)+SUMIF('03'!$D$7:$D$159,$C131,'03'!U$7:U$159)+SUMIF('04'!$D$7:$D$159,$C131,'04'!U$7:U$159)+SUMIF('05'!$D$7:$D$159,$C131,'05'!U$7:U$159)+SUMIF('06'!$D$7:$D$159,$C131,'06'!U$7:U$159)+SUMIF('07'!$D$7:$D$159,$C131,'07'!U$7:U$159)+SUMIF('08'!$D$7:$D$159,$C131,'08'!U$7:U$159)</f>
        <v>0</v>
      </c>
      <c r="T132" s="282">
        <f>SUMIF('02'!$D$7:$D$159,$C131,'02'!V$7:V$159)+SUMIF('03'!$D$7:$D$159,$C131,'03'!V$7:V$159)+SUMIF('04'!$D$7:$D$159,$C131,'04'!V$7:V$159)+SUMIF('05'!$D$7:$D$159,$C131,'05'!V$7:V$159)+SUMIF('06'!$D$7:$D$159,$C131,'06'!V$7:V$159)+SUMIF('07'!$D$7:$D$159,$C131,'07'!V$7:V$159)+SUMIF('08'!$D$7:$D$159,$C131,'08'!V$7:V$159)</f>
        <v>0</v>
      </c>
      <c r="U132" s="285">
        <f>SUMIF('02'!$D$7:$D$159,$C131,'02'!W$7:W$159)+SUMIF('03'!$D$7:$D$159,$C131,'03'!W$7:W$159)+SUMIF('04'!$D$7:$D$159,$C131,'04'!W$7:W$159)+SUMIF('05'!$D$7:$D$159,$C131,'05'!W$7:W$159)+SUMIF('06'!$D$7:$D$159,$C131,'06'!W$7:W$159)+SUMIF('07'!$D$7:$D$159,$C131,'07'!W$7:W$159)+SUMIF('08'!$D$7:$D$159,$C131,'08'!W$7:W$159)</f>
        <v>0</v>
      </c>
      <c r="V132" s="284">
        <f>SUMIF('02'!$D$7:$D$159,$C131,'02'!X$7:X$159)+SUMIF('03'!$D$7:$D$159,$C131,'03'!X$7:X$159)+SUMIF('04'!$D$7:$D$159,$C131,'04'!X$7:X$159)+SUMIF('05'!$D$7:$D$159,$C131,'05'!X$7:X$159)+SUMIF('06'!$D$7:$D$159,$C131,'06'!X$7:X$159)+SUMIF('07'!$D$7:$D$159,$C131,'07'!X$7:X$159)+SUMIF('08'!$D$7:$D$159,$C131,'08'!X$7:X$159)</f>
        <v>0</v>
      </c>
      <c r="W132" s="284">
        <f>SUMIF('02'!$D$7:$D$159,$C131,'02'!Y$7:Y$159)+SUMIF('03'!$D$7:$D$159,$C131,'03'!Y$7:Y$159)+SUMIF('04'!$D$7:$D$159,$C131,'04'!Y$7:Y$159)+SUMIF('05'!$D$7:$D$159,$C131,'05'!Y$7:Y$159)+SUMIF('06'!$D$7:$D$159,$C131,'06'!Y$7:Y$159)+SUMIF('07'!$D$7:$D$159,$C131,'07'!Y$7:Y$159)+SUMIF('08'!$D$7:$D$159,$C131,'08'!Y$7:Y$159)</f>
        <v>0</v>
      </c>
      <c r="X132" s="286">
        <f t="shared" si="5"/>
        <v>0</v>
      </c>
      <c r="Y132" s="345"/>
      <c r="Z132" s="347"/>
    </row>
    <row r="133" spans="1:26" ht="14.25" customHeight="1" x14ac:dyDescent="0.3">
      <c r="A133" s="178">
        <f>IF(OR(C133="0",COUNTIF(КлючВесна,C133)&gt;1),0,MATCH(F133,ВидыНагр,0))</f>
        <v>0</v>
      </c>
      <c r="B133" s="178" t="b">
        <f>(COUNTA(D133:F134,J133:W133,H133:I134)=0)</f>
        <v>1</v>
      </c>
      <c r="C133" s="179" t="str">
        <f>IF(OR(TRIM(D133)="",COUNTIF(ВидыНагр,F133)&lt;&gt;1),"0",CONCATENATE("$",TRIM(D133),"$",TRIM(E133),"$",F133,"$"))</f>
        <v>0</v>
      </c>
      <c r="D133" s="340"/>
      <c r="E133" s="338"/>
      <c r="F133" s="342"/>
      <c r="G133" s="180" t="s">
        <v>7</v>
      </c>
      <c r="H133" s="181"/>
      <c r="I133" s="182"/>
      <c r="J133" s="183"/>
      <c r="K133" s="184"/>
      <c r="L133" s="185"/>
      <c r="M133" s="183"/>
      <c r="N133" s="184"/>
      <c r="O133" s="186"/>
      <c r="P133" s="183"/>
      <c r="Q133" s="184"/>
      <c r="R133" s="185"/>
      <c r="S133" s="183"/>
      <c r="T133" s="184"/>
      <c r="U133" s="187"/>
      <c r="V133" s="186"/>
      <c r="W133" s="186"/>
      <c r="X133" s="279">
        <f t="shared" si="5"/>
        <v>0</v>
      </c>
      <c r="Y133" s="344">
        <f>X134-X133</f>
        <v>0</v>
      </c>
      <c r="Z133" s="346"/>
    </row>
    <row r="134" spans="1:26" ht="14.25" customHeight="1" x14ac:dyDescent="0.3">
      <c r="A134" s="178">
        <f>-A133</f>
        <v>0</v>
      </c>
      <c r="B134" s="178" t="b">
        <f>B133</f>
        <v>1</v>
      </c>
      <c r="C134" s="188"/>
      <c r="D134" s="341"/>
      <c r="E134" s="339"/>
      <c r="F134" s="343"/>
      <c r="G134" s="189" t="s">
        <v>8</v>
      </c>
      <c r="H134" s="190"/>
      <c r="I134" s="280"/>
      <c r="J134" s="281">
        <f>SUMIF('02'!$D$7:$D$159,$C133,'02'!L$7:L$159)+SUMIF('03'!$D$7:$D$159,$C133,'03'!L$7:L$159)+SUMIF('04'!$D$7:$D$159,$C133,'04'!L$7:L$159)+SUMIF('05'!$D$7:$D$159,$C133,'05'!L$7:L$159)+SUMIF('06'!$D$7:$D$159,$C133,'06'!L$7:L$159)+SUMIF('07'!$D$7:$D$159,$C133,'07'!L$7:L$159)+SUMIF('08'!$D$7:$D$159,$C133,'08'!L$7:L$159)</f>
        <v>0</v>
      </c>
      <c r="K134" s="282">
        <f>SUMIF('02'!$D$7:$D$159,$C133,'02'!M$7:M$159)+SUMIF('03'!$D$7:$D$159,$C133,'03'!M$7:M$159)+SUMIF('04'!$D$7:$D$159,$C133,'04'!M$7:M$159)+SUMIF('05'!$D$7:$D$159,$C133,'05'!M$7:M$159)+SUMIF('06'!$D$7:$D$159,$C133,'06'!M$7:M$159)+SUMIF('07'!$D$7:$D$159,$C133,'07'!M$7:M$159)+SUMIF('08'!$D$7:$D$159,$C133,'08'!M$7:M$159)</f>
        <v>0</v>
      </c>
      <c r="L134" s="283">
        <f>SUMIF('02'!$D$7:$D$159,$C133,'02'!N$7:N$159)+SUMIF('03'!$D$7:$D$159,$C133,'03'!N$7:N$159)+SUMIF('04'!$D$7:$D$159,$C133,'04'!N$7:N$159)+SUMIF('05'!$D$7:$D$159,$C133,'05'!N$7:N$159)+SUMIF('06'!$D$7:$D$159,$C133,'06'!N$7:N$159)+SUMIF('07'!$D$7:$D$159,$C133,'07'!N$7:N$159)+SUMIF('08'!$D$7:$D$159,$C133,'08'!N$7:N$159)</f>
        <v>0</v>
      </c>
      <c r="M134" s="281">
        <f>SUMIF('02'!$D$7:$D$159,$C133,'02'!O$7:O$159)+SUMIF('03'!$D$7:$D$159,$C133,'03'!O$7:O$159)+SUMIF('04'!$D$7:$D$159,$C133,'04'!O$7:O$159)+SUMIF('05'!$D$7:$D$159,$C133,'05'!O$7:O$159)+SUMIF('06'!$D$7:$D$159,$C133,'06'!O$7:O$159)+SUMIF('07'!$D$7:$D$159,$C133,'07'!O$7:O$159)+SUMIF('08'!$D$7:$D$159,$C133,'08'!O$7:O$159)</f>
        <v>0</v>
      </c>
      <c r="N134" s="282">
        <f>SUMIF('02'!$D$7:$D$159,$C133,'02'!P$7:P$159)+SUMIF('03'!$D$7:$D$159,$C133,'03'!P$7:P$159)+SUMIF('04'!$D$7:$D$159,$C133,'04'!P$7:P$159)+SUMIF('05'!$D$7:$D$159,$C133,'05'!P$7:P$159)+SUMIF('06'!$D$7:$D$159,$C133,'06'!P$7:P$159)+SUMIF('07'!$D$7:$D$159,$C133,'07'!P$7:P$159)+SUMIF('08'!$D$7:$D$159,$C133,'08'!P$7:P$159)</f>
        <v>0</v>
      </c>
      <c r="O134" s="284">
        <f>SUMIF('02'!$D$7:$D$159,$C133,'02'!Q$7:Q$159)+SUMIF('03'!$D$7:$D$159,$C133,'03'!Q$7:Q$159)+SUMIF('04'!$D$7:$D$159,$C133,'04'!Q$7:Q$159)+SUMIF('05'!$D$7:$D$159,$C133,'05'!Q$7:Q$159)+SUMIF('06'!$D$7:$D$159,$C133,'06'!Q$7:Q$159)+SUMIF('07'!$D$7:$D$159,$C133,'07'!Q$7:Q$159)+SUMIF('08'!$D$7:$D$159,$C133,'08'!Q$7:Q$159)</f>
        <v>0</v>
      </c>
      <c r="P134" s="281">
        <f>SUMIF('02'!$D$7:$D$159,$C133,'02'!R$7:R$159)+SUMIF('03'!$D$7:$D$159,$C133,'03'!R$7:R$159)+SUMIF('04'!$D$7:$D$159,$C133,'04'!R$7:R$159)+SUMIF('05'!$D$7:$D$159,$C133,'05'!R$7:R$159)+SUMIF('06'!$D$7:$D$159,$C133,'06'!R$7:R$159)+SUMIF('07'!$D$7:$D$159,$C133,'07'!R$7:R$159)+SUMIF('08'!$D$7:$D$159,$C133,'08'!R$7:R$159)</f>
        <v>0</v>
      </c>
      <c r="Q134" s="282">
        <f>SUMIF('02'!$D$7:$D$159,$C133,'02'!S$7:S$159)+SUMIF('03'!$D$7:$D$159,$C133,'03'!S$7:S$159)+SUMIF('04'!$D$7:$D$159,$C133,'04'!S$7:S$159)+SUMIF('05'!$D$7:$D$159,$C133,'05'!S$7:S$159)+SUMIF('06'!$D$7:$D$159,$C133,'06'!S$7:S$159)+SUMIF('07'!$D$7:$D$159,$C133,'07'!S$7:S$159)+SUMIF('08'!$D$7:$D$159,$C133,'08'!S$7:S$159)</f>
        <v>0</v>
      </c>
      <c r="R134" s="283">
        <f>SUMIF('02'!$D$7:$D$159,$C133,'02'!T$7:T$159)+SUMIF('03'!$D$7:$D$159,$C133,'03'!T$7:T$159)+SUMIF('04'!$D$7:$D$159,$C133,'04'!T$7:T$159)+SUMIF('05'!$D$7:$D$159,$C133,'05'!T$7:T$159)+SUMIF('06'!$D$7:$D$159,$C133,'06'!T$7:T$159)+SUMIF('07'!$D$7:$D$159,$C133,'07'!T$7:T$159)+SUMIF('08'!$D$7:$D$159,$C133,'08'!T$7:T$159)</f>
        <v>0</v>
      </c>
      <c r="S134" s="281">
        <f>SUMIF('02'!$D$7:$D$159,$C133,'02'!U$7:U$159)+SUMIF('03'!$D$7:$D$159,$C133,'03'!U$7:U$159)+SUMIF('04'!$D$7:$D$159,$C133,'04'!U$7:U$159)+SUMIF('05'!$D$7:$D$159,$C133,'05'!U$7:U$159)+SUMIF('06'!$D$7:$D$159,$C133,'06'!U$7:U$159)+SUMIF('07'!$D$7:$D$159,$C133,'07'!U$7:U$159)+SUMIF('08'!$D$7:$D$159,$C133,'08'!U$7:U$159)</f>
        <v>0</v>
      </c>
      <c r="T134" s="282">
        <f>SUMIF('02'!$D$7:$D$159,$C133,'02'!V$7:V$159)+SUMIF('03'!$D$7:$D$159,$C133,'03'!V$7:V$159)+SUMIF('04'!$D$7:$D$159,$C133,'04'!V$7:V$159)+SUMIF('05'!$D$7:$D$159,$C133,'05'!V$7:V$159)+SUMIF('06'!$D$7:$D$159,$C133,'06'!V$7:V$159)+SUMIF('07'!$D$7:$D$159,$C133,'07'!V$7:V$159)+SUMIF('08'!$D$7:$D$159,$C133,'08'!V$7:V$159)</f>
        <v>0</v>
      </c>
      <c r="U134" s="285">
        <f>SUMIF('02'!$D$7:$D$159,$C133,'02'!W$7:W$159)+SUMIF('03'!$D$7:$D$159,$C133,'03'!W$7:W$159)+SUMIF('04'!$D$7:$D$159,$C133,'04'!W$7:W$159)+SUMIF('05'!$D$7:$D$159,$C133,'05'!W$7:W$159)+SUMIF('06'!$D$7:$D$159,$C133,'06'!W$7:W$159)+SUMIF('07'!$D$7:$D$159,$C133,'07'!W$7:W$159)+SUMIF('08'!$D$7:$D$159,$C133,'08'!W$7:W$159)</f>
        <v>0</v>
      </c>
      <c r="V134" s="284">
        <f>SUMIF('02'!$D$7:$D$159,$C133,'02'!X$7:X$159)+SUMIF('03'!$D$7:$D$159,$C133,'03'!X$7:X$159)+SUMIF('04'!$D$7:$D$159,$C133,'04'!X$7:X$159)+SUMIF('05'!$D$7:$D$159,$C133,'05'!X$7:X$159)+SUMIF('06'!$D$7:$D$159,$C133,'06'!X$7:X$159)+SUMIF('07'!$D$7:$D$159,$C133,'07'!X$7:X$159)+SUMIF('08'!$D$7:$D$159,$C133,'08'!X$7:X$159)</f>
        <v>0</v>
      </c>
      <c r="W134" s="284">
        <f>SUMIF('02'!$D$7:$D$159,$C133,'02'!Y$7:Y$159)+SUMIF('03'!$D$7:$D$159,$C133,'03'!Y$7:Y$159)+SUMIF('04'!$D$7:$D$159,$C133,'04'!Y$7:Y$159)+SUMIF('05'!$D$7:$D$159,$C133,'05'!Y$7:Y$159)+SUMIF('06'!$D$7:$D$159,$C133,'06'!Y$7:Y$159)+SUMIF('07'!$D$7:$D$159,$C133,'07'!Y$7:Y$159)+SUMIF('08'!$D$7:$D$159,$C133,'08'!Y$7:Y$159)</f>
        <v>0</v>
      </c>
      <c r="X134" s="286">
        <f t="shared" si="5"/>
        <v>0</v>
      </c>
      <c r="Y134" s="345"/>
      <c r="Z134" s="347"/>
    </row>
    <row r="135" spans="1:26" ht="14.25" customHeight="1" x14ac:dyDescent="0.3">
      <c r="A135" s="178">
        <f>IF(OR(C135="0",COUNTIF(КлючВесна,C135)&gt;1),0,MATCH(F135,ВидыНагр,0))</f>
        <v>0</v>
      </c>
      <c r="B135" s="178" t="b">
        <f>(COUNTA(D135:F136,J135:W135,H135:I136)=0)</f>
        <v>1</v>
      </c>
      <c r="C135" s="179" t="str">
        <f>IF(OR(TRIM(D135)="",COUNTIF(ВидыНагр,F135)&lt;&gt;1),"0",CONCATENATE("$",TRIM(D135),"$",TRIM(E135),"$",F135,"$"))</f>
        <v>0</v>
      </c>
      <c r="D135" s="340"/>
      <c r="E135" s="338"/>
      <c r="F135" s="342"/>
      <c r="G135" s="180" t="s">
        <v>7</v>
      </c>
      <c r="H135" s="181"/>
      <c r="I135" s="182"/>
      <c r="J135" s="183"/>
      <c r="K135" s="184"/>
      <c r="L135" s="185"/>
      <c r="M135" s="183"/>
      <c r="N135" s="184"/>
      <c r="O135" s="186"/>
      <c r="P135" s="183"/>
      <c r="Q135" s="184"/>
      <c r="R135" s="185"/>
      <c r="S135" s="183"/>
      <c r="T135" s="184"/>
      <c r="U135" s="187"/>
      <c r="V135" s="186"/>
      <c r="W135" s="186"/>
      <c r="X135" s="279">
        <f t="shared" si="5"/>
        <v>0</v>
      </c>
      <c r="Y135" s="344">
        <f>X136-X135</f>
        <v>0</v>
      </c>
      <c r="Z135" s="346"/>
    </row>
    <row r="136" spans="1:26" ht="14.25" customHeight="1" x14ac:dyDescent="0.3">
      <c r="A136" s="178">
        <f>-A135</f>
        <v>0</v>
      </c>
      <c r="B136" s="178" t="b">
        <f>B135</f>
        <v>1</v>
      </c>
      <c r="C136" s="188"/>
      <c r="D136" s="341"/>
      <c r="E136" s="339"/>
      <c r="F136" s="343"/>
      <c r="G136" s="189" t="s">
        <v>8</v>
      </c>
      <c r="H136" s="190"/>
      <c r="I136" s="280"/>
      <c r="J136" s="281">
        <f>SUMIF('02'!$D$7:$D$159,$C135,'02'!L$7:L$159)+SUMIF('03'!$D$7:$D$159,$C135,'03'!L$7:L$159)+SUMIF('04'!$D$7:$D$159,$C135,'04'!L$7:L$159)+SUMIF('05'!$D$7:$D$159,$C135,'05'!L$7:L$159)+SUMIF('06'!$D$7:$D$159,$C135,'06'!L$7:L$159)+SUMIF('07'!$D$7:$D$159,$C135,'07'!L$7:L$159)+SUMIF('08'!$D$7:$D$159,$C135,'08'!L$7:L$159)</f>
        <v>0</v>
      </c>
      <c r="K136" s="282">
        <f>SUMIF('02'!$D$7:$D$159,$C135,'02'!M$7:M$159)+SUMIF('03'!$D$7:$D$159,$C135,'03'!M$7:M$159)+SUMIF('04'!$D$7:$D$159,$C135,'04'!M$7:M$159)+SUMIF('05'!$D$7:$D$159,$C135,'05'!M$7:M$159)+SUMIF('06'!$D$7:$D$159,$C135,'06'!M$7:M$159)+SUMIF('07'!$D$7:$D$159,$C135,'07'!M$7:M$159)+SUMIF('08'!$D$7:$D$159,$C135,'08'!M$7:M$159)</f>
        <v>0</v>
      </c>
      <c r="L136" s="283">
        <f>SUMIF('02'!$D$7:$D$159,$C135,'02'!N$7:N$159)+SUMIF('03'!$D$7:$D$159,$C135,'03'!N$7:N$159)+SUMIF('04'!$D$7:$D$159,$C135,'04'!N$7:N$159)+SUMIF('05'!$D$7:$D$159,$C135,'05'!N$7:N$159)+SUMIF('06'!$D$7:$D$159,$C135,'06'!N$7:N$159)+SUMIF('07'!$D$7:$D$159,$C135,'07'!N$7:N$159)+SUMIF('08'!$D$7:$D$159,$C135,'08'!N$7:N$159)</f>
        <v>0</v>
      </c>
      <c r="M136" s="281">
        <f>SUMIF('02'!$D$7:$D$159,$C135,'02'!O$7:O$159)+SUMIF('03'!$D$7:$D$159,$C135,'03'!O$7:O$159)+SUMIF('04'!$D$7:$D$159,$C135,'04'!O$7:O$159)+SUMIF('05'!$D$7:$D$159,$C135,'05'!O$7:O$159)+SUMIF('06'!$D$7:$D$159,$C135,'06'!O$7:O$159)+SUMIF('07'!$D$7:$D$159,$C135,'07'!O$7:O$159)+SUMIF('08'!$D$7:$D$159,$C135,'08'!O$7:O$159)</f>
        <v>0</v>
      </c>
      <c r="N136" s="282">
        <f>SUMIF('02'!$D$7:$D$159,$C135,'02'!P$7:P$159)+SUMIF('03'!$D$7:$D$159,$C135,'03'!P$7:P$159)+SUMIF('04'!$D$7:$D$159,$C135,'04'!P$7:P$159)+SUMIF('05'!$D$7:$D$159,$C135,'05'!P$7:P$159)+SUMIF('06'!$D$7:$D$159,$C135,'06'!P$7:P$159)+SUMIF('07'!$D$7:$D$159,$C135,'07'!P$7:P$159)+SUMIF('08'!$D$7:$D$159,$C135,'08'!P$7:P$159)</f>
        <v>0</v>
      </c>
      <c r="O136" s="284">
        <f>SUMIF('02'!$D$7:$D$159,$C135,'02'!Q$7:Q$159)+SUMIF('03'!$D$7:$D$159,$C135,'03'!Q$7:Q$159)+SUMIF('04'!$D$7:$D$159,$C135,'04'!Q$7:Q$159)+SUMIF('05'!$D$7:$D$159,$C135,'05'!Q$7:Q$159)+SUMIF('06'!$D$7:$D$159,$C135,'06'!Q$7:Q$159)+SUMIF('07'!$D$7:$D$159,$C135,'07'!Q$7:Q$159)+SUMIF('08'!$D$7:$D$159,$C135,'08'!Q$7:Q$159)</f>
        <v>0</v>
      </c>
      <c r="P136" s="281">
        <f>SUMIF('02'!$D$7:$D$159,$C135,'02'!R$7:R$159)+SUMIF('03'!$D$7:$D$159,$C135,'03'!R$7:R$159)+SUMIF('04'!$D$7:$D$159,$C135,'04'!R$7:R$159)+SUMIF('05'!$D$7:$D$159,$C135,'05'!R$7:R$159)+SUMIF('06'!$D$7:$D$159,$C135,'06'!R$7:R$159)+SUMIF('07'!$D$7:$D$159,$C135,'07'!R$7:R$159)+SUMIF('08'!$D$7:$D$159,$C135,'08'!R$7:R$159)</f>
        <v>0</v>
      </c>
      <c r="Q136" s="282">
        <f>SUMIF('02'!$D$7:$D$159,$C135,'02'!S$7:S$159)+SUMIF('03'!$D$7:$D$159,$C135,'03'!S$7:S$159)+SUMIF('04'!$D$7:$D$159,$C135,'04'!S$7:S$159)+SUMIF('05'!$D$7:$D$159,$C135,'05'!S$7:S$159)+SUMIF('06'!$D$7:$D$159,$C135,'06'!S$7:S$159)+SUMIF('07'!$D$7:$D$159,$C135,'07'!S$7:S$159)+SUMIF('08'!$D$7:$D$159,$C135,'08'!S$7:S$159)</f>
        <v>0</v>
      </c>
      <c r="R136" s="283">
        <f>SUMIF('02'!$D$7:$D$159,$C135,'02'!T$7:T$159)+SUMIF('03'!$D$7:$D$159,$C135,'03'!T$7:T$159)+SUMIF('04'!$D$7:$D$159,$C135,'04'!T$7:T$159)+SUMIF('05'!$D$7:$D$159,$C135,'05'!T$7:T$159)+SUMIF('06'!$D$7:$D$159,$C135,'06'!T$7:T$159)+SUMIF('07'!$D$7:$D$159,$C135,'07'!T$7:T$159)+SUMIF('08'!$D$7:$D$159,$C135,'08'!T$7:T$159)</f>
        <v>0</v>
      </c>
      <c r="S136" s="281">
        <f>SUMIF('02'!$D$7:$D$159,$C135,'02'!U$7:U$159)+SUMIF('03'!$D$7:$D$159,$C135,'03'!U$7:U$159)+SUMIF('04'!$D$7:$D$159,$C135,'04'!U$7:U$159)+SUMIF('05'!$D$7:$D$159,$C135,'05'!U$7:U$159)+SUMIF('06'!$D$7:$D$159,$C135,'06'!U$7:U$159)+SUMIF('07'!$D$7:$D$159,$C135,'07'!U$7:U$159)+SUMIF('08'!$D$7:$D$159,$C135,'08'!U$7:U$159)</f>
        <v>0</v>
      </c>
      <c r="T136" s="282">
        <f>SUMIF('02'!$D$7:$D$159,$C135,'02'!V$7:V$159)+SUMIF('03'!$D$7:$D$159,$C135,'03'!V$7:V$159)+SUMIF('04'!$D$7:$D$159,$C135,'04'!V$7:V$159)+SUMIF('05'!$D$7:$D$159,$C135,'05'!V$7:V$159)+SUMIF('06'!$D$7:$D$159,$C135,'06'!V$7:V$159)+SUMIF('07'!$D$7:$D$159,$C135,'07'!V$7:V$159)+SUMIF('08'!$D$7:$D$159,$C135,'08'!V$7:V$159)</f>
        <v>0</v>
      </c>
      <c r="U136" s="285">
        <f>SUMIF('02'!$D$7:$D$159,$C135,'02'!W$7:W$159)+SUMIF('03'!$D$7:$D$159,$C135,'03'!W$7:W$159)+SUMIF('04'!$D$7:$D$159,$C135,'04'!W$7:W$159)+SUMIF('05'!$D$7:$D$159,$C135,'05'!W$7:W$159)+SUMIF('06'!$D$7:$D$159,$C135,'06'!W$7:W$159)+SUMIF('07'!$D$7:$D$159,$C135,'07'!W$7:W$159)+SUMIF('08'!$D$7:$D$159,$C135,'08'!W$7:W$159)</f>
        <v>0</v>
      </c>
      <c r="V136" s="284">
        <f>SUMIF('02'!$D$7:$D$159,$C135,'02'!X$7:X$159)+SUMIF('03'!$D$7:$D$159,$C135,'03'!X$7:X$159)+SUMIF('04'!$D$7:$D$159,$C135,'04'!X$7:X$159)+SUMIF('05'!$D$7:$D$159,$C135,'05'!X$7:X$159)+SUMIF('06'!$D$7:$D$159,$C135,'06'!X$7:X$159)+SUMIF('07'!$D$7:$D$159,$C135,'07'!X$7:X$159)+SUMIF('08'!$D$7:$D$159,$C135,'08'!X$7:X$159)</f>
        <v>0</v>
      </c>
      <c r="W136" s="284">
        <f>SUMIF('02'!$D$7:$D$159,$C135,'02'!Y$7:Y$159)+SUMIF('03'!$D$7:$D$159,$C135,'03'!Y$7:Y$159)+SUMIF('04'!$D$7:$D$159,$C135,'04'!Y$7:Y$159)+SUMIF('05'!$D$7:$D$159,$C135,'05'!Y$7:Y$159)+SUMIF('06'!$D$7:$D$159,$C135,'06'!Y$7:Y$159)+SUMIF('07'!$D$7:$D$159,$C135,'07'!Y$7:Y$159)+SUMIF('08'!$D$7:$D$159,$C135,'08'!Y$7:Y$159)</f>
        <v>0</v>
      </c>
      <c r="X136" s="286">
        <f t="shared" si="5"/>
        <v>0</v>
      </c>
      <c r="Y136" s="345"/>
      <c r="Z136" s="347"/>
    </row>
    <row r="137" spans="1:26" ht="14.25" customHeight="1" x14ac:dyDescent="0.3">
      <c r="A137" s="178">
        <f>IF(OR(C137="0",COUNTIF(КлючВесна,C137)&gt;1),0,MATCH(F137,ВидыНагр,0))</f>
        <v>0</v>
      </c>
      <c r="B137" s="178" t="b">
        <f>(COUNTA(D137:F138,J137:W137,H137:I138)=0)</f>
        <v>1</v>
      </c>
      <c r="C137" s="179" t="str">
        <f>IF(OR(TRIM(D137)="",COUNTIF(ВидыНагр,F137)&lt;&gt;1),"0",CONCATENATE("$",TRIM(D137),"$",TRIM(E137),"$",F137,"$"))</f>
        <v>0</v>
      </c>
      <c r="D137" s="340"/>
      <c r="E137" s="338"/>
      <c r="F137" s="342"/>
      <c r="G137" s="180" t="s">
        <v>7</v>
      </c>
      <c r="H137" s="181"/>
      <c r="I137" s="182"/>
      <c r="J137" s="183"/>
      <c r="K137" s="184"/>
      <c r="L137" s="185"/>
      <c r="M137" s="183"/>
      <c r="N137" s="184"/>
      <c r="O137" s="186"/>
      <c r="P137" s="183"/>
      <c r="Q137" s="184"/>
      <c r="R137" s="185"/>
      <c r="S137" s="183"/>
      <c r="T137" s="184"/>
      <c r="U137" s="187"/>
      <c r="V137" s="186"/>
      <c r="W137" s="186"/>
      <c r="X137" s="279">
        <f t="shared" si="5"/>
        <v>0</v>
      </c>
      <c r="Y137" s="344">
        <f>X138-X137</f>
        <v>0</v>
      </c>
      <c r="Z137" s="346"/>
    </row>
    <row r="138" spans="1:26" ht="14.25" customHeight="1" x14ac:dyDescent="0.3">
      <c r="A138" s="178">
        <f>-A137</f>
        <v>0</v>
      </c>
      <c r="B138" s="178" t="b">
        <f>B137</f>
        <v>1</v>
      </c>
      <c r="C138" s="188"/>
      <c r="D138" s="341"/>
      <c r="E138" s="339"/>
      <c r="F138" s="343"/>
      <c r="G138" s="189" t="s">
        <v>8</v>
      </c>
      <c r="H138" s="190"/>
      <c r="I138" s="280"/>
      <c r="J138" s="281">
        <f>SUMIF('02'!$D$7:$D$159,$C137,'02'!L$7:L$159)+SUMIF('03'!$D$7:$D$159,$C137,'03'!L$7:L$159)+SUMIF('04'!$D$7:$D$159,$C137,'04'!L$7:L$159)+SUMIF('05'!$D$7:$D$159,$C137,'05'!L$7:L$159)+SUMIF('06'!$D$7:$D$159,$C137,'06'!L$7:L$159)+SUMIF('07'!$D$7:$D$159,$C137,'07'!L$7:L$159)+SUMIF('08'!$D$7:$D$159,$C137,'08'!L$7:L$159)</f>
        <v>0</v>
      </c>
      <c r="K138" s="282">
        <f>SUMIF('02'!$D$7:$D$159,$C137,'02'!M$7:M$159)+SUMIF('03'!$D$7:$D$159,$C137,'03'!M$7:M$159)+SUMIF('04'!$D$7:$D$159,$C137,'04'!M$7:M$159)+SUMIF('05'!$D$7:$D$159,$C137,'05'!M$7:M$159)+SUMIF('06'!$D$7:$D$159,$C137,'06'!M$7:M$159)+SUMIF('07'!$D$7:$D$159,$C137,'07'!M$7:M$159)+SUMIF('08'!$D$7:$D$159,$C137,'08'!M$7:M$159)</f>
        <v>0</v>
      </c>
      <c r="L138" s="283">
        <f>SUMIF('02'!$D$7:$D$159,$C137,'02'!N$7:N$159)+SUMIF('03'!$D$7:$D$159,$C137,'03'!N$7:N$159)+SUMIF('04'!$D$7:$D$159,$C137,'04'!N$7:N$159)+SUMIF('05'!$D$7:$D$159,$C137,'05'!N$7:N$159)+SUMIF('06'!$D$7:$D$159,$C137,'06'!N$7:N$159)+SUMIF('07'!$D$7:$D$159,$C137,'07'!N$7:N$159)+SUMIF('08'!$D$7:$D$159,$C137,'08'!N$7:N$159)</f>
        <v>0</v>
      </c>
      <c r="M138" s="281">
        <f>SUMIF('02'!$D$7:$D$159,$C137,'02'!O$7:O$159)+SUMIF('03'!$D$7:$D$159,$C137,'03'!O$7:O$159)+SUMIF('04'!$D$7:$D$159,$C137,'04'!O$7:O$159)+SUMIF('05'!$D$7:$D$159,$C137,'05'!O$7:O$159)+SUMIF('06'!$D$7:$D$159,$C137,'06'!O$7:O$159)+SUMIF('07'!$D$7:$D$159,$C137,'07'!O$7:O$159)+SUMIF('08'!$D$7:$D$159,$C137,'08'!O$7:O$159)</f>
        <v>0</v>
      </c>
      <c r="N138" s="282">
        <f>SUMIF('02'!$D$7:$D$159,$C137,'02'!P$7:P$159)+SUMIF('03'!$D$7:$D$159,$C137,'03'!P$7:P$159)+SUMIF('04'!$D$7:$D$159,$C137,'04'!P$7:P$159)+SUMIF('05'!$D$7:$D$159,$C137,'05'!P$7:P$159)+SUMIF('06'!$D$7:$D$159,$C137,'06'!P$7:P$159)+SUMIF('07'!$D$7:$D$159,$C137,'07'!P$7:P$159)+SUMIF('08'!$D$7:$D$159,$C137,'08'!P$7:P$159)</f>
        <v>0</v>
      </c>
      <c r="O138" s="284">
        <f>SUMIF('02'!$D$7:$D$159,$C137,'02'!Q$7:Q$159)+SUMIF('03'!$D$7:$D$159,$C137,'03'!Q$7:Q$159)+SUMIF('04'!$D$7:$D$159,$C137,'04'!Q$7:Q$159)+SUMIF('05'!$D$7:$D$159,$C137,'05'!Q$7:Q$159)+SUMIF('06'!$D$7:$D$159,$C137,'06'!Q$7:Q$159)+SUMIF('07'!$D$7:$D$159,$C137,'07'!Q$7:Q$159)+SUMIF('08'!$D$7:$D$159,$C137,'08'!Q$7:Q$159)</f>
        <v>0</v>
      </c>
      <c r="P138" s="281">
        <f>SUMIF('02'!$D$7:$D$159,$C137,'02'!R$7:R$159)+SUMIF('03'!$D$7:$D$159,$C137,'03'!R$7:R$159)+SUMIF('04'!$D$7:$D$159,$C137,'04'!R$7:R$159)+SUMIF('05'!$D$7:$D$159,$C137,'05'!R$7:R$159)+SUMIF('06'!$D$7:$D$159,$C137,'06'!R$7:R$159)+SUMIF('07'!$D$7:$D$159,$C137,'07'!R$7:R$159)+SUMIF('08'!$D$7:$D$159,$C137,'08'!R$7:R$159)</f>
        <v>0</v>
      </c>
      <c r="Q138" s="282">
        <f>SUMIF('02'!$D$7:$D$159,$C137,'02'!S$7:S$159)+SUMIF('03'!$D$7:$D$159,$C137,'03'!S$7:S$159)+SUMIF('04'!$D$7:$D$159,$C137,'04'!S$7:S$159)+SUMIF('05'!$D$7:$D$159,$C137,'05'!S$7:S$159)+SUMIF('06'!$D$7:$D$159,$C137,'06'!S$7:S$159)+SUMIF('07'!$D$7:$D$159,$C137,'07'!S$7:S$159)+SUMIF('08'!$D$7:$D$159,$C137,'08'!S$7:S$159)</f>
        <v>0</v>
      </c>
      <c r="R138" s="283">
        <f>SUMIF('02'!$D$7:$D$159,$C137,'02'!T$7:T$159)+SUMIF('03'!$D$7:$D$159,$C137,'03'!T$7:T$159)+SUMIF('04'!$D$7:$D$159,$C137,'04'!T$7:T$159)+SUMIF('05'!$D$7:$D$159,$C137,'05'!T$7:T$159)+SUMIF('06'!$D$7:$D$159,$C137,'06'!T$7:T$159)+SUMIF('07'!$D$7:$D$159,$C137,'07'!T$7:T$159)+SUMIF('08'!$D$7:$D$159,$C137,'08'!T$7:T$159)</f>
        <v>0</v>
      </c>
      <c r="S138" s="281">
        <f>SUMIF('02'!$D$7:$D$159,$C137,'02'!U$7:U$159)+SUMIF('03'!$D$7:$D$159,$C137,'03'!U$7:U$159)+SUMIF('04'!$D$7:$D$159,$C137,'04'!U$7:U$159)+SUMIF('05'!$D$7:$D$159,$C137,'05'!U$7:U$159)+SUMIF('06'!$D$7:$D$159,$C137,'06'!U$7:U$159)+SUMIF('07'!$D$7:$D$159,$C137,'07'!U$7:U$159)+SUMIF('08'!$D$7:$D$159,$C137,'08'!U$7:U$159)</f>
        <v>0</v>
      </c>
      <c r="T138" s="282">
        <f>SUMIF('02'!$D$7:$D$159,$C137,'02'!V$7:V$159)+SUMIF('03'!$D$7:$D$159,$C137,'03'!V$7:V$159)+SUMIF('04'!$D$7:$D$159,$C137,'04'!V$7:V$159)+SUMIF('05'!$D$7:$D$159,$C137,'05'!V$7:V$159)+SUMIF('06'!$D$7:$D$159,$C137,'06'!V$7:V$159)+SUMIF('07'!$D$7:$D$159,$C137,'07'!V$7:V$159)+SUMIF('08'!$D$7:$D$159,$C137,'08'!V$7:V$159)</f>
        <v>0</v>
      </c>
      <c r="U138" s="285">
        <f>SUMIF('02'!$D$7:$D$159,$C137,'02'!W$7:W$159)+SUMIF('03'!$D$7:$D$159,$C137,'03'!W$7:W$159)+SUMIF('04'!$D$7:$D$159,$C137,'04'!W$7:W$159)+SUMIF('05'!$D$7:$D$159,$C137,'05'!W$7:W$159)+SUMIF('06'!$D$7:$D$159,$C137,'06'!W$7:W$159)+SUMIF('07'!$D$7:$D$159,$C137,'07'!W$7:W$159)+SUMIF('08'!$D$7:$D$159,$C137,'08'!W$7:W$159)</f>
        <v>0</v>
      </c>
      <c r="V138" s="284">
        <f>SUMIF('02'!$D$7:$D$159,$C137,'02'!X$7:X$159)+SUMIF('03'!$D$7:$D$159,$C137,'03'!X$7:X$159)+SUMIF('04'!$D$7:$D$159,$C137,'04'!X$7:X$159)+SUMIF('05'!$D$7:$D$159,$C137,'05'!X$7:X$159)+SUMIF('06'!$D$7:$D$159,$C137,'06'!X$7:X$159)+SUMIF('07'!$D$7:$D$159,$C137,'07'!X$7:X$159)+SUMIF('08'!$D$7:$D$159,$C137,'08'!X$7:X$159)</f>
        <v>0</v>
      </c>
      <c r="W138" s="284">
        <f>SUMIF('02'!$D$7:$D$159,$C137,'02'!Y$7:Y$159)+SUMIF('03'!$D$7:$D$159,$C137,'03'!Y$7:Y$159)+SUMIF('04'!$D$7:$D$159,$C137,'04'!Y$7:Y$159)+SUMIF('05'!$D$7:$D$159,$C137,'05'!Y$7:Y$159)+SUMIF('06'!$D$7:$D$159,$C137,'06'!Y$7:Y$159)+SUMIF('07'!$D$7:$D$159,$C137,'07'!Y$7:Y$159)+SUMIF('08'!$D$7:$D$159,$C137,'08'!Y$7:Y$159)</f>
        <v>0</v>
      </c>
      <c r="X138" s="286">
        <f t="shared" si="5"/>
        <v>0</v>
      </c>
      <c r="Y138" s="345"/>
      <c r="Z138" s="347"/>
    </row>
    <row r="139" spans="1:26" ht="14.25" customHeight="1" x14ac:dyDescent="0.3">
      <c r="A139" s="178">
        <f>IF(OR(C139="0",COUNTIF(КлючВесна,C139)&gt;1),0,MATCH(F139,ВидыНагр,0))</f>
        <v>0</v>
      </c>
      <c r="B139" s="178" t="b">
        <f>(COUNTA(D139:F140,J139:W139,H139:I140)=0)</f>
        <v>1</v>
      </c>
      <c r="C139" s="179" t="str">
        <f>IF(OR(TRIM(D139)="",COUNTIF(ВидыНагр,F139)&lt;&gt;1),"0",CONCATENATE("$",TRIM(D139),"$",TRIM(E139),"$",F139,"$"))</f>
        <v>0</v>
      </c>
      <c r="D139" s="340"/>
      <c r="E139" s="338"/>
      <c r="F139" s="342"/>
      <c r="G139" s="180" t="s">
        <v>7</v>
      </c>
      <c r="H139" s="181"/>
      <c r="I139" s="182"/>
      <c r="J139" s="183"/>
      <c r="K139" s="184"/>
      <c r="L139" s="185"/>
      <c r="M139" s="183"/>
      <c r="N139" s="184"/>
      <c r="O139" s="186"/>
      <c r="P139" s="183"/>
      <c r="Q139" s="184"/>
      <c r="R139" s="185"/>
      <c r="S139" s="183"/>
      <c r="T139" s="184"/>
      <c r="U139" s="187"/>
      <c r="V139" s="186"/>
      <c r="W139" s="186"/>
      <c r="X139" s="279">
        <f t="shared" si="5"/>
        <v>0</v>
      </c>
      <c r="Y139" s="344">
        <f>X140-X139</f>
        <v>0</v>
      </c>
      <c r="Z139" s="346"/>
    </row>
    <row r="140" spans="1:26" ht="14.25" customHeight="1" x14ac:dyDescent="0.3">
      <c r="A140" s="178">
        <f>-A139</f>
        <v>0</v>
      </c>
      <c r="B140" s="178" t="b">
        <f>B139</f>
        <v>1</v>
      </c>
      <c r="C140" s="188"/>
      <c r="D140" s="341"/>
      <c r="E140" s="339"/>
      <c r="F140" s="343"/>
      <c r="G140" s="189" t="s">
        <v>8</v>
      </c>
      <c r="H140" s="190"/>
      <c r="I140" s="280"/>
      <c r="J140" s="281">
        <f>SUMIF('02'!$D$7:$D$159,$C139,'02'!L$7:L$159)+SUMIF('03'!$D$7:$D$159,$C139,'03'!L$7:L$159)+SUMIF('04'!$D$7:$D$159,$C139,'04'!L$7:L$159)+SUMIF('05'!$D$7:$D$159,$C139,'05'!L$7:L$159)+SUMIF('06'!$D$7:$D$159,$C139,'06'!L$7:L$159)+SUMIF('07'!$D$7:$D$159,$C139,'07'!L$7:L$159)+SUMIF('08'!$D$7:$D$159,$C139,'08'!L$7:L$159)</f>
        <v>0</v>
      </c>
      <c r="K140" s="282">
        <f>SUMIF('02'!$D$7:$D$159,$C139,'02'!M$7:M$159)+SUMIF('03'!$D$7:$D$159,$C139,'03'!M$7:M$159)+SUMIF('04'!$D$7:$D$159,$C139,'04'!M$7:M$159)+SUMIF('05'!$D$7:$D$159,$C139,'05'!M$7:M$159)+SUMIF('06'!$D$7:$D$159,$C139,'06'!M$7:M$159)+SUMIF('07'!$D$7:$D$159,$C139,'07'!M$7:M$159)+SUMIF('08'!$D$7:$D$159,$C139,'08'!M$7:M$159)</f>
        <v>0</v>
      </c>
      <c r="L140" s="283">
        <f>SUMIF('02'!$D$7:$D$159,$C139,'02'!N$7:N$159)+SUMIF('03'!$D$7:$D$159,$C139,'03'!N$7:N$159)+SUMIF('04'!$D$7:$D$159,$C139,'04'!N$7:N$159)+SUMIF('05'!$D$7:$D$159,$C139,'05'!N$7:N$159)+SUMIF('06'!$D$7:$D$159,$C139,'06'!N$7:N$159)+SUMIF('07'!$D$7:$D$159,$C139,'07'!N$7:N$159)+SUMIF('08'!$D$7:$D$159,$C139,'08'!N$7:N$159)</f>
        <v>0</v>
      </c>
      <c r="M140" s="281">
        <f>SUMIF('02'!$D$7:$D$159,$C139,'02'!O$7:O$159)+SUMIF('03'!$D$7:$D$159,$C139,'03'!O$7:O$159)+SUMIF('04'!$D$7:$D$159,$C139,'04'!O$7:O$159)+SUMIF('05'!$D$7:$D$159,$C139,'05'!O$7:O$159)+SUMIF('06'!$D$7:$D$159,$C139,'06'!O$7:O$159)+SUMIF('07'!$D$7:$D$159,$C139,'07'!O$7:O$159)+SUMIF('08'!$D$7:$D$159,$C139,'08'!O$7:O$159)</f>
        <v>0</v>
      </c>
      <c r="N140" s="282">
        <f>SUMIF('02'!$D$7:$D$159,$C139,'02'!P$7:P$159)+SUMIF('03'!$D$7:$D$159,$C139,'03'!P$7:P$159)+SUMIF('04'!$D$7:$D$159,$C139,'04'!P$7:P$159)+SUMIF('05'!$D$7:$D$159,$C139,'05'!P$7:P$159)+SUMIF('06'!$D$7:$D$159,$C139,'06'!P$7:P$159)+SUMIF('07'!$D$7:$D$159,$C139,'07'!P$7:P$159)+SUMIF('08'!$D$7:$D$159,$C139,'08'!P$7:P$159)</f>
        <v>0</v>
      </c>
      <c r="O140" s="284">
        <f>SUMIF('02'!$D$7:$D$159,$C139,'02'!Q$7:Q$159)+SUMIF('03'!$D$7:$D$159,$C139,'03'!Q$7:Q$159)+SUMIF('04'!$D$7:$D$159,$C139,'04'!Q$7:Q$159)+SUMIF('05'!$D$7:$D$159,$C139,'05'!Q$7:Q$159)+SUMIF('06'!$D$7:$D$159,$C139,'06'!Q$7:Q$159)+SUMIF('07'!$D$7:$D$159,$C139,'07'!Q$7:Q$159)+SUMIF('08'!$D$7:$D$159,$C139,'08'!Q$7:Q$159)</f>
        <v>0</v>
      </c>
      <c r="P140" s="281">
        <f>SUMIF('02'!$D$7:$D$159,$C139,'02'!R$7:R$159)+SUMIF('03'!$D$7:$D$159,$C139,'03'!R$7:R$159)+SUMIF('04'!$D$7:$D$159,$C139,'04'!R$7:R$159)+SUMIF('05'!$D$7:$D$159,$C139,'05'!R$7:R$159)+SUMIF('06'!$D$7:$D$159,$C139,'06'!R$7:R$159)+SUMIF('07'!$D$7:$D$159,$C139,'07'!R$7:R$159)+SUMIF('08'!$D$7:$D$159,$C139,'08'!R$7:R$159)</f>
        <v>0</v>
      </c>
      <c r="Q140" s="282">
        <f>SUMIF('02'!$D$7:$D$159,$C139,'02'!S$7:S$159)+SUMIF('03'!$D$7:$D$159,$C139,'03'!S$7:S$159)+SUMIF('04'!$D$7:$D$159,$C139,'04'!S$7:S$159)+SUMIF('05'!$D$7:$D$159,$C139,'05'!S$7:S$159)+SUMIF('06'!$D$7:$D$159,$C139,'06'!S$7:S$159)+SUMIF('07'!$D$7:$D$159,$C139,'07'!S$7:S$159)+SUMIF('08'!$D$7:$D$159,$C139,'08'!S$7:S$159)</f>
        <v>0</v>
      </c>
      <c r="R140" s="283">
        <f>SUMIF('02'!$D$7:$D$159,$C139,'02'!T$7:T$159)+SUMIF('03'!$D$7:$D$159,$C139,'03'!T$7:T$159)+SUMIF('04'!$D$7:$D$159,$C139,'04'!T$7:T$159)+SUMIF('05'!$D$7:$D$159,$C139,'05'!T$7:T$159)+SUMIF('06'!$D$7:$D$159,$C139,'06'!T$7:T$159)+SUMIF('07'!$D$7:$D$159,$C139,'07'!T$7:T$159)+SUMIF('08'!$D$7:$D$159,$C139,'08'!T$7:T$159)</f>
        <v>0</v>
      </c>
      <c r="S140" s="281">
        <f>SUMIF('02'!$D$7:$D$159,$C139,'02'!U$7:U$159)+SUMIF('03'!$D$7:$D$159,$C139,'03'!U$7:U$159)+SUMIF('04'!$D$7:$D$159,$C139,'04'!U$7:U$159)+SUMIF('05'!$D$7:$D$159,$C139,'05'!U$7:U$159)+SUMIF('06'!$D$7:$D$159,$C139,'06'!U$7:U$159)+SUMIF('07'!$D$7:$D$159,$C139,'07'!U$7:U$159)+SUMIF('08'!$D$7:$D$159,$C139,'08'!U$7:U$159)</f>
        <v>0</v>
      </c>
      <c r="T140" s="282">
        <f>SUMIF('02'!$D$7:$D$159,$C139,'02'!V$7:V$159)+SUMIF('03'!$D$7:$D$159,$C139,'03'!V$7:V$159)+SUMIF('04'!$D$7:$D$159,$C139,'04'!V$7:V$159)+SUMIF('05'!$D$7:$D$159,$C139,'05'!V$7:V$159)+SUMIF('06'!$D$7:$D$159,$C139,'06'!V$7:V$159)+SUMIF('07'!$D$7:$D$159,$C139,'07'!V$7:V$159)+SUMIF('08'!$D$7:$D$159,$C139,'08'!V$7:V$159)</f>
        <v>0</v>
      </c>
      <c r="U140" s="285">
        <f>SUMIF('02'!$D$7:$D$159,$C139,'02'!W$7:W$159)+SUMIF('03'!$D$7:$D$159,$C139,'03'!W$7:W$159)+SUMIF('04'!$D$7:$D$159,$C139,'04'!W$7:W$159)+SUMIF('05'!$D$7:$D$159,$C139,'05'!W$7:W$159)+SUMIF('06'!$D$7:$D$159,$C139,'06'!W$7:W$159)+SUMIF('07'!$D$7:$D$159,$C139,'07'!W$7:W$159)+SUMIF('08'!$D$7:$D$159,$C139,'08'!W$7:W$159)</f>
        <v>0</v>
      </c>
      <c r="V140" s="284">
        <f>SUMIF('02'!$D$7:$D$159,$C139,'02'!X$7:X$159)+SUMIF('03'!$D$7:$D$159,$C139,'03'!X$7:X$159)+SUMIF('04'!$D$7:$D$159,$C139,'04'!X$7:X$159)+SUMIF('05'!$D$7:$D$159,$C139,'05'!X$7:X$159)+SUMIF('06'!$D$7:$D$159,$C139,'06'!X$7:X$159)+SUMIF('07'!$D$7:$D$159,$C139,'07'!X$7:X$159)+SUMIF('08'!$D$7:$D$159,$C139,'08'!X$7:X$159)</f>
        <v>0</v>
      </c>
      <c r="W140" s="284">
        <f>SUMIF('02'!$D$7:$D$159,$C139,'02'!Y$7:Y$159)+SUMIF('03'!$D$7:$D$159,$C139,'03'!Y$7:Y$159)+SUMIF('04'!$D$7:$D$159,$C139,'04'!Y$7:Y$159)+SUMIF('05'!$D$7:$D$159,$C139,'05'!Y$7:Y$159)+SUMIF('06'!$D$7:$D$159,$C139,'06'!Y$7:Y$159)+SUMIF('07'!$D$7:$D$159,$C139,'07'!Y$7:Y$159)+SUMIF('08'!$D$7:$D$159,$C139,'08'!Y$7:Y$159)</f>
        <v>0</v>
      </c>
      <c r="X140" s="286">
        <f t="shared" si="5"/>
        <v>0</v>
      </c>
      <c r="Y140" s="345"/>
      <c r="Z140" s="347"/>
    </row>
    <row r="141" spans="1:26" ht="14.25" customHeight="1" x14ac:dyDescent="0.3">
      <c r="A141" s="178">
        <f>IF(OR(C141="0",COUNTIF(КлючВесна,C141)&gt;1),0,MATCH(F141,ВидыНагр,0))</f>
        <v>0</v>
      </c>
      <c r="B141" s="178" t="b">
        <f>(COUNTA(D141:F142,J141:W141,H141:I142)=0)</f>
        <v>1</v>
      </c>
      <c r="C141" s="179" t="str">
        <f>IF(OR(TRIM(D141)="",COUNTIF(ВидыНагр,F141)&lt;&gt;1),"0",CONCATENATE("$",TRIM(D141),"$",TRIM(E141),"$",F141,"$"))</f>
        <v>0</v>
      </c>
      <c r="D141" s="340"/>
      <c r="E141" s="338"/>
      <c r="F141" s="342"/>
      <c r="G141" s="180" t="s">
        <v>7</v>
      </c>
      <c r="H141" s="181"/>
      <c r="I141" s="182"/>
      <c r="J141" s="183"/>
      <c r="K141" s="184"/>
      <c r="L141" s="185"/>
      <c r="M141" s="183"/>
      <c r="N141" s="184"/>
      <c r="O141" s="186"/>
      <c r="P141" s="183"/>
      <c r="Q141" s="184"/>
      <c r="R141" s="185"/>
      <c r="S141" s="183"/>
      <c r="T141" s="184"/>
      <c r="U141" s="187"/>
      <c r="V141" s="186"/>
      <c r="W141" s="186"/>
      <c r="X141" s="279">
        <f t="shared" ref="X141:X168" si="7">SUM(J141:W141)</f>
        <v>0</v>
      </c>
      <c r="Y141" s="344">
        <f>X142-X141</f>
        <v>0</v>
      </c>
      <c r="Z141" s="346"/>
    </row>
    <row r="142" spans="1:26" ht="14.25" customHeight="1" x14ac:dyDescent="0.3">
      <c r="A142" s="178">
        <f>-A141</f>
        <v>0</v>
      </c>
      <c r="B142" s="178" t="b">
        <f>B141</f>
        <v>1</v>
      </c>
      <c r="C142" s="188"/>
      <c r="D142" s="341"/>
      <c r="E142" s="339"/>
      <c r="F142" s="343"/>
      <c r="G142" s="189" t="s">
        <v>8</v>
      </c>
      <c r="H142" s="190"/>
      <c r="I142" s="280"/>
      <c r="J142" s="281">
        <f>SUMIF('02'!$D$7:$D$159,$C141,'02'!L$7:L$159)+SUMIF('03'!$D$7:$D$159,$C141,'03'!L$7:L$159)+SUMIF('04'!$D$7:$D$159,$C141,'04'!L$7:L$159)+SUMIF('05'!$D$7:$D$159,$C141,'05'!L$7:L$159)+SUMIF('06'!$D$7:$D$159,$C141,'06'!L$7:L$159)+SUMIF('07'!$D$7:$D$159,$C141,'07'!L$7:L$159)+SUMIF('08'!$D$7:$D$159,$C141,'08'!L$7:L$159)</f>
        <v>0</v>
      </c>
      <c r="K142" s="282">
        <f>SUMIF('02'!$D$7:$D$159,$C141,'02'!M$7:M$159)+SUMIF('03'!$D$7:$D$159,$C141,'03'!M$7:M$159)+SUMIF('04'!$D$7:$D$159,$C141,'04'!M$7:M$159)+SUMIF('05'!$D$7:$D$159,$C141,'05'!M$7:M$159)+SUMIF('06'!$D$7:$D$159,$C141,'06'!M$7:M$159)+SUMIF('07'!$D$7:$D$159,$C141,'07'!M$7:M$159)+SUMIF('08'!$D$7:$D$159,$C141,'08'!M$7:M$159)</f>
        <v>0</v>
      </c>
      <c r="L142" s="283">
        <f>SUMIF('02'!$D$7:$D$159,$C141,'02'!N$7:N$159)+SUMIF('03'!$D$7:$D$159,$C141,'03'!N$7:N$159)+SUMIF('04'!$D$7:$D$159,$C141,'04'!N$7:N$159)+SUMIF('05'!$D$7:$D$159,$C141,'05'!N$7:N$159)+SUMIF('06'!$D$7:$D$159,$C141,'06'!N$7:N$159)+SUMIF('07'!$D$7:$D$159,$C141,'07'!N$7:N$159)+SUMIF('08'!$D$7:$D$159,$C141,'08'!N$7:N$159)</f>
        <v>0</v>
      </c>
      <c r="M142" s="281">
        <f>SUMIF('02'!$D$7:$D$159,$C141,'02'!O$7:O$159)+SUMIF('03'!$D$7:$D$159,$C141,'03'!O$7:O$159)+SUMIF('04'!$D$7:$D$159,$C141,'04'!O$7:O$159)+SUMIF('05'!$D$7:$D$159,$C141,'05'!O$7:O$159)+SUMIF('06'!$D$7:$D$159,$C141,'06'!O$7:O$159)+SUMIF('07'!$D$7:$D$159,$C141,'07'!O$7:O$159)+SUMIF('08'!$D$7:$D$159,$C141,'08'!O$7:O$159)</f>
        <v>0</v>
      </c>
      <c r="N142" s="282">
        <f>SUMIF('02'!$D$7:$D$159,$C141,'02'!P$7:P$159)+SUMIF('03'!$D$7:$D$159,$C141,'03'!P$7:P$159)+SUMIF('04'!$D$7:$D$159,$C141,'04'!P$7:P$159)+SUMIF('05'!$D$7:$D$159,$C141,'05'!P$7:P$159)+SUMIF('06'!$D$7:$D$159,$C141,'06'!P$7:P$159)+SUMIF('07'!$D$7:$D$159,$C141,'07'!P$7:P$159)+SUMIF('08'!$D$7:$D$159,$C141,'08'!P$7:P$159)</f>
        <v>0</v>
      </c>
      <c r="O142" s="284">
        <f>SUMIF('02'!$D$7:$D$159,$C141,'02'!Q$7:Q$159)+SUMIF('03'!$D$7:$D$159,$C141,'03'!Q$7:Q$159)+SUMIF('04'!$D$7:$D$159,$C141,'04'!Q$7:Q$159)+SUMIF('05'!$D$7:$D$159,$C141,'05'!Q$7:Q$159)+SUMIF('06'!$D$7:$D$159,$C141,'06'!Q$7:Q$159)+SUMIF('07'!$D$7:$D$159,$C141,'07'!Q$7:Q$159)+SUMIF('08'!$D$7:$D$159,$C141,'08'!Q$7:Q$159)</f>
        <v>0</v>
      </c>
      <c r="P142" s="281">
        <f>SUMIF('02'!$D$7:$D$159,$C141,'02'!R$7:R$159)+SUMIF('03'!$D$7:$D$159,$C141,'03'!R$7:R$159)+SUMIF('04'!$D$7:$D$159,$C141,'04'!R$7:R$159)+SUMIF('05'!$D$7:$D$159,$C141,'05'!R$7:R$159)+SUMIF('06'!$D$7:$D$159,$C141,'06'!R$7:R$159)+SUMIF('07'!$D$7:$D$159,$C141,'07'!R$7:R$159)+SUMIF('08'!$D$7:$D$159,$C141,'08'!R$7:R$159)</f>
        <v>0</v>
      </c>
      <c r="Q142" s="282">
        <f>SUMIF('02'!$D$7:$D$159,$C141,'02'!S$7:S$159)+SUMIF('03'!$D$7:$D$159,$C141,'03'!S$7:S$159)+SUMIF('04'!$D$7:$D$159,$C141,'04'!S$7:S$159)+SUMIF('05'!$D$7:$D$159,$C141,'05'!S$7:S$159)+SUMIF('06'!$D$7:$D$159,$C141,'06'!S$7:S$159)+SUMIF('07'!$D$7:$D$159,$C141,'07'!S$7:S$159)+SUMIF('08'!$D$7:$D$159,$C141,'08'!S$7:S$159)</f>
        <v>0</v>
      </c>
      <c r="R142" s="283">
        <f>SUMIF('02'!$D$7:$D$159,$C141,'02'!T$7:T$159)+SUMIF('03'!$D$7:$D$159,$C141,'03'!T$7:T$159)+SUMIF('04'!$D$7:$D$159,$C141,'04'!T$7:T$159)+SUMIF('05'!$D$7:$D$159,$C141,'05'!T$7:T$159)+SUMIF('06'!$D$7:$D$159,$C141,'06'!T$7:T$159)+SUMIF('07'!$D$7:$D$159,$C141,'07'!T$7:T$159)+SUMIF('08'!$D$7:$D$159,$C141,'08'!T$7:T$159)</f>
        <v>0</v>
      </c>
      <c r="S142" s="281">
        <f>SUMIF('02'!$D$7:$D$159,$C141,'02'!U$7:U$159)+SUMIF('03'!$D$7:$D$159,$C141,'03'!U$7:U$159)+SUMIF('04'!$D$7:$D$159,$C141,'04'!U$7:U$159)+SUMIF('05'!$D$7:$D$159,$C141,'05'!U$7:U$159)+SUMIF('06'!$D$7:$D$159,$C141,'06'!U$7:U$159)+SUMIF('07'!$D$7:$D$159,$C141,'07'!U$7:U$159)+SUMIF('08'!$D$7:$D$159,$C141,'08'!U$7:U$159)</f>
        <v>0</v>
      </c>
      <c r="T142" s="282">
        <f>SUMIF('02'!$D$7:$D$159,$C141,'02'!V$7:V$159)+SUMIF('03'!$D$7:$D$159,$C141,'03'!V$7:V$159)+SUMIF('04'!$D$7:$D$159,$C141,'04'!V$7:V$159)+SUMIF('05'!$D$7:$D$159,$C141,'05'!V$7:V$159)+SUMIF('06'!$D$7:$D$159,$C141,'06'!V$7:V$159)+SUMIF('07'!$D$7:$D$159,$C141,'07'!V$7:V$159)+SUMIF('08'!$D$7:$D$159,$C141,'08'!V$7:V$159)</f>
        <v>0</v>
      </c>
      <c r="U142" s="285">
        <f>SUMIF('02'!$D$7:$D$159,$C141,'02'!W$7:W$159)+SUMIF('03'!$D$7:$D$159,$C141,'03'!W$7:W$159)+SUMIF('04'!$D$7:$D$159,$C141,'04'!W$7:W$159)+SUMIF('05'!$D$7:$D$159,$C141,'05'!W$7:W$159)+SUMIF('06'!$D$7:$D$159,$C141,'06'!W$7:W$159)+SUMIF('07'!$D$7:$D$159,$C141,'07'!W$7:W$159)+SUMIF('08'!$D$7:$D$159,$C141,'08'!W$7:W$159)</f>
        <v>0</v>
      </c>
      <c r="V142" s="284">
        <f>SUMIF('02'!$D$7:$D$159,$C141,'02'!X$7:X$159)+SUMIF('03'!$D$7:$D$159,$C141,'03'!X$7:X$159)+SUMIF('04'!$D$7:$D$159,$C141,'04'!X$7:X$159)+SUMIF('05'!$D$7:$D$159,$C141,'05'!X$7:X$159)+SUMIF('06'!$D$7:$D$159,$C141,'06'!X$7:X$159)+SUMIF('07'!$D$7:$D$159,$C141,'07'!X$7:X$159)+SUMIF('08'!$D$7:$D$159,$C141,'08'!X$7:X$159)</f>
        <v>0</v>
      </c>
      <c r="W142" s="284">
        <f>SUMIF('02'!$D$7:$D$159,$C141,'02'!Y$7:Y$159)+SUMIF('03'!$D$7:$D$159,$C141,'03'!Y$7:Y$159)+SUMIF('04'!$D$7:$D$159,$C141,'04'!Y$7:Y$159)+SUMIF('05'!$D$7:$D$159,$C141,'05'!Y$7:Y$159)+SUMIF('06'!$D$7:$D$159,$C141,'06'!Y$7:Y$159)+SUMIF('07'!$D$7:$D$159,$C141,'07'!Y$7:Y$159)+SUMIF('08'!$D$7:$D$159,$C141,'08'!Y$7:Y$159)</f>
        <v>0</v>
      </c>
      <c r="X142" s="286">
        <f t="shared" si="7"/>
        <v>0</v>
      </c>
      <c r="Y142" s="345"/>
      <c r="Z142" s="347"/>
    </row>
    <row r="143" spans="1:26" ht="14.25" customHeight="1" x14ac:dyDescent="0.3">
      <c r="A143" s="178">
        <f>IF(OR(C143="0",COUNTIF(КлючВесна,C143)&gt;1),0,MATCH(F143,ВидыНагр,0))</f>
        <v>0</v>
      </c>
      <c r="B143" s="178" t="b">
        <f>(COUNTA(D143:F144,J143:W143,H143:I144)=0)</f>
        <v>1</v>
      </c>
      <c r="C143" s="179" t="str">
        <f>IF(OR(TRIM(D143)="",COUNTIF(ВидыНагр,F143)&lt;&gt;1),"0",CONCATENATE("$",TRIM(D143),"$",TRIM(E143),"$",F143,"$"))</f>
        <v>0</v>
      </c>
      <c r="D143" s="340"/>
      <c r="E143" s="338"/>
      <c r="F143" s="342"/>
      <c r="G143" s="180" t="s">
        <v>7</v>
      </c>
      <c r="H143" s="181"/>
      <c r="I143" s="182"/>
      <c r="J143" s="183"/>
      <c r="K143" s="184"/>
      <c r="L143" s="185"/>
      <c r="M143" s="183"/>
      <c r="N143" s="184"/>
      <c r="O143" s="186"/>
      <c r="P143" s="183"/>
      <c r="Q143" s="184"/>
      <c r="R143" s="185"/>
      <c r="S143" s="183"/>
      <c r="T143" s="184"/>
      <c r="U143" s="187"/>
      <c r="V143" s="186"/>
      <c r="W143" s="186"/>
      <c r="X143" s="279">
        <f t="shared" si="7"/>
        <v>0</v>
      </c>
      <c r="Y143" s="344">
        <f>X144-X143</f>
        <v>0</v>
      </c>
      <c r="Z143" s="346"/>
    </row>
    <row r="144" spans="1:26" ht="14.25" customHeight="1" x14ac:dyDescent="0.3">
      <c r="A144" s="178">
        <f>-A143</f>
        <v>0</v>
      </c>
      <c r="B144" s="178" t="b">
        <f>B143</f>
        <v>1</v>
      </c>
      <c r="C144" s="188"/>
      <c r="D144" s="341"/>
      <c r="E144" s="339"/>
      <c r="F144" s="343"/>
      <c r="G144" s="189" t="s">
        <v>8</v>
      </c>
      <c r="H144" s="190"/>
      <c r="I144" s="280"/>
      <c r="J144" s="281">
        <f>SUMIF('02'!$D$7:$D$159,$C143,'02'!L$7:L$159)+SUMIF('03'!$D$7:$D$159,$C143,'03'!L$7:L$159)+SUMIF('04'!$D$7:$D$159,$C143,'04'!L$7:L$159)+SUMIF('05'!$D$7:$D$159,$C143,'05'!L$7:L$159)+SUMIF('06'!$D$7:$D$159,$C143,'06'!L$7:L$159)+SUMIF('07'!$D$7:$D$159,$C143,'07'!L$7:L$159)+SUMIF('08'!$D$7:$D$159,$C143,'08'!L$7:L$159)</f>
        <v>0</v>
      </c>
      <c r="K144" s="282">
        <f>SUMIF('02'!$D$7:$D$159,$C143,'02'!M$7:M$159)+SUMIF('03'!$D$7:$D$159,$C143,'03'!M$7:M$159)+SUMIF('04'!$D$7:$D$159,$C143,'04'!M$7:M$159)+SUMIF('05'!$D$7:$D$159,$C143,'05'!M$7:M$159)+SUMIF('06'!$D$7:$D$159,$C143,'06'!M$7:M$159)+SUMIF('07'!$D$7:$D$159,$C143,'07'!M$7:M$159)+SUMIF('08'!$D$7:$D$159,$C143,'08'!M$7:M$159)</f>
        <v>0</v>
      </c>
      <c r="L144" s="283">
        <f>SUMIF('02'!$D$7:$D$159,$C143,'02'!N$7:N$159)+SUMIF('03'!$D$7:$D$159,$C143,'03'!N$7:N$159)+SUMIF('04'!$D$7:$D$159,$C143,'04'!N$7:N$159)+SUMIF('05'!$D$7:$D$159,$C143,'05'!N$7:N$159)+SUMIF('06'!$D$7:$D$159,$C143,'06'!N$7:N$159)+SUMIF('07'!$D$7:$D$159,$C143,'07'!N$7:N$159)+SUMIF('08'!$D$7:$D$159,$C143,'08'!N$7:N$159)</f>
        <v>0</v>
      </c>
      <c r="M144" s="281">
        <f>SUMIF('02'!$D$7:$D$159,$C143,'02'!O$7:O$159)+SUMIF('03'!$D$7:$D$159,$C143,'03'!O$7:O$159)+SUMIF('04'!$D$7:$D$159,$C143,'04'!O$7:O$159)+SUMIF('05'!$D$7:$D$159,$C143,'05'!O$7:O$159)+SUMIF('06'!$D$7:$D$159,$C143,'06'!O$7:O$159)+SUMIF('07'!$D$7:$D$159,$C143,'07'!O$7:O$159)+SUMIF('08'!$D$7:$D$159,$C143,'08'!O$7:O$159)</f>
        <v>0</v>
      </c>
      <c r="N144" s="282">
        <f>SUMIF('02'!$D$7:$D$159,$C143,'02'!P$7:P$159)+SUMIF('03'!$D$7:$D$159,$C143,'03'!P$7:P$159)+SUMIF('04'!$D$7:$D$159,$C143,'04'!P$7:P$159)+SUMIF('05'!$D$7:$D$159,$C143,'05'!P$7:P$159)+SUMIF('06'!$D$7:$D$159,$C143,'06'!P$7:P$159)+SUMIF('07'!$D$7:$D$159,$C143,'07'!P$7:P$159)+SUMIF('08'!$D$7:$D$159,$C143,'08'!P$7:P$159)</f>
        <v>0</v>
      </c>
      <c r="O144" s="284">
        <f>SUMIF('02'!$D$7:$D$159,$C143,'02'!Q$7:Q$159)+SUMIF('03'!$D$7:$D$159,$C143,'03'!Q$7:Q$159)+SUMIF('04'!$D$7:$D$159,$C143,'04'!Q$7:Q$159)+SUMIF('05'!$D$7:$D$159,$C143,'05'!Q$7:Q$159)+SUMIF('06'!$D$7:$D$159,$C143,'06'!Q$7:Q$159)+SUMIF('07'!$D$7:$D$159,$C143,'07'!Q$7:Q$159)+SUMIF('08'!$D$7:$D$159,$C143,'08'!Q$7:Q$159)</f>
        <v>0</v>
      </c>
      <c r="P144" s="281">
        <f>SUMIF('02'!$D$7:$D$159,$C143,'02'!R$7:R$159)+SUMIF('03'!$D$7:$D$159,$C143,'03'!R$7:R$159)+SUMIF('04'!$D$7:$D$159,$C143,'04'!R$7:R$159)+SUMIF('05'!$D$7:$D$159,$C143,'05'!R$7:R$159)+SUMIF('06'!$D$7:$D$159,$C143,'06'!R$7:R$159)+SUMIF('07'!$D$7:$D$159,$C143,'07'!R$7:R$159)+SUMIF('08'!$D$7:$D$159,$C143,'08'!R$7:R$159)</f>
        <v>0</v>
      </c>
      <c r="Q144" s="282">
        <f>SUMIF('02'!$D$7:$D$159,$C143,'02'!S$7:S$159)+SUMIF('03'!$D$7:$D$159,$C143,'03'!S$7:S$159)+SUMIF('04'!$D$7:$D$159,$C143,'04'!S$7:S$159)+SUMIF('05'!$D$7:$D$159,$C143,'05'!S$7:S$159)+SUMIF('06'!$D$7:$D$159,$C143,'06'!S$7:S$159)+SUMIF('07'!$D$7:$D$159,$C143,'07'!S$7:S$159)+SUMIF('08'!$D$7:$D$159,$C143,'08'!S$7:S$159)</f>
        <v>0</v>
      </c>
      <c r="R144" s="283">
        <f>SUMIF('02'!$D$7:$D$159,$C143,'02'!T$7:T$159)+SUMIF('03'!$D$7:$D$159,$C143,'03'!T$7:T$159)+SUMIF('04'!$D$7:$D$159,$C143,'04'!T$7:T$159)+SUMIF('05'!$D$7:$D$159,$C143,'05'!T$7:T$159)+SUMIF('06'!$D$7:$D$159,$C143,'06'!T$7:T$159)+SUMIF('07'!$D$7:$D$159,$C143,'07'!T$7:T$159)+SUMIF('08'!$D$7:$D$159,$C143,'08'!T$7:T$159)</f>
        <v>0</v>
      </c>
      <c r="S144" s="281">
        <f>SUMIF('02'!$D$7:$D$159,$C143,'02'!U$7:U$159)+SUMIF('03'!$D$7:$D$159,$C143,'03'!U$7:U$159)+SUMIF('04'!$D$7:$D$159,$C143,'04'!U$7:U$159)+SUMIF('05'!$D$7:$D$159,$C143,'05'!U$7:U$159)+SUMIF('06'!$D$7:$D$159,$C143,'06'!U$7:U$159)+SUMIF('07'!$D$7:$D$159,$C143,'07'!U$7:U$159)+SUMIF('08'!$D$7:$D$159,$C143,'08'!U$7:U$159)</f>
        <v>0</v>
      </c>
      <c r="T144" s="282">
        <f>SUMIF('02'!$D$7:$D$159,$C143,'02'!V$7:V$159)+SUMIF('03'!$D$7:$D$159,$C143,'03'!V$7:V$159)+SUMIF('04'!$D$7:$D$159,$C143,'04'!V$7:V$159)+SUMIF('05'!$D$7:$D$159,$C143,'05'!V$7:V$159)+SUMIF('06'!$D$7:$D$159,$C143,'06'!V$7:V$159)+SUMIF('07'!$D$7:$D$159,$C143,'07'!V$7:V$159)+SUMIF('08'!$D$7:$D$159,$C143,'08'!V$7:V$159)</f>
        <v>0</v>
      </c>
      <c r="U144" s="285">
        <f>SUMIF('02'!$D$7:$D$159,$C143,'02'!W$7:W$159)+SUMIF('03'!$D$7:$D$159,$C143,'03'!W$7:W$159)+SUMIF('04'!$D$7:$D$159,$C143,'04'!W$7:W$159)+SUMIF('05'!$D$7:$D$159,$C143,'05'!W$7:W$159)+SUMIF('06'!$D$7:$D$159,$C143,'06'!W$7:W$159)+SUMIF('07'!$D$7:$D$159,$C143,'07'!W$7:W$159)+SUMIF('08'!$D$7:$D$159,$C143,'08'!W$7:W$159)</f>
        <v>0</v>
      </c>
      <c r="V144" s="284">
        <f>SUMIF('02'!$D$7:$D$159,$C143,'02'!X$7:X$159)+SUMIF('03'!$D$7:$D$159,$C143,'03'!X$7:X$159)+SUMIF('04'!$D$7:$D$159,$C143,'04'!X$7:X$159)+SUMIF('05'!$D$7:$D$159,$C143,'05'!X$7:X$159)+SUMIF('06'!$D$7:$D$159,$C143,'06'!X$7:X$159)+SUMIF('07'!$D$7:$D$159,$C143,'07'!X$7:X$159)+SUMIF('08'!$D$7:$D$159,$C143,'08'!X$7:X$159)</f>
        <v>0</v>
      </c>
      <c r="W144" s="284">
        <f>SUMIF('02'!$D$7:$D$159,$C143,'02'!Y$7:Y$159)+SUMIF('03'!$D$7:$D$159,$C143,'03'!Y$7:Y$159)+SUMIF('04'!$D$7:$D$159,$C143,'04'!Y$7:Y$159)+SUMIF('05'!$D$7:$D$159,$C143,'05'!Y$7:Y$159)+SUMIF('06'!$D$7:$D$159,$C143,'06'!Y$7:Y$159)+SUMIF('07'!$D$7:$D$159,$C143,'07'!Y$7:Y$159)+SUMIF('08'!$D$7:$D$159,$C143,'08'!Y$7:Y$159)</f>
        <v>0</v>
      </c>
      <c r="X144" s="286">
        <f t="shared" si="7"/>
        <v>0</v>
      </c>
      <c r="Y144" s="345"/>
      <c r="Z144" s="347"/>
    </row>
    <row r="145" spans="1:26" ht="14.25" customHeight="1" x14ac:dyDescent="0.3">
      <c r="A145" s="178">
        <f>IF(OR(C145="0",COUNTIF(КлючВесна,C145)&gt;1),0,MATCH(F145,ВидыНагр,0))</f>
        <v>0</v>
      </c>
      <c r="B145" s="178" t="b">
        <f>(COUNTA(D145:F146,J145:W145,H145:I146)=0)</f>
        <v>1</v>
      </c>
      <c r="C145" s="179" t="str">
        <f>IF(OR(TRIM(D145)="",COUNTIF(ВидыНагр,F145)&lt;&gt;1),"0",CONCATENATE("$",TRIM(D145),"$",TRIM(E145),"$",F145,"$"))</f>
        <v>0</v>
      </c>
      <c r="D145" s="340"/>
      <c r="E145" s="338"/>
      <c r="F145" s="342"/>
      <c r="G145" s="180" t="s">
        <v>7</v>
      </c>
      <c r="H145" s="181"/>
      <c r="I145" s="182"/>
      <c r="J145" s="183"/>
      <c r="K145" s="184"/>
      <c r="L145" s="185"/>
      <c r="M145" s="183"/>
      <c r="N145" s="184"/>
      <c r="O145" s="186"/>
      <c r="P145" s="183"/>
      <c r="Q145" s="184"/>
      <c r="R145" s="185"/>
      <c r="S145" s="183"/>
      <c r="T145" s="184"/>
      <c r="U145" s="187"/>
      <c r="V145" s="186"/>
      <c r="W145" s="186"/>
      <c r="X145" s="279">
        <f t="shared" si="7"/>
        <v>0</v>
      </c>
      <c r="Y145" s="344">
        <f>X146-X145</f>
        <v>0</v>
      </c>
      <c r="Z145" s="346"/>
    </row>
    <row r="146" spans="1:26" ht="14.25" customHeight="1" x14ac:dyDescent="0.3">
      <c r="A146" s="178">
        <f>-A145</f>
        <v>0</v>
      </c>
      <c r="B146" s="178" t="b">
        <f>B145</f>
        <v>1</v>
      </c>
      <c r="C146" s="188"/>
      <c r="D146" s="341"/>
      <c r="E146" s="339"/>
      <c r="F146" s="343"/>
      <c r="G146" s="189" t="s">
        <v>8</v>
      </c>
      <c r="H146" s="190"/>
      <c r="I146" s="280"/>
      <c r="J146" s="281">
        <f>SUMIF('02'!$D$7:$D$159,$C145,'02'!L$7:L$159)+SUMIF('03'!$D$7:$D$159,$C145,'03'!L$7:L$159)+SUMIF('04'!$D$7:$D$159,$C145,'04'!L$7:L$159)+SUMIF('05'!$D$7:$D$159,$C145,'05'!L$7:L$159)+SUMIF('06'!$D$7:$D$159,$C145,'06'!L$7:L$159)+SUMIF('07'!$D$7:$D$159,$C145,'07'!L$7:L$159)+SUMIF('08'!$D$7:$D$159,$C145,'08'!L$7:L$159)</f>
        <v>0</v>
      </c>
      <c r="K146" s="282">
        <f>SUMIF('02'!$D$7:$D$159,$C145,'02'!M$7:M$159)+SUMIF('03'!$D$7:$D$159,$C145,'03'!M$7:M$159)+SUMIF('04'!$D$7:$D$159,$C145,'04'!M$7:M$159)+SUMIF('05'!$D$7:$D$159,$C145,'05'!M$7:M$159)+SUMIF('06'!$D$7:$D$159,$C145,'06'!M$7:M$159)+SUMIF('07'!$D$7:$D$159,$C145,'07'!M$7:M$159)+SUMIF('08'!$D$7:$D$159,$C145,'08'!M$7:M$159)</f>
        <v>0</v>
      </c>
      <c r="L146" s="283">
        <f>SUMIF('02'!$D$7:$D$159,$C145,'02'!N$7:N$159)+SUMIF('03'!$D$7:$D$159,$C145,'03'!N$7:N$159)+SUMIF('04'!$D$7:$D$159,$C145,'04'!N$7:N$159)+SUMIF('05'!$D$7:$D$159,$C145,'05'!N$7:N$159)+SUMIF('06'!$D$7:$D$159,$C145,'06'!N$7:N$159)+SUMIF('07'!$D$7:$D$159,$C145,'07'!N$7:N$159)+SUMIF('08'!$D$7:$D$159,$C145,'08'!N$7:N$159)</f>
        <v>0</v>
      </c>
      <c r="M146" s="281">
        <f>SUMIF('02'!$D$7:$D$159,$C145,'02'!O$7:O$159)+SUMIF('03'!$D$7:$D$159,$C145,'03'!O$7:O$159)+SUMIF('04'!$D$7:$D$159,$C145,'04'!O$7:O$159)+SUMIF('05'!$D$7:$D$159,$C145,'05'!O$7:O$159)+SUMIF('06'!$D$7:$D$159,$C145,'06'!O$7:O$159)+SUMIF('07'!$D$7:$D$159,$C145,'07'!O$7:O$159)+SUMIF('08'!$D$7:$D$159,$C145,'08'!O$7:O$159)</f>
        <v>0</v>
      </c>
      <c r="N146" s="282">
        <f>SUMIF('02'!$D$7:$D$159,$C145,'02'!P$7:P$159)+SUMIF('03'!$D$7:$D$159,$C145,'03'!P$7:P$159)+SUMIF('04'!$D$7:$D$159,$C145,'04'!P$7:P$159)+SUMIF('05'!$D$7:$D$159,$C145,'05'!P$7:P$159)+SUMIF('06'!$D$7:$D$159,$C145,'06'!P$7:P$159)+SUMIF('07'!$D$7:$D$159,$C145,'07'!P$7:P$159)+SUMIF('08'!$D$7:$D$159,$C145,'08'!P$7:P$159)</f>
        <v>0</v>
      </c>
      <c r="O146" s="284">
        <f>SUMIF('02'!$D$7:$D$159,$C145,'02'!Q$7:Q$159)+SUMIF('03'!$D$7:$D$159,$C145,'03'!Q$7:Q$159)+SUMIF('04'!$D$7:$D$159,$C145,'04'!Q$7:Q$159)+SUMIF('05'!$D$7:$D$159,$C145,'05'!Q$7:Q$159)+SUMIF('06'!$D$7:$D$159,$C145,'06'!Q$7:Q$159)+SUMIF('07'!$D$7:$D$159,$C145,'07'!Q$7:Q$159)+SUMIF('08'!$D$7:$D$159,$C145,'08'!Q$7:Q$159)</f>
        <v>0</v>
      </c>
      <c r="P146" s="281">
        <f>SUMIF('02'!$D$7:$D$159,$C145,'02'!R$7:R$159)+SUMIF('03'!$D$7:$D$159,$C145,'03'!R$7:R$159)+SUMIF('04'!$D$7:$D$159,$C145,'04'!R$7:R$159)+SUMIF('05'!$D$7:$D$159,$C145,'05'!R$7:R$159)+SUMIF('06'!$D$7:$D$159,$C145,'06'!R$7:R$159)+SUMIF('07'!$D$7:$D$159,$C145,'07'!R$7:R$159)+SUMIF('08'!$D$7:$D$159,$C145,'08'!R$7:R$159)</f>
        <v>0</v>
      </c>
      <c r="Q146" s="282">
        <f>SUMIF('02'!$D$7:$D$159,$C145,'02'!S$7:S$159)+SUMIF('03'!$D$7:$D$159,$C145,'03'!S$7:S$159)+SUMIF('04'!$D$7:$D$159,$C145,'04'!S$7:S$159)+SUMIF('05'!$D$7:$D$159,$C145,'05'!S$7:S$159)+SUMIF('06'!$D$7:$D$159,$C145,'06'!S$7:S$159)+SUMIF('07'!$D$7:$D$159,$C145,'07'!S$7:S$159)+SUMIF('08'!$D$7:$D$159,$C145,'08'!S$7:S$159)</f>
        <v>0</v>
      </c>
      <c r="R146" s="283">
        <f>SUMIF('02'!$D$7:$D$159,$C145,'02'!T$7:T$159)+SUMIF('03'!$D$7:$D$159,$C145,'03'!T$7:T$159)+SUMIF('04'!$D$7:$D$159,$C145,'04'!T$7:T$159)+SUMIF('05'!$D$7:$D$159,$C145,'05'!T$7:T$159)+SUMIF('06'!$D$7:$D$159,$C145,'06'!T$7:T$159)+SUMIF('07'!$D$7:$D$159,$C145,'07'!T$7:T$159)+SUMIF('08'!$D$7:$D$159,$C145,'08'!T$7:T$159)</f>
        <v>0</v>
      </c>
      <c r="S146" s="281">
        <f>SUMIF('02'!$D$7:$D$159,$C145,'02'!U$7:U$159)+SUMIF('03'!$D$7:$D$159,$C145,'03'!U$7:U$159)+SUMIF('04'!$D$7:$D$159,$C145,'04'!U$7:U$159)+SUMIF('05'!$D$7:$D$159,$C145,'05'!U$7:U$159)+SUMIF('06'!$D$7:$D$159,$C145,'06'!U$7:U$159)+SUMIF('07'!$D$7:$D$159,$C145,'07'!U$7:U$159)+SUMIF('08'!$D$7:$D$159,$C145,'08'!U$7:U$159)</f>
        <v>0</v>
      </c>
      <c r="T146" s="282">
        <f>SUMIF('02'!$D$7:$D$159,$C145,'02'!V$7:V$159)+SUMIF('03'!$D$7:$D$159,$C145,'03'!V$7:V$159)+SUMIF('04'!$D$7:$D$159,$C145,'04'!V$7:V$159)+SUMIF('05'!$D$7:$D$159,$C145,'05'!V$7:V$159)+SUMIF('06'!$D$7:$D$159,$C145,'06'!V$7:V$159)+SUMIF('07'!$D$7:$D$159,$C145,'07'!V$7:V$159)+SUMIF('08'!$D$7:$D$159,$C145,'08'!V$7:V$159)</f>
        <v>0</v>
      </c>
      <c r="U146" s="285">
        <f>SUMIF('02'!$D$7:$D$159,$C145,'02'!W$7:W$159)+SUMIF('03'!$D$7:$D$159,$C145,'03'!W$7:W$159)+SUMIF('04'!$D$7:$D$159,$C145,'04'!W$7:W$159)+SUMIF('05'!$D$7:$D$159,$C145,'05'!W$7:W$159)+SUMIF('06'!$D$7:$D$159,$C145,'06'!W$7:W$159)+SUMIF('07'!$D$7:$D$159,$C145,'07'!W$7:W$159)+SUMIF('08'!$D$7:$D$159,$C145,'08'!W$7:W$159)</f>
        <v>0</v>
      </c>
      <c r="V146" s="284">
        <f>SUMIF('02'!$D$7:$D$159,$C145,'02'!X$7:X$159)+SUMIF('03'!$D$7:$D$159,$C145,'03'!X$7:X$159)+SUMIF('04'!$D$7:$D$159,$C145,'04'!X$7:X$159)+SUMIF('05'!$D$7:$D$159,$C145,'05'!X$7:X$159)+SUMIF('06'!$D$7:$D$159,$C145,'06'!X$7:X$159)+SUMIF('07'!$D$7:$D$159,$C145,'07'!X$7:X$159)+SUMIF('08'!$D$7:$D$159,$C145,'08'!X$7:X$159)</f>
        <v>0</v>
      </c>
      <c r="W146" s="284">
        <f>SUMIF('02'!$D$7:$D$159,$C145,'02'!Y$7:Y$159)+SUMIF('03'!$D$7:$D$159,$C145,'03'!Y$7:Y$159)+SUMIF('04'!$D$7:$D$159,$C145,'04'!Y$7:Y$159)+SUMIF('05'!$D$7:$D$159,$C145,'05'!Y$7:Y$159)+SUMIF('06'!$D$7:$D$159,$C145,'06'!Y$7:Y$159)+SUMIF('07'!$D$7:$D$159,$C145,'07'!Y$7:Y$159)+SUMIF('08'!$D$7:$D$159,$C145,'08'!Y$7:Y$159)</f>
        <v>0</v>
      </c>
      <c r="X146" s="286">
        <f t="shared" si="7"/>
        <v>0</v>
      </c>
      <c r="Y146" s="345"/>
      <c r="Z146" s="347"/>
    </row>
    <row r="147" spans="1:26" ht="14.25" customHeight="1" x14ac:dyDescent="0.3">
      <c r="A147" s="178">
        <f>IF(OR(C147="0",COUNTIF(КлючВесна,C147)&gt;1),0,MATCH(F147,ВидыНагр,0))</f>
        <v>0</v>
      </c>
      <c r="B147" s="178" t="b">
        <f>(COUNTA(D147:F148,J147:W147,H147:I148)=0)</f>
        <v>1</v>
      </c>
      <c r="C147" s="179" t="str">
        <f>IF(OR(TRIM(D147)="",COUNTIF(ВидыНагр,F147)&lt;&gt;1),"0",CONCATENATE("$",TRIM(D147),"$",TRIM(E147),"$",F147,"$"))</f>
        <v>0</v>
      </c>
      <c r="D147" s="340"/>
      <c r="E147" s="338"/>
      <c r="F147" s="342"/>
      <c r="G147" s="180" t="s">
        <v>7</v>
      </c>
      <c r="H147" s="181"/>
      <c r="I147" s="182"/>
      <c r="J147" s="183"/>
      <c r="K147" s="184"/>
      <c r="L147" s="185"/>
      <c r="M147" s="183"/>
      <c r="N147" s="184"/>
      <c r="O147" s="186"/>
      <c r="P147" s="183"/>
      <c r="Q147" s="184"/>
      <c r="R147" s="185"/>
      <c r="S147" s="183"/>
      <c r="T147" s="184"/>
      <c r="U147" s="187"/>
      <c r="V147" s="186"/>
      <c r="W147" s="186"/>
      <c r="X147" s="279">
        <f t="shared" si="7"/>
        <v>0</v>
      </c>
      <c r="Y147" s="344">
        <f>X148-X147</f>
        <v>0</v>
      </c>
      <c r="Z147" s="346"/>
    </row>
    <row r="148" spans="1:26" ht="14.25" customHeight="1" x14ac:dyDescent="0.3">
      <c r="A148" s="178">
        <f>-A147</f>
        <v>0</v>
      </c>
      <c r="B148" s="178" t="b">
        <f>B147</f>
        <v>1</v>
      </c>
      <c r="C148" s="188"/>
      <c r="D148" s="341"/>
      <c r="E148" s="339"/>
      <c r="F148" s="343"/>
      <c r="G148" s="189" t="s">
        <v>8</v>
      </c>
      <c r="H148" s="190"/>
      <c r="I148" s="280"/>
      <c r="J148" s="281">
        <f>SUMIF('02'!$D$7:$D$159,$C147,'02'!L$7:L$159)+SUMIF('03'!$D$7:$D$159,$C147,'03'!L$7:L$159)+SUMIF('04'!$D$7:$D$159,$C147,'04'!L$7:L$159)+SUMIF('05'!$D$7:$D$159,$C147,'05'!L$7:L$159)+SUMIF('06'!$D$7:$D$159,$C147,'06'!L$7:L$159)+SUMIF('07'!$D$7:$D$159,$C147,'07'!L$7:L$159)+SUMIF('08'!$D$7:$D$159,$C147,'08'!L$7:L$159)</f>
        <v>0</v>
      </c>
      <c r="K148" s="282">
        <f>SUMIF('02'!$D$7:$D$159,$C147,'02'!M$7:M$159)+SUMIF('03'!$D$7:$D$159,$C147,'03'!M$7:M$159)+SUMIF('04'!$D$7:$D$159,$C147,'04'!M$7:M$159)+SUMIF('05'!$D$7:$D$159,$C147,'05'!M$7:M$159)+SUMIF('06'!$D$7:$D$159,$C147,'06'!M$7:M$159)+SUMIF('07'!$D$7:$D$159,$C147,'07'!M$7:M$159)+SUMIF('08'!$D$7:$D$159,$C147,'08'!M$7:M$159)</f>
        <v>0</v>
      </c>
      <c r="L148" s="283">
        <f>SUMIF('02'!$D$7:$D$159,$C147,'02'!N$7:N$159)+SUMIF('03'!$D$7:$D$159,$C147,'03'!N$7:N$159)+SUMIF('04'!$D$7:$D$159,$C147,'04'!N$7:N$159)+SUMIF('05'!$D$7:$D$159,$C147,'05'!N$7:N$159)+SUMIF('06'!$D$7:$D$159,$C147,'06'!N$7:N$159)+SUMIF('07'!$D$7:$D$159,$C147,'07'!N$7:N$159)+SUMIF('08'!$D$7:$D$159,$C147,'08'!N$7:N$159)</f>
        <v>0</v>
      </c>
      <c r="M148" s="281">
        <f>SUMIF('02'!$D$7:$D$159,$C147,'02'!O$7:O$159)+SUMIF('03'!$D$7:$D$159,$C147,'03'!O$7:O$159)+SUMIF('04'!$D$7:$D$159,$C147,'04'!O$7:O$159)+SUMIF('05'!$D$7:$D$159,$C147,'05'!O$7:O$159)+SUMIF('06'!$D$7:$D$159,$C147,'06'!O$7:O$159)+SUMIF('07'!$D$7:$D$159,$C147,'07'!O$7:O$159)+SUMIF('08'!$D$7:$D$159,$C147,'08'!O$7:O$159)</f>
        <v>0</v>
      </c>
      <c r="N148" s="282">
        <f>SUMIF('02'!$D$7:$D$159,$C147,'02'!P$7:P$159)+SUMIF('03'!$D$7:$D$159,$C147,'03'!P$7:P$159)+SUMIF('04'!$D$7:$D$159,$C147,'04'!P$7:P$159)+SUMIF('05'!$D$7:$D$159,$C147,'05'!P$7:P$159)+SUMIF('06'!$D$7:$D$159,$C147,'06'!P$7:P$159)+SUMIF('07'!$D$7:$D$159,$C147,'07'!P$7:P$159)+SUMIF('08'!$D$7:$D$159,$C147,'08'!P$7:P$159)</f>
        <v>0</v>
      </c>
      <c r="O148" s="284">
        <f>SUMIF('02'!$D$7:$D$159,$C147,'02'!Q$7:Q$159)+SUMIF('03'!$D$7:$D$159,$C147,'03'!Q$7:Q$159)+SUMIF('04'!$D$7:$D$159,$C147,'04'!Q$7:Q$159)+SUMIF('05'!$D$7:$D$159,$C147,'05'!Q$7:Q$159)+SUMIF('06'!$D$7:$D$159,$C147,'06'!Q$7:Q$159)+SUMIF('07'!$D$7:$D$159,$C147,'07'!Q$7:Q$159)+SUMIF('08'!$D$7:$D$159,$C147,'08'!Q$7:Q$159)</f>
        <v>0</v>
      </c>
      <c r="P148" s="281">
        <f>SUMIF('02'!$D$7:$D$159,$C147,'02'!R$7:R$159)+SUMIF('03'!$D$7:$D$159,$C147,'03'!R$7:R$159)+SUMIF('04'!$D$7:$D$159,$C147,'04'!R$7:R$159)+SUMIF('05'!$D$7:$D$159,$C147,'05'!R$7:R$159)+SUMIF('06'!$D$7:$D$159,$C147,'06'!R$7:R$159)+SUMIF('07'!$D$7:$D$159,$C147,'07'!R$7:R$159)+SUMIF('08'!$D$7:$D$159,$C147,'08'!R$7:R$159)</f>
        <v>0</v>
      </c>
      <c r="Q148" s="282">
        <f>SUMIF('02'!$D$7:$D$159,$C147,'02'!S$7:S$159)+SUMIF('03'!$D$7:$D$159,$C147,'03'!S$7:S$159)+SUMIF('04'!$D$7:$D$159,$C147,'04'!S$7:S$159)+SUMIF('05'!$D$7:$D$159,$C147,'05'!S$7:S$159)+SUMIF('06'!$D$7:$D$159,$C147,'06'!S$7:S$159)+SUMIF('07'!$D$7:$D$159,$C147,'07'!S$7:S$159)+SUMIF('08'!$D$7:$D$159,$C147,'08'!S$7:S$159)</f>
        <v>0</v>
      </c>
      <c r="R148" s="283">
        <f>SUMIF('02'!$D$7:$D$159,$C147,'02'!T$7:T$159)+SUMIF('03'!$D$7:$D$159,$C147,'03'!T$7:T$159)+SUMIF('04'!$D$7:$D$159,$C147,'04'!T$7:T$159)+SUMIF('05'!$D$7:$D$159,$C147,'05'!T$7:T$159)+SUMIF('06'!$D$7:$D$159,$C147,'06'!T$7:T$159)+SUMIF('07'!$D$7:$D$159,$C147,'07'!T$7:T$159)+SUMIF('08'!$D$7:$D$159,$C147,'08'!T$7:T$159)</f>
        <v>0</v>
      </c>
      <c r="S148" s="281">
        <f>SUMIF('02'!$D$7:$D$159,$C147,'02'!U$7:U$159)+SUMIF('03'!$D$7:$D$159,$C147,'03'!U$7:U$159)+SUMIF('04'!$D$7:$D$159,$C147,'04'!U$7:U$159)+SUMIF('05'!$D$7:$D$159,$C147,'05'!U$7:U$159)+SUMIF('06'!$D$7:$D$159,$C147,'06'!U$7:U$159)+SUMIF('07'!$D$7:$D$159,$C147,'07'!U$7:U$159)+SUMIF('08'!$D$7:$D$159,$C147,'08'!U$7:U$159)</f>
        <v>0</v>
      </c>
      <c r="T148" s="282">
        <f>SUMIF('02'!$D$7:$D$159,$C147,'02'!V$7:V$159)+SUMIF('03'!$D$7:$D$159,$C147,'03'!V$7:V$159)+SUMIF('04'!$D$7:$D$159,$C147,'04'!V$7:V$159)+SUMIF('05'!$D$7:$D$159,$C147,'05'!V$7:V$159)+SUMIF('06'!$D$7:$D$159,$C147,'06'!V$7:V$159)+SUMIF('07'!$D$7:$D$159,$C147,'07'!V$7:V$159)+SUMIF('08'!$D$7:$D$159,$C147,'08'!V$7:V$159)</f>
        <v>0</v>
      </c>
      <c r="U148" s="285">
        <f>SUMIF('02'!$D$7:$D$159,$C147,'02'!W$7:W$159)+SUMIF('03'!$D$7:$D$159,$C147,'03'!W$7:W$159)+SUMIF('04'!$D$7:$D$159,$C147,'04'!W$7:W$159)+SUMIF('05'!$D$7:$D$159,$C147,'05'!W$7:W$159)+SUMIF('06'!$D$7:$D$159,$C147,'06'!W$7:W$159)+SUMIF('07'!$D$7:$D$159,$C147,'07'!W$7:W$159)+SUMIF('08'!$D$7:$D$159,$C147,'08'!W$7:W$159)</f>
        <v>0</v>
      </c>
      <c r="V148" s="284">
        <f>SUMIF('02'!$D$7:$D$159,$C147,'02'!X$7:X$159)+SUMIF('03'!$D$7:$D$159,$C147,'03'!X$7:X$159)+SUMIF('04'!$D$7:$D$159,$C147,'04'!X$7:X$159)+SUMIF('05'!$D$7:$D$159,$C147,'05'!X$7:X$159)+SUMIF('06'!$D$7:$D$159,$C147,'06'!X$7:X$159)+SUMIF('07'!$D$7:$D$159,$C147,'07'!X$7:X$159)+SUMIF('08'!$D$7:$D$159,$C147,'08'!X$7:X$159)</f>
        <v>0</v>
      </c>
      <c r="W148" s="284">
        <f>SUMIF('02'!$D$7:$D$159,$C147,'02'!Y$7:Y$159)+SUMIF('03'!$D$7:$D$159,$C147,'03'!Y$7:Y$159)+SUMIF('04'!$D$7:$D$159,$C147,'04'!Y$7:Y$159)+SUMIF('05'!$D$7:$D$159,$C147,'05'!Y$7:Y$159)+SUMIF('06'!$D$7:$D$159,$C147,'06'!Y$7:Y$159)+SUMIF('07'!$D$7:$D$159,$C147,'07'!Y$7:Y$159)+SUMIF('08'!$D$7:$D$159,$C147,'08'!Y$7:Y$159)</f>
        <v>0</v>
      </c>
      <c r="X148" s="286">
        <f t="shared" si="7"/>
        <v>0</v>
      </c>
      <c r="Y148" s="345"/>
      <c r="Z148" s="347"/>
    </row>
    <row r="149" spans="1:26" ht="14.25" customHeight="1" x14ac:dyDescent="0.3">
      <c r="A149" s="178">
        <f>IF(OR(C149="0",COUNTIF(КлючВесна,C149)&gt;1),0,MATCH(F149,ВидыНагр,0))</f>
        <v>0</v>
      </c>
      <c r="B149" s="178" t="b">
        <f>(COUNTA(D149:F150,J149:W149,H149:I150)=0)</f>
        <v>1</v>
      </c>
      <c r="C149" s="179" t="str">
        <f>IF(OR(TRIM(D149)="",COUNTIF(ВидыНагр,F149)&lt;&gt;1),"0",CONCATENATE("$",TRIM(D149),"$",TRIM(E149),"$",F149,"$"))</f>
        <v>0</v>
      </c>
      <c r="D149" s="340"/>
      <c r="E149" s="338"/>
      <c r="F149" s="342"/>
      <c r="G149" s="180" t="s">
        <v>7</v>
      </c>
      <c r="H149" s="181"/>
      <c r="I149" s="182"/>
      <c r="J149" s="183"/>
      <c r="K149" s="184"/>
      <c r="L149" s="185"/>
      <c r="M149" s="183"/>
      <c r="N149" s="184"/>
      <c r="O149" s="186"/>
      <c r="P149" s="183"/>
      <c r="Q149" s="184"/>
      <c r="R149" s="185"/>
      <c r="S149" s="183"/>
      <c r="T149" s="184"/>
      <c r="U149" s="187"/>
      <c r="V149" s="186"/>
      <c r="W149" s="186"/>
      <c r="X149" s="279">
        <f t="shared" si="7"/>
        <v>0</v>
      </c>
      <c r="Y149" s="344">
        <f>X150-X149</f>
        <v>0</v>
      </c>
      <c r="Z149" s="346"/>
    </row>
    <row r="150" spans="1:26" ht="14.25" customHeight="1" x14ac:dyDescent="0.3">
      <c r="A150" s="178">
        <f>-A149</f>
        <v>0</v>
      </c>
      <c r="B150" s="178" t="b">
        <f>B149</f>
        <v>1</v>
      </c>
      <c r="C150" s="188"/>
      <c r="D150" s="341"/>
      <c r="E150" s="339"/>
      <c r="F150" s="343"/>
      <c r="G150" s="189" t="s">
        <v>8</v>
      </c>
      <c r="H150" s="190"/>
      <c r="I150" s="280"/>
      <c r="J150" s="281">
        <f>SUMIF('02'!$D$7:$D$159,$C149,'02'!L$7:L$159)+SUMIF('03'!$D$7:$D$159,$C149,'03'!L$7:L$159)+SUMIF('04'!$D$7:$D$159,$C149,'04'!L$7:L$159)+SUMIF('05'!$D$7:$D$159,$C149,'05'!L$7:L$159)+SUMIF('06'!$D$7:$D$159,$C149,'06'!L$7:L$159)+SUMIF('07'!$D$7:$D$159,$C149,'07'!L$7:L$159)+SUMIF('08'!$D$7:$D$159,$C149,'08'!L$7:L$159)</f>
        <v>0</v>
      </c>
      <c r="K150" s="282">
        <f>SUMIF('02'!$D$7:$D$159,$C149,'02'!M$7:M$159)+SUMIF('03'!$D$7:$D$159,$C149,'03'!M$7:M$159)+SUMIF('04'!$D$7:$D$159,$C149,'04'!M$7:M$159)+SUMIF('05'!$D$7:$D$159,$C149,'05'!M$7:M$159)+SUMIF('06'!$D$7:$D$159,$C149,'06'!M$7:M$159)+SUMIF('07'!$D$7:$D$159,$C149,'07'!M$7:M$159)+SUMIF('08'!$D$7:$D$159,$C149,'08'!M$7:M$159)</f>
        <v>0</v>
      </c>
      <c r="L150" s="283">
        <f>SUMIF('02'!$D$7:$D$159,$C149,'02'!N$7:N$159)+SUMIF('03'!$D$7:$D$159,$C149,'03'!N$7:N$159)+SUMIF('04'!$D$7:$D$159,$C149,'04'!N$7:N$159)+SUMIF('05'!$D$7:$D$159,$C149,'05'!N$7:N$159)+SUMIF('06'!$D$7:$D$159,$C149,'06'!N$7:N$159)+SUMIF('07'!$D$7:$D$159,$C149,'07'!N$7:N$159)+SUMIF('08'!$D$7:$D$159,$C149,'08'!N$7:N$159)</f>
        <v>0</v>
      </c>
      <c r="M150" s="281">
        <f>SUMIF('02'!$D$7:$D$159,$C149,'02'!O$7:O$159)+SUMIF('03'!$D$7:$D$159,$C149,'03'!O$7:O$159)+SUMIF('04'!$D$7:$D$159,$C149,'04'!O$7:O$159)+SUMIF('05'!$D$7:$D$159,$C149,'05'!O$7:O$159)+SUMIF('06'!$D$7:$D$159,$C149,'06'!O$7:O$159)+SUMIF('07'!$D$7:$D$159,$C149,'07'!O$7:O$159)+SUMIF('08'!$D$7:$D$159,$C149,'08'!O$7:O$159)</f>
        <v>0</v>
      </c>
      <c r="N150" s="282">
        <f>SUMIF('02'!$D$7:$D$159,$C149,'02'!P$7:P$159)+SUMIF('03'!$D$7:$D$159,$C149,'03'!P$7:P$159)+SUMIF('04'!$D$7:$D$159,$C149,'04'!P$7:P$159)+SUMIF('05'!$D$7:$D$159,$C149,'05'!P$7:P$159)+SUMIF('06'!$D$7:$D$159,$C149,'06'!P$7:P$159)+SUMIF('07'!$D$7:$D$159,$C149,'07'!P$7:P$159)+SUMIF('08'!$D$7:$D$159,$C149,'08'!P$7:P$159)</f>
        <v>0</v>
      </c>
      <c r="O150" s="284">
        <f>SUMIF('02'!$D$7:$D$159,$C149,'02'!Q$7:Q$159)+SUMIF('03'!$D$7:$D$159,$C149,'03'!Q$7:Q$159)+SUMIF('04'!$D$7:$D$159,$C149,'04'!Q$7:Q$159)+SUMIF('05'!$D$7:$D$159,$C149,'05'!Q$7:Q$159)+SUMIF('06'!$D$7:$D$159,$C149,'06'!Q$7:Q$159)+SUMIF('07'!$D$7:$D$159,$C149,'07'!Q$7:Q$159)+SUMIF('08'!$D$7:$D$159,$C149,'08'!Q$7:Q$159)</f>
        <v>0</v>
      </c>
      <c r="P150" s="281">
        <f>SUMIF('02'!$D$7:$D$159,$C149,'02'!R$7:R$159)+SUMIF('03'!$D$7:$D$159,$C149,'03'!R$7:R$159)+SUMIF('04'!$D$7:$D$159,$C149,'04'!R$7:R$159)+SUMIF('05'!$D$7:$D$159,$C149,'05'!R$7:R$159)+SUMIF('06'!$D$7:$D$159,$C149,'06'!R$7:R$159)+SUMIF('07'!$D$7:$D$159,$C149,'07'!R$7:R$159)+SUMIF('08'!$D$7:$D$159,$C149,'08'!R$7:R$159)</f>
        <v>0</v>
      </c>
      <c r="Q150" s="282">
        <f>SUMIF('02'!$D$7:$D$159,$C149,'02'!S$7:S$159)+SUMIF('03'!$D$7:$D$159,$C149,'03'!S$7:S$159)+SUMIF('04'!$D$7:$D$159,$C149,'04'!S$7:S$159)+SUMIF('05'!$D$7:$D$159,$C149,'05'!S$7:S$159)+SUMIF('06'!$D$7:$D$159,$C149,'06'!S$7:S$159)+SUMIF('07'!$D$7:$D$159,$C149,'07'!S$7:S$159)+SUMIF('08'!$D$7:$D$159,$C149,'08'!S$7:S$159)</f>
        <v>0</v>
      </c>
      <c r="R150" s="283">
        <f>SUMIF('02'!$D$7:$D$159,$C149,'02'!T$7:T$159)+SUMIF('03'!$D$7:$D$159,$C149,'03'!T$7:T$159)+SUMIF('04'!$D$7:$D$159,$C149,'04'!T$7:T$159)+SUMIF('05'!$D$7:$D$159,$C149,'05'!T$7:T$159)+SUMIF('06'!$D$7:$D$159,$C149,'06'!T$7:T$159)+SUMIF('07'!$D$7:$D$159,$C149,'07'!T$7:T$159)+SUMIF('08'!$D$7:$D$159,$C149,'08'!T$7:T$159)</f>
        <v>0</v>
      </c>
      <c r="S150" s="281">
        <f>SUMIF('02'!$D$7:$D$159,$C149,'02'!U$7:U$159)+SUMIF('03'!$D$7:$D$159,$C149,'03'!U$7:U$159)+SUMIF('04'!$D$7:$D$159,$C149,'04'!U$7:U$159)+SUMIF('05'!$D$7:$D$159,$C149,'05'!U$7:U$159)+SUMIF('06'!$D$7:$D$159,$C149,'06'!U$7:U$159)+SUMIF('07'!$D$7:$D$159,$C149,'07'!U$7:U$159)+SUMIF('08'!$D$7:$D$159,$C149,'08'!U$7:U$159)</f>
        <v>0</v>
      </c>
      <c r="T150" s="282">
        <f>SUMIF('02'!$D$7:$D$159,$C149,'02'!V$7:V$159)+SUMIF('03'!$D$7:$D$159,$C149,'03'!V$7:V$159)+SUMIF('04'!$D$7:$D$159,$C149,'04'!V$7:V$159)+SUMIF('05'!$D$7:$D$159,$C149,'05'!V$7:V$159)+SUMIF('06'!$D$7:$D$159,$C149,'06'!V$7:V$159)+SUMIF('07'!$D$7:$D$159,$C149,'07'!V$7:V$159)+SUMIF('08'!$D$7:$D$159,$C149,'08'!V$7:V$159)</f>
        <v>0</v>
      </c>
      <c r="U150" s="285">
        <f>SUMIF('02'!$D$7:$D$159,$C149,'02'!W$7:W$159)+SUMIF('03'!$D$7:$D$159,$C149,'03'!W$7:W$159)+SUMIF('04'!$D$7:$D$159,$C149,'04'!W$7:W$159)+SUMIF('05'!$D$7:$D$159,$C149,'05'!W$7:W$159)+SUMIF('06'!$D$7:$D$159,$C149,'06'!W$7:W$159)+SUMIF('07'!$D$7:$D$159,$C149,'07'!W$7:W$159)+SUMIF('08'!$D$7:$D$159,$C149,'08'!W$7:W$159)</f>
        <v>0</v>
      </c>
      <c r="V150" s="284">
        <f>SUMIF('02'!$D$7:$D$159,$C149,'02'!X$7:X$159)+SUMIF('03'!$D$7:$D$159,$C149,'03'!X$7:X$159)+SUMIF('04'!$D$7:$D$159,$C149,'04'!X$7:X$159)+SUMIF('05'!$D$7:$D$159,$C149,'05'!X$7:X$159)+SUMIF('06'!$D$7:$D$159,$C149,'06'!X$7:X$159)+SUMIF('07'!$D$7:$D$159,$C149,'07'!X$7:X$159)+SUMIF('08'!$D$7:$D$159,$C149,'08'!X$7:X$159)</f>
        <v>0</v>
      </c>
      <c r="W150" s="284">
        <f>SUMIF('02'!$D$7:$D$159,$C149,'02'!Y$7:Y$159)+SUMIF('03'!$D$7:$D$159,$C149,'03'!Y$7:Y$159)+SUMIF('04'!$D$7:$D$159,$C149,'04'!Y$7:Y$159)+SUMIF('05'!$D$7:$D$159,$C149,'05'!Y$7:Y$159)+SUMIF('06'!$D$7:$D$159,$C149,'06'!Y$7:Y$159)+SUMIF('07'!$D$7:$D$159,$C149,'07'!Y$7:Y$159)+SUMIF('08'!$D$7:$D$159,$C149,'08'!Y$7:Y$159)</f>
        <v>0</v>
      </c>
      <c r="X150" s="286">
        <f t="shared" si="7"/>
        <v>0</v>
      </c>
      <c r="Y150" s="345"/>
      <c r="Z150" s="347"/>
    </row>
    <row r="151" spans="1:26" ht="14.25" customHeight="1" x14ac:dyDescent="0.3">
      <c r="A151" s="178">
        <f>IF(OR(C151="0",COUNTIF(КлючВесна,C151)&gt;1),0,MATCH(F151,ВидыНагр,0))</f>
        <v>0</v>
      </c>
      <c r="B151" s="178" t="b">
        <f>(COUNTA(D151:F152,J151:W151,H151:I152)=0)</f>
        <v>1</v>
      </c>
      <c r="C151" s="179" t="str">
        <f>IF(OR(TRIM(D151)="",COUNTIF(ВидыНагр,F151)&lt;&gt;1),"0",CONCATENATE("$",TRIM(D151),"$",TRIM(E151),"$",F151,"$"))</f>
        <v>0</v>
      </c>
      <c r="D151" s="340"/>
      <c r="E151" s="338"/>
      <c r="F151" s="342"/>
      <c r="G151" s="180" t="s">
        <v>7</v>
      </c>
      <c r="H151" s="181"/>
      <c r="I151" s="182"/>
      <c r="J151" s="183"/>
      <c r="K151" s="184"/>
      <c r="L151" s="185"/>
      <c r="M151" s="183"/>
      <c r="N151" s="184"/>
      <c r="O151" s="186"/>
      <c r="P151" s="183"/>
      <c r="Q151" s="184"/>
      <c r="R151" s="185"/>
      <c r="S151" s="183"/>
      <c r="T151" s="184"/>
      <c r="U151" s="187"/>
      <c r="V151" s="186"/>
      <c r="W151" s="186"/>
      <c r="X151" s="279">
        <f t="shared" si="7"/>
        <v>0</v>
      </c>
      <c r="Y151" s="344">
        <f>X152-X151</f>
        <v>0</v>
      </c>
      <c r="Z151" s="346"/>
    </row>
    <row r="152" spans="1:26" ht="14.25" customHeight="1" x14ac:dyDescent="0.3">
      <c r="A152" s="178">
        <f>-A151</f>
        <v>0</v>
      </c>
      <c r="B152" s="178" t="b">
        <f>B151</f>
        <v>1</v>
      </c>
      <c r="C152" s="188"/>
      <c r="D152" s="341"/>
      <c r="E152" s="339"/>
      <c r="F152" s="343"/>
      <c r="G152" s="189" t="s">
        <v>8</v>
      </c>
      <c r="H152" s="190"/>
      <c r="I152" s="280"/>
      <c r="J152" s="281">
        <f>SUMIF('02'!$D$7:$D$159,$C151,'02'!L$7:L$159)+SUMIF('03'!$D$7:$D$159,$C151,'03'!L$7:L$159)+SUMIF('04'!$D$7:$D$159,$C151,'04'!L$7:L$159)+SUMIF('05'!$D$7:$D$159,$C151,'05'!L$7:L$159)+SUMIF('06'!$D$7:$D$159,$C151,'06'!L$7:L$159)+SUMIF('07'!$D$7:$D$159,$C151,'07'!L$7:L$159)+SUMIF('08'!$D$7:$D$159,$C151,'08'!L$7:L$159)</f>
        <v>0</v>
      </c>
      <c r="K152" s="282">
        <f>SUMIF('02'!$D$7:$D$159,$C151,'02'!M$7:M$159)+SUMIF('03'!$D$7:$D$159,$C151,'03'!M$7:M$159)+SUMIF('04'!$D$7:$D$159,$C151,'04'!M$7:M$159)+SUMIF('05'!$D$7:$D$159,$C151,'05'!M$7:M$159)+SUMIF('06'!$D$7:$D$159,$C151,'06'!M$7:M$159)+SUMIF('07'!$D$7:$D$159,$C151,'07'!M$7:M$159)+SUMIF('08'!$D$7:$D$159,$C151,'08'!M$7:M$159)</f>
        <v>0</v>
      </c>
      <c r="L152" s="283">
        <f>SUMIF('02'!$D$7:$D$159,$C151,'02'!N$7:N$159)+SUMIF('03'!$D$7:$D$159,$C151,'03'!N$7:N$159)+SUMIF('04'!$D$7:$D$159,$C151,'04'!N$7:N$159)+SUMIF('05'!$D$7:$D$159,$C151,'05'!N$7:N$159)+SUMIF('06'!$D$7:$D$159,$C151,'06'!N$7:N$159)+SUMIF('07'!$D$7:$D$159,$C151,'07'!N$7:N$159)+SUMIF('08'!$D$7:$D$159,$C151,'08'!N$7:N$159)</f>
        <v>0</v>
      </c>
      <c r="M152" s="281">
        <f>SUMIF('02'!$D$7:$D$159,$C151,'02'!O$7:O$159)+SUMIF('03'!$D$7:$D$159,$C151,'03'!O$7:O$159)+SUMIF('04'!$D$7:$D$159,$C151,'04'!O$7:O$159)+SUMIF('05'!$D$7:$D$159,$C151,'05'!O$7:O$159)+SUMIF('06'!$D$7:$D$159,$C151,'06'!O$7:O$159)+SUMIF('07'!$D$7:$D$159,$C151,'07'!O$7:O$159)+SUMIF('08'!$D$7:$D$159,$C151,'08'!O$7:O$159)</f>
        <v>0</v>
      </c>
      <c r="N152" s="282">
        <f>SUMIF('02'!$D$7:$D$159,$C151,'02'!P$7:P$159)+SUMIF('03'!$D$7:$D$159,$C151,'03'!P$7:P$159)+SUMIF('04'!$D$7:$D$159,$C151,'04'!P$7:P$159)+SUMIF('05'!$D$7:$D$159,$C151,'05'!P$7:P$159)+SUMIF('06'!$D$7:$D$159,$C151,'06'!P$7:P$159)+SUMIF('07'!$D$7:$D$159,$C151,'07'!P$7:P$159)+SUMIF('08'!$D$7:$D$159,$C151,'08'!P$7:P$159)</f>
        <v>0</v>
      </c>
      <c r="O152" s="284">
        <f>SUMIF('02'!$D$7:$D$159,$C151,'02'!Q$7:Q$159)+SUMIF('03'!$D$7:$D$159,$C151,'03'!Q$7:Q$159)+SUMIF('04'!$D$7:$D$159,$C151,'04'!Q$7:Q$159)+SUMIF('05'!$D$7:$D$159,$C151,'05'!Q$7:Q$159)+SUMIF('06'!$D$7:$D$159,$C151,'06'!Q$7:Q$159)+SUMIF('07'!$D$7:$D$159,$C151,'07'!Q$7:Q$159)+SUMIF('08'!$D$7:$D$159,$C151,'08'!Q$7:Q$159)</f>
        <v>0</v>
      </c>
      <c r="P152" s="281">
        <f>SUMIF('02'!$D$7:$D$159,$C151,'02'!R$7:R$159)+SUMIF('03'!$D$7:$D$159,$C151,'03'!R$7:R$159)+SUMIF('04'!$D$7:$D$159,$C151,'04'!R$7:R$159)+SUMIF('05'!$D$7:$D$159,$C151,'05'!R$7:R$159)+SUMIF('06'!$D$7:$D$159,$C151,'06'!R$7:R$159)+SUMIF('07'!$D$7:$D$159,$C151,'07'!R$7:R$159)+SUMIF('08'!$D$7:$D$159,$C151,'08'!R$7:R$159)</f>
        <v>0</v>
      </c>
      <c r="Q152" s="282">
        <f>SUMIF('02'!$D$7:$D$159,$C151,'02'!S$7:S$159)+SUMIF('03'!$D$7:$D$159,$C151,'03'!S$7:S$159)+SUMIF('04'!$D$7:$D$159,$C151,'04'!S$7:S$159)+SUMIF('05'!$D$7:$D$159,$C151,'05'!S$7:S$159)+SUMIF('06'!$D$7:$D$159,$C151,'06'!S$7:S$159)+SUMIF('07'!$D$7:$D$159,$C151,'07'!S$7:S$159)+SUMIF('08'!$D$7:$D$159,$C151,'08'!S$7:S$159)</f>
        <v>0</v>
      </c>
      <c r="R152" s="283">
        <f>SUMIF('02'!$D$7:$D$159,$C151,'02'!T$7:T$159)+SUMIF('03'!$D$7:$D$159,$C151,'03'!T$7:T$159)+SUMIF('04'!$D$7:$D$159,$C151,'04'!T$7:T$159)+SUMIF('05'!$D$7:$D$159,$C151,'05'!T$7:T$159)+SUMIF('06'!$D$7:$D$159,$C151,'06'!T$7:T$159)+SUMIF('07'!$D$7:$D$159,$C151,'07'!T$7:T$159)+SUMIF('08'!$D$7:$D$159,$C151,'08'!T$7:T$159)</f>
        <v>0</v>
      </c>
      <c r="S152" s="281">
        <f>SUMIF('02'!$D$7:$D$159,$C151,'02'!U$7:U$159)+SUMIF('03'!$D$7:$D$159,$C151,'03'!U$7:U$159)+SUMIF('04'!$D$7:$D$159,$C151,'04'!U$7:U$159)+SUMIF('05'!$D$7:$D$159,$C151,'05'!U$7:U$159)+SUMIF('06'!$D$7:$D$159,$C151,'06'!U$7:U$159)+SUMIF('07'!$D$7:$D$159,$C151,'07'!U$7:U$159)+SUMIF('08'!$D$7:$D$159,$C151,'08'!U$7:U$159)</f>
        <v>0</v>
      </c>
      <c r="T152" s="282">
        <f>SUMIF('02'!$D$7:$D$159,$C151,'02'!V$7:V$159)+SUMIF('03'!$D$7:$D$159,$C151,'03'!V$7:V$159)+SUMIF('04'!$D$7:$D$159,$C151,'04'!V$7:V$159)+SUMIF('05'!$D$7:$D$159,$C151,'05'!V$7:V$159)+SUMIF('06'!$D$7:$D$159,$C151,'06'!V$7:V$159)+SUMIF('07'!$D$7:$D$159,$C151,'07'!V$7:V$159)+SUMIF('08'!$D$7:$D$159,$C151,'08'!V$7:V$159)</f>
        <v>0</v>
      </c>
      <c r="U152" s="285">
        <f>SUMIF('02'!$D$7:$D$159,$C151,'02'!W$7:W$159)+SUMIF('03'!$D$7:$D$159,$C151,'03'!W$7:W$159)+SUMIF('04'!$D$7:$D$159,$C151,'04'!W$7:W$159)+SUMIF('05'!$D$7:$D$159,$C151,'05'!W$7:W$159)+SUMIF('06'!$D$7:$D$159,$C151,'06'!W$7:W$159)+SUMIF('07'!$D$7:$D$159,$C151,'07'!W$7:W$159)+SUMIF('08'!$D$7:$D$159,$C151,'08'!W$7:W$159)</f>
        <v>0</v>
      </c>
      <c r="V152" s="284">
        <f>SUMIF('02'!$D$7:$D$159,$C151,'02'!X$7:X$159)+SUMIF('03'!$D$7:$D$159,$C151,'03'!X$7:X$159)+SUMIF('04'!$D$7:$D$159,$C151,'04'!X$7:X$159)+SUMIF('05'!$D$7:$D$159,$C151,'05'!X$7:X$159)+SUMIF('06'!$D$7:$D$159,$C151,'06'!X$7:X$159)+SUMIF('07'!$D$7:$D$159,$C151,'07'!X$7:X$159)+SUMIF('08'!$D$7:$D$159,$C151,'08'!X$7:X$159)</f>
        <v>0</v>
      </c>
      <c r="W152" s="284">
        <f>SUMIF('02'!$D$7:$D$159,$C151,'02'!Y$7:Y$159)+SUMIF('03'!$D$7:$D$159,$C151,'03'!Y$7:Y$159)+SUMIF('04'!$D$7:$D$159,$C151,'04'!Y$7:Y$159)+SUMIF('05'!$D$7:$D$159,$C151,'05'!Y$7:Y$159)+SUMIF('06'!$D$7:$D$159,$C151,'06'!Y$7:Y$159)+SUMIF('07'!$D$7:$D$159,$C151,'07'!Y$7:Y$159)+SUMIF('08'!$D$7:$D$159,$C151,'08'!Y$7:Y$159)</f>
        <v>0</v>
      </c>
      <c r="X152" s="286">
        <f t="shared" si="7"/>
        <v>0</v>
      </c>
      <c r="Y152" s="345"/>
      <c r="Z152" s="347"/>
    </row>
    <row r="153" spans="1:26" ht="14.25" customHeight="1" x14ac:dyDescent="0.3">
      <c r="A153" s="178">
        <f>IF(OR(C153="0",COUNTIF(КлючВесна,C153)&gt;1),0,MATCH(F153,ВидыНагр,0))</f>
        <v>0</v>
      </c>
      <c r="B153" s="178" t="b">
        <f>(COUNTA(D153:F154,J153:W153,H153:I154)=0)</f>
        <v>1</v>
      </c>
      <c r="C153" s="179" t="str">
        <f>IF(OR(TRIM(D153)="",COUNTIF(ВидыНагр,F153)&lt;&gt;1),"0",CONCATENATE("$",TRIM(D153),"$",TRIM(E153),"$",F153,"$"))</f>
        <v>0</v>
      </c>
      <c r="D153" s="340"/>
      <c r="E153" s="338"/>
      <c r="F153" s="342"/>
      <c r="G153" s="180" t="s">
        <v>7</v>
      </c>
      <c r="H153" s="181"/>
      <c r="I153" s="182"/>
      <c r="J153" s="183"/>
      <c r="K153" s="184"/>
      <c r="L153" s="185"/>
      <c r="M153" s="183"/>
      <c r="N153" s="184"/>
      <c r="O153" s="186"/>
      <c r="P153" s="183"/>
      <c r="Q153" s="184"/>
      <c r="R153" s="185"/>
      <c r="S153" s="183"/>
      <c r="T153" s="184"/>
      <c r="U153" s="187"/>
      <c r="V153" s="186"/>
      <c r="W153" s="186"/>
      <c r="X153" s="279">
        <f t="shared" si="7"/>
        <v>0</v>
      </c>
      <c r="Y153" s="344">
        <f>X154-X153</f>
        <v>0</v>
      </c>
      <c r="Z153" s="346"/>
    </row>
    <row r="154" spans="1:26" ht="14.25" customHeight="1" x14ac:dyDescent="0.3">
      <c r="A154" s="178">
        <f>-A153</f>
        <v>0</v>
      </c>
      <c r="B154" s="178" t="b">
        <f>B153</f>
        <v>1</v>
      </c>
      <c r="C154" s="188"/>
      <c r="D154" s="341"/>
      <c r="E154" s="339"/>
      <c r="F154" s="343"/>
      <c r="G154" s="189" t="s">
        <v>8</v>
      </c>
      <c r="H154" s="190"/>
      <c r="I154" s="280"/>
      <c r="J154" s="281">
        <f>SUMIF('02'!$D$7:$D$159,$C153,'02'!L$7:L$159)+SUMIF('03'!$D$7:$D$159,$C153,'03'!L$7:L$159)+SUMIF('04'!$D$7:$D$159,$C153,'04'!L$7:L$159)+SUMIF('05'!$D$7:$D$159,$C153,'05'!L$7:L$159)+SUMIF('06'!$D$7:$D$159,$C153,'06'!L$7:L$159)+SUMIF('07'!$D$7:$D$159,$C153,'07'!L$7:L$159)+SUMIF('08'!$D$7:$D$159,$C153,'08'!L$7:L$159)</f>
        <v>0</v>
      </c>
      <c r="K154" s="282">
        <f>SUMIF('02'!$D$7:$D$159,$C153,'02'!M$7:M$159)+SUMIF('03'!$D$7:$D$159,$C153,'03'!M$7:M$159)+SUMIF('04'!$D$7:$D$159,$C153,'04'!M$7:M$159)+SUMIF('05'!$D$7:$D$159,$C153,'05'!M$7:M$159)+SUMIF('06'!$D$7:$D$159,$C153,'06'!M$7:M$159)+SUMIF('07'!$D$7:$D$159,$C153,'07'!M$7:M$159)+SUMIF('08'!$D$7:$D$159,$C153,'08'!M$7:M$159)</f>
        <v>0</v>
      </c>
      <c r="L154" s="283">
        <f>SUMIF('02'!$D$7:$D$159,$C153,'02'!N$7:N$159)+SUMIF('03'!$D$7:$D$159,$C153,'03'!N$7:N$159)+SUMIF('04'!$D$7:$D$159,$C153,'04'!N$7:N$159)+SUMIF('05'!$D$7:$D$159,$C153,'05'!N$7:N$159)+SUMIF('06'!$D$7:$D$159,$C153,'06'!N$7:N$159)+SUMIF('07'!$D$7:$D$159,$C153,'07'!N$7:N$159)+SUMIF('08'!$D$7:$D$159,$C153,'08'!N$7:N$159)</f>
        <v>0</v>
      </c>
      <c r="M154" s="281">
        <f>SUMIF('02'!$D$7:$D$159,$C153,'02'!O$7:O$159)+SUMIF('03'!$D$7:$D$159,$C153,'03'!O$7:O$159)+SUMIF('04'!$D$7:$D$159,$C153,'04'!O$7:O$159)+SUMIF('05'!$D$7:$D$159,$C153,'05'!O$7:O$159)+SUMIF('06'!$D$7:$D$159,$C153,'06'!O$7:O$159)+SUMIF('07'!$D$7:$D$159,$C153,'07'!O$7:O$159)+SUMIF('08'!$D$7:$D$159,$C153,'08'!O$7:O$159)</f>
        <v>0</v>
      </c>
      <c r="N154" s="282">
        <f>SUMIF('02'!$D$7:$D$159,$C153,'02'!P$7:P$159)+SUMIF('03'!$D$7:$D$159,$C153,'03'!P$7:P$159)+SUMIF('04'!$D$7:$D$159,$C153,'04'!P$7:P$159)+SUMIF('05'!$D$7:$D$159,$C153,'05'!P$7:P$159)+SUMIF('06'!$D$7:$D$159,$C153,'06'!P$7:P$159)+SUMIF('07'!$D$7:$D$159,$C153,'07'!P$7:P$159)+SUMIF('08'!$D$7:$D$159,$C153,'08'!P$7:P$159)</f>
        <v>0</v>
      </c>
      <c r="O154" s="284">
        <f>SUMIF('02'!$D$7:$D$159,$C153,'02'!Q$7:Q$159)+SUMIF('03'!$D$7:$D$159,$C153,'03'!Q$7:Q$159)+SUMIF('04'!$D$7:$D$159,$C153,'04'!Q$7:Q$159)+SUMIF('05'!$D$7:$D$159,$C153,'05'!Q$7:Q$159)+SUMIF('06'!$D$7:$D$159,$C153,'06'!Q$7:Q$159)+SUMIF('07'!$D$7:$D$159,$C153,'07'!Q$7:Q$159)+SUMIF('08'!$D$7:$D$159,$C153,'08'!Q$7:Q$159)</f>
        <v>0</v>
      </c>
      <c r="P154" s="281">
        <f>SUMIF('02'!$D$7:$D$159,$C153,'02'!R$7:R$159)+SUMIF('03'!$D$7:$D$159,$C153,'03'!R$7:R$159)+SUMIF('04'!$D$7:$D$159,$C153,'04'!R$7:R$159)+SUMIF('05'!$D$7:$D$159,$C153,'05'!R$7:R$159)+SUMIF('06'!$D$7:$D$159,$C153,'06'!R$7:R$159)+SUMIF('07'!$D$7:$D$159,$C153,'07'!R$7:R$159)+SUMIF('08'!$D$7:$D$159,$C153,'08'!R$7:R$159)</f>
        <v>0</v>
      </c>
      <c r="Q154" s="282">
        <f>SUMIF('02'!$D$7:$D$159,$C153,'02'!S$7:S$159)+SUMIF('03'!$D$7:$D$159,$C153,'03'!S$7:S$159)+SUMIF('04'!$D$7:$D$159,$C153,'04'!S$7:S$159)+SUMIF('05'!$D$7:$D$159,$C153,'05'!S$7:S$159)+SUMIF('06'!$D$7:$D$159,$C153,'06'!S$7:S$159)+SUMIF('07'!$D$7:$D$159,$C153,'07'!S$7:S$159)+SUMIF('08'!$D$7:$D$159,$C153,'08'!S$7:S$159)</f>
        <v>0</v>
      </c>
      <c r="R154" s="283">
        <f>SUMIF('02'!$D$7:$D$159,$C153,'02'!T$7:T$159)+SUMIF('03'!$D$7:$D$159,$C153,'03'!T$7:T$159)+SUMIF('04'!$D$7:$D$159,$C153,'04'!T$7:T$159)+SUMIF('05'!$D$7:$D$159,$C153,'05'!T$7:T$159)+SUMIF('06'!$D$7:$D$159,$C153,'06'!T$7:T$159)+SUMIF('07'!$D$7:$D$159,$C153,'07'!T$7:T$159)+SUMIF('08'!$D$7:$D$159,$C153,'08'!T$7:T$159)</f>
        <v>0</v>
      </c>
      <c r="S154" s="281">
        <f>SUMIF('02'!$D$7:$D$159,$C153,'02'!U$7:U$159)+SUMIF('03'!$D$7:$D$159,$C153,'03'!U$7:U$159)+SUMIF('04'!$D$7:$D$159,$C153,'04'!U$7:U$159)+SUMIF('05'!$D$7:$D$159,$C153,'05'!U$7:U$159)+SUMIF('06'!$D$7:$D$159,$C153,'06'!U$7:U$159)+SUMIF('07'!$D$7:$D$159,$C153,'07'!U$7:U$159)+SUMIF('08'!$D$7:$D$159,$C153,'08'!U$7:U$159)</f>
        <v>0</v>
      </c>
      <c r="T154" s="282">
        <f>SUMIF('02'!$D$7:$D$159,$C153,'02'!V$7:V$159)+SUMIF('03'!$D$7:$D$159,$C153,'03'!V$7:V$159)+SUMIF('04'!$D$7:$D$159,$C153,'04'!V$7:V$159)+SUMIF('05'!$D$7:$D$159,$C153,'05'!V$7:V$159)+SUMIF('06'!$D$7:$D$159,$C153,'06'!V$7:V$159)+SUMIF('07'!$D$7:$D$159,$C153,'07'!V$7:V$159)+SUMIF('08'!$D$7:$D$159,$C153,'08'!V$7:V$159)</f>
        <v>0</v>
      </c>
      <c r="U154" s="285">
        <f>SUMIF('02'!$D$7:$D$159,$C153,'02'!W$7:W$159)+SUMIF('03'!$D$7:$D$159,$C153,'03'!W$7:W$159)+SUMIF('04'!$D$7:$D$159,$C153,'04'!W$7:W$159)+SUMIF('05'!$D$7:$D$159,$C153,'05'!W$7:W$159)+SUMIF('06'!$D$7:$D$159,$C153,'06'!W$7:W$159)+SUMIF('07'!$D$7:$D$159,$C153,'07'!W$7:W$159)+SUMIF('08'!$D$7:$D$159,$C153,'08'!W$7:W$159)</f>
        <v>0</v>
      </c>
      <c r="V154" s="284">
        <f>SUMIF('02'!$D$7:$D$159,$C153,'02'!X$7:X$159)+SUMIF('03'!$D$7:$D$159,$C153,'03'!X$7:X$159)+SUMIF('04'!$D$7:$D$159,$C153,'04'!X$7:X$159)+SUMIF('05'!$D$7:$D$159,$C153,'05'!X$7:X$159)+SUMIF('06'!$D$7:$D$159,$C153,'06'!X$7:X$159)+SUMIF('07'!$D$7:$D$159,$C153,'07'!X$7:X$159)+SUMIF('08'!$D$7:$D$159,$C153,'08'!X$7:X$159)</f>
        <v>0</v>
      </c>
      <c r="W154" s="284">
        <f>SUMIF('02'!$D$7:$D$159,$C153,'02'!Y$7:Y$159)+SUMIF('03'!$D$7:$D$159,$C153,'03'!Y$7:Y$159)+SUMIF('04'!$D$7:$D$159,$C153,'04'!Y$7:Y$159)+SUMIF('05'!$D$7:$D$159,$C153,'05'!Y$7:Y$159)+SUMIF('06'!$D$7:$D$159,$C153,'06'!Y$7:Y$159)+SUMIF('07'!$D$7:$D$159,$C153,'07'!Y$7:Y$159)+SUMIF('08'!$D$7:$D$159,$C153,'08'!Y$7:Y$159)</f>
        <v>0</v>
      </c>
      <c r="X154" s="286">
        <f t="shared" si="7"/>
        <v>0</v>
      </c>
      <c r="Y154" s="345"/>
      <c r="Z154" s="347"/>
    </row>
    <row r="155" spans="1:26" ht="14.25" customHeight="1" x14ac:dyDescent="0.3">
      <c r="A155" s="178">
        <f>IF(OR(C155="0",COUNTIF(КлючВесна,C155)&gt;1),0,MATCH(F155,ВидыНагр,0))</f>
        <v>0</v>
      </c>
      <c r="B155" s="178" t="b">
        <f>(COUNTA(D155:F156,J155:W155,H155:I156)=0)</f>
        <v>1</v>
      </c>
      <c r="C155" s="179" t="str">
        <f>IF(OR(TRIM(D155)="",COUNTIF(ВидыНагр,F155)&lt;&gt;1),"0",CONCATENATE("$",TRIM(D155),"$",TRIM(E155),"$",F155,"$"))</f>
        <v>0</v>
      </c>
      <c r="D155" s="340"/>
      <c r="E155" s="338"/>
      <c r="F155" s="342"/>
      <c r="G155" s="180" t="s">
        <v>7</v>
      </c>
      <c r="H155" s="181"/>
      <c r="I155" s="182"/>
      <c r="J155" s="183"/>
      <c r="K155" s="184"/>
      <c r="L155" s="185"/>
      <c r="M155" s="183"/>
      <c r="N155" s="184"/>
      <c r="O155" s="186"/>
      <c r="P155" s="183"/>
      <c r="Q155" s="184"/>
      <c r="R155" s="185"/>
      <c r="S155" s="183"/>
      <c r="T155" s="184"/>
      <c r="U155" s="187"/>
      <c r="V155" s="186"/>
      <c r="W155" s="186"/>
      <c r="X155" s="279">
        <f t="shared" si="7"/>
        <v>0</v>
      </c>
      <c r="Y155" s="344">
        <f>X156-X155</f>
        <v>0</v>
      </c>
      <c r="Z155" s="346"/>
    </row>
    <row r="156" spans="1:26" ht="14.25" customHeight="1" x14ac:dyDescent="0.3">
      <c r="A156" s="178">
        <f>-A155</f>
        <v>0</v>
      </c>
      <c r="B156" s="178" t="b">
        <f>B155</f>
        <v>1</v>
      </c>
      <c r="C156" s="188"/>
      <c r="D156" s="341"/>
      <c r="E156" s="339"/>
      <c r="F156" s="343"/>
      <c r="G156" s="189" t="s">
        <v>8</v>
      </c>
      <c r="H156" s="190"/>
      <c r="I156" s="280"/>
      <c r="J156" s="281">
        <f>SUMIF('02'!$D$7:$D$159,$C155,'02'!L$7:L$159)+SUMIF('03'!$D$7:$D$159,$C155,'03'!L$7:L$159)+SUMIF('04'!$D$7:$D$159,$C155,'04'!L$7:L$159)+SUMIF('05'!$D$7:$D$159,$C155,'05'!L$7:L$159)+SUMIF('06'!$D$7:$D$159,$C155,'06'!L$7:L$159)+SUMIF('07'!$D$7:$D$159,$C155,'07'!L$7:L$159)+SUMIF('08'!$D$7:$D$159,$C155,'08'!L$7:L$159)</f>
        <v>0</v>
      </c>
      <c r="K156" s="282">
        <f>SUMIF('02'!$D$7:$D$159,$C155,'02'!M$7:M$159)+SUMIF('03'!$D$7:$D$159,$C155,'03'!M$7:M$159)+SUMIF('04'!$D$7:$D$159,$C155,'04'!M$7:M$159)+SUMIF('05'!$D$7:$D$159,$C155,'05'!M$7:M$159)+SUMIF('06'!$D$7:$D$159,$C155,'06'!M$7:M$159)+SUMIF('07'!$D$7:$D$159,$C155,'07'!M$7:M$159)+SUMIF('08'!$D$7:$D$159,$C155,'08'!M$7:M$159)</f>
        <v>0</v>
      </c>
      <c r="L156" s="283">
        <f>SUMIF('02'!$D$7:$D$159,$C155,'02'!N$7:N$159)+SUMIF('03'!$D$7:$D$159,$C155,'03'!N$7:N$159)+SUMIF('04'!$D$7:$D$159,$C155,'04'!N$7:N$159)+SUMIF('05'!$D$7:$D$159,$C155,'05'!N$7:N$159)+SUMIF('06'!$D$7:$D$159,$C155,'06'!N$7:N$159)+SUMIF('07'!$D$7:$D$159,$C155,'07'!N$7:N$159)+SUMIF('08'!$D$7:$D$159,$C155,'08'!N$7:N$159)</f>
        <v>0</v>
      </c>
      <c r="M156" s="281">
        <f>SUMIF('02'!$D$7:$D$159,$C155,'02'!O$7:O$159)+SUMIF('03'!$D$7:$D$159,$C155,'03'!O$7:O$159)+SUMIF('04'!$D$7:$D$159,$C155,'04'!O$7:O$159)+SUMIF('05'!$D$7:$D$159,$C155,'05'!O$7:O$159)+SUMIF('06'!$D$7:$D$159,$C155,'06'!O$7:O$159)+SUMIF('07'!$D$7:$D$159,$C155,'07'!O$7:O$159)+SUMIF('08'!$D$7:$D$159,$C155,'08'!O$7:O$159)</f>
        <v>0</v>
      </c>
      <c r="N156" s="282">
        <f>SUMIF('02'!$D$7:$D$159,$C155,'02'!P$7:P$159)+SUMIF('03'!$D$7:$D$159,$C155,'03'!P$7:P$159)+SUMIF('04'!$D$7:$D$159,$C155,'04'!P$7:P$159)+SUMIF('05'!$D$7:$D$159,$C155,'05'!P$7:P$159)+SUMIF('06'!$D$7:$D$159,$C155,'06'!P$7:P$159)+SUMIF('07'!$D$7:$D$159,$C155,'07'!P$7:P$159)+SUMIF('08'!$D$7:$D$159,$C155,'08'!P$7:P$159)</f>
        <v>0</v>
      </c>
      <c r="O156" s="284">
        <f>SUMIF('02'!$D$7:$D$159,$C155,'02'!Q$7:Q$159)+SUMIF('03'!$D$7:$D$159,$C155,'03'!Q$7:Q$159)+SUMIF('04'!$D$7:$D$159,$C155,'04'!Q$7:Q$159)+SUMIF('05'!$D$7:$D$159,$C155,'05'!Q$7:Q$159)+SUMIF('06'!$D$7:$D$159,$C155,'06'!Q$7:Q$159)+SUMIF('07'!$D$7:$D$159,$C155,'07'!Q$7:Q$159)+SUMIF('08'!$D$7:$D$159,$C155,'08'!Q$7:Q$159)</f>
        <v>0</v>
      </c>
      <c r="P156" s="281">
        <f>SUMIF('02'!$D$7:$D$159,$C155,'02'!R$7:R$159)+SUMIF('03'!$D$7:$D$159,$C155,'03'!R$7:R$159)+SUMIF('04'!$D$7:$D$159,$C155,'04'!R$7:R$159)+SUMIF('05'!$D$7:$D$159,$C155,'05'!R$7:R$159)+SUMIF('06'!$D$7:$D$159,$C155,'06'!R$7:R$159)+SUMIF('07'!$D$7:$D$159,$C155,'07'!R$7:R$159)+SUMIF('08'!$D$7:$D$159,$C155,'08'!R$7:R$159)</f>
        <v>0</v>
      </c>
      <c r="Q156" s="282">
        <f>SUMIF('02'!$D$7:$D$159,$C155,'02'!S$7:S$159)+SUMIF('03'!$D$7:$D$159,$C155,'03'!S$7:S$159)+SUMIF('04'!$D$7:$D$159,$C155,'04'!S$7:S$159)+SUMIF('05'!$D$7:$D$159,$C155,'05'!S$7:S$159)+SUMIF('06'!$D$7:$D$159,$C155,'06'!S$7:S$159)+SUMIF('07'!$D$7:$D$159,$C155,'07'!S$7:S$159)+SUMIF('08'!$D$7:$D$159,$C155,'08'!S$7:S$159)</f>
        <v>0</v>
      </c>
      <c r="R156" s="283">
        <f>SUMIF('02'!$D$7:$D$159,$C155,'02'!T$7:T$159)+SUMIF('03'!$D$7:$D$159,$C155,'03'!T$7:T$159)+SUMIF('04'!$D$7:$D$159,$C155,'04'!T$7:T$159)+SUMIF('05'!$D$7:$D$159,$C155,'05'!T$7:T$159)+SUMIF('06'!$D$7:$D$159,$C155,'06'!T$7:T$159)+SUMIF('07'!$D$7:$D$159,$C155,'07'!T$7:T$159)+SUMIF('08'!$D$7:$D$159,$C155,'08'!T$7:T$159)</f>
        <v>0</v>
      </c>
      <c r="S156" s="281">
        <f>SUMIF('02'!$D$7:$D$159,$C155,'02'!U$7:U$159)+SUMIF('03'!$D$7:$D$159,$C155,'03'!U$7:U$159)+SUMIF('04'!$D$7:$D$159,$C155,'04'!U$7:U$159)+SUMIF('05'!$D$7:$D$159,$C155,'05'!U$7:U$159)+SUMIF('06'!$D$7:$D$159,$C155,'06'!U$7:U$159)+SUMIF('07'!$D$7:$D$159,$C155,'07'!U$7:U$159)+SUMIF('08'!$D$7:$D$159,$C155,'08'!U$7:U$159)</f>
        <v>0</v>
      </c>
      <c r="T156" s="282">
        <f>SUMIF('02'!$D$7:$D$159,$C155,'02'!V$7:V$159)+SUMIF('03'!$D$7:$D$159,$C155,'03'!V$7:V$159)+SUMIF('04'!$D$7:$D$159,$C155,'04'!V$7:V$159)+SUMIF('05'!$D$7:$D$159,$C155,'05'!V$7:V$159)+SUMIF('06'!$D$7:$D$159,$C155,'06'!V$7:V$159)+SUMIF('07'!$D$7:$D$159,$C155,'07'!V$7:V$159)+SUMIF('08'!$D$7:$D$159,$C155,'08'!V$7:V$159)</f>
        <v>0</v>
      </c>
      <c r="U156" s="285">
        <f>SUMIF('02'!$D$7:$D$159,$C155,'02'!W$7:W$159)+SUMIF('03'!$D$7:$D$159,$C155,'03'!W$7:W$159)+SUMIF('04'!$D$7:$D$159,$C155,'04'!W$7:W$159)+SUMIF('05'!$D$7:$D$159,$C155,'05'!W$7:W$159)+SUMIF('06'!$D$7:$D$159,$C155,'06'!W$7:W$159)+SUMIF('07'!$D$7:$D$159,$C155,'07'!W$7:W$159)+SUMIF('08'!$D$7:$D$159,$C155,'08'!W$7:W$159)</f>
        <v>0</v>
      </c>
      <c r="V156" s="284">
        <f>SUMIF('02'!$D$7:$D$159,$C155,'02'!X$7:X$159)+SUMIF('03'!$D$7:$D$159,$C155,'03'!X$7:X$159)+SUMIF('04'!$D$7:$D$159,$C155,'04'!X$7:X$159)+SUMIF('05'!$D$7:$D$159,$C155,'05'!X$7:X$159)+SUMIF('06'!$D$7:$D$159,$C155,'06'!X$7:X$159)+SUMIF('07'!$D$7:$D$159,$C155,'07'!X$7:X$159)+SUMIF('08'!$D$7:$D$159,$C155,'08'!X$7:X$159)</f>
        <v>0</v>
      </c>
      <c r="W156" s="284">
        <f>SUMIF('02'!$D$7:$D$159,$C155,'02'!Y$7:Y$159)+SUMIF('03'!$D$7:$D$159,$C155,'03'!Y$7:Y$159)+SUMIF('04'!$D$7:$D$159,$C155,'04'!Y$7:Y$159)+SUMIF('05'!$D$7:$D$159,$C155,'05'!Y$7:Y$159)+SUMIF('06'!$D$7:$D$159,$C155,'06'!Y$7:Y$159)+SUMIF('07'!$D$7:$D$159,$C155,'07'!Y$7:Y$159)+SUMIF('08'!$D$7:$D$159,$C155,'08'!Y$7:Y$159)</f>
        <v>0</v>
      </c>
      <c r="X156" s="286">
        <f t="shared" si="7"/>
        <v>0</v>
      </c>
      <c r="Y156" s="345"/>
      <c r="Z156" s="347"/>
    </row>
    <row r="157" spans="1:26" ht="14.25" customHeight="1" x14ac:dyDescent="0.3">
      <c r="A157" s="178">
        <f>IF(OR(C157="0",COUNTIF(КлючВесна,C157)&gt;1),0,MATCH(F157,ВидыНагр,0))</f>
        <v>0</v>
      </c>
      <c r="B157" s="178" t="b">
        <f>(COUNTA(D157:F158,J157:W157,H157:I158)=0)</f>
        <v>1</v>
      </c>
      <c r="C157" s="179" t="str">
        <f>IF(OR(TRIM(D157)="",COUNTIF(ВидыНагр,F157)&lt;&gt;1),"0",CONCATENATE("$",TRIM(D157),"$",TRIM(E157),"$",F157,"$"))</f>
        <v>0</v>
      </c>
      <c r="D157" s="340"/>
      <c r="E157" s="338"/>
      <c r="F157" s="342"/>
      <c r="G157" s="180" t="s">
        <v>7</v>
      </c>
      <c r="H157" s="181"/>
      <c r="I157" s="182"/>
      <c r="J157" s="183"/>
      <c r="K157" s="184"/>
      <c r="L157" s="185"/>
      <c r="M157" s="183"/>
      <c r="N157" s="184"/>
      <c r="O157" s="186"/>
      <c r="P157" s="183"/>
      <c r="Q157" s="184"/>
      <c r="R157" s="185"/>
      <c r="S157" s="183"/>
      <c r="T157" s="184"/>
      <c r="U157" s="187"/>
      <c r="V157" s="186"/>
      <c r="W157" s="186"/>
      <c r="X157" s="279">
        <f t="shared" si="7"/>
        <v>0</v>
      </c>
      <c r="Y157" s="344">
        <f>X158-X157</f>
        <v>0</v>
      </c>
      <c r="Z157" s="346"/>
    </row>
    <row r="158" spans="1:26" ht="14.25" customHeight="1" x14ac:dyDescent="0.3">
      <c r="A158" s="178">
        <f>-A157</f>
        <v>0</v>
      </c>
      <c r="B158" s="178" t="b">
        <f>B157</f>
        <v>1</v>
      </c>
      <c r="C158" s="188"/>
      <c r="D158" s="341"/>
      <c r="E158" s="339"/>
      <c r="F158" s="343"/>
      <c r="G158" s="189" t="s">
        <v>8</v>
      </c>
      <c r="H158" s="190"/>
      <c r="I158" s="280"/>
      <c r="J158" s="281">
        <f>SUMIF('02'!$D$7:$D$159,$C157,'02'!L$7:L$159)+SUMIF('03'!$D$7:$D$159,$C157,'03'!L$7:L$159)+SUMIF('04'!$D$7:$D$159,$C157,'04'!L$7:L$159)+SUMIF('05'!$D$7:$D$159,$C157,'05'!L$7:L$159)+SUMIF('06'!$D$7:$D$159,$C157,'06'!L$7:L$159)+SUMIF('07'!$D$7:$D$159,$C157,'07'!L$7:L$159)+SUMIF('08'!$D$7:$D$159,$C157,'08'!L$7:L$159)</f>
        <v>0</v>
      </c>
      <c r="K158" s="282">
        <f>SUMIF('02'!$D$7:$D$159,$C157,'02'!M$7:M$159)+SUMIF('03'!$D$7:$D$159,$C157,'03'!M$7:M$159)+SUMIF('04'!$D$7:$D$159,$C157,'04'!M$7:M$159)+SUMIF('05'!$D$7:$D$159,$C157,'05'!M$7:M$159)+SUMIF('06'!$D$7:$D$159,$C157,'06'!M$7:M$159)+SUMIF('07'!$D$7:$D$159,$C157,'07'!M$7:M$159)+SUMIF('08'!$D$7:$D$159,$C157,'08'!M$7:M$159)</f>
        <v>0</v>
      </c>
      <c r="L158" s="283">
        <f>SUMIF('02'!$D$7:$D$159,$C157,'02'!N$7:N$159)+SUMIF('03'!$D$7:$D$159,$C157,'03'!N$7:N$159)+SUMIF('04'!$D$7:$D$159,$C157,'04'!N$7:N$159)+SUMIF('05'!$D$7:$D$159,$C157,'05'!N$7:N$159)+SUMIF('06'!$D$7:$D$159,$C157,'06'!N$7:N$159)+SUMIF('07'!$D$7:$D$159,$C157,'07'!N$7:N$159)+SUMIF('08'!$D$7:$D$159,$C157,'08'!N$7:N$159)</f>
        <v>0</v>
      </c>
      <c r="M158" s="281">
        <f>SUMIF('02'!$D$7:$D$159,$C157,'02'!O$7:O$159)+SUMIF('03'!$D$7:$D$159,$C157,'03'!O$7:O$159)+SUMIF('04'!$D$7:$D$159,$C157,'04'!O$7:O$159)+SUMIF('05'!$D$7:$D$159,$C157,'05'!O$7:O$159)+SUMIF('06'!$D$7:$D$159,$C157,'06'!O$7:O$159)+SUMIF('07'!$D$7:$D$159,$C157,'07'!O$7:O$159)+SUMIF('08'!$D$7:$D$159,$C157,'08'!O$7:O$159)</f>
        <v>0</v>
      </c>
      <c r="N158" s="282">
        <f>SUMIF('02'!$D$7:$D$159,$C157,'02'!P$7:P$159)+SUMIF('03'!$D$7:$D$159,$C157,'03'!P$7:P$159)+SUMIF('04'!$D$7:$D$159,$C157,'04'!P$7:P$159)+SUMIF('05'!$D$7:$D$159,$C157,'05'!P$7:P$159)+SUMIF('06'!$D$7:$D$159,$C157,'06'!P$7:P$159)+SUMIF('07'!$D$7:$D$159,$C157,'07'!P$7:P$159)+SUMIF('08'!$D$7:$D$159,$C157,'08'!P$7:P$159)</f>
        <v>0</v>
      </c>
      <c r="O158" s="284">
        <f>SUMIF('02'!$D$7:$D$159,$C157,'02'!Q$7:Q$159)+SUMIF('03'!$D$7:$D$159,$C157,'03'!Q$7:Q$159)+SUMIF('04'!$D$7:$D$159,$C157,'04'!Q$7:Q$159)+SUMIF('05'!$D$7:$D$159,$C157,'05'!Q$7:Q$159)+SUMIF('06'!$D$7:$D$159,$C157,'06'!Q$7:Q$159)+SUMIF('07'!$D$7:$D$159,$C157,'07'!Q$7:Q$159)+SUMIF('08'!$D$7:$D$159,$C157,'08'!Q$7:Q$159)</f>
        <v>0</v>
      </c>
      <c r="P158" s="281">
        <f>SUMIF('02'!$D$7:$D$159,$C157,'02'!R$7:R$159)+SUMIF('03'!$D$7:$D$159,$C157,'03'!R$7:R$159)+SUMIF('04'!$D$7:$D$159,$C157,'04'!R$7:R$159)+SUMIF('05'!$D$7:$D$159,$C157,'05'!R$7:R$159)+SUMIF('06'!$D$7:$D$159,$C157,'06'!R$7:R$159)+SUMIF('07'!$D$7:$D$159,$C157,'07'!R$7:R$159)+SUMIF('08'!$D$7:$D$159,$C157,'08'!R$7:R$159)</f>
        <v>0</v>
      </c>
      <c r="Q158" s="282">
        <f>SUMIF('02'!$D$7:$D$159,$C157,'02'!S$7:S$159)+SUMIF('03'!$D$7:$D$159,$C157,'03'!S$7:S$159)+SUMIF('04'!$D$7:$D$159,$C157,'04'!S$7:S$159)+SUMIF('05'!$D$7:$D$159,$C157,'05'!S$7:S$159)+SUMIF('06'!$D$7:$D$159,$C157,'06'!S$7:S$159)+SUMIF('07'!$D$7:$D$159,$C157,'07'!S$7:S$159)+SUMIF('08'!$D$7:$D$159,$C157,'08'!S$7:S$159)</f>
        <v>0</v>
      </c>
      <c r="R158" s="283">
        <f>SUMIF('02'!$D$7:$D$159,$C157,'02'!T$7:T$159)+SUMIF('03'!$D$7:$D$159,$C157,'03'!T$7:T$159)+SUMIF('04'!$D$7:$D$159,$C157,'04'!T$7:T$159)+SUMIF('05'!$D$7:$D$159,$C157,'05'!T$7:T$159)+SUMIF('06'!$D$7:$D$159,$C157,'06'!T$7:T$159)+SUMIF('07'!$D$7:$D$159,$C157,'07'!T$7:T$159)+SUMIF('08'!$D$7:$D$159,$C157,'08'!T$7:T$159)</f>
        <v>0</v>
      </c>
      <c r="S158" s="281">
        <f>SUMIF('02'!$D$7:$D$159,$C157,'02'!U$7:U$159)+SUMIF('03'!$D$7:$D$159,$C157,'03'!U$7:U$159)+SUMIF('04'!$D$7:$D$159,$C157,'04'!U$7:U$159)+SUMIF('05'!$D$7:$D$159,$C157,'05'!U$7:U$159)+SUMIF('06'!$D$7:$D$159,$C157,'06'!U$7:U$159)+SUMIF('07'!$D$7:$D$159,$C157,'07'!U$7:U$159)+SUMIF('08'!$D$7:$D$159,$C157,'08'!U$7:U$159)</f>
        <v>0</v>
      </c>
      <c r="T158" s="282">
        <f>SUMIF('02'!$D$7:$D$159,$C157,'02'!V$7:V$159)+SUMIF('03'!$D$7:$D$159,$C157,'03'!V$7:V$159)+SUMIF('04'!$D$7:$D$159,$C157,'04'!V$7:V$159)+SUMIF('05'!$D$7:$D$159,$C157,'05'!V$7:V$159)+SUMIF('06'!$D$7:$D$159,$C157,'06'!V$7:V$159)+SUMIF('07'!$D$7:$D$159,$C157,'07'!V$7:V$159)+SUMIF('08'!$D$7:$D$159,$C157,'08'!V$7:V$159)</f>
        <v>0</v>
      </c>
      <c r="U158" s="285">
        <f>SUMIF('02'!$D$7:$D$159,$C157,'02'!W$7:W$159)+SUMIF('03'!$D$7:$D$159,$C157,'03'!W$7:W$159)+SUMIF('04'!$D$7:$D$159,$C157,'04'!W$7:W$159)+SUMIF('05'!$D$7:$D$159,$C157,'05'!W$7:W$159)+SUMIF('06'!$D$7:$D$159,$C157,'06'!W$7:W$159)+SUMIF('07'!$D$7:$D$159,$C157,'07'!W$7:W$159)+SUMIF('08'!$D$7:$D$159,$C157,'08'!W$7:W$159)</f>
        <v>0</v>
      </c>
      <c r="V158" s="284">
        <f>SUMIF('02'!$D$7:$D$159,$C157,'02'!X$7:X$159)+SUMIF('03'!$D$7:$D$159,$C157,'03'!X$7:X$159)+SUMIF('04'!$D$7:$D$159,$C157,'04'!X$7:X$159)+SUMIF('05'!$D$7:$D$159,$C157,'05'!X$7:X$159)+SUMIF('06'!$D$7:$D$159,$C157,'06'!X$7:X$159)+SUMIF('07'!$D$7:$D$159,$C157,'07'!X$7:X$159)+SUMIF('08'!$D$7:$D$159,$C157,'08'!X$7:X$159)</f>
        <v>0</v>
      </c>
      <c r="W158" s="284">
        <f>SUMIF('02'!$D$7:$D$159,$C157,'02'!Y$7:Y$159)+SUMIF('03'!$D$7:$D$159,$C157,'03'!Y$7:Y$159)+SUMIF('04'!$D$7:$D$159,$C157,'04'!Y$7:Y$159)+SUMIF('05'!$D$7:$D$159,$C157,'05'!Y$7:Y$159)+SUMIF('06'!$D$7:$D$159,$C157,'06'!Y$7:Y$159)+SUMIF('07'!$D$7:$D$159,$C157,'07'!Y$7:Y$159)+SUMIF('08'!$D$7:$D$159,$C157,'08'!Y$7:Y$159)</f>
        <v>0</v>
      </c>
      <c r="X158" s="286">
        <f t="shared" si="7"/>
        <v>0</v>
      </c>
      <c r="Y158" s="345"/>
      <c r="Z158" s="347"/>
    </row>
    <row r="159" spans="1:26" ht="14.25" customHeight="1" x14ac:dyDescent="0.3">
      <c r="A159" s="178">
        <f>IF(OR(C159="0",COUNTIF(КлючВесна,C159)&gt;1),0,MATCH(F159,ВидыНагр,0))</f>
        <v>0</v>
      </c>
      <c r="B159" s="178" t="b">
        <f>(COUNTA(D159:F160,J159:W159,H159:I160)=0)</f>
        <v>1</v>
      </c>
      <c r="C159" s="179" t="str">
        <f>IF(OR(TRIM(D159)="",COUNTIF(ВидыНагр,F159)&lt;&gt;1),"0",CONCATENATE("$",TRIM(D159),"$",TRIM(E159),"$",F159,"$"))</f>
        <v>0</v>
      </c>
      <c r="D159" s="340"/>
      <c r="E159" s="338"/>
      <c r="F159" s="342"/>
      <c r="G159" s="180" t="s">
        <v>7</v>
      </c>
      <c r="H159" s="181"/>
      <c r="I159" s="182"/>
      <c r="J159" s="183"/>
      <c r="K159" s="184"/>
      <c r="L159" s="185"/>
      <c r="M159" s="183"/>
      <c r="N159" s="184"/>
      <c r="O159" s="186"/>
      <c r="P159" s="183"/>
      <c r="Q159" s="184"/>
      <c r="R159" s="185"/>
      <c r="S159" s="183"/>
      <c r="T159" s="184"/>
      <c r="U159" s="187"/>
      <c r="V159" s="186"/>
      <c r="W159" s="186"/>
      <c r="X159" s="279">
        <f t="shared" si="7"/>
        <v>0</v>
      </c>
      <c r="Y159" s="344">
        <f>X160-X159</f>
        <v>0</v>
      </c>
      <c r="Z159" s="346"/>
    </row>
    <row r="160" spans="1:26" ht="14.25" customHeight="1" x14ac:dyDescent="0.3">
      <c r="A160" s="178">
        <f>-A159</f>
        <v>0</v>
      </c>
      <c r="B160" s="178" t="b">
        <f>B159</f>
        <v>1</v>
      </c>
      <c r="C160" s="188"/>
      <c r="D160" s="341"/>
      <c r="E160" s="339"/>
      <c r="F160" s="343"/>
      <c r="G160" s="189" t="s">
        <v>8</v>
      </c>
      <c r="H160" s="190"/>
      <c r="I160" s="280"/>
      <c r="J160" s="281">
        <f>SUMIF('02'!$D$7:$D$159,$C159,'02'!L$7:L$159)+SUMIF('03'!$D$7:$D$159,$C159,'03'!L$7:L$159)+SUMIF('04'!$D$7:$D$159,$C159,'04'!L$7:L$159)+SUMIF('05'!$D$7:$D$159,$C159,'05'!L$7:L$159)+SUMIF('06'!$D$7:$D$159,$C159,'06'!L$7:L$159)+SUMIF('07'!$D$7:$D$159,$C159,'07'!L$7:L$159)+SUMIF('08'!$D$7:$D$159,$C159,'08'!L$7:L$159)</f>
        <v>0</v>
      </c>
      <c r="K160" s="282">
        <f>SUMIF('02'!$D$7:$D$159,$C159,'02'!M$7:M$159)+SUMIF('03'!$D$7:$D$159,$C159,'03'!M$7:M$159)+SUMIF('04'!$D$7:$D$159,$C159,'04'!M$7:M$159)+SUMIF('05'!$D$7:$D$159,$C159,'05'!M$7:M$159)+SUMIF('06'!$D$7:$D$159,$C159,'06'!M$7:M$159)+SUMIF('07'!$D$7:$D$159,$C159,'07'!M$7:M$159)+SUMIF('08'!$D$7:$D$159,$C159,'08'!M$7:M$159)</f>
        <v>0</v>
      </c>
      <c r="L160" s="283">
        <f>SUMIF('02'!$D$7:$D$159,$C159,'02'!N$7:N$159)+SUMIF('03'!$D$7:$D$159,$C159,'03'!N$7:N$159)+SUMIF('04'!$D$7:$D$159,$C159,'04'!N$7:N$159)+SUMIF('05'!$D$7:$D$159,$C159,'05'!N$7:N$159)+SUMIF('06'!$D$7:$D$159,$C159,'06'!N$7:N$159)+SUMIF('07'!$D$7:$D$159,$C159,'07'!N$7:N$159)+SUMIF('08'!$D$7:$D$159,$C159,'08'!N$7:N$159)</f>
        <v>0</v>
      </c>
      <c r="M160" s="281">
        <f>SUMIF('02'!$D$7:$D$159,$C159,'02'!O$7:O$159)+SUMIF('03'!$D$7:$D$159,$C159,'03'!O$7:O$159)+SUMIF('04'!$D$7:$D$159,$C159,'04'!O$7:O$159)+SUMIF('05'!$D$7:$D$159,$C159,'05'!O$7:O$159)+SUMIF('06'!$D$7:$D$159,$C159,'06'!O$7:O$159)+SUMIF('07'!$D$7:$D$159,$C159,'07'!O$7:O$159)+SUMIF('08'!$D$7:$D$159,$C159,'08'!O$7:O$159)</f>
        <v>0</v>
      </c>
      <c r="N160" s="282">
        <f>SUMIF('02'!$D$7:$D$159,$C159,'02'!P$7:P$159)+SUMIF('03'!$D$7:$D$159,$C159,'03'!P$7:P$159)+SUMIF('04'!$D$7:$D$159,$C159,'04'!P$7:P$159)+SUMIF('05'!$D$7:$D$159,$C159,'05'!P$7:P$159)+SUMIF('06'!$D$7:$D$159,$C159,'06'!P$7:P$159)+SUMIF('07'!$D$7:$D$159,$C159,'07'!P$7:P$159)+SUMIF('08'!$D$7:$D$159,$C159,'08'!P$7:P$159)</f>
        <v>0</v>
      </c>
      <c r="O160" s="284">
        <f>SUMIF('02'!$D$7:$D$159,$C159,'02'!Q$7:Q$159)+SUMIF('03'!$D$7:$D$159,$C159,'03'!Q$7:Q$159)+SUMIF('04'!$D$7:$D$159,$C159,'04'!Q$7:Q$159)+SUMIF('05'!$D$7:$D$159,$C159,'05'!Q$7:Q$159)+SUMIF('06'!$D$7:$D$159,$C159,'06'!Q$7:Q$159)+SUMIF('07'!$D$7:$D$159,$C159,'07'!Q$7:Q$159)+SUMIF('08'!$D$7:$D$159,$C159,'08'!Q$7:Q$159)</f>
        <v>0</v>
      </c>
      <c r="P160" s="281">
        <f>SUMIF('02'!$D$7:$D$159,$C159,'02'!R$7:R$159)+SUMIF('03'!$D$7:$D$159,$C159,'03'!R$7:R$159)+SUMIF('04'!$D$7:$D$159,$C159,'04'!R$7:R$159)+SUMIF('05'!$D$7:$D$159,$C159,'05'!R$7:R$159)+SUMIF('06'!$D$7:$D$159,$C159,'06'!R$7:R$159)+SUMIF('07'!$D$7:$D$159,$C159,'07'!R$7:R$159)+SUMIF('08'!$D$7:$D$159,$C159,'08'!R$7:R$159)</f>
        <v>0</v>
      </c>
      <c r="Q160" s="282">
        <f>SUMIF('02'!$D$7:$D$159,$C159,'02'!S$7:S$159)+SUMIF('03'!$D$7:$D$159,$C159,'03'!S$7:S$159)+SUMIF('04'!$D$7:$D$159,$C159,'04'!S$7:S$159)+SUMIF('05'!$D$7:$D$159,$C159,'05'!S$7:S$159)+SUMIF('06'!$D$7:$D$159,$C159,'06'!S$7:S$159)+SUMIF('07'!$D$7:$D$159,$C159,'07'!S$7:S$159)+SUMIF('08'!$D$7:$D$159,$C159,'08'!S$7:S$159)</f>
        <v>0</v>
      </c>
      <c r="R160" s="283">
        <f>SUMIF('02'!$D$7:$D$159,$C159,'02'!T$7:T$159)+SUMIF('03'!$D$7:$D$159,$C159,'03'!T$7:T$159)+SUMIF('04'!$D$7:$D$159,$C159,'04'!T$7:T$159)+SUMIF('05'!$D$7:$D$159,$C159,'05'!T$7:T$159)+SUMIF('06'!$D$7:$D$159,$C159,'06'!T$7:T$159)+SUMIF('07'!$D$7:$D$159,$C159,'07'!T$7:T$159)+SUMIF('08'!$D$7:$D$159,$C159,'08'!T$7:T$159)</f>
        <v>0</v>
      </c>
      <c r="S160" s="281">
        <f>SUMIF('02'!$D$7:$D$159,$C159,'02'!U$7:U$159)+SUMIF('03'!$D$7:$D$159,$C159,'03'!U$7:U$159)+SUMIF('04'!$D$7:$D$159,$C159,'04'!U$7:U$159)+SUMIF('05'!$D$7:$D$159,$C159,'05'!U$7:U$159)+SUMIF('06'!$D$7:$D$159,$C159,'06'!U$7:U$159)+SUMIF('07'!$D$7:$D$159,$C159,'07'!U$7:U$159)+SUMIF('08'!$D$7:$D$159,$C159,'08'!U$7:U$159)</f>
        <v>0</v>
      </c>
      <c r="T160" s="282">
        <f>SUMIF('02'!$D$7:$D$159,$C159,'02'!V$7:V$159)+SUMIF('03'!$D$7:$D$159,$C159,'03'!V$7:V$159)+SUMIF('04'!$D$7:$D$159,$C159,'04'!V$7:V$159)+SUMIF('05'!$D$7:$D$159,$C159,'05'!V$7:V$159)+SUMIF('06'!$D$7:$D$159,$C159,'06'!V$7:V$159)+SUMIF('07'!$D$7:$D$159,$C159,'07'!V$7:V$159)+SUMIF('08'!$D$7:$D$159,$C159,'08'!V$7:V$159)</f>
        <v>0</v>
      </c>
      <c r="U160" s="285">
        <f>SUMIF('02'!$D$7:$D$159,$C159,'02'!W$7:W$159)+SUMIF('03'!$D$7:$D$159,$C159,'03'!W$7:W$159)+SUMIF('04'!$D$7:$D$159,$C159,'04'!W$7:W$159)+SUMIF('05'!$D$7:$D$159,$C159,'05'!W$7:W$159)+SUMIF('06'!$D$7:$D$159,$C159,'06'!W$7:W$159)+SUMIF('07'!$D$7:$D$159,$C159,'07'!W$7:W$159)+SUMIF('08'!$D$7:$D$159,$C159,'08'!W$7:W$159)</f>
        <v>0</v>
      </c>
      <c r="V160" s="284">
        <f>SUMIF('02'!$D$7:$D$159,$C159,'02'!X$7:X$159)+SUMIF('03'!$D$7:$D$159,$C159,'03'!X$7:X$159)+SUMIF('04'!$D$7:$D$159,$C159,'04'!X$7:X$159)+SUMIF('05'!$D$7:$D$159,$C159,'05'!X$7:X$159)+SUMIF('06'!$D$7:$D$159,$C159,'06'!X$7:X$159)+SUMIF('07'!$D$7:$D$159,$C159,'07'!X$7:X$159)+SUMIF('08'!$D$7:$D$159,$C159,'08'!X$7:X$159)</f>
        <v>0</v>
      </c>
      <c r="W160" s="284">
        <f>SUMIF('02'!$D$7:$D$159,$C159,'02'!Y$7:Y$159)+SUMIF('03'!$D$7:$D$159,$C159,'03'!Y$7:Y$159)+SUMIF('04'!$D$7:$D$159,$C159,'04'!Y$7:Y$159)+SUMIF('05'!$D$7:$D$159,$C159,'05'!Y$7:Y$159)+SUMIF('06'!$D$7:$D$159,$C159,'06'!Y$7:Y$159)+SUMIF('07'!$D$7:$D$159,$C159,'07'!Y$7:Y$159)+SUMIF('08'!$D$7:$D$159,$C159,'08'!Y$7:Y$159)</f>
        <v>0</v>
      </c>
      <c r="X160" s="286">
        <f t="shared" si="7"/>
        <v>0</v>
      </c>
      <c r="Y160" s="345"/>
      <c r="Z160" s="347"/>
    </row>
    <row r="161" spans="1:26" ht="14.25" customHeight="1" x14ac:dyDescent="0.3">
      <c r="A161" s="178">
        <f>IF(OR(C161="0",COUNTIF(КлючВесна,C161)&gt;1),0,MATCH(F161,ВидыНагр,0))</f>
        <v>0</v>
      </c>
      <c r="B161" s="178" t="b">
        <f>(COUNTA(D161:F162,J161:W161,H161:I162)=0)</f>
        <v>1</v>
      </c>
      <c r="C161" s="179" t="str">
        <f>IF(OR(TRIM(D161)="",COUNTIF(ВидыНагр,F161)&lt;&gt;1),"0",CONCATENATE("$",TRIM(D161),"$",TRIM(E161),"$",F161,"$"))</f>
        <v>0</v>
      </c>
      <c r="D161" s="340"/>
      <c r="E161" s="338"/>
      <c r="F161" s="342"/>
      <c r="G161" s="180" t="s">
        <v>7</v>
      </c>
      <c r="H161" s="181"/>
      <c r="I161" s="182"/>
      <c r="J161" s="183"/>
      <c r="K161" s="184"/>
      <c r="L161" s="185"/>
      <c r="M161" s="183"/>
      <c r="N161" s="184"/>
      <c r="O161" s="186"/>
      <c r="P161" s="183"/>
      <c r="Q161" s="184"/>
      <c r="R161" s="185"/>
      <c r="S161" s="183"/>
      <c r="T161" s="184"/>
      <c r="U161" s="187"/>
      <c r="V161" s="186"/>
      <c r="W161" s="186"/>
      <c r="X161" s="279">
        <f t="shared" si="7"/>
        <v>0</v>
      </c>
      <c r="Y161" s="344">
        <f>X162-X161</f>
        <v>0</v>
      </c>
      <c r="Z161" s="346"/>
    </row>
    <row r="162" spans="1:26" ht="14.25" customHeight="1" x14ac:dyDescent="0.3">
      <c r="A162" s="178">
        <f>-A161</f>
        <v>0</v>
      </c>
      <c r="B162" s="178" t="b">
        <f>B161</f>
        <v>1</v>
      </c>
      <c r="C162" s="188"/>
      <c r="D162" s="341"/>
      <c r="E162" s="339"/>
      <c r="F162" s="343"/>
      <c r="G162" s="189" t="s">
        <v>8</v>
      </c>
      <c r="H162" s="190"/>
      <c r="I162" s="280"/>
      <c r="J162" s="281">
        <f>SUMIF('02'!$D$7:$D$159,$C161,'02'!L$7:L$159)+SUMIF('03'!$D$7:$D$159,$C161,'03'!L$7:L$159)+SUMIF('04'!$D$7:$D$159,$C161,'04'!L$7:L$159)+SUMIF('05'!$D$7:$D$159,$C161,'05'!L$7:L$159)+SUMIF('06'!$D$7:$D$159,$C161,'06'!L$7:L$159)+SUMIF('07'!$D$7:$D$159,$C161,'07'!L$7:L$159)+SUMIF('08'!$D$7:$D$159,$C161,'08'!L$7:L$159)</f>
        <v>0</v>
      </c>
      <c r="K162" s="282">
        <f>SUMIF('02'!$D$7:$D$159,$C161,'02'!M$7:M$159)+SUMIF('03'!$D$7:$D$159,$C161,'03'!M$7:M$159)+SUMIF('04'!$D$7:$D$159,$C161,'04'!M$7:M$159)+SUMIF('05'!$D$7:$D$159,$C161,'05'!M$7:M$159)+SUMIF('06'!$D$7:$D$159,$C161,'06'!M$7:M$159)+SUMIF('07'!$D$7:$D$159,$C161,'07'!M$7:M$159)+SUMIF('08'!$D$7:$D$159,$C161,'08'!M$7:M$159)</f>
        <v>0</v>
      </c>
      <c r="L162" s="283">
        <f>SUMIF('02'!$D$7:$D$159,$C161,'02'!N$7:N$159)+SUMIF('03'!$D$7:$D$159,$C161,'03'!N$7:N$159)+SUMIF('04'!$D$7:$D$159,$C161,'04'!N$7:N$159)+SUMIF('05'!$D$7:$D$159,$C161,'05'!N$7:N$159)+SUMIF('06'!$D$7:$D$159,$C161,'06'!N$7:N$159)+SUMIF('07'!$D$7:$D$159,$C161,'07'!N$7:N$159)+SUMIF('08'!$D$7:$D$159,$C161,'08'!N$7:N$159)</f>
        <v>0</v>
      </c>
      <c r="M162" s="281">
        <f>SUMIF('02'!$D$7:$D$159,$C161,'02'!O$7:O$159)+SUMIF('03'!$D$7:$D$159,$C161,'03'!O$7:O$159)+SUMIF('04'!$D$7:$D$159,$C161,'04'!O$7:O$159)+SUMIF('05'!$D$7:$D$159,$C161,'05'!O$7:O$159)+SUMIF('06'!$D$7:$D$159,$C161,'06'!O$7:O$159)+SUMIF('07'!$D$7:$D$159,$C161,'07'!O$7:O$159)+SUMIF('08'!$D$7:$D$159,$C161,'08'!O$7:O$159)</f>
        <v>0</v>
      </c>
      <c r="N162" s="282">
        <f>SUMIF('02'!$D$7:$D$159,$C161,'02'!P$7:P$159)+SUMIF('03'!$D$7:$D$159,$C161,'03'!P$7:P$159)+SUMIF('04'!$D$7:$D$159,$C161,'04'!P$7:P$159)+SUMIF('05'!$D$7:$D$159,$C161,'05'!P$7:P$159)+SUMIF('06'!$D$7:$D$159,$C161,'06'!P$7:P$159)+SUMIF('07'!$D$7:$D$159,$C161,'07'!P$7:P$159)+SUMIF('08'!$D$7:$D$159,$C161,'08'!P$7:P$159)</f>
        <v>0</v>
      </c>
      <c r="O162" s="284">
        <f>SUMIF('02'!$D$7:$D$159,$C161,'02'!Q$7:Q$159)+SUMIF('03'!$D$7:$D$159,$C161,'03'!Q$7:Q$159)+SUMIF('04'!$D$7:$D$159,$C161,'04'!Q$7:Q$159)+SUMIF('05'!$D$7:$D$159,$C161,'05'!Q$7:Q$159)+SUMIF('06'!$D$7:$D$159,$C161,'06'!Q$7:Q$159)+SUMIF('07'!$D$7:$D$159,$C161,'07'!Q$7:Q$159)+SUMIF('08'!$D$7:$D$159,$C161,'08'!Q$7:Q$159)</f>
        <v>0</v>
      </c>
      <c r="P162" s="281">
        <f>SUMIF('02'!$D$7:$D$159,$C161,'02'!R$7:R$159)+SUMIF('03'!$D$7:$D$159,$C161,'03'!R$7:R$159)+SUMIF('04'!$D$7:$D$159,$C161,'04'!R$7:R$159)+SUMIF('05'!$D$7:$D$159,$C161,'05'!R$7:R$159)+SUMIF('06'!$D$7:$D$159,$C161,'06'!R$7:R$159)+SUMIF('07'!$D$7:$D$159,$C161,'07'!R$7:R$159)+SUMIF('08'!$D$7:$D$159,$C161,'08'!R$7:R$159)</f>
        <v>0</v>
      </c>
      <c r="Q162" s="282">
        <f>SUMIF('02'!$D$7:$D$159,$C161,'02'!S$7:S$159)+SUMIF('03'!$D$7:$D$159,$C161,'03'!S$7:S$159)+SUMIF('04'!$D$7:$D$159,$C161,'04'!S$7:S$159)+SUMIF('05'!$D$7:$D$159,$C161,'05'!S$7:S$159)+SUMIF('06'!$D$7:$D$159,$C161,'06'!S$7:S$159)+SUMIF('07'!$D$7:$D$159,$C161,'07'!S$7:S$159)+SUMIF('08'!$D$7:$D$159,$C161,'08'!S$7:S$159)</f>
        <v>0</v>
      </c>
      <c r="R162" s="283">
        <f>SUMIF('02'!$D$7:$D$159,$C161,'02'!T$7:T$159)+SUMIF('03'!$D$7:$D$159,$C161,'03'!T$7:T$159)+SUMIF('04'!$D$7:$D$159,$C161,'04'!T$7:T$159)+SUMIF('05'!$D$7:$D$159,$C161,'05'!T$7:T$159)+SUMIF('06'!$D$7:$D$159,$C161,'06'!T$7:T$159)+SUMIF('07'!$D$7:$D$159,$C161,'07'!T$7:T$159)+SUMIF('08'!$D$7:$D$159,$C161,'08'!T$7:T$159)</f>
        <v>0</v>
      </c>
      <c r="S162" s="281">
        <f>SUMIF('02'!$D$7:$D$159,$C161,'02'!U$7:U$159)+SUMIF('03'!$D$7:$D$159,$C161,'03'!U$7:U$159)+SUMIF('04'!$D$7:$D$159,$C161,'04'!U$7:U$159)+SUMIF('05'!$D$7:$D$159,$C161,'05'!U$7:U$159)+SUMIF('06'!$D$7:$D$159,$C161,'06'!U$7:U$159)+SUMIF('07'!$D$7:$D$159,$C161,'07'!U$7:U$159)+SUMIF('08'!$D$7:$D$159,$C161,'08'!U$7:U$159)</f>
        <v>0</v>
      </c>
      <c r="T162" s="282">
        <f>SUMIF('02'!$D$7:$D$159,$C161,'02'!V$7:V$159)+SUMIF('03'!$D$7:$D$159,$C161,'03'!V$7:V$159)+SUMIF('04'!$D$7:$D$159,$C161,'04'!V$7:V$159)+SUMIF('05'!$D$7:$D$159,$C161,'05'!V$7:V$159)+SUMIF('06'!$D$7:$D$159,$C161,'06'!V$7:V$159)+SUMIF('07'!$D$7:$D$159,$C161,'07'!V$7:V$159)+SUMIF('08'!$D$7:$D$159,$C161,'08'!V$7:V$159)</f>
        <v>0</v>
      </c>
      <c r="U162" s="285">
        <f>SUMIF('02'!$D$7:$D$159,$C161,'02'!W$7:W$159)+SUMIF('03'!$D$7:$D$159,$C161,'03'!W$7:W$159)+SUMIF('04'!$D$7:$D$159,$C161,'04'!W$7:W$159)+SUMIF('05'!$D$7:$D$159,$C161,'05'!W$7:W$159)+SUMIF('06'!$D$7:$D$159,$C161,'06'!W$7:W$159)+SUMIF('07'!$D$7:$D$159,$C161,'07'!W$7:W$159)+SUMIF('08'!$D$7:$D$159,$C161,'08'!W$7:W$159)</f>
        <v>0</v>
      </c>
      <c r="V162" s="284">
        <f>SUMIF('02'!$D$7:$D$159,$C161,'02'!X$7:X$159)+SUMIF('03'!$D$7:$D$159,$C161,'03'!X$7:X$159)+SUMIF('04'!$D$7:$D$159,$C161,'04'!X$7:X$159)+SUMIF('05'!$D$7:$D$159,$C161,'05'!X$7:X$159)+SUMIF('06'!$D$7:$D$159,$C161,'06'!X$7:X$159)+SUMIF('07'!$D$7:$D$159,$C161,'07'!X$7:X$159)+SUMIF('08'!$D$7:$D$159,$C161,'08'!X$7:X$159)</f>
        <v>0</v>
      </c>
      <c r="W162" s="284">
        <f>SUMIF('02'!$D$7:$D$159,$C161,'02'!Y$7:Y$159)+SUMIF('03'!$D$7:$D$159,$C161,'03'!Y$7:Y$159)+SUMIF('04'!$D$7:$D$159,$C161,'04'!Y$7:Y$159)+SUMIF('05'!$D$7:$D$159,$C161,'05'!Y$7:Y$159)+SUMIF('06'!$D$7:$D$159,$C161,'06'!Y$7:Y$159)+SUMIF('07'!$D$7:$D$159,$C161,'07'!Y$7:Y$159)+SUMIF('08'!$D$7:$D$159,$C161,'08'!Y$7:Y$159)</f>
        <v>0</v>
      </c>
      <c r="X162" s="286">
        <f t="shared" si="7"/>
        <v>0</v>
      </c>
      <c r="Y162" s="345"/>
      <c r="Z162" s="347"/>
    </row>
    <row r="163" spans="1:26" ht="14.25" customHeight="1" x14ac:dyDescent="0.3">
      <c r="A163" s="178">
        <f>IF(OR(C163="0",COUNTIF(КлючВесна,C163)&gt;1),0,MATCH(F163,ВидыНагр,0))</f>
        <v>0</v>
      </c>
      <c r="B163" s="178" t="b">
        <f>(COUNTA(D163:F164,J163:W163,H163:I164)=0)</f>
        <v>1</v>
      </c>
      <c r="C163" s="179" t="str">
        <f>IF(OR(TRIM(D163)="",COUNTIF(ВидыНагр,F163)&lt;&gt;1),"0",CONCATENATE("$",TRIM(D163),"$",TRIM(E163),"$",F163,"$"))</f>
        <v>0</v>
      </c>
      <c r="D163" s="340"/>
      <c r="E163" s="338"/>
      <c r="F163" s="342"/>
      <c r="G163" s="180" t="s">
        <v>7</v>
      </c>
      <c r="H163" s="181"/>
      <c r="I163" s="182"/>
      <c r="J163" s="183"/>
      <c r="K163" s="184"/>
      <c r="L163" s="185"/>
      <c r="M163" s="183"/>
      <c r="N163" s="184"/>
      <c r="O163" s="186"/>
      <c r="P163" s="183"/>
      <c r="Q163" s="184"/>
      <c r="R163" s="185"/>
      <c r="S163" s="183"/>
      <c r="T163" s="184"/>
      <c r="U163" s="187"/>
      <c r="V163" s="186"/>
      <c r="W163" s="186"/>
      <c r="X163" s="279">
        <f t="shared" si="7"/>
        <v>0</v>
      </c>
      <c r="Y163" s="344">
        <f>X164-X163</f>
        <v>0</v>
      </c>
      <c r="Z163" s="346"/>
    </row>
    <row r="164" spans="1:26" ht="14.25" customHeight="1" x14ac:dyDescent="0.3">
      <c r="A164" s="178">
        <f>-A163</f>
        <v>0</v>
      </c>
      <c r="B164" s="178" t="b">
        <f>B163</f>
        <v>1</v>
      </c>
      <c r="C164" s="188"/>
      <c r="D164" s="341"/>
      <c r="E164" s="339"/>
      <c r="F164" s="343"/>
      <c r="G164" s="189" t="s">
        <v>8</v>
      </c>
      <c r="H164" s="190"/>
      <c r="I164" s="280"/>
      <c r="J164" s="281">
        <f>SUMIF('02'!$D$7:$D$159,$C163,'02'!L$7:L$159)+SUMIF('03'!$D$7:$D$159,$C163,'03'!L$7:L$159)+SUMIF('04'!$D$7:$D$159,$C163,'04'!L$7:L$159)+SUMIF('05'!$D$7:$D$159,$C163,'05'!L$7:L$159)+SUMIF('06'!$D$7:$D$159,$C163,'06'!L$7:L$159)+SUMIF('07'!$D$7:$D$159,$C163,'07'!L$7:L$159)+SUMIF('08'!$D$7:$D$159,$C163,'08'!L$7:L$159)</f>
        <v>0</v>
      </c>
      <c r="K164" s="282">
        <f>SUMIF('02'!$D$7:$D$159,$C163,'02'!M$7:M$159)+SUMIF('03'!$D$7:$D$159,$C163,'03'!M$7:M$159)+SUMIF('04'!$D$7:$D$159,$C163,'04'!M$7:M$159)+SUMIF('05'!$D$7:$D$159,$C163,'05'!M$7:M$159)+SUMIF('06'!$D$7:$D$159,$C163,'06'!M$7:M$159)+SUMIF('07'!$D$7:$D$159,$C163,'07'!M$7:M$159)+SUMIF('08'!$D$7:$D$159,$C163,'08'!M$7:M$159)</f>
        <v>0</v>
      </c>
      <c r="L164" s="283">
        <f>SUMIF('02'!$D$7:$D$159,$C163,'02'!N$7:N$159)+SUMIF('03'!$D$7:$D$159,$C163,'03'!N$7:N$159)+SUMIF('04'!$D$7:$D$159,$C163,'04'!N$7:N$159)+SUMIF('05'!$D$7:$D$159,$C163,'05'!N$7:N$159)+SUMIF('06'!$D$7:$D$159,$C163,'06'!N$7:N$159)+SUMIF('07'!$D$7:$D$159,$C163,'07'!N$7:N$159)+SUMIF('08'!$D$7:$D$159,$C163,'08'!N$7:N$159)</f>
        <v>0</v>
      </c>
      <c r="M164" s="281">
        <f>SUMIF('02'!$D$7:$D$159,$C163,'02'!O$7:O$159)+SUMIF('03'!$D$7:$D$159,$C163,'03'!O$7:O$159)+SUMIF('04'!$D$7:$D$159,$C163,'04'!O$7:O$159)+SUMIF('05'!$D$7:$D$159,$C163,'05'!O$7:O$159)+SUMIF('06'!$D$7:$D$159,$C163,'06'!O$7:O$159)+SUMIF('07'!$D$7:$D$159,$C163,'07'!O$7:O$159)+SUMIF('08'!$D$7:$D$159,$C163,'08'!O$7:O$159)</f>
        <v>0</v>
      </c>
      <c r="N164" s="282">
        <f>SUMIF('02'!$D$7:$D$159,$C163,'02'!P$7:P$159)+SUMIF('03'!$D$7:$D$159,$C163,'03'!P$7:P$159)+SUMIF('04'!$D$7:$D$159,$C163,'04'!P$7:P$159)+SUMIF('05'!$D$7:$D$159,$C163,'05'!P$7:P$159)+SUMIF('06'!$D$7:$D$159,$C163,'06'!P$7:P$159)+SUMIF('07'!$D$7:$D$159,$C163,'07'!P$7:P$159)+SUMIF('08'!$D$7:$D$159,$C163,'08'!P$7:P$159)</f>
        <v>0</v>
      </c>
      <c r="O164" s="284">
        <f>SUMIF('02'!$D$7:$D$159,$C163,'02'!Q$7:Q$159)+SUMIF('03'!$D$7:$D$159,$C163,'03'!Q$7:Q$159)+SUMIF('04'!$D$7:$D$159,$C163,'04'!Q$7:Q$159)+SUMIF('05'!$D$7:$D$159,$C163,'05'!Q$7:Q$159)+SUMIF('06'!$D$7:$D$159,$C163,'06'!Q$7:Q$159)+SUMIF('07'!$D$7:$D$159,$C163,'07'!Q$7:Q$159)+SUMIF('08'!$D$7:$D$159,$C163,'08'!Q$7:Q$159)</f>
        <v>0</v>
      </c>
      <c r="P164" s="281">
        <f>SUMIF('02'!$D$7:$D$159,$C163,'02'!R$7:R$159)+SUMIF('03'!$D$7:$D$159,$C163,'03'!R$7:R$159)+SUMIF('04'!$D$7:$D$159,$C163,'04'!R$7:R$159)+SUMIF('05'!$D$7:$D$159,$C163,'05'!R$7:R$159)+SUMIF('06'!$D$7:$D$159,$C163,'06'!R$7:R$159)+SUMIF('07'!$D$7:$D$159,$C163,'07'!R$7:R$159)+SUMIF('08'!$D$7:$D$159,$C163,'08'!R$7:R$159)</f>
        <v>0</v>
      </c>
      <c r="Q164" s="282">
        <f>SUMIF('02'!$D$7:$D$159,$C163,'02'!S$7:S$159)+SUMIF('03'!$D$7:$D$159,$C163,'03'!S$7:S$159)+SUMIF('04'!$D$7:$D$159,$C163,'04'!S$7:S$159)+SUMIF('05'!$D$7:$D$159,$C163,'05'!S$7:S$159)+SUMIF('06'!$D$7:$D$159,$C163,'06'!S$7:S$159)+SUMIF('07'!$D$7:$D$159,$C163,'07'!S$7:S$159)+SUMIF('08'!$D$7:$D$159,$C163,'08'!S$7:S$159)</f>
        <v>0</v>
      </c>
      <c r="R164" s="283">
        <f>SUMIF('02'!$D$7:$D$159,$C163,'02'!T$7:T$159)+SUMIF('03'!$D$7:$D$159,$C163,'03'!T$7:T$159)+SUMIF('04'!$D$7:$D$159,$C163,'04'!T$7:T$159)+SUMIF('05'!$D$7:$D$159,$C163,'05'!T$7:T$159)+SUMIF('06'!$D$7:$D$159,$C163,'06'!T$7:T$159)+SUMIF('07'!$D$7:$D$159,$C163,'07'!T$7:T$159)+SUMIF('08'!$D$7:$D$159,$C163,'08'!T$7:T$159)</f>
        <v>0</v>
      </c>
      <c r="S164" s="281">
        <f>SUMIF('02'!$D$7:$D$159,$C163,'02'!U$7:U$159)+SUMIF('03'!$D$7:$D$159,$C163,'03'!U$7:U$159)+SUMIF('04'!$D$7:$D$159,$C163,'04'!U$7:U$159)+SUMIF('05'!$D$7:$D$159,$C163,'05'!U$7:U$159)+SUMIF('06'!$D$7:$D$159,$C163,'06'!U$7:U$159)+SUMIF('07'!$D$7:$D$159,$C163,'07'!U$7:U$159)+SUMIF('08'!$D$7:$D$159,$C163,'08'!U$7:U$159)</f>
        <v>0</v>
      </c>
      <c r="T164" s="282">
        <f>SUMIF('02'!$D$7:$D$159,$C163,'02'!V$7:V$159)+SUMIF('03'!$D$7:$D$159,$C163,'03'!V$7:V$159)+SUMIF('04'!$D$7:$D$159,$C163,'04'!V$7:V$159)+SUMIF('05'!$D$7:$D$159,$C163,'05'!V$7:V$159)+SUMIF('06'!$D$7:$D$159,$C163,'06'!V$7:V$159)+SUMIF('07'!$D$7:$D$159,$C163,'07'!V$7:V$159)+SUMIF('08'!$D$7:$D$159,$C163,'08'!V$7:V$159)</f>
        <v>0</v>
      </c>
      <c r="U164" s="285">
        <f>SUMIF('02'!$D$7:$D$159,$C163,'02'!W$7:W$159)+SUMIF('03'!$D$7:$D$159,$C163,'03'!W$7:W$159)+SUMIF('04'!$D$7:$D$159,$C163,'04'!W$7:W$159)+SUMIF('05'!$D$7:$D$159,$C163,'05'!W$7:W$159)+SUMIF('06'!$D$7:$D$159,$C163,'06'!W$7:W$159)+SUMIF('07'!$D$7:$D$159,$C163,'07'!W$7:W$159)+SUMIF('08'!$D$7:$D$159,$C163,'08'!W$7:W$159)</f>
        <v>0</v>
      </c>
      <c r="V164" s="284">
        <f>SUMIF('02'!$D$7:$D$159,$C163,'02'!X$7:X$159)+SUMIF('03'!$D$7:$D$159,$C163,'03'!X$7:X$159)+SUMIF('04'!$D$7:$D$159,$C163,'04'!X$7:X$159)+SUMIF('05'!$D$7:$D$159,$C163,'05'!X$7:X$159)+SUMIF('06'!$D$7:$D$159,$C163,'06'!X$7:X$159)+SUMIF('07'!$D$7:$D$159,$C163,'07'!X$7:X$159)+SUMIF('08'!$D$7:$D$159,$C163,'08'!X$7:X$159)</f>
        <v>0</v>
      </c>
      <c r="W164" s="284">
        <f>SUMIF('02'!$D$7:$D$159,$C163,'02'!Y$7:Y$159)+SUMIF('03'!$D$7:$D$159,$C163,'03'!Y$7:Y$159)+SUMIF('04'!$D$7:$D$159,$C163,'04'!Y$7:Y$159)+SUMIF('05'!$D$7:$D$159,$C163,'05'!Y$7:Y$159)+SUMIF('06'!$D$7:$D$159,$C163,'06'!Y$7:Y$159)+SUMIF('07'!$D$7:$D$159,$C163,'07'!Y$7:Y$159)+SUMIF('08'!$D$7:$D$159,$C163,'08'!Y$7:Y$159)</f>
        <v>0</v>
      </c>
      <c r="X164" s="286">
        <f t="shared" si="7"/>
        <v>0</v>
      </c>
      <c r="Y164" s="345"/>
      <c r="Z164" s="347"/>
    </row>
    <row r="165" spans="1:26" ht="14.25" customHeight="1" x14ac:dyDescent="0.3">
      <c r="A165" s="178">
        <f>IF(OR(C165="0",COUNTIF(КлючВесна,C165)&gt;1),0,MATCH(F165,ВидыНагр,0))</f>
        <v>0</v>
      </c>
      <c r="B165" s="178" t="b">
        <f>(COUNTA(D165:F166,J165:W165,H165:I166)=0)</f>
        <v>1</v>
      </c>
      <c r="C165" s="179" t="str">
        <f>IF(OR(TRIM(D165)="",COUNTIF(ВидыНагр,F165)&lt;&gt;1),"0",CONCATENATE("$",TRIM(D165),"$",TRIM(E165),"$",F165,"$"))</f>
        <v>0</v>
      </c>
      <c r="D165" s="340"/>
      <c r="E165" s="338"/>
      <c r="F165" s="342"/>
      <c r="G165" s="180" t="s">
        <v>7</v>
      </c>
      <c r="H165" s="181"/>
      <c r="I165" s="182"/>
      <c r="J165" s="183"/>
      <c r="K165" s="184"/>
      <c r="L165" s="185"/>
      <c r="M165" s="183"/>
      <c r="N165" s="184"/>
      <c r="O165" s="186"/>
      <c r="P165" s="183"/>
      <c r="Q165" s="184"/>
      <c r="R165" s="185"/>
      <c r="S165" s="183"/>
      <c r="T165" s="184"/>
      <c r="U165" s="187"/>
      <c r="V165" s="186"/>
      <c r="W165" s="186"/>
      <c r="X165" s="279">
        <f t="shared" si="7"/>
        <v>0</v>
      </c>
      <c r="Y165" s="344">
        <f>X166-X165</f>
        <v>0</v>
      </c>
      <c r="Z165" s="346"/>
    </row>
    <row r="166" spans="1:26" ht="14.25" customHeight="1" x14ac:dyDescent="0.3">
      <c r="A166" s="178">
        <f>-A165</f>
        <v>0</v>
      </c>
      <c r="B166" s="178" t="b">
        <f>B165</f>
        <v>1</v>
      </c>
      <c r="C166" s="188"/>
      <c r="D166" s="341"/>
      <c r="E166" s="339"/>
      <c r="F166" s="343"/>
      <c r="G166" s="189" t="s">
        <v>8</v>
      </c>
      <c r="H166" s="190"/>
      <c r="I166" s="280"/>
      <c r="J166" s="281">
        <f>SUMIF('02'!$D$7:$D$159,$C165,'02'!L$7:L$159)+SUMIF('03'!$D$7:$D$159,$C165,'03'!L$7:L$159)+SUMIF('04'!$D$7:$D$159,$C165,'04'!L$7:L$159)+SUMIF('05'!$D$7:$D$159,$C165,'05'!L$7:L$159)+SUMIF('06'!$D$7:$D$159,$C165,'06'!L$7:L$159)+SUMIF('07'!$D$7:$D$159,$C165,'07'!L$7:L$159)+SUMIF('08'!$D$7:$D$159,$C165,'08'!L$7:L$159)</f>
        <v>0</v>
      </c>
      <c r="K166" s="282">
        <f>SUMIF('02'!$D$7:$D$159,$C165,'02'!M$7:M$159)+SUMIF('03'!$D$7:$D$159,$C165,'03'!M$7:M$159)+SUMIF('04'!$D$7:$D$159,$C165,'04'!M$7:M$159)+SUMIF('05'!$D$7:$D$159,$C165,'05'!M$7:M$159)+SUMIF('06'!$D$7:$D$159,$C165,'06'!M$7:M$159)+SUMIF('07'!$D$7:$D$159,$C165,'07'!M$7:M$159)+SUMIF('08'!$D$7:$D$159,$C165,'08'!M$7:M$159)</f>
        <v>0</v>
      </c>
      <c r="L166" s="283">
        <f>SUMIF('02'!$D$7:$D$159,$C165,'02'!N$7:N$159)+SUMIF('03'!$D$7:$D$159,$C165,'03'!N$7:N$159)+SUMIF('04'!$D$7:$D$159,$C165,'04'!N$7:N$159)+SUMIF('05'!$D$7:$D$159,$C165,'05'!N$7:N$159)+SUMIF('06'!$D$7:$D$159,$C165,'06'!N$7:N$159)+SUMIF('07'!$D$7:$D$159,$C165,'07'!N$7:N$159)+SUMIF('08'!$D$7:$D$159,$C165,'08'!N$7:N$159)</f>
        <v>0</v>
      </c>
      <c r="M166" s="281">
        <f>SUMIF('02'!$D$7:$D$159,$C165,'02'!O$7:O$159)+SUMIF('03'!$D$7:$D$159,$C165,'03'!O$7:O$159)+SUMIF('04'!$D$7:$D$159,$C165,'04'!O$7:O$159)+SUMIF('05'!$D$7:$D$159,$C165,'05'!O$7:O$159)+SUMIF('06'!$D$7:$D$159,$C165,'06'!O$7:O$159)+SUMIF('07'!$D$7:$D$159,$C165,'07'!O$7:O$159)+SUMIF('08'!$D$7:$D$159,$C165,'08'!O$7:O$159)</f>
        <v>0</v>
      </c>
      <c r="N166" s="282">
        <f>SUMIF('02'!$D$7:$D$159,$C165,'02'!P$7:P$159)+SUMIF('03'!$D$7:$D$159,$C165,'03'!P$7:P$159)+SUMIF('04'!$D$7:$D$159,$C165,'04'!P$7:P$159)+SUMIF('05'!$D$7:$D$159,$C165,'05'!P$7:P$159)+SUMIF('06'!$D$7:$D$159,$C165,'06'!P$7:P$159)+SUMIF('07'!$D$7:$D$159,$C165,'07'!P$7:P$159)+SUMIF('08'!$D$7:$D$159,$C165,'08'!P$7:P$159)</f>
        <v>0</v>
      </c>
      <c r="O166" s="284">
        <f>SUMIF('02'!$D$7:$D$159,$C165,'02'!Q$7:Q$159)+SUMIF('03'!$D$7:$D$159,$C165,'03'!Q$7:Q$159)+SUMIF('04'!$D$7:$D$159,$C165,'04'!Q$7:Q$159)+SUMIF('05'!$D$7:$D$159,$C165,'05'!Q$7:Q$159)+SUMIF('06'!$D$7:$D$159,$C165,'06'!Q$7:Q$159)+SUMIF('07'!$D$7:$D$159,$C165,'07'!Q$7:Q$159)+SUMIF('08'!$D$7:$D$159,$C165,'08'!Q$7:Q$159)</f>
        <v>0</v>
      </c>
      <c r="P166" s="281">
        <f>SUMIF('02'!$D$7:$D$159,$C165,'02'!R$7:R$159)+SUMIF('03'!$D$7:$D$159,$C165,'03'!R$7:R$159)+SUMIF('04'!$D$7:$D$159,$C165,'04'!R$7:R$159)+SUMIF('05'!$D$7:$D$159,$C165,'05'!R$7:R$159)+SUMIF('06'!$D$7:$D$159,$C165,'06'!R$7:R$159)+SUMIF('07'!$D$7:$D$159,$C165,'07'!R$7:R$159)+SUMIF('08'!$D$7:$D$159,$C165,'08'!R$7:R$159)</f>
        <v>0</v>
      </c>
      <c r="Q166" s="282">
        <f>SUMIF('02'!$D$7:$D$159,$C165,'02'!S$7:S$159)+SUMIF('03'!$D$7:$D$159,$C165,'03'!S$7:S$159)+SUMIF('04'!$D$7:$D$159,$C165,'04'!S$7:S$159)+SUMIF('05'!$D$7:$D$159,$C165,'05'!S$7:S$159)+SUMIF('06'!$D$7:$D$159,$C165,'06'!S$7:S$159)+SUMIF('07'!$D$7:$D$159,$C165,'07'!S$7:S$159)+SUMIF('08'!$D$7:$D$159,$C165,'08'!S$7:S$159)</f>
        <v>0</v>
      </c>
      <c r="R166" s="283">
        <f>SUMIF('02'!$D$7:$D$159,$C165,'02'!T$7:T$159)+SUMIF('03'!$D$7:$D$159,$C165,'03'!T$7:T$159)+SUMIF('04'!$D$7:$D$159,$C165,'04'!T$7:T$159)+SUMIF('05'!$D$7:$D$159,$C165,'05'!T$7:T$159)+SUMIF('06'!$D$7:$D$159,$C165,'06'!T$7:T$159)+SUMIF('07'!$D$7:$D$159,$C165,'07'!T$7:T$159)+SUMIF('08'!$D$7:$D$159,$C165,'08'!T$7:T$159)</f>
        <v>0</v>
      </c>
      <c r="S166" s="281">
        <f>SUMIF('02'!$D$7:$D$159,$C165,'02'!U$7:U$159)+SUMIF('03'!$D$7:$D$159,$C165,'03'!U$7:U$159)+SUMIF('04'!$D$7:$D$159,$C165,'04'!U$7:U$159)+SUMIF('05'!$D$7:$D$159,$C165,'05'!U$7:U$159)+SUMIF('06'!$D$7:$D$159,$C165,'06'!U$7:U$159)+SUMIF('07'!$D$7:$D$159,$C165,'07'!U$7:U$159)+SUMIF('08'!$D$7:$D$159,$C165,'08'!U$7:U$159)</f>
        <v>0</v>
      </c>
      <c r="T166" s="282">
        <f>SUMIF('02'!$D$7:$D$159,$C165,'02'!V$7:V$159)+SUMIF('03'!$D$7:$D$159,$C165,'03'!V$7:V$159)+SUMIF('04'!$D$7:$D$159,$C165,'04'!V$7:V$159)+SUMIF('05'!$D$7:$D$159,$C165,'05'!V$7:V$159)+SUMIF('06'!$D$7:$D$159,$C165,'06'!V$7:V$159)+SUMIF('07'!$D$7:$D$159,$C165,'07'!V$7:V$159)+SUMIF('08'!$D$7:$D$159,$C165,'08'!V$7:V$159)</f>
        <v>0</v>
      </c>
      <c r="U166" s="285">
        <f>SUMIF('02'!$D$7:$D$159,$C165,'02'!W$7:W$159)+SUMIF('03'!$D$7:$D$159,$C165,'03'!W$7:W$159)+SUMIF('04'!$D$7:$D$159,$C165,'04'!W$7:W$159)+SUMIF('05'!$D$7:$D$159,$C165,'05'!W$7:W$159)+SUMIF('06'!$D$7:$D$159,$C165,'06'!W$7:W$159)+SUMIF('07'!$D$7:$D$159,$C165,'07'!W$7:W$159)+SUMIF('08'!$D$7:$D$159,$C165,'08'!W$7:W$159)</f>
        <v>0</v>
      </c>
      <c r="V166" s="284">
        <f>SUMIF('02'!$D$7:$D$159,$C165,'02'!X$7:X$159)+SUMIF('03'!$D$7:$D$159,$C165,'03'!X$7:X$159)+SUMIF('04'!$D$7:$D$159,$C165,'04'!X$7:X$159)+SUMIF('05'!$D$7:$D$159,$C165,'05'!X$7:X$159)+SUMIF('06'!$D$7:$D$159,$C165,'06'!X$7:X$159)+SUMIF('07'!$D$7:$D$159,$C165,'07'!X$7:X$159)+SUMIF('08'!$D$7:$D$159,$C165,'08'!X$7:X$159)</f>
        <v>0</v>
      </c>
      <c r="W166" s="284">
        <f>SUMIF('02'!$D$7:$D$159,$C165,'02'!Y$7:Y$159)+SUMIF('03'!$D$7:$D$159,$C165,'03'!Y$7:Y$159)+SUMIF('04'!$D$7:$D$159,$C165,'04'!Y$7:Y$159)+SUMIF('05'!$D$7:$D$159,$C165,'05'!Y$7:Y$159)+SUMIF('06'!$D$7:$D$159,$C165,'06'!Y$7:Y$159)+SUMIF('07'!$D$7:$D$159,$C165,'07'!Y$7:Y$159)+SUMIF('08'!$D$7:$D$159,$C165,'08'!Y$7:Y$159)</f>
        <v>0</v>
      </c>
      <c r="X166" s="286">
        <f t="shared" si="7"/>
        <v>0</v>
      </c>
      <c r="Y166" s="345"/>
      <c r="Z166" s="347"/>
    </row>
    <row r="167" spans="1:26" ht="14.25" customHeight="1" x14ac:dyDescent="0.3">
      <c r="A167" s="178">
        <f>IF(OR(C167="0",COUNTIF(КлючВесна,C167)&gt;1),0,MATCH(F167,ВидыНагр,0))</f>
        <v>0</v>
      </c>
      <c r="B167" s="178" t="b">
        <f>(COUNTA(D167:F168,J167:W167,H167:I168)=0)</f>
        <v>1</v>
      </c>
      <c r="C167" s="179" t="str">
        <f>IF(OR(TRIM(D167)="",COUNTIF(ВидыНагр,F167)&lt;&gt;1),"0",CONCATENATE("$",TRIM(D167),"$",TRIM(E167),"$",F167,"$"))</f>
        <v>0</v>
      </c>
      <c r="D167" s="340"/>
      <c r="E167" s="338"/>
      <c r="F167" s="342"/>
      <c r="G167" s="180" t="s">
        <v>7</v>
      </c>
      <c r="H167" s="181"/>
      <c r="I167" s="182"/>
      <c r="J167" s="183"/>
      <c r="K167" s="184"/>
      <c r="L167" s="185"/>
      <c r="M167" s="183"/>
      <c r="N167" s="184"/>
      <c r="O167" s="186"/>
      <c r="P167" s="183"/>
      <c r="Q167" s="184"/>
      <c r="R167" s="185"/>
      <c r="S167" s="183"/>
      <c r="T167" s="184"/>
      <c r="U167" s="187"/>
      <c r="V167" s="186"/>
      <c r="W167" s="186"/>
      <c r="X167" s="279">
        <f t="shared" si="7"/>
        <v>0</v>
      </c>
      <c r="Y167" s="344">
        <f>X168-X167</f>
        <v>0</v>
      </c>
      <c r="Z167" s="346"/>
    </row>
    <row r="168" spans="1:26" ht="14.25" customHeight="1" x14ac:dyDescent="0.3">
      <c r="A168" s="178">
        <f>-A167</f>
        <v>0</v>
      </c>
      <c r="B168" s="178" t="b">
        <f>B167</f>
        <v>1</v>
      </c>
      <c r="C168" s="188"/>
      <c r="D168" s="341"/>
      <c r="E168" s="339"/>
      <c r="F168" s="343"/>
      <c r="G168" s="189" t="s">
        <v>8</v>
      </c>
      <c r="H168" s="190"/>
      <c r="I168" s="280"/>
      <c r="J168" s="281">
        <f>SUMIF('02'!$D$7:$D$159,$C167,'02'!L$7:L$159)+SUMIF('03'!$D$7:$D$159,$C167,'03'!L$7:L$159)+SUMIF('04'!$D$7:$D$159,$C167,'04'!L$7:L$159)+SUMIF('05'!$D$7:$D$159,$C167,'05'!L$7:L$159)+SUMIF('06'!$D$7:$D$159,$C167,'06'!L$7:L$159)+SUMIF('07'!$D$7:$D$159,$C167,'07'!L$7:L$159)+SUMIF('08'!$D$7:$D$159,$C167,'08'!L$7:L$159)</f>
        <v>0</v>
      </c>
      <c r="K168" s="282">
        <f>SUMIF('02'!$D$7:$D$159,$C167,'02'!M$7:M$159)+SUMIF('03'!$D$7:$D$159,$C167,'03'!M$7:M$159)+SUMIF('04'!$D$7:$D$159,$C167,'04'!M$7:M$159)+SUMIF('05'!$D$7:$D$159,$C167,'05'!M$7:M$159)+SUMIF('06'!$D$7:$D$159,$C167,'06'!M$7:M$159)+SUMIF('07'!$D$7:$D$159,$C167,'07'!M$7:M$159)+SUMIF('08'!$D$7:$D$159,$C167,'08'!M$7:M$159)</f>
        <v>0</v>
      </c>
      <c r="L168" s="283">
        <f>SUMIF('02'!$D$7:$D$159,$C167,'02'!N$7:N$159)+SUMIF('03'!$D$7:$D$159,$C167,'03'!N$7:N$159)+SUMIF('04'!$D$7:$D$159,$C167,'04'!N$7:N$159)+SUMIF('05'!$D$7:$D$159,$C167,'05'!N$7:N$159)+SUMIF('06'!$D$7:$D$159,$C167,'06'!N$7:N$159)+SUMIF('07'!$D$7:$D$159,$C167,'07'!N$7:N$159)+SUMIF('08'!$D$7:$D$159,$C167,'08'!N$7:N$159)</f>
        <v>0</v>
      </c>
      <c r="M168" s="281">
        <f>SUMIF('02'!$D$7:$D$159,$C167,'02'!O$7:O$159)+SUMIF('03'!$D$7:$D$159,$C167,'03'!O$7:O$159)+SUMIF('04'!$D$7:$D$159,$C167,'04'!O$7:O$159)+SUMIF('05'!$D$7:$D$159,$C167,'05'!O$7:O$159)+SUMIF('06'!$D$7:$D$159,$C167,'06'!O$7:O$159)+SUMIF('07'!$D$7:$D$159,$C167,'07'!O$7:O$159)+SUMIF('08'!$D$7:$D$159,$C167,'08'!O$7:O$159)</f>
        <v>0</v>
      </c>
      <c r="N168" s="282">
        <f>SUMIF('02'!$D$7:$D$159,$C167,'02'!P$7:P$159)+SUMIF('03'!$D$7:$D$159,$C167,'03'!P$7:P$159)+SUMIF('04'!$D$7:$D$159,$C167,'04'!P$7:P$159)+SUMIF('05'!$D$7:$D$159,$C167,'05'!P$7:P$159)+SUMIF('06'!$D$7:$D$159,$C167,'06'!P$7:P$159)+SUMIF('07'!$D$7:$D$159,$C167,'07'!P$7:P$159)+SUMIF('08'!$D$7:$D$159,$C167,'08'!P$7:P$159)</f>
        <v>0</v>
      </c>
      <c r="O168" s="284">
        <f>SUMIF('02'!$D$7:$D$159,$C167,'02'!Q$7:Q$159)+SUMIF('03'!$D$7:$D$159,$C167,'03'!Q$7:Q$159)+SUMIF('04'!$D$7:$D$159,$C167,'04'!Q$7:Q$159)+SUMIF('05'!$D$7:$D$159,$C167,'05'!Q$7:Q$159)+SUMIF('06'!$D$7:$D$159,$C167,'06'!Q$7:Q$159)+SUMIF('07'!$D$7:$D$159,$C167,'07'!Q$7:Q$159)+SUMIF('08'!$D$7:$D$159,$C167,'08'!Q$7:Q$159)</f>
        <v>0</v>
      </c>
      <c r="P168" s="281">
        <f>SUMIF('02'!$D$7:$D$159,$C167,'02'!R$7:R$159)+SUMIF('03'!$D$7:$D$159,$C167,'03'!R$7:R$159)+SUMIF('04'!$D$7:$D$159,$C167,'04'!R$7:R$159)+SUMIF('05'!$D$7:$D$159,$C167,'05'!R$7:R$159)+SUMIF('06'!$D$7:$D$159,$C167,'06'!R$7:R$159)+SUMIF('07'!$D$7:$D$159,$C167,'07'!R$7:R$159)+SUMIF('08'!$D$7:$D$159,$C167,'08'!R$7:R$159)</f>
        <v>0</v>
      </c>
      <c r="Q168" s="282">
        <f>SUMIF('02'!$D$7:$D$159,$C167,'02'!S$7:S$159)+SUMIF('03'!$D$7:$D$159,$C167,'03'!S$7:S$159)+SUMIF('04'!$D$7:$D$159,$C167,'04'!S$7:S$159)+SUMIF('05'!$D$7:$D$159,$C167,'05'!S$7:S$159)+SUMIF('06'!$D$7:$D$159,$C167,'06'!S$7:S$159)+SUMIF('07'!$D$7:$D$159,$C167,'07'!S$7:S$159)+SUMIF('08'!$D$7:$D$159,$C167,'08'!S$7:S$159)</f>
        <v>0</v>
      </c>
      <c r="R168" s="283">
        <f>SUMIF('02'!$D$7:$D$159,$C167,'02'!T$7:T$159)+SUMIF('03'!$D$7:$D$159,$C167,'03'!T$7:T$159)+SUMIF('04'!$D$7:$D$159,$C167,'04'!T$7:T$159)+SUMIF('05'!$D$7:$D$159,$C167,'05'!T$7:T$159)+SUMIF('06'!$D$7:$D$159,$C167,'06'!T$7:T$159)+SUMIF('07'!$D$7:$D$159,$C167,'07'!T$7:T$159)+SUMIF('08'!$D$7:$D$159,$C167,'08'!T$7:T$159)</f>
        <v>0</v>
      </c>
      <c r="S168" s="281">
        <f>SUMIF('02'!$D$7:$D$159,$C167,'02'!U$7:U$159)+SUMIF('03'!$D$7:$D$159,$C167,'03'!U$7:U$159)+SUMIF('04'!$D$7:$D$159,$C167,'04'!U$7:U$159)+SUMIF('05'!$D$7:$D$159,$C167,'05'!U$7:U$159)+SUMIF('06'!$D$7:$D$159,$C167,'06'!U$7:U$159)+SUMIF('07'!$D$7:$D$159,$C167,'07'!U$7:U$159)+SUMIF('08'!$D$7:$D$159,$C167,'08'!U$7:U$159)</f>
        <v>0</v>
      </c>
      <c r="T168" s="282">
        <f>SUMIF('02'!$D$7:$D$159,$C167,'02'!V$7:V$159)+SUMIF('03'!$D$7:$D$159,$C167,'03'!V$7:V$159)+SUMIF('04'!$D$7:$D$159,$C167,'04'!V$7:V$159)+SUMIF('05'!$D$7:$D$159,$C167,'05'!V$7:V$159)+SUMIF('06'!$D$7:$D$159,$C167,'06'!V$7:V$159)+SUMIF('07'!$D$7:$D$159,$C167,'07'!V$7:V$159)+SUMIF('08'!$D$7:$D$159,$C167,'08'!V$7:V$159)</f>
        <v>0</v>
      </c>
      <c r="U168" s="285">
        <f>SUMIF('02'!$D$7:$D$159,$C167,'02'!W$7:W$159)+SUMIF('03'!$D$7:$D$159,$C167,'03'!W$7:W$159)+SUMIF('04'!$D$7:$D$159,$C167,'04'!W$7:W$159)+SUMIF('05'!$D$7:$D$159,$C167,'05'!W$7:W$159)+SUMIF('06'!$D$7:$D$159,$C167,'06'!W$7:W$159)+SUMIF('07'!$D$7:$D$159,$C167,'07'!W$7:W$159)+SUMIF('08'!$D$7:$D$159,$C167,'08'!W$7:W$159)</f>
        <v>0</v>
      </c>
      <c r="V168" s="284">
        <f>SUMIF('02'!$D$7:$D$159,$C167,'02'!X$7:X$159)+SUMIF('03'!$D$7:$D$159,$C167,'03'!X$7:X$159)+SUMIF('04'!$D$7:$D$159,$C167,'04'!X$7:X$159)+SUMIF('05'!$D$7:$D$159,$C167,'05'!X$7:X$159)+SUMIF('06'!$D$7:$D$159,$C167,'06'!X$7:X$159)+SUMIF('07'!$D$7:$D$159,$C167,'07'!X$7:X$159)+SUMIF('08'!$D$7:$D$159,$C167,'08'!X$7:X$159)</f>
        <v>0</v>
      </c>
      <c r="W168" s="284">
        <f>SUMIF('02'!$D$7:$D$159,$C167,'02'!Y$7:Y$159)+SUMIF('03'!$D$7:$D$159,$C167,'03'!Y$7:Y$159)+SUMIF('04'!$D$7:$D$159,$C167,'04'!Y$7:Y$159)+SUMIF('05'!$D$7:$D$159,$C167,'05'!Y$7:Y$159)+SUMIF('06'!$D$7:$D$159,$C167,'06'!Y$7:Y$159)+SUMIF('07'!$D$7:$D$159,$C167,'07'!Y$7:Y$159)+SUMIF('08'!$D$7:$D$159,$C167,'08'!Y$7:Y$159)</f>
        <v>0</v>
      </c>
      <c r="X168" s="286">
        <f t="shared" si="7"/>
        <v>0</v>
      </c>
      <c r="Y168" s="345"/>
      <c r="Z168" s="347"/>
    </row>
    <row r="169" spans="1:26" ht="14.25" customHeight="1" x14ac:dyDescent="0.3">
      <c r="A169" s="178">
        <f>IF(OR(C169="0",COUNTIF(КлючВесна,C169)&gt;1),0,MATCH(F169,ВидыНагр,0))</f>
        <v>0</v>
      </c>
      <c r="B169" s="178" t="b">
        <f>(COUNTA(D169:F170,J169:W169,H169:I170)=0)</f>
        <v>1</v>
      </c>
      <c r="C169" s="179" t="str">
        <f>IF(OR(TRIM(D169)="",COUNTIF(ВидыНагр,F169)&lt;&gt;1),"0",CONCATENATE("$",TRIM(D169),"$",TRIM(E169),"$",F169,"$"))</f>
        <v>0</v>
      </c>
      <c r="D169" s="340"/>
      <c r="E169" s="338"/>
      <c r="F169" s="342"/>
      <c r="G169" s="180" t="s">
        <v>7</v>
      </c>
      <c r="H169" s="181"/>
      <c r="I169" s="182"/>
      <c r="J169" s="183"/>
      <c r="K169" s="184"/>
      <c r="L169" s="185"/>
      <c r="M169" s="183"/>
      <c r="N169" s="184"/>
      <c r="O169" s="186"/>
      <c r="P169" s="183"/>
      <c r="Q169" s="184"/>
      <c r="R169" s="185"/>
      <c r="S169" s="183"/>
      <c r="T169" s="184"/>
      <c r="U169" s="187"/>
      <c r="V169" s="186"/>
      <c r="W169" s="186"/>
      <c r="X169" s="279">
        <f t="shared" si="5"/>
        <v>0</v>
      </c>
      <c r="Y169" s="344">
        <f>X170-X169</f>
        <v>0</v>
      </c>
      <c r="Z169" s="346"/>
    </row>
    <row r="170" spans="1:26" ht="14.25" customHeight="1" x14ac:dyDescent="0.3">
      <c r="A170" s="178">
        <f>-A169</f>
        <v>0</v>
      </c>
      <c r="B170" s="178" t="b">
        <f>B169</f>
        <v>1</v>
      </c>
      <c r="C170" s="188"/>
      <c r="D170" s="341"/>
      <c r="E170" s="339"/>
      <c r="F170" s="343"/>
      <c r="G170" s="189" t="s">
        <v>8</v>
      </c>
      <c r="H170" s="190"/>
      <c r="I170" s="280"/>
      <c r="J170" s="281">
        <f>SUMIF('02'!$D$7:$D$159,$C169,'02'!L$7:L$159)+SUMIF('03'!$D$7:$D$159,$C169,'03'!L$7:L$159)+SUMIF('04'!$D$7:$D$159,$C169,'04'!L$7:L$159)+SUMIF('05'!$D$7:$D$159,$C169,'05'!L$7:L$159)+SUMIF('06'!$D$7:$D$159,$C169,'06'!L$7:L$159)+SUMIF('07'!$D$7:$D$159,$C169,'07'!L$7:L$159)+SUMIF('08'!$D$7:$D$159,$C169,'08'!L$7:L$159)</f>
        <v>0</v>
      </c>
      <c r="K170" s="282">
        <f>SUMIF('02'!$D$7:$D$159,$C169,'02'!M$7:M$159)+SUMIF('03'!$D$7:$D$159,$C169,'03'!M$7:M$159)+SUMIF('04'!$D$7:$D$159,$C169,'04'!M$7:M$159)+SUMIF('05'!$D$7:$D$159,$C169,'05'!M$7:M$159)+SUMIF('06'!$D$7:$D$159,$C169,'06'!M$7:M$159)+SUMIF('07'!$D$7:$D$159,$C169,'07'!M$7:M$159)+SUMIF('08'!$D$7:$D$159,$C169,'08'!M$7:M$159)</f>
        <v>0</v>
      </c>
      <c r="L170" s="283">
        <f>SUMIF('02'!$D$7:$D$159,$C169,'02'!N$7:N$159)+SUMIF('03'!$D$7:$D$159,$C169,'03'!N$7:N$159)+SUMIF('04'!$D$7:$D$159,$C169,'04'!N$7:N$159)+SUMIF('05'!$D$7:$D$159,$C169,'05'!N$7:N$159)+SUMIF('06'!$D$7:$D$159,$C169,'06'!N$7:N$159)+SUMIF('07'!$D$7:$D$159,$C169,'07'!N$7:N$159)+SUMIF('08'!$D$7:$D$159,$C169,'08'!N$7:N$159)</f>
        <v>0</v>
      </c>
      <c r="M170" s="281">
        <f>SUMIF('02'!$D$7:$D$159,$C169,'02'!O$7:O$159)+SUMIF('03'!$D$7:$D$159,$C169,'03'!O$7:O$159)+SUMIF('04'!$D$7:$D$159,$C169,'04'!O$7:O$159)+SUMIF('05'!$D$7:$D$159,$C169,'05'!O$7:O$159)+SUMIF('06'!$D$7:$D$159,$C169,'06'!O$7:O$159)+SUMIF('07'!$D$7:$D$159,$C169,'07'!O$7:O$159)+SUMIF('08'!$D$7:$D$159,$C169,'08'!O$7:O$159)</f>
        <v>0</v>
      </c>
      <c r="N170" s="282">
        <f>SUMIF('02'!$D$7:$D$159,$C169,'02'!P$7:P$159)+SUMIF('03'!$D$7:$D$159,$C169,'03'!P$7:P$159)+SUMIF('04'!$D$7:$D$159,$C169,'04'!P$7:P$159)+SUMIF('05'!$D$7:$D$159,$C169,'05'!P$7:P$159)+SUMIF('06'!$D$7:$D$159,$C169,'06'!P$7:P$159)+SUMIF('07'!$D$7:$D$159,$C169,'07'!P$7:P$159)+SUMIF('08'!$D$7:$D$159,$C169,'08'!P$7:P$159)</f>
        <v>0</v>
      </c>
      <c r="O170" s="284">
        <f>SUMIF('02'!$D$7:$D$159,$C169,'02'!Q$7:Q$159)+SUMIF('03'!$D$7:$D$159,$C169,'03'!Q$7:Q$159)+SUMIF('04'!$D$7:$D$159,$C169,'04'!Q$7:Q$159)+SUMIF('05'!$D$7:$D$159,$C169,'05'!Q$7:Q$159)+SUMIF('06'!$D$7:$D$159,$C169,'06'!Q$7:Q$159)+SUMIF('07'!$D$7:$D$159,$C169,'07'!Q$7:Q$159)+SUMIF('08'!$D$7:$D$159,$C169,'08'!Q$7:Q$159)</f>
        <v>0</v>
      </c>
      <c r="P170" s="281">
        <f>SUMIF('02'!$D$7:$D$159,$C169,'02'!R$7:R$159)+SUMIF('03'!$D$7:$D$159,$C169,'03'!R$7:R$159)+SUMIF('04'!$D$7:$D$159,$C169,'04'!R$7:R$159)+SUMIF('05'!$D$7:$D$159,$C169,'05'!R$7:R$159)+SUMIF('06'!$D$7:$D$159,$C169,'06'!R$7:R$159)+SUMIF('07'!$D$7:$D$159,$C169,'07'!R$7:R$159)+SUMIF('08'!$D$7:$D$159,$C169,'08'!R$7:R$159)</f>
        <v>0</v>
      </c>
      <c r="Q170" s="282">
        <f>SUMIF('02'!$D$7:$D$159,$C169,'02'!S$7:S$159)+SUMIF('03'!$D$7:$D$159,$C169,'03'!S$7:S$159)+SUMIF('04'!$D$7:$D$159,$C169,'04'!S$7:S$159)+SUMIF('05'!$D$7:$D$159,$C169,'05'!S$7:S$159)+SUMIF('06'!$D$7:$D$159,$C169,'06'!S$7:S$159)+SUMIF('07'!$D$7:$D$159,$C169,'07'!S$7:S$159)+SUMIF('08'!$D$7:$D$159,$C169,'08'!S$7:S$159)</f>
        <v>0</v>
      </c>
      <c r="R170" s="283">
        <f>SUMIF('02'!$D$7:$D$159,$C169,'02'!T$7:T$159)+SUMIF('03'!$D$7:$D$159,$C169,'03'!T$7:T$159)+SUMIF('04'!$D$7:$D$159,$C169,'04'!T$7:T$159)+SUMIF('05'!$D$7:$D$159,$C169,'05'!T$7:T$159)+SUMIF('06'!$D$7:$D$159,$C169,'06'!T$7:T$159)+SUMIF('07'!$D$7:$D$159,$C169,'07'!T$7:T$159)+SUMIF('08'!$D$7:$D$159,$C169,'08'!T$7:T$159)</f>
        <v>0</v>
      </c>
      <c r="S170" s="281">
        <f>SUMIF('02'!$D$7:$D$159,$C169,'02'!U$7:U$159)+SUMIF('03'!$D$7:$D$159,$C169,'03'!U$7:U$159)+SUMIF('04'!$D$7:$D$159,$C169,'04'!U$7:U$159)+SUMIF('05'!$D$7:$D$159,$C169,'05'!U$7:U$159)+SUMIF('06'!$D$7:$D$159,$C169,'06'!U$7:U$159)+SUMIF('07'!$D$7:$D$159,$C169,'07'!U$7:U$159)+SUMIF('08'!$D$7:$D$159,$C169,'08'!U$7:U$159)</f>
        <v>0</v>
      </c>
      <c r="T170" s="282">
        <f>SUMIF('02'!$D$7:$D$159,$C169,'02'!V$7:V$159)+SUMIF('03'!$D$7:$D$159,$C169,'03'!V$7:V$159)+SUMIF('04'!$D$7:$D$159,$C169,'04'!V$7:V$159)+SUMIF('05'!$D$7:$D$159,$C169,'05'!V$7:V$159)+SUMIF('06'!$D$7:$D$159,$C169,'06'!V$7:V$159)+SUMIF('07'!$D$7:$D$159,$C169,'07'!V$7:V$159)+SUMIF('08'!$D$7:$D$159,$C169,'08'!V$7:V$159)</f>
        <v>0</v>
      </c>
      <c r="U170" s="285">
        <f>SUMIF('02'!$D$7:$D$159,$C169,'02'!W$7:W$159)+SUMIF('03'!$D$7:$D$159,$C169,'03'!W$7:W$159)+SUMIF('04'!$D$7:$D$159,$C169,'04'!W$7:W$159)+SUMIF('05'!$D$7:$D$159,$C169,'05'!W$7:W$159)+SUMIF('06'!$D$7:$D$159,$C169,'06'!W$7:W$159)+SUMIF('07'!$D$7:$D$159,$C169,'07'!W$7:W$159)+SUMIF('08'!$D$7:$D$159,$C169,'08'!W$7:W$159)</f>
        <v>0</v>
      </c>
      <c r="V170" s="284">
        <f>SUMIF('02'!$D$7:$D$159,$C169,'02'!X$7:X$159)+SUMIF('03'!$D$7:$D$159,$C169,'03'!X$7:X$159)+SUMIF('04'!$D$7:$D$159,$C169,'04'!X$7:X$159)+SUMIF('05'!$D$7:$D$159,$C169,'05'!X$7:X$159)+SUMIF('06'!$D$7:$D$159,$C169,'06'!X$7:X$159)+SUMIF('07'!$D$7:$D$159,$C169,'07'!X$7:X$159)+SUMIF('08'!$D$7:$D$159,$C169,'08'!X$7:X$159)</f>
        <v>0</v>
      </c>
      <c r="W170" s="284">
        <f>SUMIF('02'!$D$7:$D$159,$C169,'02'!Y$7:Y$159)+SUMIF('03'!$D$7:$D$159,$C169,'03'!Y$7:Y$159)+SUMIF('04'!$D$7:$D$159,$C169,'04'!Y$7:Y$159)+SUMIF('05'!$D$7:$D$159,$C169,'05'!Y$7:Y$159)+SUMIF('06'!$D$7:$D$159,$C169,'06'!Y$7:Y$159)+SUMIF('07'!$D$7:$D$159,$C169,'07'!Y$7:Y$159)+SUMIF('08'!$D$7:$D$159,$C169,'08'!Y$7:Y$159)</f>
        <v>0</v>
      </c>
      <c r="X170" s="286">
        <f t="shared" si="5"/>
        <v>0</v>
      </c>
      <c r="Y170" s="345"/>
      <c r="Z170" s="347"/>
    </row>
    <row r="171" spans="1:26" ht="14.25" customHeight="1" x14ac:dyDescent="0.3">
      <c r="A171" s="178">
        <f>IF(OR(C171="0",COUNTIF(КлючВесна,C171)&gt;1),0,MATCH(F171,ВидыНагр,0))</f>
        <v>0</v>
      </c>
      <c r="B171" s="178" t="b">
        <f>(COUNTA(D171:F172,J171:W171,H171:I172)=0)</f>
        <v>1</v>
      </c>
      <c r="C171" s="179" t="str">
        <f>IF(OR(TRIM(D171)="",COUNTIF(ВидыНагр,F171)&lt;&gt;1),"0",CONCATENATE("$",TRIM(D171),"$",TRIM(E171),"$",F171,"$"))</f>
        <v>0</v>
      </c>
      <c r="D171" s="340"/>
      <c r="E171" s="338"/>
      <c r="F171" s="342"/>
      <c r="G171" s="180" t="s">
        <v>7</v>
      </c>
      <c r="H171" s="181"/>
      <c r="I171" s="182"/>
      <c r="J171" s="183"/>
      <c r="K171" s="184"/>
      <c r="L171" s="185"/>
      <c r="M171" s="183"/>
      <c r="N171" s="184"/>
      <c r="O171" s="186"/>
      <c r="P171" s="183"/>
      <c r="Q171" s="184"/>
      <c r="R171" s="185"/>
      <c r="S171" s="183"/>
      <c r="T171" s="184"/>
      <c r="U171" s="187"/>
      <c r="V171" s="186"/>
      <c r="W171" s="186"/>
      <c r="X171" s="279">
        <f t="shared" si="5"/>
        <v>0</v>
      </c>
      <c r="Y171" s="344">
        <f>X172-X171</f>
        <v>0</v>
      </c>
      <c r="Z171" s="346"/>
    </row>
    <row r="172" spans="1:26" ht="14.25" customHeight="1" x14ac:dyDescent="0.3">
      <c r="A172" s="178">
        <f>-A171</f>
        <v>0</v>
      </c>
      <c r="B172" s="178" t="b">
        <f>B171</f>
        <v>1</v>
      </c>
      <c r="C172" s="188"/>
      <c r="D172" s="341"/>
      <c r="E172" s="339"/>
      <c r="F172" s="343"/>
      <c r="G172" s="189" t="s">
        <v>8</v>
      </c>
      <c r="H172" s="190"/>
      <c r="I172" s="280"/>
      <c r="J172" s="281">
        <f>SUMIF('02'!$D$7:$D$159,$C171,'02'!L$7:L$159)+SUMIF('03'!$D$7:$D$159,$C171,'03'!L$7:L$159)+SUMIF('04'!$D$7:$D$159,$C171,'04'!L$7:L$159)+SUMIF('05'!$D$7:$D$159,$C171,'05'!L$7:L$159)+SUMIF('06'!$D$7:$D$159,$C171,'06'!L$7:L$159)+SUMIF('07'!$D$7:$D$159,$C171,'07'!L$7:L$159)+SUMIF('08'!$D$7:$D$159,$C171,'08'!L$7:L$159)</f>
        <v>0</v>
      </c>
      <c r="K172" s="282">
        <f>SUMIF('02'!$D$7:$D$159,$C171,'02'!M$7:M$159)+SUMIF('03'!$D$7:$D$159,$C171,'03'!M$7:M$159)+SUMIF('04'!$D$7:$D$159,$C171,'04'!M$7:M$159)+SUMIF('05'!$D$7:$D$159,$C171,'05'!M$7:M$159)+SUMIF('06'!$D$7:$D$159,$C171,'06'!M$7:M$159)+SUMIF('07'!$D$7:$D$159,$C171,'07'!M$7:M$159)+SUMIF('08'!$D$7:$D$159,$C171,'08'!M$7:M$159)</f>
        <v>0</v>
      </c>
      <c r="L172" s="283">
        <f>SUMIF('02'!$D$7:$D$159,$C171,'02'!N$7:N$159)+SUMIF('03'!$D$7:$D$159,$C171,'03'!N$7:N$159)+SUMIF('04'!$D$7:$D$159,$C171,'04'!N$7:N$159)+SUMIF('05'!$D$7:$D$159,$C171,'05'!N$7:N$159)+SUMIF('06'!$D$7:$D$159,$C171,'06'!N$7:N$159)+SUMIF('07'!$D$7:$D$159,$C171,'07'!N$7:N$159)+SUMIF('08'!$D$7:$D$159,$C171,'08'!N$7:N$159)</f>
        <v>0</v>
      </c>
      <c r="M172" s="281">
        <f>SUMIF('02'!$D$7:$D$159,$C171,'02'!O$7:O$159)+SUMIF('03'!$D$7:$D$159,$C171,'03'!O$7:O$159)+SUMIF('04'!$D$7:$D$159,$C171,'04'!O$7:O$159)+SUMIF('05'!$D$7:$D$159,$C171,'05'!O$7:O$159)+SUMIF('06'!$D$7:$D$159,$C171,'06'!O$7:O$159)+SUMIF('07'!$D$7:$D$159,$C171,'07'!O$7:O$159)+SUMIF('08'!$D$7:$D$159,$C171,'08'!O$7:O$159)</f>
        <v>0</v>
      </c>
      <c r="N172" s="282">
        <f>SUMIF('02'!$D$7:$D$159,$C171,'02'!P$7:P$159)+SUMIF('03'!$D$7:$D$159,$C171,'03'!P$7:P$159)+SUMIF('04'!$D$7:$D$159,$C171,'04'!P$7:P$159)+SUMIF('05'!$D$7:$D$159,$C171,'05'!P$7:P$159)+SUMIF('06'!$D$7:$D$159,$C171,'06'!P$7:P$159)+SUMIF('07'!$D$7:$D$159,$C171,'07'!P$7:P$159)+SUMIF('08'!$D$7:$D$159,$C171,'08'!P$7:P$159)</f>
        <v>0</v>
      </c>
      <c r="O172" s="284">
        <f>SUMIF('02'!$D$7:$D$159,$C171,'02'!Q$7:Q$159)+SUMIF('03'!$D$7:$D$159,$C171,'03'!Q$7:Q$159)+SUMIF('04'!$D$7:$D$159,$C171,'04'!Q$7:Q$159)+SUMIF('05'!$D$7:$D$159,$C171,'05'!Q$7:Q$159)+SUMIF('06'!$D$7:$D$159,$C171,'06'!Q$7:Q$159)+SUMIF('07'!$D$7:$D$159,$C171,'07'!Q$7:Q$159)+SUMIF('08'!$D$7:$D$159,$C171,'08'!Q$7:Q$159)</f>
        <v>0</v>
      </c>
      <c r="P172" s="281">
        <f>SUMIF('02'!$D$7:$D$159,$C171,'02'!R$7:R$159)+SUMIF('03'!$D$7:$D$159,$C171,'03'!R$7:R$159)+SUMIF('04'!$D$7:$D$159,$C171,'04'!R$7:R$159)+SUMIF('05'!$D$7:$D$159,$C171,'05'!R$7:R$159)+SUMIF('06'!$D$7:$D$159,$C171,'06'!R$7:R$159)+SUMIF('07'!$D$7:$D$159,$C171,'07'!R$7:R$159)+SUMIF('08'!$D$7:$D$159,$C171,'08'!R$7:R$159)</f>
        <v>0</v>
      </c>
      <c r="Q172" s="282">
        <f>SUMIF('02'!$D$7:$D$159,$C171,'02'!S$7:S$159)+SUMIF('03'!$D$7:$D$159,$C171,'03'!S$7:S$159)+SUMIF('04'!$D$7:$D$159,$C171,'04'!S$7:S$159)+SUMIF('05'!$D$7:$D$159,$C171,'05'!S$7:S$159)+SUMIF('06'!$D$7:$D$159,$C171,'06'!S$7:S$159)+SUMIF('07'!$D$7:$D$159,$C171,'07'!S$7:S$159)+SUMIF('08'!$D$7:$D$159,$C171,'08'!S$7:S$159)</f>
        <v>0</v>
      </c>
      <c r="R172" s="283">
        <f>SUMIF('02'!$D$7:$D$159,$C171,'02'!T$7:T$159)+SUMIF('03'!$D$7:$D$159,$C171,'03'!T$7:T$159)+SUMIF('04'!$D$7:$D$159,$C171,'04'!T$7:T$159)+SUMIF('05'!$D$7:$D$159,$C171,'05'!T$7:T$159)+SUMIF('06'!$D$7:$D$159,$C171,'06'!T$7:T$159)+SUMIF('07'!$D$7:$D$159,$C171,'07'!T$7:T$159)+SUMIF('08'!$D$7:$D$159,$C171,'08'!T$7:T$159)</f>
        <v>0</v>
      </c>
      <c r="S172" s="281">
        <f>SUMIF('02'!$D$7:$D$159,$C171,'02'!U$7:U$159)+SUMIF('03'!$D$7:$D$159,$C171,'03'!U$7:U$159)+SUMIF('04'!$D$7:$D$159,$C171,'04'!U$7:U$159)+SUMIF('05'!$D$7:$D$159,$C171,'05'!U$7:U$159)+SUMIF('06'!$D$7:$D$159,$C171,'06'!U$7:U$159)+SUMIF('07'!$D$7:$D$159,$C171,'07'!U$7:U$159)+SUMIF('08'!$D$7:$D$159,$C171,'08'!U$7:U$159)</f>
        <v>0</v>
      </c>
      <c r="T172" s="282">
        <f>SUMIF('02'!$D$7:$D$159,$C171,'02'!V$7:V$159)+SUMIF('03'!$D$7:$D$159,$C171,'03'!V$7:V$159)+SUMIF('04'!$D$7:$D$159,$C171,'04'!V$7:V$159)+SUMIF('05'!$D$7:$D$159,$C171,'05'!V$7:V$159)+SUMIF('06'!$D$7:$D$159,$C171,'06'!V$7:V$159)+SUMIF('07'!$D$7:$D$159,$C171,'07'!V$7:V$159)+SUMIF('08'!$D$7:$D$159,$C171,'08'!V$7:V$159)</f>
        <v>0</v>
      </c>
      <c r="U172" s="285">
        <f>SUMIF('02'!$D$7:$D$159,$C171,'02'!W$7:W$159)+SUMIF('03'!$D$7:$D$159,$C171,'03'!W$7:W$159)+SUMIF('04'!$D$7:$D$159,$C171,'04'!W$7:W$159)+SUMIF('05'!$D$7:$D$159,$C171,'05'!W$7:W$159)+SUMIF('06'!$D$7:$D$159,$C171,'06'!W$7:W$159)+SUMIF('07'!$D$7:$D$159,$C171,'07'!W$7:W$159)+SUMIF('08'!$D$7:$D$159,$C171,'08'!W$7:W$159)</f>
        <v>0</v>
      </c>
      <c r="V172" s="284">
        <f>SUMIF('02'!$D$7:$D$159,$C171,'02'!X$7:X$159)+SUMIF('03'!$D$7:$D$159,$C171,'03'!X$7:X$159)+SUMIF('04'!$D$7:$D$159,$C171,'04'!X$7:X$159)+SUMIF('05'!$D$7:$D$159,$C171,'05'!X$7:X$159)+SUMIF('06'!$D$7:$D$159,$C171,'06'!X$7:X$159)+SUMIF('07'!$D$7:$D$159,$C171,'07'!X$7:X$159)+SUMIF('08'!$D$7:$D$159,$C171,'08'!X$7:X$159)</f>
        <v>0</v>
      </c>
      <c r="W172" s="284">
        <f>SUMIF('02'!$D$7:$D$159,$C171,'02'!Y$7:Y$159)+SUMIF('03'!$D$7:$D$159,$C171,'03'!Y$7:Y$159)+SUMIF('04'!$D$7:$D$159,$C171,'04'!Y$7:Y$159)+SUMIF('05'!$D$7:$D$159,$C171,'05'!Y$7:Y$159)+SUMIF('06'!$D$7:$D$159,$C171,'06'!Y$7:Y$159)+SUMIF('07'!$D$7:$D$159,$C171,'07'!Y$7:Y$159)+SUMIF('08'!$D$7:$D$159,$C171,'08'!Y$7:Y$159)</f>
        <v>0</v>
      </c>
      <c r="X172" s="286">
        <f t="shared" si="5"/>
        <v>0</v>
      </c>
      <c r="Y172" s="345"/>
      <c r="Z172" s="347"/>
    </row>
    <row r="173" spans="1:26" ht="14.25" customHeight="1" x14ac:dyDescent="0.3">
      <c r="A173" s="178">
        <f>IF(OR(C173="0",COUNTIF(КлючВесна,C173)&gt;1),0,MATCH(F173,ВидыНагр,0))</f>
        <v>0</v>
      </c>
      <c r="B173" s="178" t="b">
        <f>(COUNTA(D173:F174,J173:W173,H173:I174)=0)</f>
        <v>1</v>
      </c>
      <c r="C173" s="179" t="str">
        <f>IF(OR(TRIM(D173)="",COUNTIF(ВидыНагр,F173)&lt;&gt;1),"0",CONCATENATE("$",TRIM(D173),"$",TRIM(E173),"$",F173,"$"))</f>
        <v>0</v>
      </c>
      <c r="D173" s="340"/>
      <c r="E173" s="338"/>
      <c r="F173" s="342"/>
      <c r="G173" s="180" t="s">
        <v>7</v>
      </c>
      <c r="H173" s="181"/>
      <c r="I173" s="182"/>
      <c r="J173" s="183"/>
      <c r="K173" s="184"/>
      <c r="L173" s="185"/>
      <c r="M173" s="183"/>
      <c r="N173" s="184"/>
      <c r="O173" s="186"/>
      <c r="P173" s="183"/>
      <c r="Q173" s="184"/>
      <c r="R173" s="185"/>
      <c r="S173" s="183"/>
      <c r="T173" s="184"/>
      <c r="U173" s="187"/>
      <c r="V173" s="186"/>
      <c r="W173" s="186"/>
      <c r="X173" s="279">
        <f t="shared" ref="X173:X178" si="8">SUM(J173:W173)</f>
        <v>0</v>
      </c>
      <c r="Y173" s="344">
        <f>X174-X173</f>
        <v>0</v>
      </c>
      <c r="Z173" s="346"/>
    </row>
    <row r="174" spans="1:26" ht="14.25" customHeight="1" x14ac:dyDescent="0.3">
      <c r="A174" s="178">
        <f>-A173</f>
        <v>0</v>
      </c>
      <c r="B174" s="178" t="b">
        <f>B173</f>
        <v>1</v>
      </c>
      <c r="C174" s="188"/>
      <c r="D174" s="341"/>
      <c r="E174" s="339"/>
      <c r="F174" s="343"/>
      <c r="G174" s="189" t="s">
        <v>8</v>
      </c>
      <c r="H174" s="190"/>
      <c r="I174" s="280"/>
      <c r="J174" s="281">
        <f>SUMIF('02'!$D$7:$D$159,$C173,'02'!L$7:L$159)+SUMIF('03'!$D$7:$D$159,$C173,'03'!L$7:L$159)+SUMIF('04'!$D$7:$D$159,$C173,'04'!L$7:L$159)+SUMIF('05'!$D$7:$D$159,$C173,'05'!L$7:L$159)+SUMIF('06'!$D$7:$D$159,$C173,'06'!L$7:L$159)+SUMIF('07'!$D$7:$D$159,$C173,'07'!L$7:L$159)+SUMIF('08'!$D$7:$D$159,$C173,'08'!L$7:L$159)</f>
        <v>0</v>
      </c>
      <c r="K174" s="282">
        <f>SUMIF('02'!$D$7:$D$159,$C173,'02'!M$7:M$159)+SUMIF('03'!$D$7:$D$159,$C173,'03'!M$7:M$159)+SUMIF('04'!$D$7:$D$159,$C173,'04'!M$7:M$159)+SUMIF('05'!$D$7:$D$159,$C173,'05'!M$7:M$159)+SUMIF('06'!$D$7:$D$159,$C173,'06'!M$7:M$159)+SUMIF('07'!$D$7:$D$159,$C173,'07'!M$7:M$159)+SUMIF('08'!$D$7:$D$159,$C173,'08'!M$7:M$159)</f>
        <v>0</v>
      </c>
      <c r="L174" s="283">
        <f>SUMIF('02'!$D$7:$D$159,$C173,'02'!N$7:N$159)+SUMIF('03'!$D$7:$D$159,$C173,'03'!N$7:N$159)+SUMIF('04'!$D$7:$D$159,$C173,'04'!N$7:N$159)+SUMIF('05'!$D$7:$D$159,$C173,'05'!N$7:N$159)+SUMIF('06'!$D$7:$D$159,$C173,'06'!N$7:N$159)+SUMIF('07'!$D$7:$D$159,$C173,'07'!N$7:N$159)+SUMIF('08'!$D$7:$D$159,$C173,'08'!N$7:N$159)</f>
        <v>0</v>
      </c>
      <c r="M174" s="281">
        <f>SUMIF('02'!$D$7:$D$159,$C173,'02'!O$7:O$159)+SUMIF('03'!$D$7:$D$159,$C173,'03'!O$7:O$159)+SUMIF('04'!$D$7:$D$159,$C173,'04'!O$7:O$159)+SUMIF('05'!$D$7:$D$159,$C173,'05'!O$7:O$159)+SUMIF('06'!$D$7:$D$159,$C173,'06'!O$7:O$159)+SUMIF('07'!$D$7:$D$159,$C173,'07'!O$7:O$159)+SUMIF('08'!$D$7:$D$159,$C173,'08'!O$7:O$159)</f>
        <v>0</v>
      </c>
      <c r="N174" s="282">
        <f>SUMIF('02'!$D$7:$D$159,$C173,'02'!P$7:P$159)+SUMIF('03'!$D$7:$D$159,$C173,'03'!P$7:P$159)+SUMIF('04'!$D$7:$D$159,$C173,'04'!P$7:P$159)+SUMIF('05'!$D$7:$D$159,$C173,'05'!P$7:P$159)+SUMIF('06'!$D$7:$D$159,$C173,'06'!P$7:P$159)+SUMIF('07'!$D$7:$D$159,$C173,'07'!P$7:P$159)+SUMIF('08'!$D$7:$D$159,$C173,'08'!P$7:P$159)</f>
        <v>0</v>
      </c>
      <c r="O174" s="284">
        <f>SUMIF('02'!$D$7:$D$159,$C173,'02'!Q$7:Q$159)+SUMIF('03'!$D$7:$D$159,$C173,'03'!Q$7:Q$159)+SUMIF('04'!$D$7:$D$159,$C173,'04'!Q$7:Q$159)+SUMIF('05'!$D$7:$D$159,$C173,'05'!Q$7:Q$159)+SUMIF('06'!$D$7:$D$159,$C173,'06'!Q$7:Q$159)+SUMIF('07'!$D$7:$D$159,$C173,'07'!Q$7:Q$159)+SUMIF('08'!$D$7:$D$159,$C173,'08'!Q$7:Q$159)</f>
        <v>0</v>
      </c>
      <c r="P174" s="281">
        <f>SUMIF('02'!$D$7:$D$159,$C173,'02'!R$7:R$159)+SUMIF('03'!$D$7:$D$159,$C173,'03'!R$7:R$159)+SUMIF('04'!$D$7:$D$159,$C173,'04'!R$7:R$159)+SUMIF('05'!$D$7:$D$159,$C173,'05'!R$7:R$159)+SUMIF('06'!$D$7:$D$159,$C173,'06'!R$7:R$159)+SUMIF('07'!$D$7:$D$159,$C173,'07'!R$7:R$159)+SUMIF('08'!$D$7:$D$159,$C173,'08'!R$7:R$159)</f>
        <v>0</v>
      </c>
      <c r="Q174" s="282">
        <f>SUMIF('02'!$D$7:$D$159,$C173,'02'!S$7:S$159)+SUMIF('03'!$D$7:$D$159,$C173,'03'!S$7:S$159)+SUMIF('04'!$D$7:$D$159,$C173,'04'!S$7:S$159)+SUMIF('05'!$D$7:$D$159,$C173,'05'!S$7:S$159)+SUMIF('06'!$D$7:$D$159,$C173,'06'!S$7:S$159)+SUMIF('07'!$D$7:$D$159,$C173,'07'!S$7:S$159)+SUMIF('08'!$D$7:$D$159,$C173,'08'!S$7:S$159)</f>
        <v>0</v>
      </c>
      <c r="R174" s="283">
        <f>SUMIF('02'!$D$7:$D$159,$C173,'02'!T$7:T$159)+SUMIF('03'!$D$7:$D$159,$C173,'03'!T$7:T$159)+SUMIF('04'!$D$7:$D$159,$C173,'04'!T$7:T$159)+SUMIF('05'!$D$7:$D$159,$C173,'05'!T$7:T$159)+SUMIF('06'!$D$7:$D$159,$C173,'06'!T$7:T$159)+SUMIF('07'!$D$7:$D$159,$C173,'07'!T$7:T$159)+SUMIF('08'!$D$7:$D$159,$C173,'08'!T$7:T$159)</f>
        <v>0</v>
      </c>
      <c r="S174" s="281">
        <f>SUMIF('02'!$D$7:$D$159,$C173,'02'!U$7:U$159)+SUMIF('03'!$D$7:$D$159,$C173,'03'!U$7:U$159)+SUMIF('04'!$D$7:$D$159,$C173,'04'!U$7:U$159)+SUMIF('05'!$D$7:$D$159,$C173,'05'!U$7:U$159)+SUMIF('06'!$D$7:$D$159,$C173,'06'!U$7:U$159)+SUMIF('07'!$D$7:$D$159,$C173,'07'!U$7:U$159)+SUMIF('08'!$D$7:$D$159,$C173,'08'!U$7:U$159)</f>
        <v>0</v>
      </c>
      <c r="T174" s="282">
        <f>SUMIF('02'!$D$7:$D$159,$C173,'02'!V$7:V$159)+SUMIF('03'!$D$7:$D$159,$C173,'03'!V$7:V$159)+SUMIF('04'!$D$7:$D$159,$C173,'04'!V$7:V$159)+SUMIF('05'!$D$7:$D$159,$C173,'05'!V$7:V$159)+SUMIF('06'!$D$7:$D$159,$C173,'06'!V$7:V$159)+SUMIF('07'!$D$7:$D$159,$C173,'07'!V$7:V$159)+SUMIF('08'!$D$7:$D$159,$C173,'08'!V$7:V$159)</f>
        <v>0</v>
      </c>
      <c r="U174" s="285">
        <f>SUMIF('02'!$D$7:$D$159,$C173,'02'!W$7:W$159)+SUMIF('03'!$D$7:$D$159,$C173,'03'!W$7:W$159)+SUMIF('04'!$D$7:$D$159,$C173,'04'!W$7:W$159)+SUMIF('05'!$D$7:$D$159,$C173,'05'!W$7:W$159)+SUMIF('06'!$D$7:$D$159,$C173,'06'!W$7:W$159)+SUMIF('07'!$D$7:$D$159,$C173,'07'!W$7:W$159)+SUMIF('08'!$D$7:$D$159,$C173,'08'!W$7:W$159)</f>
        <v>0</v>
      </c>
      <c r="V174" s="284">
        <f>SUMIF('02'!$D$7:$D$159,$C173,'02'!X$7:X$159)+SUMIF('03'!$D$7:$D$159,$C173,'03'!X$7:X$159)+SUMIF('04'!$D$7:$D$159,$C173,'04'!X$7:X$159)+SUMIF('05'!$D$7:$D$159,$C173,'05'!X$7:X$159)+SUMIF('06'!$D$7:$D$159,$C173,'06'!X$7:X$159)+SUMIF('07'!$D$7:$D$159,$C173,'07'!X$7:X$159)+SUMIF('08'!$D$7:$D$159,$C173,'08'!X$7:X$159)</f>
        <v>0</v>
      </c>
      <c r="W174" s="284">
        <f>SUMIF('02'!$D$7:$D$159,$C173,'02'!Y$7:Y$159)+SUMIF('03'!$D$7:$D$159,$C173,'03'!Y$7:Y$159)+SUMIF('04'!$D$7:$D$159,$C173,'04'!Y$7:Y$159)+SUMIF('05'!$D$7:$D$159,$C173,'05'!Y$7:Y$159)+SUMIF('06'!$D$7:$D$159,$C173,'06'!Y$7:Y$159)+SUMIF('07'!$D$7:$D$159,$C173,'07'!Y$7:Y$159)+SUMIF('08'!$D$7:$D$159,$C173,'08'!Y$7:Y$159)</f>
        <v>0</v>
      </c>
      <c r="X174" s="286">
        <f t="shared" si="8"/>
        <v>0</v>
      </c>
      <c r="Y174" s="345"/>
      <c r="Z174" s="347"/>
    </row>
    <row r="175" spans="1:26" ht="14.25" customHeight="1" x14ac:dyDescent="0.3">
      <c r="A175" s="178">
        <f>IF(OR(C175="0",COUNTIF(КлючВесна,C175)&gt;1),0,MATCH(F175,ВидыНагр,0))</f>
        <v>0</v>
      </c>
      <c r="B175" s="178" t="b">
        <f>(COUNTA(D175:F176,J175:W175,H175:I176)=0)</f>
        <v>1</v>
      </c>
      <c r="C175" s="179" t="str">
        <f>IF(OR(TRIM(D175)="",COUNTIF(ВидыНагр,F175)&lt;&gt;1),"0",CONCATENATE("$",TRIM(D175),"$",TRIM(E175),"$",F175,"$"))</f>
        <v>0</v>
      </c>
      <c r="D175" s="340"/>
      <c r="E175" s="338"/>
      <c r="F175" s="342"/>
      <c r="G175" s="180" t="s">
        <v>7</v>
      </c>
      <c r="H175" s="181"/>
      <c r="I175" s="182"/>
      <c r="J175" s="183"/>
      <c r="K175" s="184"/>
      <c r="L175" s="185"/>
      <c r="M175" s="183"/>
      <c r="N175" s="184"/>
      <c r="O175" s="186"/>
      <c r="P175" s="183"/>
      <c r="Q175" s="184"/>
      <c r="R175" s="185"/>
      <c r="S175" s="183"/>
      <c r="T175" s="184"/>
      <c r="U175" s="187"/>
      <c r="V175" s="186"/>
      <c r="W175" s="186"/>
      <c r="X175" s="279">
        <f t="shared" si="8"/>
        <v>0</v>
      </c>
      <c r="Y175" s="344">
        <f>X176-X175</f>
        <v>0</v>
      </c>
      <c r="Z175" s="346"/>
    </row>
    <row r="176" spans="1:26" ht="14.25" customHeight="1" x14ac:dyDescent="0.3">
      <c r="A176" s="178">
        <f>-A175</f>
        <v>0</v>
      </c>
      <c r="B176" s="178" t="b">
        <f>B175</f>
        <v>1</v>
      </c>
      <c r="C176" s="188"/>
      <c r="D176" s="341"/>
      <c r="E176" s="339"/>
      <c r="F176" s="343"/>
      <c r="G176" s="189" t="s">
        <v>8</v>
      </c>
      <c r="H176" s="190"/>
      <c r="I176" s="280"/>
      <c r="J176" s="281">
        <f>SUMIF('02'!$D$7:$D$159,$C175,'02'!L$7:L$159)+SUMIF('03'!$D$7:$D$159,$C175,'03'!L$7:L$159)+SUMIF('04'!$D$7:$D$159,$C175,'04'!L$7:L$159)+SUMIF('05'!$D$7:$D$159,$C175,'05'!L$7:L$159)+SUMIF('06'!$D$7:$D$159,$C175,'06'!L$7:L$159)+SUMIF('07'!$D$7:$D$159,$C175,'07'!L$7:L$159)+SUMIF('08'!$D$7:$D$159,$C175,'08'!L$7:L$159)</f>
        <v>0</v>
      </c>
      <c r="K176" s="282">
        <f>SUMIF('02'!$D$7:$D$159,$C175,'02'!M$7:M$159)+SUMIF('03'!$D$7:$D$159,$C175,'03'!M$7:M$159)+SUMIF('04'!$D$7:$D$159,$C175,'04'!M$7:M$159)+SUMIF('05'!$D$7:$D$159,$C175,'05'!M$7:M$159)+SUMIF('06'!$D$7:$D$159,$C175,'06'!M$7:M$159)+SUMIF('07'!$D$7:$D$159,$C175,'07'!M$7:M$159)+SUMIF('08'!$D$7:$D$159,$C175,'08'!M$7:M$159)</f>
        <v>0</v>
      </c>
      <c r="L176" s="283">
        <f>SUMIF('02'!$D$7:$D$159,$C175,'02'!N$7:N$159)+SUMIF('03'!$D$7:$D$159,$C175,'03'!N$7:N$159)+SUMIF('04'!$D$7:$D$159,$C175,'04'!N$7:N$159)+SUMIF('05'!$D$7:$D$159,$C175,'05'!N$7:N$159)+SUMIF('06'!$D$7:$D$159,$C175,'06'!N$7:N$159)+SUMIF('07'!$D$7:$D$159,$C175,'07'!N$7:N$159)+SUMIF('08'!$D$7:$D$159,$C175,'08'!N$7:N$159)</f>
        <v>0</v>
      </c>
      <c r="M176" s="281">
        <f>SUMIF('02'!$D$7:$D$159,$C175,'02'!O$7:O$159)+SUMIF('03'!$D$7:$D$159,$C175,'03'!O$7:O$159)+SUMIF('04'!$D$7:$D$159,$C175,'04'!O$7:O$159)+SUMIF('05'!$D$7:$D$159,$C175,'05'!O$7:O$159)+SUMIF('06'!$D$7:$D$159,$C175,'06'!O$7:O$159)+SUMIF('07'!$D$7:$D$159,$C175,'07'!O$7:O$159)+SUMIF('08'!$D$7:$D$159,$C175,'08'!O$7:O$159)</f>
        <v>0</v>
      </c>
      <c r="N176" s="282">
        <f>SUMIF('02'!$D$7:$D$159,$C175,'02'!P$7:P$159)+SUMIF('03'!$D$7:$D$159,$C175,'03'!P$7:P$159)+SUMIF('04'!$D$7:$D$159,$C175,'04'!P$7:P$159)+SUMIF('05'!$D$7:$D$159,$C175,'05'!P$7:P$159)+SUMIF('06'!$D$7:$D$159,$C175,'06'!P$7:P$159)+SUMIF('07'!$D$7:$D$159,$C175,'07'!P$7:P$159)+SUMIF('08'!$D$7:$D$159,$C175,'08'!P$7:P$159)</f>
        <v>0</v>
      </c>
      <c r="O176" s="284">
        <f>SUMIF('02'!$D$7:$D$159,$C175,'02'!Q$7:Q$159)+SUMIF('03'!$D$7:$D$159,$C175,'03'!Q$7:Q$159)+SUMIF('04'!$D$7:$D$159,$C175,'04'!Q$7:Q$159)+SUMIF('05'!$D$7:$D$159,$C175,'05'!Q$7:Q$159)+SUMIF('06'!$D$7:$D$159,$C175,'06'!Q$7:Q$159)+SUMIF('07'!$D$7:$D$159,$C175,'07'!Q$7:Q$159)+SUMIF('08'!$D$7:$D$159,$C175,'08'!Q$7:Q$159)</f>
        <v>0</v>
      </c>
      <c r="P176" s="281">
        <f>SUMIF('02'!$D$7:$D$159,$C175,'02'!R$7:R$159)+SUMIF('03'!$D$7:$D$159,$C175,'03'!R$7:R$159)+SUMIF('04'!$D$7:$D$159,$C175,'04'!R$7:R$159)+SUMIF('05'!$D$7:$D$159,$C175,'05'!R$7:R$159)+SUMIF('06'!$D$7:$D$159,$C175,'06'!R$7:R$159)+SUMIF('07'!$D$7:$D$159,$C175,'07'!R$7:R$159)+SUMIF('08'!$D$7:$D$159,$C175,'08'!R$7:R$159)</f>
        <v>0</v>
      </c>
      <c r="Q176" s="282">
        <f>SUMIF('02'!$D$7:$D$159,$C175,'02'!S$7:S$159)+SUMIF('03'!$D$7:$D$159,$C175,'03'!S$7:S$159)+SUMIF('04'!$D$7:$D$159,$C175,'04'!S$7:S$159)+SUMIF('05'!$D$7:$D$159,$C175,'05'!S$7:S$159)+SUMIF('06'!$D$7:$D$159,$C175,'06'!S$7:S$159)+SUMIF('07'!$D$7:$D$159,$C175,'07'!S$7:S$159)+SUMIF('08'!$D$7:$D$159,$C175,'08'!S$7:S$159)</f>
        <v>0</v>
      </c>
      <c r="R176" s="283">
        <f>SUMIF('02'!$D$7:$D$159,$C175,'02'!T$7:T$159)+SUMIF('03'!$D$7:$D$159,$C175,'03'!T$7:T$159)+SUMIF('04'!$D$7:$D$159,$C175,'04'!T$7:T$159)+SUMIF('05'!$D$7:$D$159,$C175,'05'!T$7:T$159)+SUMIF('06'!$D$7:$D$159,$C175,'06'!T$7:T$159)+SUMIF('07'!$D$7:$D$159,$C175,'07'!T$7:T$159)+SUMIF('08'!$D$7:$D$159,$C175,'08'!T$7:T$159)</f>
        <v>0</v>
      </c>
      <c r="S176" s="281">
        <f>SUMIF('02'!$D$7:$D$159,$C175,'02'!U$7:U$159)+SUMIF('03'!$D$7:$D$159,$C175,'03'!U$7:U$159)+SUMIF('04'!$D$7:$D$159,$C175,'04'!U$7:U$159)+SUMIF('05'!$D$7:$D$159,$C175,'05'!U$7:U$159)+SUMIF('06'!$D$7:$D$159,$C175,'06'!U$7:U$159)+SUMIF('07'!$D$7:$D$159,$C175,'07'!U$7:U$159)+SUMIF('08'!$D$7:$D$159,$C175,'08'!U$7:U$159)</f>
        <v>0</v>
      </c>
      <c r="T176" s="282">
        <f>SUMIF('02'!$D$7:$D$159,$C175,'02'!V$7:V$159)+SUMIF('03'!$D$7:$D$159,$C175,'03'!V$7:V$159)+SUMIF('04'!$D$7:$D$159,$C175,'04'!V$7:V$159)+SUMIF('05'!$D$7:$D$159,$C175,'05'!V$7:V$159)+SUMIF('06'!$D$7:$D$159,$C175,'06'!V$7:V$159)+SUMIF('07'!$D$7:$D$159,$C175,'07'!V$7:V$159)+SUMIF('08'!$D$7:$D$159,$C175,'08'!V$7:V$159)</f>
        <v>0</v>
      </c>
      <c r="U176" s="285">
        <f>SUMIF('02'!$D$7:$D$159,$C175,'02'!W$7:W$159)+SUMIF('03'!$D$7:$D$159,$C175,'03'!W$7:W$159)+SUMIF('04'!$D$7:$D$159,$C175,'04'!W$7:W$159)+SUMIF('05'!$D$7:$D$159,$C175,'05'!W$7:W$159)+SUMIF('06'!$D$7:$D$159,$C175,'06'!W$7:W$159)+SUMIF('07'!$D$7:$D$159,$C175,'07'!W$7:W$159)+SUMIF('08'!$D$7:$D$159,$C175,'08'!W$7:W$159)</f>
        <v>0</v>
      </c>
      <c r="V176" s="284">
        <f>SUMIF('02'!$D$7:$D$159,$C175,'02'!X$7:X$159)+SUMIF('03'!$D$7:$D$159,$C175,'03'!X$7:X$159)+SUMIF('04'!$D$7:$D$159,$C175,'04'!X$7:X$159)+SUMIF('05'!$D$7:$D$159,$C175,'05'!X$7:X$159)+SUMIF('06'!$D$7:$D$159,$C175,'06'!X$7:X$159)+SUMIF('07'!$D$7:$D$159,$C175,'07'!X$7:X$159)+SUMIF('08'!$D$7:$D$159,$C175,'08'!X$7:X$159)</f>
        <v>0</v>
      </c>
      <c r="W176" s="284">
        <f>SUMIF('02'!$D$7:$D$159,$C175,'02'!Y$7:Y$159)+SUMIF('03'!$D$7:$D$159,$C175,'03'!Y$7:Y$159)+SUMIF('04'!$D$7:$D$159,$C175,'04'!Y$7:Y$159)+SUMIF('05'!$D$7:$D$159,$C175,'05'!Y$7:Y$159)+SUMIF('06'!$D$7:$D$159,$C175,'06'!Y$7:Y$159)+SUMIF('07'!$D$7:$D$159,$C175,'07'!Y$7:Y$159)+SUMIF('08'!$D$7:$D$159,$C175,'08'!Y$7:Y$159)</f>
        <v>0</v>
      </c>
      <c r="X176" s="286">
        <f t="shared" si="8"/>
        <v>0</v>
      </c>
      <c r="Y176" s="345"/>
      <c r="Z176" s="347"/>
    </row>
    <row r="177" spans="1:26" ht="14.25" customHeight="1" x14ac:dyDescent="0.3">
      <c r="A177" s="178">
        <f>IF(OR(C177="0",COUNTIF(КлючВесна,C177)&gt;1),0,MATCH(F177,ВидыНагр,0))</f>
        <v>0</v>
      </c>
      <c r="B177" s="178" t="b">
        <f>(COUNTA(D177:F178,J177:W177,H177:I178)=0)</f>
        <v>1</v>
      </c>
      <c r="C177" s="179" t="str">
        <f>IF(OR(TRIM(D177)="",COUNTIF(ВидыНагр,F177)&lt;&gt;1),"0",CONCATENATE("$",TRIM(D177),"$",TRIM(E177),"$",F177,"$"))</f>
        <v>0</v>
      </c>
      <c r="D177" s="340"/>
      <c r="E177" s="338"/>
      <c r="F177" s="342"/>
      <c r="G177" s="180" t="s">
        <v>7</v>
      </c>
      <c r="H177" s="181"/>
      <c r="I177" s="182"/>
      <c r="J177" s="183"/>
      <c r="K177" s="184"/>
      <c r="L177" s="185"/>
      <c r="M177" s="183"/>
      <c r="N177" s="184"/>
      <c r="O177" s="186"/>
      <c r="P177" s="183"/>
      <c r="Q177" s="184"/>
      <c r="R177" s="185"/>
      <c r="S177" s="183"/>
      <c r="T177" s="184"/>
      <c r="U177" s="187"/>
      <c r="V177" s="186"/>
      <c r="W177" s="186"/>
      <c r="X177" s="279">
        <f t="shared" si="8"/>
        <v>0</v>
      </c>
      <c r="Y177" s="344">
        <f>X178-X177</f>
        <v>0</v>
      </c>
      <c r="Z177" s="346"/>
    </row>
    <row r="178" spans="1:26" ht="14.25" customHeight="1" x14ac:dyDescent="0.3">
      <c r="A178" s="178">
        <f>-A177</f>
        <v>0</v>
      </c>
      <c r="B178" s="178" t="b">
        <f>B177</f>
        <v>1</v>
      </c>
      <c r="C178" s="188"/>
      <c r="D178" s="341"/>
      <c r="E178" s="339"/>
      <c r="F178" s="343"/>
      <c r="G178" s="189" t="s">
        <v>8</v>
      </c>
      <c r="H178" s="190"/>
      <c r="I178" s="280"/>
      <c r="J178" s="281">
        <f>SUMIF('02'!$D$7:$D$159,$C177,'02'!L$7:L$159)+SUMIF('03'!$D$7:$D$159,$C177,'03'!L$7:L$159)+SUMIF('04'!$D$7:$D$159,$C177,'04'!L$7:L$159)+SUMIF('05'!$D$7:$D$159,$C177,'05'!L$7:L$159)+SUMIF('06'!$D$7:$D$159,$C177,'06'!L$7:L$159)+SUMIF('07'!$D$7:$D$159,$C177,'07'!L$7:L$159)+SUMIF('08'!$D$7:$D$159,$C177,'08'!L$7:L$159)</f>
        <v>0</v>
      </c>
      <c r="K178" s="282">
        <f>SUMIF('02'!$D$7:$D$159,$C177,'02'!M$7:M$159)+SUMIF('03'!$D$7:$D$159,$C177,'03'!M$7:M$159)+SUMIF('04'!$D$7:$D$159,$C177,'04'!M$7:M$159)+SUMIF('05'!$D$7:$D$159,$C177,'05'!M$7:M$159)+SUMIF('06'!$D$7:$D$159,$C177,'06'!M$7:M$159)+SUMIF('07'!$D$7:$D$159,$C177,'07'!M$7:M$159)+SUMIF('08'!$D$7:$D$159,$C177,'08'!M$7:M$159)</f>
        <v>0</v>
      </c>
      <c r="L178" s="283">
        <f>SUMIF('02'!$D$7:$D$159,$C177,'02'!N$7:N$159)+SUMIF('03'!$D$7:$D$159,$C177,'03'!N$7:N$159)+SUMIF('04'!$D$7:$D$159,$C177,'04'!N$7:N$159)+SUMIF('05'!$D$7:$D$159,$C177,'05'!N$7:N$159)+SUMIF('06'!$D$7:$D$159,$C177,'06'!N$7:N$159)+SUMIF('07'!$D$7:$D$159,$C177,'07'!N$7:N$159)+SUMIF('08'!$D$7:$D$159,$C177,'08'!N$7:N$159)</f>
        <v>0</v>
      </c>
      <c r="M178" s="281">
        <f>SUMIF('02'!$D$7:$D$159,$C177,'02'!O$7:O$159)+SUMIF('03'!$D$7:$D$159,$C177,'03'!O$7:O$159)+SUMIF('04'!$D$7:$D$159,$C177,'04'!O$7:O$159)+SUMIF('05'!$D$7:$D$159,$C177,'05'!O$7:O$159)+SUMIF('06'!$D$7:$D$159,$C177,'06'!O$7:O$159)+SUMIF('07'!$D$7:$D$159,$C177,'07'!O$7:O$159)+SUMIF('08'!$D$7:$D$159,$C177,'08'!O$7:O$159)</f>
        <v>0</v>
      </c>
      <c r="N178" s="282">
        <f>SUMIF('02'!$D$7:$D$159,$C177,'02'!P$7:P$159)+SUMIF('03'!$D$7:$D$159,$C177,'03'!P$7:P$159)+SUMIF('04'!$D$7:$D$159,$C177,'04'!P$7:P$159)+SUMIF('05'!$D$7:$D$159,$C177,'05'!P$7:P$159)+SUMIF('06'!$D$7:$D$159,$C177,'06'!P$7:P$159)+SUMIF('07'!$D$7:$D$159,$C177,'07'!P$7:P$159)+SUMIF('08'!$D$7:$D$159,$C177,'08'!P$7:P$159)</f>
        <v>0</v>
      </c>
      <c r="O178" s="284">
        <f>SUMIF('02'!$D$7:$D$159,$C177,'02'!Q$7:Q$159)+SUMIF('03'!$D$7:$D$159,$C177,'03'!Q$7:Q$159)+SUMIF('04'!$D$7:$D$159,$C177,'04'!Q$7:Q$159)+SUMIF('05'!$D$7:$D$159,$C177,'05'!Q$7:Q$159)+SUMIF('06'!$D$7:$D$159,$C177,'06'!Q$7:Q$159)+SUMIF('07'!$D$7:$D$159,$C177,'07'!Q$7:Q$159)+SUMIF('08'!$D$7:$D$159,$C177,'08'!Q$7:Q$159)</f>
        <v>0</v>
      </c>
      <c r="P178" s="281">
        <f>SUMIF('02'!$D$7:$D$159,$C177,'02'!R$7:R$159)+SUMIF('03'!$D$7:$D$159,$C177,'03'!R$7:R$159)+SUMIF('04'!$D$7:$D$159,$C177,'04'!R$7:R$159)+SUMIF('05'!$D$7:$D$159,$C177,'05'!R$7:R$159)+SUMIF('06'!$D$7:$D$159,$C177,'06'!R$7:R$159)+SUMIF('07'!$D$7:$D$159,$C177,'07'!R$7:R$159)+SUMIF('08'!$D$7:$D$159,$C177,'08'!R$7:R$159)</f>
        <v>0</v>
      </c>
      <c r="Q178" s="282">
        <f>SUMIF('02'!$D$7:$D$159,$C177,'02'!S$7:S$159)+SUMIF('03'!$D$7:$D$159,$C177,'03'!S$7:S$159)+SUMIF('04'!$D$7:$D$159,$C177,'04'!S$7:S$159)+SUMIF('05'!$D$7:$D$159,$C177,'05'!S$7:S$159)+SUMIF('06'!$D$7:$D$159,$C177,'06'!S$7:S$159)+SUMIF('07'!$D$7:$D$159,$C177,'07'!S$7:S$159)+SUMIF('08'!$D$7:$D$159,$C177,'08'!S$7:S$159)</f>
        <v>0</v>
      </c>
      <c r="R178" s="283">
        <f>SUMIF('02'!$D$7:$D$159,$C177,'02'!T$7:T$159)+SUMIF('03'!$D$7:$D$159,$C177,'03'!T$7:T$159)+SUMIF('04'!$D$7:$D$159,$C177,'04'!T$7:T$159)+SUMIF('05'!$D$7:$D$159,$C177,'05'!T$7:T$159)+SUMIF('06'!$D$7:$D$159,$C177,'06'!T$7:T$159)+SUMIF('07'!$D$7:$D$159,$C177,'07'!T$7:T$159)+SUMIF('08'!$D$7:$D$159,$C177,'08'!T$7:T$159)</f>
        <v>0</v>
      </c>
      <c r="S178" s="281">
        <f>SUMIF('02'!$D$7:$D$159,$C177,'02'!U$7:U$159)+SUMIF('03'!$D$7:$D$159,$C177,'03'!U$7:U$159)+SUMIF('04'!$D$7:$D$159,$C177,'04'!U$7:U$159)+SUMIF('05'!$D$7:$D$159,$C177,'05'!U$7:U$159)+SUMIF('06'!$D$7:$D$159,$C177,'06'!U$7:U$159)+SUMIF('07'!$D$7:$D$159,$C177,'07'!U$7:U$159)+SUMIF('08'!$D$7:$D$159,$C177,'08'!U$7:U$159)</f>
        <v>0</v>
      </c>
      <c r="T178" s="282">
        <f>SUMIF('02'!$D$7:$D$159,$C177,'02'!V$7:V$159)+SUMIF('03'!$D$7:$D$159,$C177,'03'!V$7:V$159)+SUMIF('04'!$D$7:$D$159,$C177,'04'!V$7:V$159)+SUMIF('05'!$D$7:$D$159,$C177,'05'!V$7:V$159)+SUMIF('06'!$D$7:$D$159,$C177,'06'!V$7:V$159)+SUMIF('07'!$D$7:$D$159,$C177,'07'!V$7:V$159)+SUMIF('08'!$D$7:$D$159,$C177,'08'!V$7:V$159)</f>
        <v>0</v>
      </c>
      <c r="U178" s="285">
        <f>SUMIF('02'!$D$7:$D$159,$C177,'02'!W$7:W$159)+SUMIF('03'!$D$7:$D$159,$C177,'03'!W$7:W$159)+SUMIF('04'!$D$7:$D$159,$C177,'04'!W$7:W$159)+SUMIF('05'!$D$7:$D$159,$C177,'05'!W$7:W$159)+SUMIF('06'!$D$7:$D$159,$C177,'06'!W$7:W$159)+SUMIF('07'!$D$7:$D$159,$C177,'07'!W$7:W$159)+SUMIF('08'!$D$7:$D$159,$C177,'08'!W$7:W$159)</f>
        <v>0</v>
      </c>
      <c r="V178" s="284">
        <f>SUMIF('02'!$D$7:$D$159,$C177,'02'!X$7:X$159)+SUMIF('03'!$D$7:$D$159,$C177,'03'!X$7:X$159)+SUMIF('04'!$D$7:$D$159,$C177,'04'!X$7:X$159)+SUMIF('05'!$D$7:$D$159,$C177,'05'!X$7:X$159)+SUMIF('06'!$D$7:$D$159,$C177,'06'!X$7:X$159)+SUMIF('07'!$D$7:$D$159,$C177,'07'!X$7:X$159)+SUMIF('08'!$D$7:$D$159,$C177,'08'!X$7:X$159)</f>
        <v>0</v>
      </c>
      <c r="W178" s="284">
        <f>SUMIF('02'!$D$7:$D$159,$C177,'02'!Y$7:Y$159)+SUMIF('03'!$D$7:$D$159,$C177,'03'!Y$7:Y$159)+SUMIF('04'!$D$7:$D$159,$C177,'04'!Y$7:Y$159)+SUMIF('05'!$D$7:$D$159,$C177,'05'!Y$7:Y$159)+SUMIF('06'!$D$7:$D$159,$C177,'06'!Y$7:Y$159)+SUMIF('07'!$D$7:$D$159,$C177,'07'!Y$7:Y$159)+SUMIF('08'!$D$7:$D$159,$C177,'08'!Y$7:Y$159)</f>
        <v>0</v>
      </c>
      <c r="X178" s="286">
        <f t="shared" si="8"/>
        <v>0</v>
      </c>
      <c r="Y178" s="345"/>
      <c r="Z178" s="347"/>
    </row>
    <row r="180" spans="1:26" x14ac:dyDescent="0.3">
      <c r="Y180" s="2"/>
    </row>
    <row r="181" spans="1:26" x14ac:dyDescent="0.3">
      <c r="Y181" s="2"/>
    </row>
    <row r="182" spans="1:26" x14ac:dyDescent="0.3">
      <c r="Y182" s="2"/>
    </row>
    <row r="183" spans="1:26" x14ac:dyDescent="0.3">
      <c r="Y183" s="2"/>
    </row>
    <row r="184" spans="1:26" x14ac:dyDescent="0.3">
      <c r="Y184" s="2"/>
    </row>
    <row r="185" spans="1:26" x14ac:dyDescent="0.3">
      <c r="Y185" s="2"/>
    </row>
    <row r="186" spans="1:26" x14ac:dyDescent="0.3">
      <c r="Y186" s="2"/>
    </row>
    <row r="187" spans="1:26" x14ac:dyDescent="0.3">
      <c r="Y187" s="2"/>
    </row>
    <row r="188" spans="1:26" x14ac:dyDescent="0.3">
      <c r="Y188" s="2"/>
    </row>
    <row r="189" spans="1:26" x14ac:dyDescent="0.3">
      <c r="Y189" s="2"/>
    </row>
    <row r="190" spans="1:26" x14ac:dyDescent="0.3">
      <c r="Y190" s="2"/>
    </row>
    <row r="191" spans="1:26" x14ac:dyDescent="0.3">
      <c r="Y191" s="2"/>
    </row>
    <row r="192" spans="1:26" x14ac:dyDescent="0.3">
      <c r="Y192" s="2"/>
    </row>
    <row r="193" spans="25:25" x14ac:dyDescent="0.3">
      <c r="Y193" s="2"/>
    </row>
    <row r="194" spans="25:25" x14ac:dyDescent="0.3">
      <c r="Y194" s="2"/>
    </row>
  </sheetData>
  <sheetProtection algorithmName="SHA-512" hashValue="5eSfEzx/QYZVSfVfse31gDjbrgv8TJ2NL/X9ONRtguiM0tgwytcs9qCZMrXvQ+UJAmMHMSxCxE9/OWAzWzGaqw==" saltValue="VN2oRen15IQcHrWAMG6fJQ==" spinCount="100000" sheet="1" objects="1" scenarios="1"/>
  <mergeCells count="439">
    <mergeCell ref="D167:D168"/>
    <mergeCell ref="E167:E168"/>
    <mergeCell ref="F167:F168"/>
    <mergeCell ref="Y167:Y168"/>
    <mergeCell ref="Z167:Z168"/>
    <mergeCell ref="D163:D164"/>
    <mergeCell ref="E163:E164"/>
    <mergeCell ref="F163:F164"/>
    <mergeCell ref="Y163:Y164"/>
    <mergeCell ref="Z163:Z164"/>
    <mergeCell ref="D165:D166"/>
    <mergeCell ref="E165:E166"/>
    <mergeCell ref="F165:F166"/>
    <mergeCell ref="Y165:Y166"/>
    <mergeCell ref="Z165:Z166"/>
    <mergeCell ref="D159:D160"/>
    <mergeCell ref="E159:E160"/>
    <mergeCell ref="F159:F160"/>
    <mergeCell ref="Y159:Y160"/>
    <mergeCell ref="Z159:Z160"/>
    <mergeCell ref="D161:D162"/>
    <mergeCell ref="E161:E162"/>
    <mergeCell ref="F161:F162"/>
    <mergeCell ref="Y161:Y162"/>
    <mergeCell ref="Z161:Z162"/>
    <mergeCell ref="E155:E156"/>
    <mergeCell ref="F155:F156"/>
    <mergeCell ref="Y155:Y156"/>
    <mergeCell ref="Z155:Z156"/>
    <mergeCell ref="D157:D158"/>
    <mergeCell ref="E157:E158"/>
    <mergeCell ref="F157:F158"/>
    <mergeCell ref="Y157:Y158"/>
    <mergeCell ref="Z157:Z158"/>
    <mergeCell ref="E151:E152"/>
    <mergeCell ref="F151:F152"/>
    <mergeCell ref="Y151:Y152"/>
    <mergeCell ref="Z151:Z152"/>
    <mergeCell ref="D153:D154"/>
    <mergeCell ref="E153:E154"/>
    <mergeCell ref="F153:F154"/>
    <mergeCell ref="Y153:Y154"/>
    <mergeCell ref="Z153:Z154"/>
    <mergeCell ref="E147:E148"/>
    <mergeCell ref="F147:F148"/>
    <mergeCell ref="Y147:Y148"/>
    <mergeCell ref="Z147:Z148"/>
    <mergeCell ref="D149:D150"/>
    <mergeCell ref="E149:E150"/>
    <mergeCell ref="F149:F150"/>
    <mergeCell ref="Y149:Y150"/>
    <mergeCell ref="Z149:Z150"/>
    <mergeCell ref="E143:E144"/>
    <mergeCell ref="F143:F144"/>
    <mergeCell ref="Y143:Y144"/>
    <mergeCell ref="Z143:Z144"/>
    <mergeCell ref="D145:D146"/>
    <mergeCell ref="E145:E146"/>
    <mergeCell ref="F145:F146"/>
    <mergeCell ref="Y145:Y146"/>
    <mergeCell ref="Z145:Z146"/>
    <mergeCell ref="E139:E140"/>
    <mergeCell ref="F139:F140"/>
    <mergeCell ref="Y139:Y140"/>
    <mergeCell ref="Z139:Z140"/>
    <mergeCell ref="D141:D142"/>
    <mergeCell ref="E141:E142"/>
    <mergeCell ref="F141:F142"/>
    <mergeCell ref="Y141:Y142"/>
    <mergeCell ref="Z141:Z142"/>
    <mergeCell ref="E135:E136"/>
    <mergeCell ref="F135:F136"/>
    <mergeCell ref="Y135:Y136"/>
    <mergeCell ref="Z135:Z136"/>
    <mergeCell ref="D137:D138"/>
    <mergeCell ref="E137:E138"/>
    <mergeCell ref="F137:F138"/>
    <mergeCell ref="Y137:Y138"/>
    <mergeCell ref="Z137:Z138"/>
    <mergeCell ref="F129:F130"/>
    <mergeCell ref="Y129:Y130"/>
    <mergeCell ref="Z129:Z130"/>
    <mergeCell ref="D131:D132"/>
    <mergeCell ref="E131:E132"/>
    <mergeCell ref="F131:F132"/>
    <mergeCell ref="Y131:Y132"/>
    <mergeCell ref="Z131:Z132"/>
    <mergeCell ref="D133:D134"/>
    <mergeCell ref="E133:E134"/>
    <mergeCell ref="F133:F134"/>
    <mergeCell ref="Y133:Y134"/>
    <mergeCell ref="Z133:Z134"/>
    <mergeCell ref="Z177:Z178"/>
    <mergeCell ref="Y99:Y100"/>
    <mergeCell ref="Y105:Y106"/>
    <mergeCell ref="Y175:Y176"/>
    <mergeCell ref="Y171:Y172"/>
    <mergeCell ref="Y169:Y170"/>
    <mergeCell ref="Z119:Z120"/>
    <mergeCell ref="Z117:Z118"/>
    <mergeCell ref="Z169:Z170"/>
    <mergeCell ref="Y121:Y122"/>
    <mergeCell ref="Z175:Z176"/>
    <mergeCell ref="Z171:Z172"/>
    <mergeCell ref="Y111:Y112"/>
    <mergeCell ref="Z111:Z112"/>
    <mergeCell ref="Y123:Y124"/>
    <mergeCell ref="Y117:Y118"/>
    <mergeCell ref="Y115:Y116"/>
    <mergeCell ref="Y119:Y120"/>
    <mergeCell ref="Y113:Y114"/>
    <mergeCell ref="Z113:Z114"/>
    <mergeCell ref="Z123:Z124"/>
    <mergeCell ref="Z173:Z174"/>
    <mergeCell ref="Z99:Z100"/>
    <mergeCell ref="Z101:Z102"/>
    <mergeCell ref="E111:E112"/>
    <mergeCell ref="Z121:Z122"/>
    <mergeCell ref="E115:E116"/>
    <mergeCell ref="F115:F116"/>
    <mergeCell ref="F119:F120"/>
    <mergeCell ref="Z115:Z116"/>
    <mergeCell ref="E117:E118"/>
    <mergeCell ref="F117:F118"/>
    <mergeCell ref="Y173:Y174"/>
    <mergeCell ref="E173:E174"/>
    <mergeCell ref="F173:F174"/>
    <mergeCell ref="F171:F172"/>
    <mergeCell ref="F113:F114"/>
    <mergeCell ref="F123:F124"/>
    <mergeCell ref="F169:F170"/>
    <mergeCell ref="E125:E126"/>
    <mergeCell ref="F125:F126"/>
    <mergeCell ref="Y125:Y126"/>
    <mergeCell ref="Z125:Z126"/>
    <mergeCell ref="E127:E128"/>
    <mergeCell ref="F127:F128"/>
    <mergeCell ref="Y127:Y128"/>
    <mergeCell ref="Z127:Z128"/>
    <mergeCell ref="E129:E130"/>
    <mergeCell ref="E109:E110"/>
    <mergeCell ref="F109:F110"/>
    <mergeCell ref="Y109:Y110"/>
    <mergeCell ref="Z109:Z110"/>
    <mergeCell ref="Z105:Z106"/>
    <mergeCell ref="Z103:Z104"/>
    <mergeCell ref="Z107:Z108"/>
    <mergeCell ref="Z95:Z96"/>
    <mergeCell ref="Z97:Z98"/>
    <mergeCell ref="E95:E96"/>
    <mergeCell ref="Y103:Y104"/>
    <mergeCell ref="Y101:Y102"/>
    <mergeCell ref="Y97:Y98"/>
    <mergeCell ref="Z61:Z62"/>
    <mergeCell ref="Z63:Z64"/>
    <mergeCell ref="Z65:Z66"/>
    <mergeCell ref="Z67:Z68"/>
    <mergeCell ref="Z69:Z70"/>
    <mergeCell ref="Z71:Z72"/>
    <mergeCell ref="Z93:Z94"/>
    <mergeCell ref="Z57:Z58"/>
    <mergeCell ref="Z59:Z60"/>
    <mergeCell ref="Z73:Z74"/>
    <mergeCell ref="Z75:Z76"/>
    <mergeCell ref="Z77:Z78"/>
    <mergeCell ref="Z79:Z80"/>
    <mergeCell ref="Z85:Z86"/>
    <mergeCell ref="Z87:Z88"/>
    <mergeCell ref="Z89:Z90"/>
    <mergeCell ref="Z91:Z92"/>
    <mergeCell ref="Z81:Z82"/>
    <mergeCell ref="Z83:Z84"/>
    <mergeCell ref="Z51:Z52"/>
    <mergeCell ref="Z17:Z18"/>
    <mergeCell ref="Y55:Y56"/>
    <mergeCell ref="Z21:Z22"/>
    <mergeCell ref="Z23:Z24"/>
    <mergeCell ref="Z25:Z26"/>
    <mergeCell ref="Z53:Z54"/>
    <mergeCell ref="Z55:Z56"/>
    <mergeCell ref="Z19:Z20"/>
    <mergeCell ref="Y47:Y48"/>
    <mergeCell ref="Y49:Y50"/>
    <mergeCell ref="Z29:Z30"/>
    <mergeCell ref="Z31:Z32"/>
    <mergeCell ref="Z33:Z34"/>
    <mergeCell ref="Z35:Z36"/>
    <mergeCell ref="Y39:Y40"/>
    <mergeCell ref="Z37:Z38"/>
    <mergeCell ref="Z39:Z40"/>
    <mergeCell ref="Z41:Z42"/>
    <mergeCell ref="Y21:Y22"/>
    <mergeCell ref="Z45:Z46"/>
    <mergeCell ref="Z47:Z48"/>
    <mergeCell ref="Z49:Z50"/>
    <mergeCell ref="Y29:Y30"/>
    <mergeCell ref="Z5:Z6"/>
    <mergeCell ref="Z7:Z8"/>
    <mergeCell ref="Z9:Z10"/>
    <mergeCell ref="Z11:Z12"/>
    <mergeCell ref="Z13:Z14"/>
    <mergeCell ref="Z15:Z16"/>
    <mergeCell ref="Z27:Z28"/>
    <mergeCell ref="Z43:Z44"/>
    <mergeCell ref="J1:W1"/>
    <mergeCell ref="Y3:Y4"/>
    <mergeCell ref="Y5:Y6"/>
    <mergeCell ref="Y7:Y8"/>
    <mergeCell ref="Y9:Y10"/>
    <mergeCell ref="Y13:Y14"/>
    <mergeCell ref="Y15:Y16"/>
    <mergeCell ref="Y31:Y32"/>
    <mergeCell ref="Y33:Y34"/>
    <mergeCell ref="Y35:Y36"/>
    <mergeCell ref="Y11:Y12"/>
    <mergeCell ref="Y17:Y18"/>
    <mergeCell ref="Y19:Y20"/>
    <mergeCell ref="Y27:Y28"/>
    <mergeCell ref="Y23:Y24"/>
    <mergeCell ref="Y25:Y26"/>
    <mergeCell ref="D17:D18"/>
    <mergeCell ref="E17:E18"/>
    <mergeCell ref="F17:F18"/>
    <mergeCell ref="F19:F20"/>
    <mergeCell ref="E11:E12"/>
    <mergeCell ref="D11:D12"/>
    <mergeCell ref="D15:D16"/>
    <mergeCell ref="D13:D14"/>
    <mergeCell ref="E39:E40"/>
    <mergeCell ref="F23:F24"/>
    <mergeCell ref="F25:F26"/>
    <mergeCell ref="F21:F22"/>
    <mergeCell ref="F39:F40"/>
    <mergeCell ref="F33:F34"/>
    <mergeCell ref="F37:F38"/>
    <mergeCell ref="F35:F36"/>
    <mergeCell ref="F29:F30"/>
    <mergeCell ref="F31:F32"/>
    <mergeCell ref="E33:E34"/>
    <mergeCell ref="E35:E36"/>
    <mergeCell ref="E29:E30"/>
    <mergeCell ref="E37:E38"/>
    <mergeCell ref="F27:F28"/>
    <mergeCell ref="D39:D40"/>
    <mergeCell ref="D1:I1"/>
    <mergeCell ref="E13:E14"/>
    <mergeCell ref="F13:F14"/>
    <mergeCell ref="F15:F16"/>
    <mergeCell ref="D5:D6"/>
    <mergeCell ref="D7:D8"/>
    <mergeCell ref="E9:E10"/>
    <mergeCell ref="D9:D10"/>
    <mergeCell ref="E7:E8"/>
    <mergeCell ref="E5:E6"/>
    <mergeCell ref="F5:F6"/>
    <mergeCell ref="F7:F8"/>
    <mergeCell ref="F9:F10"/>
    <mergeCell ref="D3:F4"/>
    <mergeCell ref="E15:E16"/>
    <mergeCell ref="F11:F12"/>
    <mergeCell ref="Y59:Y60"/>
    <mergeCell ref="Y65:Y66"/>
    <mergeCell ref="Y51:Y52"/>
    <mergeCell ref="Y57:Y58"/>
    <mergeCell ref="Y53:Y54"/>
    <mergeCell ref="Y61:Y62"/>
    <mergeCell ref="Y67:Y68"/>
    <mergeCell ref="Y41:Y42"/>
    <mergeCell ref="Y43:Y44"/>
    <mergeCell ref="Y45:Y46"/>
    <mergeCell ref="Y63:Y64"/>
    <mergeCell ref="E67:E68"/>
    <mergeCell ref="F83:F84"/>
    <mergeCell ref="Y79:Y80"/>
    <mergeCell ref="Y83:Y84"/>
    <mergeCell ref="E83:E84"/>
    <mergeCell ref="Y75:Y76"/>
    <mergeCell ref="F85:F86"/>
    <mergeCell ref="Y91:Y92"/>
    <mergeCell ref="Y69:Y70"/>
    <mergeCell ref="Y73:Y74"/>
    <mergeCell ref="Y81:Y82"/>
    <mergeCell ref="Y71:Y72"/>
    <mergeCell ref="Y77:Y78"/>
    <mergeCell ref="E71:E72"/>
    <mergeCell ref="Y93:Y94"/>
    <mergeCell ref="Y95:Y96"/>
    <mergeCell ref="Y85:Y86"/>
    <mergeCell ref="Y87:Y88"/>
    <mergeCell ref="Y89:Y90"/>
    <mergeCell ref="F81:F82"/>
    <mergeCell ref="E73:E74"/>
    <mergeCell ref="F71:F72"/>
    <mergeCell ref="E79:E80"/>
    <mergeCell ref="E81:E82"/>
    <mergeCell ref="Y177:Y178"/>
    <mergeCell ref="F101:F102"/>
    <mergeCell ref="Y107:Y108"/>
    <mergeCell ref="E87:E88"/>
    <mergeCell ref="E89:E90"/>
    <mergeCell ref="E101:E102"/>
    <mergeCell ref="E103:E104"/>
    <mergeCell ref="E105:E106"/>
    <mergeCell ref="E107:E108"/>
    <mergeCell ref="E113:E114"/>
    <mergeCell ref="E91:E92"/>
    <mergeCell ref="E97:E98"/>
    <mergeCell ref="E93:E94"/>
    <mergeCell ref="F91:F92"/>
    <mergeCell ref="E99:E100"/>
    <mergeCell ref="F93:F94"/>
    <mergeCell ref="E177:E178"/>
    <mergeCell ref="E175:E176"/>
    <mergeCell ref="E171:E172"/>
    <mergeCell ref="E123:E124"/>
    <mergeCell ref="E169:E170"/>
    <mergeCell ref="F107:F108"/>
    <mergeCell ref="F121:F122"/>
    <mergeCell ref="F175:F176"/>
    <mergeCell ref="Y37:Y38"/>
    <mergeCell ref="D31:D32"/>
    <mergeCell ref="E23:E24"/>
    <mergeCell ref="E19:E20"/>
    <mergeCell ref="E31:E32"/>
    <mergeCell ref="E25:E26"/>
    <mergeCell ref="E27:E28"/>
    <mergeCell ref="E21:E22"/>
    <mergeCell ref="D25:D26"/>
    <mergeCell ref="D19:D20"/>
    <mergeCell ref="D29:D30"/>
    <mergeCell ref="D21:D22"/>
    <mergeCell ref="D23:D24"/>
    <mergeCell ref="D27:D28"/>
    <mergeCell ref="D33:D34"/>
    <mergeCell ref="D41:D42"/>
    <mergeCell ref="D57:D58"/>
    <mergeCell ref="D89:D90"/>
    <mergeCell ref="D37:D38"/>
    <mergeCell ref="D35:D36"/>
    <mergeCell ref="D75:D76"/>
    <mergeCell ref="D73:D74"/>
    <mergeCell ref="D93:D94"/>
    <mergeCell ref="D45:D46"/>
    <mergeCell ref="D53:D54"/>
    <mergeCell ref="D61:D62"/>
    <mergeCell ref="D43:D44"/>
    <mergeCell ref="D85:D86"/>
    <mergeCell ref="D79:D80"/>
    <mergeCell ref="D83:D84"/>
    <mergeCell ref="D55:D56"/>
    <mergeCell ref="D49:D50"/>
    <mergeCell ref="D63:D64"/>
    <mergeCell ref="D59:D60"/>
    <mergeCell ref="D47:D48"/>
    <mergeCell ref="D81:D82"/>
    <mergeCell ref="D51:D52"/>
    <mergeCell ref="D115:D116"/>
    <mergeCell ref="D119:D120"/>
    <mergeCell ref="D113:D114"/>
    <mergeCell ref="D71:D72"/>
    <mergeCell ref="D109:D110"/>
    <mergeCell ref="D77:D78"/>
    <mergeCell ref="D69:D70"/>
    <mergeCell ref="D65:D66"/>
    <mergeCell ref="D67:D68"/>
    <mergeCell ref="D97:D98"/>
    <mergeCell ref="D91:D92"/>
    <mergeCell ref="D175:D176"/>
    <mergeCell ref="D121:D122"/>
    <mergeCell ref="D173:D174"/>
    <mergeCell ref="D99:D100"/>
    <mergeCell ref="D101:D102"/>
    <mergeCell ref="D103:D104"/>
    <mergeCell ref="D87:D88"/>
    <mergeCell ref="D95:D96"/>
    <mergeCell ref="D107:D108"/>
    <mergeCell ref="D111:D112"/>
    <mergeCell ref="D105:D106"/>
    <mergeCell ref="D169:D170"/>
    <mergeCell ref="D171:D172"/>
    <mergeCell ref="D117:D118"/>
    <mergeCell ref="D123:D124"/>
    <mergeCell ref="D125:D126"/>
    <mergeCell ref="D127:D128"/>
    <mergeCell ref="D129:D130"/>
    <mergeCell ref="D135:D136"/>
    <mergeCell ref="D139:D140"/>
    <mergeCell ref="D143:D144"/>
    <mergeCell ref="D147:D148"/>
    <mergeCell ref="D151:D152"/>
    <mergeCell ref="D155:D156"/>
    <mergeCell ref="D177:D178"/>
    <mergeCell ref="E119:E120"/>
    <mergeCell ref="E121:E122"/>
    <mergeCell ref="F87:F88"/>
    <mergeCell ref="F45:F46"/>
    <mergeCell ref="F47:F48"/>
    <mergeCell ref="F111:F112"/>
    <mergeCell ref="F53:F54"/>
    <mergeCell ref="F89:F90"/>
    <mergeCell ref="F67:F68"/>
    <mergeCell ref="F95:F96"/>
    <mergeCell ref="F55:F56"/>
    <mergeCell ref="F99:F100"/>
    <mergeCell ref="F97:F98"/>
    <mergeCell ref="F65:F66"/>
    <mergeCell ref="F61:F62"/>
    <mergeCell ref="F69:F70"/>
    <mergeCell ref="F63:F64"/>
    <mergeCell ref="F49:F50"/>
    <mergeCell ref="F57:F58"/>
    <mergeCell ref="F59:F60"/>
    <mergeCell ref="F177:F178"/>
    <mergeCell ref="F103:F104"/>
    <mergeCell ref="F105:F106"/>
    <mergeCell ref="F41:F42"/>
    <mergeCell ref="E51:E52"/>
    <mergeCell ref="E49:E50"/>
    <mergeCell ref="E47:E48"/>
    <mergeCell ref="E59:E60"/>
    <mergeCell ref="F43:F44"/>
    <mergeCell ref="F51:F52"/>
    <mergeCell ref="E85:E86"/>
    <mergeCell ref="E55:E56"/>
    <mergeCell ref="E61:E62"/>
    <mergeCell ref="E65:E66"/>
    <mergeCell ref="E69:E70"/>
    <mergeCell ref="E43:E44"/>
    <mergeCell ref="E45:E46"/>
    <mergeCell ref="E41:E42"/>
    <mergeCell ref="E57:E58"/>
    <mergeCell ref="E63:E64"/>
    <mergeCell ref="E53:E54"/>
    <mergeCell ref="F79:F80"/>
    <mergeCell ref="E75:E76"/>
    <mergeCell ref="E77:E78"/>
    <mergeCell ref="F75:F76"/>
    <mergeCell ref="F77:F78"/>
    <mergeCell ref="F73:F74"/>
  </mergeCells>
  <phoneticPr fontId="0" type="noConversion"/>
  <conditionalFormatting sqref="H5:Y178">
    <cfRule type="expression" dxfId="76" priority="8" stopIfTrue="1">
      <formula>$B5</formula>
    </cfRule>
  </conditionalFormatting>
  <conditionalFormatting sqref="Z5:Z178">
    <cfRule type="expression" dxfId="75" priority="15" stopIfTrue="1">
      <formula>$B5</formula>
    </cfRule>
  </conditionalFormatting>
  <conditionalFormatting sqref="D5:F178">
    <cfRule type="expression" dxfId="74" priority="1" stopIfTrue="1">
      <formula>$B5</formula>
    </cfRule>
    <cfRule type="expression" dxfId="73" priority="10" stopIfTrue="1">
      <formula>OR(AND(Ставка=0,D5="осн."),AND(Ставка_С=0,D5="совм."))</formula>
    </cfRule>
    <cfRule type="expression" dxfId="72" priority="11" stopIfTrue="1">
      <formula>($A5=0)</formula>
    </cfRule>
  </conditionalFormatting>
  <dataValidations count="3">
    <dataValidation type="list" allowBlank="1" showInputMessage="1" showErrorMessage="1" sqref="F5:F41 F43:F178">
      <formula1>ВидыНагр</formula1>
    </dataValidation>
    <dataValidation type="list" allowBlank="1" sqref="D5:D178">
      <formula1>OFFSET(ДисциплиныВесна,0,0,ДисциплиныВеснаКол,1)</formula1>
    </dataValidation>
    <dataValidation type="list" allowBlank="1" sqref="E5:E178">
      <formula1>OFFSET(ГруппыВесна,0,0,ГруппыВеснаКол,1)</formula1>
    </dataValidation>
  </dataValidations>
  <printOptions horizontalCentered="1"/>
  <pageMargins left="0.39370078740157483" right="0.39370078740157483" top="1.1811023622047245" bottom="0.70866141732283472" header="0.86614173228346458" footer="0.39370078740157483"/>
  <pageSetup paperSize="9" scale="75" fitToHeight="10" orientation="landscape" horizontalDpi="300" verticalDpi="300" r:id="rId1"/>
  <headerFooter>
    <oddHeader>&amp;L&amp;"Open Sans,полужирный"Весенний семестр&amp;"Open Sans,обычный" (с. &amp;P из &amp;N)&amp;R&amp;F</oddHeader>
    <oddFooter>&amp;LПреподаватель  ________________&amp;CЗав. кафедрой  ________________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5">
    <pageSetUpPr fitToPage="1"/>
  </sheetPr>
  <dimension ref="A1:T79"/>
  <sheetViews>
    <sheetView zoomScale="85" zoomScaleNormal="85" workbookViewId="0">
      <pane xSplit="3" ySplit="6" topLeftCell="D7" activePane="bottomRight" state="frozen"/>
      <selection pane="topRight" activeCell="D1" sqref="D1"/>
      <selection pane="bottomLeft" activeCell="A7" sqref="A7"/>
      <selection pane="bottomRight" activeCell="A2" sqref="A2"/>
    </sheetView>
  </sheetViews>
  <sheetFormatPr defaultRowHeight="14.25" x14ac:dyDescent="0.3"/>
  <cols>
    <col min="1" max="1" width="12.7109375" style="2" customWidth="1"/>
    <col min="2" max="2" width="3.7109375" style="2" customWidth="1"/>
    <col min="3" max="3" width="6.7109375" style="2" customWidth="1"/>
    <col min="4" max="9" width="6.85546875" style="2" customWidth="1"/>
    <col min="10" max="16" width="6.85546875" style="4" customWidth="1"/>
    <col min="17" max="17" width="6.85546875" style="2" customWidth="1"/>
    <col min="18" max="19" width="9.7109375" style="2" customWidth="1"/>
    <col min="20" max="16384" width="9.140625" style="2"/>
  </cols>
  <sheetData>
    <row r="1" spans="1:19" x14ac:dyDescent="0.3">
      <c r="A1" s="246" t="s">
        <v>31</v>
      </c>
      <c r="B1" s="76"/>
      <c r="C1" s="76"/>
      <c r="D1" s="76"/>
      <c r="E1" s="76"/>
      <c r="F1" s="76"/>
      <c r="G1" s="76"/>
      <c r="H1" s="76"/>
      <c r="I1" s="76"/>
      <c r="J1" s="243"/>
      <c r="K1" s="243"/>
    </row>
    <row r="3" spans="1:19" x14ac:dyDescent="0.3">
      <c r="A3" s="2" t="s">
        <v>10</v>
      </c>
      <c r="C3" s="360" t="str">
        <f>IF(Т_Преподаватель="","(не указан)",Т_Преподаватель)</f>
        <v>(не указан)</v>
      </c>
      <c r="D3" s="360"/>
      <c r="E3" s="360"/>
      <c r="F3" s="360"/>
      <c r="G3" s="360"/>
      <c r="H3" s="360"/>
      <c r="I3" s="360"/>
      <c r="J3" s="360"/>
      <c r="K3" s="360"/>
      <c r="L3" s="360"/>
      <c r="M3" s="360"/>
      <c r="N3" s="3"/>
      <c r="O3" s="1" t="s">
        <v>11</v>
      </c>
      <c r="P3" s="2"/>
      <c r="Q3" s="360" t="str">
        <f>IF(Т_Должность="","(не указана)",Т_Должность)</f>
        <v>(не указана)</v>
      </c>
      <c r="R3" s="360"/>
      <c r="S3" s="360"/>
    </row>
    <row r="4" spans="1:19" x14ac:dyDescent="0.3">
      <c r="A4" s="2" t="s">
        <v>9</v>
      </c>
      <c r="C4" s="370" t="str">
        <f>IF(Т_Кафедра="","(не указана)",Т_Кафедра)</f>
        <v>(не указана)</v>
      </c>
      <c r="D4" s="370"/>
      <c r="E4" s="370"/>
      <c r="F4" s="370"/>
      <c r="G4" s="370"/>
      <c r="H4" s="370"/>
      <c r="I4" s="370"/>
      <c r="J4" s="370"/>
      <c r="K4" s="370"/>
      <c r="L4" s="370"/>
      <c r="M4" s="370"/>
      <c r="N4" s="3"/>
      <c r="O4" s="1" t="s">
        <v>135</v>
      </c>
      <c r="P4" s="247"/>
      <c r="Q4" s="361" t="str">
        <f>IF(Т_Форма="","(не указана)",Т_Форма)</f>
        <v>(не указана)</v>
      </c>
      <c r="R4" s="361"/>
      <c r="S4" s="361"/>
    </row>
    <row r="6" spans="1:19" s="10" customFormat="1" ht="112.5" customHeight="1" thickBot="1" x14ac:dyDescent="0.35">
      <c r="A6" s="362" t="str">
        <f>CONCATENATE("Месяц учебного года ",Т_УчГод)</f>
        <v>Месяц учебного года 2025/2026</v>
      </c>
      <c r="B6" s="363"/>
      <c r="C6" s="5" t="s">
        <v>83</v>
      </c>
      <c r="D6" s="6" t="s">
        <v>0</v>
      </c>
      <c r="E6" s="7" t="s">
        <v>68</v>
      </c>
      <c r="F6" s="8" t="s">
        <v>3</v>
      </c>
      <c r="G6" s="9" t="s">
        <v>1</v>
      </c>
      <c r="H6" s="7" t="s">
        <v>4</v>
      </c>
      <c r="I6" s="8" t="s">
        <v>62</v>
      </c>
      <c r="J6" s="9" t="s">
        <v>252</v>
      </c>
      <c r="K6" s="7" t="s">
        <v>2</v>
      </c>
      <c r="L6" s="171" t="s">
        <v>205</v>
      </c>
      <c r="M6" s="9" t="s">
        <v>253</v>
      </c>
      <c r="N6" s="7" t="s">
        <v>254</v>
      </c>
      <c r="O6" s="18" t="s">
        <v>70</v>
      </c>
      <c r="P6" s="8" t="s">
        <v>138</v>
      </c>
      <c r="Q6" s="5" t="s">
        <v>5</v>
      </c>
      <c r="R6" s="5" t="s">
        <v>119</v>
      </c>
      <c r="S6" s="5" t="s">
        <v>120</v>
      </c>
    </row>
    <row r="7" spans="1:19" ht="15" thickTop="1" x14ac:dyDescent="0.3">
      <c r="A7" s="364" t="s">
        <v>14</v>
      </c>
      <c r="B7" s="365"/>
      <c r="C7" s="11" t="s">
        <v>111</v>
      </c>
      <c r="D7" s="20">
        <f>'09'!L2</f>
        <v>0</v>
      </c>
      <c r="E7" s="21">
        <f>'09'!M2</f>
        <v>0</v>
      </c>
      <c r="F7" s="22">
        <f>'09'!N2</f>
        <v>0</v>
      </c>
      <c r="G7" s="23">
        <f>'09'!O2</f>
        <v>0</v>
      </c>
      <c r="H7" s="21">
        <f>'09'!P2</f>
        <v>0</v>
      </c>
      <c r="I7" s="24">
        <f>'09'!Q2</f>
        <v>0</v>
      </c>
      <c r="J7" s="25">
        <f>'09'!R2</f>
        <v>0</v>
      </c>
      <c r="K7" s="26">
        <f>'09'!S2</f>
        <v>0</v>
      </c>
      <c r="L7" s="27">
        <f>'09'!T2</f>
        <v>0</v>
      </c>
      <c r="M7" s="25">
        <f>'09'!U2</f>
        <v>0</v>
      </c>
      <c r="N7" s="26">
        <f>'09'!V2</f>
        <v>0</v>
      </c>
      <c r="O7" s="28">
        <f>'09'!W2</f>
        <v>0</v>
      </c>
      <c r="P7" s="27">
        <f>'09'!X2</f>
        <v>0</v>
      </c>
      <c r="Q7" s="29">
        <f>'09'!Y2</f>
        <v>0</v>
      </c>
      <c r="R7" s="30">
        <f>SUM(D7:Q7)</f>
        <v>0</v>
      </c>
      <c r="S7" s="30">
        <f>R7</f>
        <v>0</v>
      </c>
    </row>
    <row r="8" spans="1:19" x14ac:dyDescent="0.3">
      <c r="A8" s="366"/>
      <c r="B8" s="367"/>
      <c r="C8" s="12" t="s">
        <v>112</v>
      </c>
      <c r="D8" s="31">
        <f>'09'!L3</f>
        <v>0</v>
      </c>
      <c r="E8" s="32">
        <f>'09'!M3</f>
        <v>0</v>
      </c>
      <c r="F8" s="33">
        <f>'09'!N3</f>
        <v>0</v>
      </c>
      <c r="G8" s="34">
        <f>'09'!O3</f>
        <v>0</v>
      </c>
      <c r="H8" s="32">
        <f>'09'!P3</f>
        <v>0</v>
      </c>
      <c r="I8" s="35">
        <f>'09'!Q3</f>
        <v>0</v>
      </c>
      <c r="J8" s="36">
        <f>'09'!R3</f>
        <v>0</v>
      </c>
      <c r="K8" s="37">
        <f>'09'!S3</f>
        <v>0</v>
      </c>
      <c r="L8" s="38">
        <f>'09'!T3</f>
        <v>0</v>
      </c>
      <c r="M8" s="36">
        <f>'09'!U3</f>
        <v>0</v>
      </c>
      <c r="N8" s="37">
        <f>'09'!V3</f>
        <v>0</v>
      </c>
      <c r="O8" s="39">
        <f>'09'!W3</f>
        <v>0</v>
      </c>
      <c r="P8" s="38">
        <f>'09'!X3</f>
        <v>0</v>
      </c>
      <c r="Q8" s="40">
        <f>'09'!Y3</f>
        <v>0</v>
      </c>
      <c r="R8" s="41">
        <f t="shared" ref="R8:R26" si="0">SUM(D8:Q8)</f>
        <v>0</v>
      </c>
      <c r="S8" s="41">
        <f>R8</f>
        <v>0</v>
      </c>
    </row>
    <row r="9" spans="1:19" x14ac:dyDescent="0.3">
      <c r="A9" s="366"/>
      <c r="B9" s="367"/>
      <c r="C9" s="12" t="s">
        <v>115</v>
      </c>
      <c r="D9" s="31">
        <f>'09'!L4</f>
        <v>0</v>
      </c>
      <c r="E9" s="32">
        <f>'09'!M4</f>
        <v>0</v>
      </c>
      <c r="F9" s="33">
        <f>'09'!N4</f>
        <v>0</v>
      </c>
      <c r="G9" s="34">
        <f>'09'!O4</f>
        <v>0</v>
      </c>
      <c r="H9" s="32">
        <f>'09'!P4</f>
        <v>0</v>
      </c>
      <c r="I9" s="35">
        <f>'09'!Q4</f>
        <v>0</v>
      </c>
      <c r="J9" s="36">
        <f>'09'!R4</f>
        <v>0</v>
      </c>
      <c r="K9" s="37">
        <f>'09'!S4</f>
        <v>0</v>
      </c>
      <c r="L9" s="38">
        <f>'09'!T4</f>
        <v>0</v>
      </c>
      <c r="M9" s="36">
        <f>'09'!U4</f>
        <v>0</v>
      </c>
      <c r="N9" s="37">
        <f>'09'!V4</f>
        <v>0</v>
      </c>
      <c r="O9" s="39">
        <f>'09'!W4</f>
        <v>0</v>
      </c>
      <c r="P9" s="38">
        <f>'09'!X4</f>
        <v>0</v>
      </c>
      <c r="Q9" s="40">
        <f>'09'!Y4</f>
        <v>0</v>
      </c>
      <c r="R9" s="41">
        <f t="shared" si="0"/>
        <v>0</v>
      </c>
      <c r="S9" s="41">
        <f>R9</f>
        <v>0</v>
      </c>
    </row>
    <row r="10" spans="1:19" x14ac:dyDescent="0.3">
      <c r="A10" s="368"/>
      <c r="B10" s="369"/>
      <c r="C10" s="248" t="s">
        <v>6</v>
      </c>
      <c r="D10" s="249">
        <f>'09'!L5</f>
        <v>0</v>
      </c>
      <c r="E10" s="250">
        <f>'09'!M5</f>
        <v>0</v>
      </c>
      <c r="F10" s="251">
        <f>'09'!N5</f>
        <v>0</v>
      </c>
      <c r="G10" s="252">
        <f>'09'!O5</f>
        <v>0</v>
      </c>
      <c r="H10" s="250">
        <f>'09'!P5</f>
        <v>0</v>
      </c>
      <c r="I10" s="253">
        <f>'09'!Q5</f>
        <v>0</v>
      </c>
      <c r="J10" s="249">
        <f>'09'!R5</f>
        <v>0</v>
      </c>
      <c r="K10" s="250">
        <f>'09'!S5</f>
        <v>0</v>
      </c>
      <c r="L10" s="251">
        <f>'09'!T5</f>
        <v>0</v>
      </c>
      <c r="M10" s="249">
        <f>'09'!U5</f>
        <v>0</v>
      </c>
      <c r="N10" s="250">
        <f>'09'!V5</f>
        <v>0</v>
      </c>
      <c r="O10" s="253">
        <f>'09'!W5</f>
        <v>0</v>
      </c>
      <c r="P10" s="251">
        <f>'09'!X5</f>
        <v>0</v>
      </c>
      <c r="Q10" s="254">
        <f>'09'!Y5</f>
        <v>0</v>
      </c>
      <c r="R10" s="254">
        <f t="shared" si="0"/>
        <v>0</v>
      </c>
      <c r="S10" s="254">
        <f>R10</f>
        <v>0</v>
      </c>
    </row>
    <row r="11" spans="1:19" x14ac:dyDescent="0.3">
      <c r="A11" s="371" t="s">
        <v>15</v>
      </c>
      <c r="B11" s="372"/>
      <c r="C11" s="13" t="s">
        <v>111</v>
      </c>
      <c r="D11" s="42">
        <f>'10'!L2</f>
        <v>0</v>
      </c>
      <c r="E11" s="43">
        <f>'10'!M2</f>
        <v>0</v>
      </c>
      <c r="F11" s="44">
        <f>'10'!N2</f>
        <v>0</v>
      </c>
      <c r="G11" s="45">
        <f>'10'!O2</f>
        <v>0</v>
      </c>
      <c r="H11" s="43">
        <f>'10'!P2</f>
        <v>0</v>
      </c>
      <c r="I11" s="46">
        <f>'10'!Q2</f>
        <v>0</v>
      </c>
      <c r="J11" s="47">
        <f>'10'!R2</f>
        <v>0</v>
      </c>
      <c r="K11" s="48">
        <f>'10'!S2</f>
        <v>0</v>
      </c>
      <c r="L11" s="49">
        <f>'10'!T2</f>
        <v>0</v>
      </c>
      <c r="M11" s="47">
        <f>'10'!U2</f>
        <v>0</v>
      </c>
      <c r="N11" s="48">
        <f>'10'!V2</f>
        <v>0</v>
      </c>
      <c r="O11" s="50">
        <f>'10'!W2</f>
        <v>0</v>
      </c>
      <c r="P11" s="49">
        <f>'10'!X2</f>
        <v>0</v>
      </c>
      <c r="Q11" s="51">
        <f>'10'!Y2</f>
        <v>0</v>
      </c>
      <c r="R11" s="52">
        <f t="shared" si="0"/>
        <v>0</v>
      </c>
      <c r="S11" s="52">
        <f>IF(R11&lt;&gt;0,S7+R11,0)</f>
        <v>0</v>
      </c>
    </row>
    <row r="12" spans="1:19" x14ac:dyDescent="0.3">
      <c r="A12" s="366"/>
      <c r="B12" s="367"/>
      <c r="C12" s="12" t="s">
        <v>112</v>
      </c>
      <c r="D12" s="31">
        <f>'10'!L3</f>
        <v>0</v>
      </c>
      <c r="E12" s="32">
        <f>'10'!M3</f>
        <v>0</v>
      </c>
      <c r="F12" s="33">
        <f>'10'!N3</f>
        <v>0</v>
      </c>
      <c r="G12" s="34">
        <f>'10'!O3</f>
        <v>0</v>
      </c>
      <c r="H12" s="32">
        <f>'10'!P3</f>
        <v>0</v>
      </c>
      <c r="I12" s="35">
        <f>'10'!Q3</f>
        <v>0</v>
      </c>
      <c r="J12" s="36">
        <f>'10'!R3</f>
        <v>0</v>
      </c>
      <c r="K12" s="37">
        <f>'10'!S3</f>
        <v>0</v>
      </c>
      <c r="L12" s="38">
        <f>'10'!T3</f>
        <v>0</v>
      </c>
      <c r="M12" s="36">
        <f>'10'!U3</f>
        <v>0</v>
      </c>
      <c r="N12" s="37">
        <f>'10'!V3</f>
        <v>0</v>
      </c>
      <c r="O12" s="39">
        <f>'10'!W3</f>
        <v>0</v>
      </c>
      <c r="P12" s="38">
        <f>'10'!X3</f>
        <v>0</v>
      </c>
      <c r="Q12" s="40">
        <f>'10'!Y3</f>
        <v>0</v>
      </c>
      <c r="R12" s="41">
        <f t="shared" si="0"/>
        <v>0</v>
      </c>
      <c r="S12" s="41">
        <f>IF(R12&lt;&gt;0,S8+R12,0)</f>
        <v>0</v>
      </c>
    </row>
    <row r="13" spans="1:19" x14ac:dyDescent="0.3">
      <c r="A13" s="366"/>
      <c r="B13" s="367"/>
      <c r="C13" s="12" t="s">
        <v>115</v>
      </c>
      <c r="D13" s="31">
        <f>'10'!L4</f>
        <v>0</v>
      </c>
      <c r="E13" s="32">
        <f>'10'!M4</f>
        <v>0</v>
      </c>
      <c r="F13" s="33">
        <f>'10'!N4</f>
        <v>0</v>
      </c>
      <c r="G13" s="34">
        <f>'10'!O4</f>
        <v>0</v>
      </c>
      <c r="H13" s="32">
        <f>'10'!P4</f>
        <v>0</v>
      </c>
      <c r="I13" s="35">
        <f>'10'!Q4</f>
        <v>0</v>
      </c>
      <c r="J13" s="36">
        <f>'10'!R4</f>
        <v>0</v>
      </c>
      <c r="K13" s="37">
        <f>'10'!S4</f>
        <v>0</v>
      </c>
      <c r="L13" s="38">
        <f>'10'!T4</f>
        <v>0</v>
      </c>
      <c r="M13" s="36">
        <f>'10'!U4</f>
        <v>0</v>
      </c>
      <c r="N13" s="37">
        <f>'10'!V4</f>
        <v>0</v>
      </c>
      <c r="O13" s="39">
        <f>'10'!W4</f>
        <v>0</v>
      </c>
      <c r="P13" s="38">
        <f>'10'!X4</f>
        <v>0</v>
      </c>
      <c r="Q13" s="40">
        <f>'10'!Y4</f>
        <v>0</v>
      </c>
      <c r="R13" s="41">
        <f t="shared" si="0"/>
        <v>0</v>
      </c>
      <c r="S13" s="41">
        <f>IF(R13&lt;&gt;0,S9+R13,0)</f>
        <v>0</v>
      </c>
    </row>
    <row r="14" spans="1:19" x14ac:dyDescent="0.3">
      <c r="A14" s="368"/>
      <c r="B14" s="369"/>
      <c r="C14" s="248" t="s">
        <v>6</v>
      </c>
      <c r="D14" s="249">
        <f>'10'!L5</f>
        <v>0</v>
      </c>
      <c r="E14" s="250">
        <f>'10'!M5</f>
        <v>0</v>
      </c>
      <c r="F14" s="251">
        <f>'10'!N5</f>
        <v>0</v>
      </c>
      <c r="G14" s="252">
        <f>'10'!O5</f>
        <v>0</v>
      </c>
      <c r="H14" s="250">
        <f>'10'!P5</f>
        <v>0</v>
      </c>
      <c r="I14" s="253">
        <f>'10'!Q5</f>
        <v>0</v>
      </c>
      <c r="J14" s="249">
        <f>'10'!R5</f>
        <v>0</v>
      </c>
      <c r="K14" s="250">
        <f>'10'!S5</f>
        <v>0</v>
      </c>
      <c r="L14" s="251">
        <f>'10'!T5</f>
        <v>0</v>
      </c>
      <c r="M14" s="249">
        <f>'10'!U5</f>
        <v>0</v>
      </c>
      <c r="N14" s="250">
        <f>'10'!V5</f>
        <v>0</v>
      </c>
      <c r="O14" s="253">
        <f>'10'!W5</f>
        <v>0</v>
      </c>
      <c r="P14" s="251">
        <f>'10'!X5</f>
        <v>0</v>
      </c>
      <c r="Q14" s="254">
        <f>'10'!Y5</f>
        <v>0</v>
      </c>
      <c r="R14" s="254">
        <f t="shared" si="0"/>
        <v>0</v>
      </c>
      <c r="S14" s="254">
        <f>IF(R14&lt;&gt;0,S10+R14,0)</f>
        <v>0</v>
      </c>
    </row>
    <row r="15" spans="1:19" x14ac:dyDescent="0.3">
      <c r="A15" s="371" t="s">
        <v>16</v>
      </c>
      <c r="B15" s="372"/>
      <c r="C15" s="13" t="s">
        <v>111</v>
      </c>
      <c r="D15" s="42">
        <f>'11'!L2</f>
        <v>0</v>
      </c>
      <c r="E15" s="43">
        <f>'11'!M2</f>
        <v>0</v>
      </c>
      <c r="F15" s="44">
        <f>'11'!N2</f>
        <v>0</v>
      </c>
      <c r="G15" s="45">
        <f>'11'!O2</f>
        <v>0</v>
      </c>
      <c r="H15" s="43">
        <f>'11'!P2</f>
        <v>0</v>
      </c>
      <c r="I15" s="46">
        <f>'11'!Q2</f>
        <v>0</v>
      </c>
      <c r="J15" s="47">
        <f>'11'!R2</f>
        <v>0</v>
      </c>
      <c r="K15" s="48">
        <f>'11'!S2</f>
        <v>0</v>
      </c>
      <c r="L15" s="49">
        <f>'11'!T2</f>
        <v>0</v>
      </c>
      <c r="M15" s="47">
        <f>'11'!U2</f>
        <v>0</v>
      </c>
      <c r="N15" s="48">
        <f>'11'!V2</f>
        <v>0</v>
      </c>
      <c r="O15" s="50">
        <f>'11'!W2</f>
        <v>0</v>
      </c>
      <c r="P15" s="49">
        <f>'11'!X2</f>
        <v>0</v>
      </c>
      <c r="Q15" s="51">
        <f>'11'!Y2</f>
        <v>0</v>
      </c>
      <c r="R15" s="52">
        <f t="shared" si="0"/>
        <v>0</v>
      </c>
      <c r="S15" s="52">
        <f>IF(R15&lt;&gt;0,MAX(S7,S11)+R15,0)</f>
        <v>0</v>
      </c>
    </row>
    <row r="16" spans="1:19" x14ac:dyDescent="0.3">
      <c r="A16" s="366"/>
      <c r="B16" s="367"/>
      <c r="C16" s="12" t="s">
        <v>112</v>
      </c>
      <c r="D16" s="31">
        <f>'11'!L3</f>
        <v>0</v>
      </c>
      <c r="E16" s="32">
        <f>'11'!M3</f>
        <v>0</v>
      </c>
      <c r="F16" s="33">
        <f>'11'!N3</f>
        <v>0</v>
      </c>
      <c r="G16" s="34">
        <f>'11'!O3</f>
        <v>0</v>
      </c>
      <c r="H16" s="32">
        <f>'11'!P3</f>
        <v>0</v>
      </c>
      <c r="I16" s="35">
        <f>'11'!Q3</f>
        <v>0</v>
      </c>
      <c r="J16" s="36">
        <f>'11'!R3</f>
        <v>0</v>
      </c>
      <c r="K16" s="37">
        <f>'11'!S3</f>
        <v>0</v>
      </c>
      <c r="L16" s="38">
        <f>'11'!T3</f>
        <v>0</v>
      </c>
      <c r="M16" s="36">
        <f>'11'!U3</f>
        <v>0</v>
      </c>
      <c r="N16" s="37">
        <f>'11'!V3</f>
        <v>0</v>
      </c>
      <c r="O16" s="39">
        <f>'11'!W3</f>
        <v>0</v>
      </c>
      <c r="P16" s="38">
        <f>'11'!X3</f>
        <v>0</v>
      </c>
      <c r="Q16" s="40">
        <f>'11'!Y3</f>
        <v>0</v>
      </c>
      <c r="R16" s="41">
        <f t="shared" si="0"/>
        <v>0</v>
      </c>
      <c r="S16" s="41">
        <f>IF(R16&lt;&gt;0,MAX(S8,S12)+R16,0)</f>
        <v>0</v>
      </c>
    </row>
    <row r="17" spans="1:19" x14ac:dyDescent="0.3">
      <c r="A17" s="366"/>
      <c r="B17" s="367"/>
      <c r="C17" s="12" t="s">
        <v>115</v>
      </c>
      <c r="D17" s="31">
        <f>'11'!L4</f>
        <v>0</v>
      </c>
      <c r="E17" s="32">
        <f>'11'!M4</f>
        <v>0</v>
      </c>
      <c r="F17" s="33">
        <f>'11'!N4</f>
        <v>0</v>
      </c>
      <c r="G17" s="34">
        <f>'11'!O4</f>
        <v>0</v>
      </c>
      <c r="H17" s="32">
        <f>'11'!P4</f>
        <v>0</v>
      </c>
      <c r="I17" s="35">
        <f>'11'!Q4</f>
        <v>0</v>
      </c>
      <c r="J17" s="36">
        <f>'11'!R4</f>
        <v>0</v>
      </c>
      <c r="K17" s="37">
        <f>'11'!S4</f>
        <v>0</v>
      </c>
      <c r="L17" s="38">
        <f>'11'!T4</f>
        <v>0</v>
      </c>
      <c r="M17" s="36">
        <f>'11'!U4</f>
        <v>0</v>
      </c>
      <c r="N17" s="37">
        <f>'11'!V4</f>
        <v>0</v>
      </c>
      <c r="O17" s="39">
        <f>'11'!W4</f>
        <v>0</v>
      </c>
      <c r="P17" s="38">
        <f>'11'!X4</f>
        <v>0</v>
      </c>
      <c r="Q17" s="40">
        <f>'11'!Y4</f>
        <v>0</v>
      </c>
      <c r="R17" s="41">
        <f t="shared" si="0"/>
        <v>0</v>
      </c>
      <c r="S17" s="41">
        <f>IF(R17&lt;&gt;0,MAX(S9,S13)+R17,0)</f>
        <v>0</v>
      </c>
    </row>
    <row r="18" spans="1:19" x14ac:dyDescent="0.3">
      <c r="A18" s="368"/>
      <c r="B18" s="369"/>
      <c r="C18" s="248" t="s">
        <v>6</v>
      </c>
      <c r="D18" s="249">
        <f>'11'!L5</f>
        <v>0</v>
      </c>
      <c r="E18" s="250">
        <f>'11'!M5</f>
        <v>0</v>
      </c>
      <c r="F18" s="251">
        <f>'11'!N5</f>
        <v>0</v>
      </c>
      <c r="G18" s="252">
        <f>'11'!O5</f>
        <v>0</v>
      </c>
      <c r="H18" s="250">
        <f>'11'!P5</f>
        <v>0</v>
      </c>
      <c r="I18" s="253">
        <f>'11'!Q5</f>
        <v>0</v>
      </c>
      <c r="J18" s="249">
        <f>'11'!R5</f>
        <v>0</v>
      </c>
      <c r="K18" s="250">
        <f>'11'!S5</f>
        <v>0</v>
      </c>
      <c r="L18" s="251">
        <f>'11'!T5</f>
        <v>0</v>
      </c>
      <c r="M18" s="249">
        <f>'11'!U5</f>
        <v>0</v>
      </c>
      <c r="N18" s="250">
        <f>'11'!V5</f>
        <v>0</v>
      </c>
      <c r="O18" s="253">
        <f>'11'!W5</f>
        <v>0</v>
      </c>
      <c r="P18" s="251">
        <f>'11'!X5</f>
        <v>0</v>
      </c>
      <c r="Q18" s="254">
        <f>'11'!Y5</f>
        <v>0</v>
      </c>
      <c r="R18" s="254">
        <f t="shared" si="0"/>
        <v>0</v>
      </c>
      <c r="S18" s="254">
        <f>IF(R18&lt;&gt;0,MAX(S10,S14)+R18,0)</f>
        <v>0</v>
      </c>
    </row>
    <row r="19" spans="1:19" x14ac:dyDescent="0.3">
      <c r="A19" s="371" t="s">
        <v>17</v>
      </c>
      <c r="B19" s="372"/>
      <c r="C19" s="13" t="s">
        <v>111</v>
      </c>
      <c r="D19" s="42">
        <f>'12'!L2</f>
        <v>0</v>
      </c>
      <c r="E19" s="43">
        <f>'12'!M2</f>
        <v>0</v>
      </c>
      <c r="F19" s="44">
        <f>'12'!N2</f>
        <v>0</v>
      </c>
      <c r="G19" s="45">
        <f>'12'!O2</f>
        <v>0</v>
      </c>
      <c r="H19" s="43">
        <f>'12'!P2</f>
        <v>0</v>
      </c>
      <c r="I19" s="46">
        <f>'12'!Q2</f>
        <v>0</v>
      </c>
      <c r="J19" s="47">
        <f>'12'!R2</f>
        <v>0</v>
      </c>
      <c r="K19" s="48">
        <f>'12'!S2</f>
        <v>0</v>
      </c>
      <c r="L19" s="49">
        <f>'12'!T2</f>
        <v>0</v>
      </c>
      <c r="M19" s="47">
        <f>'12'!U2</f>
        <v>0</v>
      </c>
      <c r="N19" s="48">
        <f>'12'!V2</f>
        <v>0</v>
      </c>
      <c r="O19" s="50">
        <f>'12'!W2</f>
        <v>0</v>
      </c>
      <c r="P19" s="49">
        <f>'12'!X2</f>
        <v>0</v>
      </c>
      <c r="Q19" s="51">
        <f>'12'!Y2</f>
        <v>0</v>
      </c>
      <c r="R19" s="52">
        <f t="shared" si="0"/>
        <v>0</v>
      </c>
      <c r="S19" s="52">
        <f>IF(R19&lt;&gt;0,MAX(S7,S11,S15)+R19,0)</f>
        <v>0</v>
      </c>
    </row>
    <row r="20" spans="1:19" x14ac:dyDescent="0.3">
      <c r="A20" s="366"/>
      <c r="B20" s="367"/>
      <c r="C20" s="12" t="s">
        <v>112</v>
      </c>
      <c r="D20" s="31">
        <f>'12'!L3</f>
        <v>0</v>
      </c>
      <c r="E20" s="32">
        <f>'12'!M3</f>
        <v>0</v>
      </c>
      <c r="F20" s="33">
        <f>'12'!N3</f>
        <v>0</v>
      </c>
      <c r="G20" s="34">
        <f>'12'!O3</f>
        <v>0</v>
      </c>
      <c r="H20" s="32">
        <f>'12'!P3</f>
        <v>0</v>
      </c>
      <c r="I20" s="35">
        <f>'12'!Q3</f>
        <v>0</v>
      </c>
      <c r="J20" s="36">
        <f>'12'!R3</f>
        <v>0</v>
      </c>
      <c r="K20" s="37">
        <f>'12'!S3</f>
        <v>0</v>
      </c>
      <c r="L20" s="38">
        <f>'12'!T3</f>
        <v>0</v>
      </c>
      <c r="M20" s="36">
        <f>'12'!U3</f>
        <v>0</v>
      </c>
      <c r="N20" s="37">
        <f>'12'!V3</f>
        <v>0</v>
      </c>
      <c r="O20" s="39">
        <f>'12'!W3</f>
        <v>0</v>
      </c>
      <c r="P20" s="38">
        <f>'12'!X3</f>
        <v>0</v>
      </c>
      <c r="Q20" s="40">
        <f>'12'!Y3</f>
        <v>0</v>
      </c>
      <c r="R20" s="41">
        <f t="shared" si="0"/>
        <v>0</v>
      </c>
      <c r="S20" s="41">
        <f>IF(R20&lt;&gt;0,MAX(S8,S12,S16)+R20,0)</f>
        <v>0</v>
      </c>
    </row>
    <row r="21" spans="1:19" x14ac:dyDescent="0.3">
      <c r="A21" s="366"/>
      <c r="B21" s="367"/>
      <c r="C21" s="12" t="s">
        <v>115</v>
      </c>
      <c r="D21" s="31">
        <f>'12'!L4</f>
        <v>0</v>
      </c>
      <c r="E21" s="32">
        <f>'12'!M4</f>
        <v>0</v>
      </c>
      <c r="F21" s="33">
        <f>'12'!N4</f>
        <v>0</v>
      </c>
      <c r="G21" s="34">
        <f>'12'!O4</f>
        <v>0</v>
      </c>
      <c r="H21" s="32">
        <f>'12'!P4</f>
        <v>0</v>
      </c>
      <c r="I21" s="35">
        <f>'12'!Q4</f>
        <v>0</v>
      </c>
      <c r="J21" s="36">
        <f>'12'!R4</f>
        <v>0</v>
      </c>
      <c r="K21" s="37">
        <f>'12'!S4</f>
        <v>0</v>
      </c>
      <c r="L21" s="38">
        <f>'12'!T4</f>
        <v>0</v>
      </c>
      <c r="M21" s="36">
        <f>'12'!U4</f>
        <v>0</v>
      </c>
      <c r="N21" s="37">
        <f>'12'!V4</f>
        <v>0</v>
      </c>
      <c r="O21" s="39">
        <f>'12'!W4</f>
        <v>0</v>
      </c>
      <c r="P21" s="38">
        <f>'12'!X4</f>
        <v>0</v>
      </c>
      <c r="Q21" s="40">
        <f>'12'!Y4</f>
        <v>0</v>
      </c>
      <c r="R21" s="41">
        <f t="shared" si="0"/>
        <v>0</v>
      </c>
      <c r="S21" s="41">
        <f>IF(R21&lt;&gt;0,MAX(S9,S13,S17)+R21,0)</f>
        <v>0</v>
      </c>
    </row>
    <row r="22" spans="1:19" x14ac:dyDescent="0.3">
      <c r="A22" s="368"/>
      <c r="B22" s="369"/>
      <c r="C22" s="248" t="s">
        <v>6</v>
      </c>
      <c r="D22" s="249">
        <f>'12'!L5</f>
        <v>0</v>
      </c>
      <c r="E22" s="250">
        <f>'12'!M5</f>
        <v>0</v>
      </c>
      <c r="F22" s="251">
        <f>'12'!N5</f>
        <v>0</v>
      </c>
      <c r="G22" s="252">
        <f>'12'!O5</f>
        <v>0</v>
      </c>
      <c r="H22" s="250">
        <f>'12'!P5</f>
        <v>0</v>
      </c>
      <c r="I22" s="253">
        <f>'12'!Q5</f>
        <v>0</v>
      </c>
      <c r="J22" s="249">
        <f>'12'!R5</f>
        <v>0</v>
      </c>
      <c r="K22" s="250">
        <f>'12'!S5</f>
        <v>0</v>
      </c>
      <c r="L22" s="251">
        <f>'12'!T5</f>
        <v>0</v>
      </c>
      <c r="M22" s="249">
        <f>'12'!U5</f>
        <v>0</v>
      </c>
      <c r="N22" s="250">
        <f>'12'!V5</f>
        <v>0</v>
      </c>
      <c r="O22" s="253">
        <f>'12'!W5</f>
        <v>0</v>
      </c>
      <c r="P22" s="251">
        <f>'12'!X5</f>
        <v>0</v>
      </c>
      <c r="Q22" s="254">
        <f>'12'!Y5</f>
        <v>0</v>
      </c>
      <c r="R22" s="254">
        <f t="shared" si="0"/>
        <v>0</v>
      </c>
      <c r="S22" s="254">
        <f>IF(R22&lt;&gt;0,MAX(S10,S14,S18)+R22,0)</f>
        <v>0</v>
      </c>
    </row>
    <row r="23" spans="1:19" x14ac:dyDescent="0.3">
      <c r="A23" s="371" t="s">
        <v>18</v>
      </c>
      <c r="B23" s="372"/>
      <c r="C23" s="13" t="s">
        <v>111</v>
      </c>
      <c r="D23" s="42">
        <f>'01'!L2</f>
        <v>0</v>
      </c>
      <c r="E23" s="43">
        <f>'01'!M2</f>
        <v>0</v>
      </c>
      <c r="F23" s="44">
        <f>'01'!N2</f>
        <v>0</v>
      </c>
      <c r="G23" s="45">
        <f>'01'!O2</f>
        <v>0</v>
      </c>
      <c r="H23" s="43">
        <f>'01'!P2</f>
        <v>0</v>
      </c>
      <c r="I23" s="46">
        <f>'01'!Q2</f>
        <v>0</v>
      </c>
      <c r="J23" s="47">
        <f>'01'!R2</f>
        <v>0</v>
      </c>
      <c r="K23" s="48">
        <f>'01'!S2</f>
        <v>0</v>
      </c>
      <c r="L23" s="49">
        <f>'01'!T2</f>
        <v>0</v>
      </c>
      <c r="M23" s="47">
        <f>'01'!U2</f>
        <v>0</v>
      </c>
      <c r="N23" s="48">
        <f>'01'!V2</f>
        <v>0</v>
      </c>
      <c r="O23" s="50">
        <f>'01'!W2</f>
        <v>0</v>
      </c>
      <c r="P23" s="49">
        <f>'01'!X2</f>
        <v>0</v>
      </c>
      <c r="Q23" s="51">
        <f>'01'!Y2</f>
        <v>0</v>
      </c>
      <c r="R23" s="52">
        <f t="shared" si="0"/>
        <v>0</v>
      </c>
      <c r="S23" s="52">
        <f>IF(R23&lt;&gt;0,MAX(S7,S11,S15,S19)+R23,0)</f>
        <v>0</v>
      </c>
    </row>
    <row r="24" spans="1:19" x14ac:dyDescent="0.3">
      <c r="A24" s="366"/>
      <c r="B24" s="367"/>
      <c r="C24" s="12" t="s">
        <v>112</v>
      </c>
      <c r="D24" s="31">
        <f>'01'!L3</f>
        <v>0</v>
      </c>
      <c r="E24" s="32">
        <f>'01'!M3</f>
        <v>0</v>
      </c>
      <c r="F24" s="33">
        <f>'01'!N3</f>
        <v>0</v>
      </c>
      <c r="G24" s="34">
        <f>'01'!O3</f>
        <v>0</v>
      </c>
      <c r="H24" s="32">
        <f>'01'!P3</f>
        <v>0</v>
      </c>
      <c r="I24" s="35">
        <f>'01'!Q3</f>
        <v>0</v>
      </c>
      <c r="J24" s="36">
        <f>'01'!R3</f>
        <v>0</v>
      </c>
      <c r="K24" s="37">
        <f>'01'!S3</f>
        <v>0</v>
      </c>
      <c r="L24" s="38">
        <f>'01'!T3</f>
        <v>0</v>
      </c>
      <c r="M24" s="36">
        <f>'01'!U3</f>
        <v>0</v>
      </c>
      <c r="N24" s="37">
        <f>'01'!V3</f>
        <v>0</v>
      </c>
      <c r="O24" s="39">
        <f>'01'!W3</f>
        <v>0</v>
      </c>
      <c r="P24" s="38">
        <f>'01'!X3</f>
        <v>0</v>
      </c>
      <c r="Q24" s="40">
        <f>'01'!Y3</f>
        <v>0</v>
      </c>
      <c r="R24" s="41">
        <f t="shared" si="0"/>
        <v>0</v>
      </c>
      <c r="S24" s="41">
        <f>IF(R24&lt;&gt;0,MAX(S8,S12,S16,S20)+R24,0)</f>
        <v>0</v>
      </c>
    </row>
    <row r="25" spans="1:19" x14ac:dyDescent="0.3">
      <c r="A25" s="366"/>
      <c r="B25" s="367"/>
      <c r="C25" s="12" t="s">
        <v>115</v>
      </c>
      <c r="D25" s="31">
        <f>'01'!L4</f>
        <v>0</v>
      </c>
      <c r="E25" s="32">
        <f>'01'!M4</f>
        <v>0</v>
      </c>
      <c r="F25" s="33">
        <f>'01'!N4</f>
        <v>0</v>
      </c>
      <c r="G25" s="34">
        <f>'01'!O4</f>
        <v>0</v>
      </c>
      <c r="H25" s="32">
        <f>'01'!P4</f>
        <v>0</v>
      </c>
      <c r="I25" s="35">
        <f>'01'!Q4</f>
        <v>0</v>
      </c>
      <c r="J25" s="36">
        <f>'01'!R4</f>
        <v>0</v>
      </c>
      <c r="K25" s="37">
        <f>'01'!S4</f>
        <v>0</v>
      </c>
      <c r="L25" s="38">
        <f>'01'!T4</f>
        <v>0</v>
      </c>
      <c r="M25" s="36">
        <f>'01'!U4</f>
        <v>0</v>
      </c>
      <c r="N25" s="37">
        <f>'01'!V4</f>
        <v>0</v>
      </c>
      <c r="O25" s="39">
        <f>'01'!W4</f>
        <v>0</v>
      </c>
      <c r="P25" s="38">
        <f>'01'!X4</f>
        <v>0</v>
      </c>
      <c r="Q25" s="40">
        <f>'01'!Y4</f>
        <v>0</v>
      </c>
      <c r="R25" s="41">
        <f t="shared" si="0"/>
        <v>0</v>
      </c>
      <c r="S25" s="41">
        <f>IF(R25&lt;&gt;0,MAX(S9,S13,S17,S21)+R25,0)</f>
        <v>0</v>
      </c>
    </row>
    <row r="26" spans="1:19" ht="15" thickBot="1" x14ac:dyDescent="0.35">
      <c r="A26" s="373"/>
      <c r="B26" s="374"/>
      <c r="C26" s="255" t="s">
        <v>6</v>
      </c>
      <c r="D26" s="256">
        <f>'01'!L5</f>
        <v>0</v>
      </c>
      <c r="E26" s="257">
        <f>'01'!M5</f>
        <v>0</v>
      </c>
      <c r="F26" s="258">
        <f>'01'!N5</f>
        <v>0</v>
      </c>
      <c r="G26" s="259">
        <f>'01'!O5</f>
        <v>0</v>
      </c>
      <c r="H26" s="257">
        <f>'01'!P5</f>
        <v>0</v>
      </c>
      <c r="I26" s="260">
        <f>'01'!Q5</f>
        <v>0</v>
      </c>
      <c r="J26" s="256">
        <f>'01'!R5</f>
        <v>0</v>
      </c>
      <c r="K26" s="257">
        <f>'01'!S5</f>
        <v>0</v>
      </c>
      <c r="L26" s="258">
        <f>'01'!T5</f>
        <v>0</v>
      </c>
      <c r="M26" s="256">
        <f>'01'!U5</f>
        <v>0</v>
      </c>
      <c r="N26" s="257">
        <f>'01'!V5</f>
        <v>0</v>
      </c>
      <c r="O26" s="260">
        <f>'01'!W5</f>
        <v>0</v>
      </c>
      <c r="P26" s="258">
        <f>'01'!X5</f>
        <v>0</v>
      </c>
      <c r="Q26" s="261">
        <f>'01'!Y5</f>
        <v>0</v>
      </c>
      <c r="R26" s="261">
        <f t="shared" si="0"/>
        <v>0</v>
      </c>
      <c r="S26" s="261">
        <f>IF(R26&lt;&gt;0,MAX(S10,S14,S18,S22)+R26,0)</f>
        <v>0</v>
      </c>
    </row>
    <row r="27" spans="1:19" ht="15" thickTop="1" x14ac:dyDescent="0.3">
      <c r="A27" s="387" t="s">
        <v>27</v>
      </c>
      <c r="B27" s="375" t="s">
        <v>7</v>
      </c>
      <c r="C27" s="11" t="s">
        <v>111</v>
      </c>
      <c r="D27" s="53">
        <f>SUMIF(осень!$A$5:$A$178,1,осень!J$5:J$178)</f>
        <v>0</v>
      </c>
      <c r="E27" s="54">
        <f>SUMIF(осень!$A$5:$A$178,1,осень!K$5:K$178)</f>
        <v>0</v>
      </c>
      <c r="F27" s="55">
        <f>SUMIF(осень!$A$5:$A$178,1,осень!L$5:L$178)</f>
        <v>0</v>
      </c>
      <c r="G27" s="56">
        <f>SUMIF(осень!$A$5:$A$178,1,осень!M$5:M$178)</f>
        <v>0</v>
      </c>
      <c r="H27" s="54">
        <f>SUMIF(осень!$A$5:$A$178,1,осень!N$5:N$178)</f>
        <v>0</v>
      </c>
      <c r="I27" s="57">
        <f>SUMIF(осень!$A$5:$A$178,1,осень!O$5:O$178)</f>
        <v>0</v>
      </c>
      <c r="J27" s="53">
        <f>SUMIF(осень!$A$5:$A$178,1,осень!P$5:P$178)</f>
        <v>0</v>
      </c>
      <c r="K27" s="54">
        <f>SUMIF(осень!$A$5:$A$178,1,осень!Q$5:Q$178)</f>
        <v>0</v>
      </c>
      <c r="L27" s="55">
        <f>SUMIF(осень!$A$5:$A$178,1,осень!R$5:R$178)</f>
        <v>0</v>
      </c>
      <c r="M27" s="53">
        <f>SUMIF(осень!$A$5:$A$178,1,осень!S$5:S$178)</f>
        <v>0</v>
      </c>
      <c r="N27" s="54">
        <f>SUMIF(осень!$A$5:$A$178,1,осень!T$5:T$178)</f>
        <v>0</v>
      </c>
      <c r="O27" s="57">
        <f>SUMIF(осень!$A$5:$A$178,1,осень!U$5:U$178)</f>
        <v>0</v>
      </c>
      <c r="P27" s="55">
        <f>SUMIF(осень!$A$5:$A$178,1,осень!V$5:V$178)</f>
        <v>0</v>
      </c>
      <c r="Q27" s="30">
        <f>SUMIF(осень!$A$5:$A$178,1,осень!W$5:W$178)</f>
        <v>0</v>
      </c>
      <c r="R27" s="377">
        <f>Утв_План</f>
        <v>0</v>
      </c>
      <c r="S27" s="30">
        <f>SUM(D27:Q27)</f>
        <v>0</v>
      </c>
    </row>
    <row r="28" spans="1:19" x14ac:dyDescent="0.3">
      <c r="A28" s="388"/>
      <c r="B28" s="376"/>
      <c r="C28" s="12" t="s">
        <v>112</v>
      </c>
      <c r="D28" s="58">
        <f>SUMIF(осень!$A$5:$A$178,2,осень!J$5:J$178)</f>
        <v>0</v>
      </c>
      <c r="E28" s="59">
        <f>SUMIF(осень!$A$5:$A$178,2,осень!K$5:K$178)</f>
        <v>0</v>
      </c>
      <c r="F28" s="60">
        <f>SUMIF(осень!$A$5:$A$178,2,осень!L$5:L$178)</f>
        <v>0</v>
      </c>
      <c r="G28" s="61">
        <f>SUMIF(осень!$A$5:$A$178,2,осень!M$5:M$178)</f>
        <v>0</v>
      </c>
      <c r="H28" s="59">
        <f>SUMIF(осень!$A$5:$A$178,2,осень!N$5:N$178)</f>
        <v>0</v>
      </c>
      <c r="I28" s="62">
        <f>SUMIF(осень!$A$5:$A$178,2,осень!O$5:O$178)</f>
        <v>0</v>
      </c>
      <c r="J28" s="58">
        <f>SUMIF(осень!$A$5:$A$178,2,осень!P$5:P$178)</f>
        <v>0</v>
      </c>
      <c r="K28" s="59">
        <f>SUMIF(осень!$A$5:$A$178,2,осень!Q$5:Q$178)</f>
        <v>0</v>
      </c>
      <c r="L28" s="60">
        <f>SUMIF(осень!$A$5:$A$178,2,осень!R$5:R$178)</f>
        <v>0</v>
      </c>
      <c r="M28" s="58">
        <f>SUMIF(осень!$A$5:$A$178,2,осень!S$5:S$178)</f>
        <v>0</v>
      </c>
      <c r="N28" s="59">
        <f>SUMIF(осень!$A$5:$A$178,2,осень!T$5:T$178)</f>
        <v>0</v>
      </c>
      <c r="O28" s="62">
        <f>SUMIF(осень!$A$5:$A$178,2,осень!U$5:U$178)</f>
        <v>0</v>
      </c>
      <c r="P28" s="60">
        <f>SUMIF(осень!$A$5:$A$178,2,осень!V$5:V$178)</f>
        <v>0</v>
      </c>
      <c r="Q28" s="41">
        <f>SUMIF(осень!$A$5:$A$178,2,осень!W$5:W$178)</f>
        <v>0</v>
      </c>
      <c r="R28" s="378"/>
      <c r="S28" s="41">
        <f t="shared" ref="S28:S33" si="1">SUM(D28:Q28)</f>
        <v>0</v>
      </c>
    </row>
    <row r="29" spans="1:19" x14ac:dyDescent="0.3">
      <c r="A29" s="388"/>
      <c r="B29" s="376"/>
      <c r="C29" s="12" t="s">
        <v>115</v>
      </c>
      <c r="D29" s="58">
        <f>SUMIF(осень!$A$5:$A$178,3,осень!J$5:J$178)</f>
        <v>0</v>
      </c>
      <c r="E29" s="59">
        <f>SUMIF(осень!$A$5:$A$178,3,осень!K$5:K$178)</f>
        <v>0</v>
      </c>
      <c r="F29" s="60">
        <f>SUMIF(осень!$A$5:$A$178,3,осень!L$5:L$178)</f>
        <v>0</v>
      </c>
      <c r="G29" s="61">
        <f>SUMIF(осень!$A$5:$A$178,3,осень!M$5:M$178)</f>
        <v>0</v>
      </c>
      <c r="H29" s="59">
        <f>SUMIF(осень!$A$5:$A$178,3,осень!N$5:N$178)</f>
        <v>0</v>
      </c>
      <c r="I29" s="62">
        <f>SUMIF(осень!$A$5:$A$178,3,осень!O$5:O$178)</f>
        <v>0</v>
      </c>
      <c r="J29" s="58">
        <f>SUMIF(осень!$A$5:$A$178,3,осень!P$5:P$178)</f>
        <v>0</v>
      </c>
      <c r="K29" s="59">
        <f>SUMIF(осень!$A$5:$A$178,3,осень!Q$5:Q$178)</f>
        <v>0</v>
      </c>
      <c r="L29" s="60">
        <f>SUMIF(осень!$A$5:$A$178,3,осень!R$5:R$178)</f>
        <v>0</v>
      </c>
      <c r="M29" s="58">
        <f>SUMIF(осень!$A$5:$A$178,3,осень!S$5:S$178)</f>
        <v>0</v>
      </c>
      <c r="N29" s="59">
        <f>SUMIF(осень!$A$5:$A$178,3,осень!T$5:T$178)</f>
        <v>0</v>
      </c>
      <c r="O29" s="62">
        <f>SUMIF(осень!$A$5:$A$178,3,осень!U$5:U$178)</f>
        <v>0</v>
      </c>
      <c r="P29" s="60">
        <f>SUMIF(осень!$A$5:$A$178,3,осень!V$5:V$178)</f>
        <v>0</v>
      </c>
      <c r="Q29" s="41">
        <f>SUMIF(осень!$A$5:$A$178,3,осень!W$5:W$178)</f>
        <v>0</v>
      </c>
      <c r="R29" s="378"/>
      <c r="S29" s="41">
        <f t="shared" si="1"/>
        <v>0</v>
      </c>
    </row>
    <row r="30" spans="1:19" x14ac:dyDescent="0.3">
      <c r="A30" s="388"/>
      <c r="B30" s="376"/>
      <c r="C30" s="248" t="s">
        <v>6</v>
      </c>
      <c r="D30" s="249">
        <f>осень!J$3</f>
        <v>0</v>
      </c>
      <c r="E30" s="250">
        <f>осень!K$3</f>
        <v>0</v>
      </c>
      <c r="F30" s="251">
        <f>осень!L$3</f>
        <v>0</v>
      </c>
      <c r="G30" s="252">
        <f>осень!M$3</f>
        <v>0</v>
      </c>
      <c r="H30" s="250">
        <f>осень!N$3</f>
        <v>0</v>
      </c>
      <c r="I30" s="253">
        <f>осень!O$3</f>
        <v>0</v>
      </c>
      <c r="J30" s="249">
        <f>осень!P$3</f>
        <v>0</v>
      </c>
      <c r="K30" s="250">
        <f>осень!Q$3</f>
        <v>0</v>
      </c>
      <c r="L30" s="251">
        <f>осень!R$3</f>
        <v>0</v>
      </c>
      <c r="M30" s="249">
        <f>осень!S$3</f>
        <v>0</v>
      </c>
      <c r="N30" s="250">
        <f>осень!T$3</f>
        <v>0</v>
      </c>
      <c r="O30" s="253">
        <f>осень!U$3</f>
        <v>0</v>
      </c>
      <c r="P30" s="251">
        <f>осень!V$3</f>
        <v>0</v>
      </c>
      <c r="Q30" s="254">
        <f>осень!W$3</f>
        <v>0</v>
      </c>
      <c r="R30" s="379"/>
      <c r="S30" s="254">
        <f t="shared" si="1"/>
        <v>0</v>
      </c>
    </row>
    <row r="31" spans="1:19" x14ac:dyDescent="0.3">
      <c r="A31" s="388"/>
      <c r="B31" s="376" t="s">
        <v>8</v>
      </c>
      <c r="C31" s="14" t="s">
        <v>111</v>
      </c>
      <c r="D31" s="63">
        <f>D7+D11+D15+D19+D23</f>
        <v>0</v>
      </c>
      <c r="E31" s="64">
        <f t="shared" ref="E31:Q31" si="2">E7+E11+E15+E19+E23</f>
        <v>0</v>
      </c>
      <c r="F31" s="65">
        <f t="shared" si="2"/>
        <v>0</v>
      </c>
      <c r="G31" s="66">
        <f t="shared" si="2"/>
        <v>0</v>
      </c>
      <c r="H31" s="64">
        <f t="shared" si="2"/>
        <v>0</v>
      </c>
      <c r="I31" s="67">
        <f t="shared" si="2"/>
        <v>0</v>
      </c>
      <c r="J31" s="63">
        <f t="shared" si="2"/>
        <v>0</v>
      </c>
      <c r="K31" s="64">
        <f t="shared" si="2"/>
        <v>0</v>
      </c>
      <c r="L31" s="65">
        <f t="shared" si="2"/>
        <v>0</v>
      </c>
      <c r="M31" s="63">
        <f t="shared" si="2"/>
        <v>0</v>
      </c>
      <c r="N31" s="64">
        <f t="shared" si="2"/>
        <v>0</v>
      </c>
      <c r="O31" s="67">
        <f t="shared" si="2"/>
        <v>0</v>
      </c>
      <c r="P31" s="65">
        <f t="shared" si="2"/>
        <v>0</v>
      </c>
      <c r="Q31" s="68">
        <f t="shared" si="2"/>
        <v>0</v>
      </c>
      <c r="R31" s="380">
        <f>Утв_Осень</f>
        <v>0</v>
      </c>
      <c r="S31" s="68">
        <f t="shared" si="1"/>
        <v>0</v>
      </c>
    </row>
    <row r="32" spans="1:19" x14ac:dyDescent="0.3">
      <c r="A32" s="388"/>
      <c r="B32" s="376"/>
      <c r="C32" s="12" t="s">
        <v>112</v>
      </c>
      <c r="D32" s="58">
        <f t="shared" ref="D32:Q34" si="3">D8+D12+D16+D20+D24</f>
        <v>0</v>
      </c>
      <c r="E32" s="59">
        <f t="shared" si="3"/>
        <v>0</v>
      </c>
      <c r="F32" s="60">
        <f t="shared" si="3"/>
        <v>0</v>
      </c>
      <c r="G32" s="61">
        <f t="shared" si="3"/>
        <v>0</v>
      </c>
      <c r="H32" s="59">
        <f t="shared" si="3"/>
        <v>0</v>
      </c>
      <c r="I32" s="62">
        <f t="shared" si="3"/>
        <v>0</v>
      </c>
      <c r="J32" s="58">
        <f t="shared" si="3"/>
        <v>0</v>
      </c>
      <c r="K32" s="59">
        <f t="shared" si="3"/>
        <v>0</v>
      </c>
      <c r="L32" s="60">
        <f t="shared" si="3"/>
        <v>0</v>
      </c>
      <c r="M32" s="58">
        <f t="shared" si="3"/>
        <v>0</v>
      </c>
      <c r="N32" s="59">
        <f t="shared" si="3"/>
        <v>0</v>
      </c>
      <c r="O32" s="62">
        <f t="shared" si="3"/>
        <v>0</v>
      </c>
      <c r="P32" s="60">
        <f t="shared" si="3"/>
        <v>0</v>
      </c>
      <c r="Q32" s="41">
        <f t="shared" si="3"/>
        <v>0</v>
      </c>
      <c r="R32" s="381"/>
      <c r="S32" s="41">
        <f t="shared" si="1"/>
        <v>0</v>
      </c>
    </row>
    <row r="33" spans="1:19" x14ac:dyDescent="0.3">
      <c r="A33" s="388"/>
      <c r="B33" s="376"/>
      <c r="C33" s="12" t="s">
        <v>115</v>
      </c>
      <c r="D33" s="58">
        <f t="shared" si="3"/>
        <v>0</v>
      </c>
      <c r="E33" s="59">
        <f t="shared" si="3"/>
        <v>0</v>
      </c>
      <c r="F33" s="60">
        <f t="shared" si="3"/>
        <v>0</v>
      </c>
      <c r="G33" s="61">
        <f t="shared" si="3"/>
        <v>0</v>
      </c>
      <c r="H33" s="59">
        <f t="shared" si="3"/>
        <v>0</v>
      </c>
      <c r="I33" s="62">
        <f t="shared" si="3"/>
        <v>0</v>
      </c>
      <c r="J33" s="58">
        <f t="shared" si="3"/>
        <v>0</v>
      </c>
      <c r="K33" s="59">
        <f t="shared" si="3"/>
        <v>0</v>
      </c>
      <c r="L33" s="60">
        <f t="shared" si="3"/>
        <v>0</v>
      </c>
      <c r="M33" s="58">
        <f t="shared" si="3"/>
        <v>0</v>
      </c>
      <c r="N33" s="59">
        <f t="shared" si="3"/>
        <v>0</v>
      </c>
      <c r="O33" s="62">
        <f t="shared" si="3"/>
        <v>0</v>
      </c>
      <c r="P33" s="60">
        <f t="shared" si="3"/>
        <v>0</v>
      </c>
      <c r="Q33" s="41">
        <f t="shared" si="3"/>
        <v>0</v>
      </c>
      <c r="R33" s="381"/>
      <c r="S33" s="41">
        <f t="shared" si="1"/>
        <v>0</v>
      </c>
    </row>
    <row r="34" spans="1:19" ht="15" thickBot="1" x14ac:dyDescent="0.35">
      <c r="A34" s="389"/>
      <c r="B34" s="386"/>
      <c r="C34" s="255" t="s">
        <v>6</v>
      </c>
      <c r="D34" s="256">
        <f t="shared" si="3"/>
        <v>0</v>
      </c>
      <c r="E34" s="257">
        <f t="shared" si="3"/>
        <v>0</v>
      </c>
      <c r="F34" s="258">
        <f t="shared" si="3"/>
        <v>0</v>
      </c>
      <c r="G34" s="259">
        <f t="shared" si="3"/>
        <v>0</v>
      </c>
      <c r="H34" s="257">
        <f t="shared" si="3"/>
        <v>0</v>
      </c>
      <c r="I34" s="260">
        <f t="shared" si="3"/>
        <v>0</v>
      </c>
      <c r="J34" s="256">
        <f t="shared" si="3"/>
        <v>0</v>
      </c>
      <c r="K34" s="257">
        <f t="shared" si="3"/>
        <v>0</v>
      </c>
      <c r="L34" s="258">
        <f t="shared" si="3"/>
        <v>0</v>
      </c>
      <c r="M34" s="256">
        <f t="shared" si="3"/>
        <v>0</v>
      </c>
      <c r="N34" s="257">
        <f t="shared" si="3"/>
        <v>0</v>
      </c>
      <c r="O34" s="260">
        <f t="shared" si="3"/>
        <v>0</v>
      </c>
      <c r="P34" s="258">
        <f t="shared" si="3"/>
        <v>0</v>
      </c>
      <c r="Q34" s="261">
        <f t="shared" si="3"/>
        <v>0</v>
      </c>
      <c r="R34" s="382"/>
      <c r="S34" s="261">
        <f>SUM(D34:Q34)</f>
        <v>0</v>
      </c>
    </row>
    <row r="35" spans="1:19" ht="15" thickTop="1" x14ac:dyDescent="0.3">
      <c r="A35" s="364" t="s">
        <v>19</v>
      </c>
      <c r="B35" s="365"/>
      <c r="C35" s="11" t="s">
        <v>111</v>
      </c>
      <c r="D35" s="20">
        <f>'02'!L2</f>
        <v>0</v>
      </c>
      <c r="E35" s="21">
        <f>'02'!M2</f>
        <v>0</v>
      </c>
      <c r="F35" s="22">
        <f>'02'!N2</f>
        <v>0</v>
      </c>
      <c r="G35" s="23">
        <f>'02'!O2</f>
        <v>0</v>
      </c>
      <c r="H35" s="21">
        <f>'02'!P2</f>
        <v>0</v>
      </c>
      <c r="I35" s="24">
        <f>'02'!Q2</f>
        <v>0</v>
      </c>
      <c r="J35" s="25">
        <f>'02'!R2</f>
        <v>0</v>
      </c>
      <c r="K35" s="26">
        <f>'02'!S2</f>
        <v>0</v>
      </c>
      <c r="L35" s="27">
        <f>'02'!T2</f>
        <v>0</v>
      </c>
      <c r="M35" s="25">
        <f>'02'!U2</f>
        <v>0</v>
      </c>
      <c r="N35" s="26">
        <f>'02'!V2</f>
        <v>0</v>
      </c>
      <c r="O35" s="28">
        <f>'02'!W2</f>
        <v>0</v>
      </c>
      <c r="P35" s="27">
        <f>'02'!X2</f>
        <v>0</v>
      </c>
      <c r="Q35" s="29">
        <f>'02'!Y2</f>
        <v>0</v>
      </c>
      <c r="R35" s="30">
        <f t="shared" ref="R35:R62" si="4">SUM(D35:Q35)</f>
        <v>0</v>
      </c>
      <c r="S35" s="30">
        <f>IF(R35&lt;&gt;0,S31+R35,0)</f>
        <v>0</v>
      </c>
    </row>
    <row r="36" spans="1:19" x14ac:dyDescent="0.3">
      <c r="A36" s="366"/>
      <c r="B36" s="367"/>
      <c r="C36" s="12" t="s">
        <v>112</v>
      </c>
      <c r="D36" s="31">
        <f>'02'!L3</f>
        <v>0</v>
      </c>
      <c r="E36" s="32">
        <f>'02'!M3</f>
        <v>0</v>
      </c>
      <c r="F36" s="33">
        <f>'02'!N3</f>
        <v>0</v>
      </c>
      <c r="G36" s="34">
        <f>'02'!O3</f>
        <v>0</v>
      </c>
      <c r="H36" s="32">
        <f>'02'!P3</f>
        <v>0</v>
      </c>
      <c r="I36" s="35">
        <f>'02'!Q3</f>
        <v>0</v>
      </c>
      <c r="J36" s="36">
        <f>'02'!R3</f>
        <v>0</v>
      </c>
      <c r="K36" s="37">
        <f>'02'!S3</f>
        <v>0</v>
      </c>
      <c r="L36" s="38">
        <f>'02'!T3</f>
        <v>0</v>
      </c>
      <c r="M36" s="36">
        <f>'02'!U3</f>
        <v>0</v>
      </c>
      <c r="N36" s="37">
        <f>'02'!V3</f>
        <v>0</v>
      </c>
      <c r="O36" s="39">
        <f>'02'!W3</f>
        <v>0</v>
      </c>
      <c r="P36" s="38">
        <f>'02'!X3</f>
        <v>0</v>
      </c>
      <c r="Q36" s="40">
        <f>'02'!Y3</f>
        <v>0</v>
      </c>
      <c r="R36" s="41">
        <f t="shared" si="4"/>
        <v>0</v>
      </c>
      <c r="S36" s="41">
        <f>IF(R36&lt;&gt;0,S32+R36,0)</f>
        <v>0</v>
      </c>
    </row>
    <row r="37" spans="1:19" x14ac:dyDescent="0.3">
      <c r="A37" s="366"/>
      <c r="B37" s="367"/>
      <c r="C37" s="12" t="s">
        <v>115</v>
      </c>
      <c r="D37" s="31">
        <f>'02'!L4</f>
        <v>0</v>
      </c>
      <c r="E37" s="32">
        <f>'02'!M4</f>
        <v>0</v>
      </c>
      <c r="F37" s="33">
        <f>'02'!N4</f>
        <v>0</v>
      </c>
      <c r="G37" s="34">
        <f>'02'!O4</f>
        <v>0</v>
      </c>
      <c r="H37" s="32">
        <f>'02'!P4</f>
        <v>0</v>
      </c>
      <c r="I37" s="35">
        <f>'02'!Q4</f>
        <v>0</v>
      </c>
      <c r="J37" s="36">
        <f>'02'!R4</f>
        <v>0</v>
      </c>
      <c r="K37" s="37">
        <f>'02'!S4</f>
        <v>0</v>
      </c>
      <c r="L37" s="38">
        <f>'02'!T4</f>
        <v>0</v>
      </c>
      <c r="M37" s="36">
        <f>'02'!U4</f>
        <v>0</v>
      </c>
      <c r="N37" s="37">
        <f>'02'!V4</f>
        <v>0</v>
      </c>
      <c r="O37" s="39">
        <f>'02'!W4</f>
        <v>0</v>
      </c>
      <c r="P37" s="38">
        <f>'02'!X4</f>
        <v>0</v>
      </c>
      <c r="Q37" s="40">
        <f>'02'!Y4</f>
        <v>0</v>
      </c>
      <c r="R37" s="41">
        <f t="shared" si="4"/>
        <v>0</v>
      </c>
      <c r="S37" s="41">
        <f>IF(R37&lt;&gt;0,S33+R37,0)</f>
        <v>0</v>
      </c>
    </row>
    <row r="38" spans="1:19" x14ac:dyDescent="0.3">
      <c r="A38" s="368"/>
      <c r="B38" s="369"/>
      <c r="C38" s="248" t="s">
        <v>6</v>
      </c>
      <c r="D38" s="249">
        <f>'02'!L5</f>
        <v>0</v>
      </c>
      <c r="E38" s="250">
        <f>'02'!M5</f>
        <v>0</v>
      </c>
      <c r="F38" s="251">
        <f>'02'!N5</f>
        <v>0</v>
      </c>
      <c r="G38" s="252">
        <f>'02'!O5</f>
        <v>0</v>
      </c>
      <c r="H38" s="250">
        <f>'02'!P5</f>
        <v>0</v>
      </c>
      <c r="I38" s="253">
        <f>'02'!Q5</f>
        <v>0</v>
      </c>
      <c r="J38" s="249">
        <f>'02'!R5</f>
        <v>0</v>
      </c>
      <c r="K38" s="250">
        <f>'02'!S5</f>
        <v>0</v>
      </c>
      <c r="L38" s="251">
        <f>'02'!T5</f>
        <v>0</v>
      </c>
      <c r="M38" s="249">
        <f>'02'!U5</f>
        <v>0</v>
      </c>
      <c r="N38" s="250">
        <f>'02'!V5</f>
        <v>0</v>
      </c>
      <c r="O38" s="253">
        <f>'02'!W5</f>
        <v>0</v>
      </c>
      <c r="P38" s="251">
        <f>'02'!X5</f>
        <v>0</v>
      </c>
      <c r="Q38" s="254">
        <f>'02'!Y5</f>
        <v>0</v>
      </c>
      <c r="R38" s="254">
        <f t="shared" si="4"/>
        <v>0</v>
      </c>
      <c r="S38" s="254">
        <f>IF(R38&lt;&gt;0,S34+R38,0)</f>
        <v>0</v>
      </c>
    </row>
    <row r="39" spans="1:19" x14ac:dyDescent="0.3">
      <c r="A39" s="371" t="s">
        <v>20</v>
      </c>
      <c r="B39" s="372"/>
      <c r="C39" s="13" t="s">
        <v>111</v>
      </c>
      <c r="D39" s="42">
        <f>'03'!L2</f>
        <v>0</v>
      </c>
      <c r="E39" s="43">
        <f>'03'!M2</f>
        <v>0</v>
      </c>
      <c r="F39" s="44">
        <f>'03'!N2</f>
        <v>0</v>
      </c>
      <c r="G39" s="45">
        <f>'03'!O2</f>
        <v>0</v>
      </c>
      <c r="H39" s="43">
        <f>'03'!P2</f>
        <v>0</v>
      </c>
      <c r="I39" s="46">
        <f>'03'!Q2</f>
        <v>0</v>
      </c>
      <c r="J39" s="47">
        <f>'03'!R2</f>
        <v>0</v>
      </c>
      <c r="K39" s="48">
        <f>'03'!S2</f>
        <v>0</v>
      </c>
      <c r="L39" s="49">
        <f>'03'!T2</f>
        <v>0</v>
      </c>
      <c r="M39" s="47">
        <f>'03'!U2</f>
        <v>0</v>
      </c>
      <c r="N39" s="48">
        <f>'03'!V2</f>
        <v>0</v>
      </c>
      <c r="O39" s="50">
        <f>'03'!W2</f>
        <v>0</v>
      </c>
      <c r="P39" s="49">
        <f>'03'!X2</f>
        <v>0</v>
      </c>
      <c r="Q39" s="51">
        <f>'03'!Y2</f>
        <v>0</v>
      </c>
      <c r="R39" s="52">
        <f t="shared" si="4"/>
        <v>0</v>
      </c>
      <c r="S39" s="52">
        <f>IF(R39&lt;&gt;0,MAX(S31,S35)+R39,0)</f>
        <v>0</v>
      </c>
    </row>
    <row r="40" spans="1:19" x14ac:dyDescent="0.3">
      <c r="A40" s="366"/>
      <c r="B40" s="367"/>
      <c r="C40" s="12" t="s">
        <v>112</v>
      </c>
      <c r="D40" s="31">
        <f>'03'!L3</f>
        <v>0</v>
      </c>
      <c r="E40" s="32">
        <f>'03'!M3</f>
        <v>0</v>
      </c>
      <c r="F40" s="33">
        <f>'03'!N3</f>
        <v>0</v>
      </c>
      <c r="G40" s="34">
        <f>'03'!O3</f>
        <v>0</v>
      </c>
      <c r="H40" s="32">
        <f>'03'!P3</f>
        <v>0</v>
      </c>
      <c r="I40" s="35">
        <f>'03'!Q3</f>
        <v>0</v>
      </c>
      <c r="J40" s="36">
        <f>'03'!R3</f>
        <v>0</v>
      </c>
      <c r="K40" s="37">
        <f>'03'!S3</f>
        <v>0</v>
      </c>
      <c r="L40" s="38">
        <f>'03'!T3</f>
        <v>0</v>
      </c>
      <c r="M40" s="36">
        <f>'03'!U3</f>
        <v>0</v>
      </c>
      <c r="N40" s="37">
        <f>'03'!V3</f>
        <v>0</v>
      </c>
      <c r="O40" s="39">
        <f>'03'!W3</f>
        <v>0</v>
      </c>
      <c r="P40" s="38">
        <f>'03'!X3</f>
        <v>0</v>
      </c>
      <c r="Q40" s="40">
        <f>'03'!Y3</f>
        <v>0</v>
      </c>
      <c r="R40" s="41">
        <f t="shared" si="4"/>
        <v>0</v>
      </c>
      <c r="S40" s="41">
        <f>IF(R40&lt;&gt;0,MAX(S32,S36)+R40,0)</f>
        <v>0</v>
      </c>
    </row>
    <row r="41" spans="1:19" x14ac:dyDescent="0.3">
      <c r="A41" s="366"/>
      <c r="B41" s="367"/>
      <c r="C41" s="12" t="s">
        <v>115</v>
      </c>
      <c r="D41" s="31">
        <f>'03'!L4</f>
        <v>0</v>
      </c>
      <c r="E41" s="32">
        <f>'03'!M4</f>
        <v>0</v>
      </c>
      <c r="F41" s="33">
        <f>'03'!N4</f>
        <v>0</v>
      </c>
      <c r="G41" s="34">
        <f>'03'!O4</f>
        <v>0</v>
      </c>
      <c r="H41" s="32">
        <f>'03'!P4</f>
        <v>0</v>
      </c>
      <c r="I41" s="35">
        <f>'03'!Q4</f>
        <v>0</v>
      </c>
      <c r="J41" s="36">
        <f>'03'!R4</f>
        <v>0</v>
      </c>
      <c r="K41" s="37">
        <f>'03'!S4</f>
        <v>0</v>
      </c>
      <c r="L41" s="38">
        <f>'03'!T4</f>
        <v>0</v>
      </c>
      <c r="M41" s="36">
        <f>'03'!U4</f>
        <v>0</v>
      </c>
      <c r="N41" s="37">
        <f>'03'!V4</f>
        <v>0</v>
      </c>
      <c r="O41" s="39">
        <f>'03'!W4</f>
        <v>0</v>
      </c>
      <c r="P41" s="38">
        <f>'03'!X4</f>
        <v>0</v>
      </c>
      <c r="Q41" s="40">
        <f>'03'!Y4</f>
        <v>0</v>
      </c>
      <c r="R41" s="41">
        <f t="shared" si="4"/>
        <v>0</v>
      </c>
      <c r="S41" s="41">
        <f>IF(R41&lt;&gt;0,MAX(S33,S37)+R41,0)</f>
        <v>0</v>
      </c>
    </row>
    <row r="42" spans="1:19" x14ac:dyDescent="0.3">
      <c r="A42" s="368"/>
      <c r="B42" s="369"/>
      <c r="C42" s="248" t="s">
        <v>6</v>
      </c>
      <c r="D42" s="249">
        <f>'03'!L5</f>
        <v>0</v>
      </c>
      <c r="E42" s="250">
        <f>'03'!M5</f>
        <v>0</v>
      </c>
      <c r="F42" s="251">
        <f>'03'!N5</f>
        <v>0</v>
      </c>
      <c r="G42" s="252">
        <f>'03'!O5</f>
        <v>0</v>
      </c>
      <c r="H42" s="250">
        <f>'03'!P5</f>
        <v>0</v>
      </c>
      <c r="I42" s="253">
        <f>'03'!Q5</f>
        <v>0</v>
      </c>
      <c r="J42" s="249">
        <f>'03'!R5</f>
        <v>0</v>
      </c>
      <c r="K42" s="250">
        <f>'03'!S5</f>
        <v>0</v>
      </c>
      <c r="L42" s="251">
        <f>'03'!T5</f>
        <v>0</v>
      </c>
      <c r="M42" s="249">
        <f>'03'!U5</f>
        <v>0</v>
      </c>
      <c r="N42" s="250">
        <f>'03'!V5</f>
        <v>0</v>
      </c>
      <c r="O42" s="253">
        <f>'03'!W5</f>
        <v>0</v>
      </c>
      <c r="P42" s="251">
        <f>'03'!X5</f>
        <v>0</v>
      </c>
      <c r="Q42" s="254">
        <f>'03'!Y5</f>
        <v>0</v>
      </c>
      <c r="R42" s="254">
        <f t="shared" si="4"/>
        <v>0</v>
      </c>
      <c r="S42" s="254">
        <f>IF(R42&lt;&gt;0,MAX(S34,S38)+R42,0)</f>
        <v>0</v>
      </c>
    </row>
    <row r="43" spans="1:19" x14ac:dyDescent="0.3">
      <c r="A43" s="371" t="s">
        <v>21</v>
      </c>
      <c r="B43" s="372"/>
      <c r="C43" s="13" t="s">
        <v>111</v>
      </c>
      <c r="D43" s="42">
        <f>'04'!L2</f>
        <v>0</v>
      </c>
      <c r="E43" s="43">
        <f>'04'!M2</f>
        <v>0</v>
      </c>
      <c r="F43" s="44">
        <f>'04'!N2</f>
        <v>0</v>
      </c>
      <c r="G43" s="45">
        <f>'04'!O2</f>
        <v>0</v>
      </c>
      <c r="H43" s="43">
        <f>'04'!P2</f>
        <v>0</v>
      </c>
      <c r="I43" s="46">
        <f>'04'!Q2</f>
        <v>0</v>
      </c>
      <c r="J43" s="47">
        <f>'04'!R2</f>
        <v>0</v>
      </c>
      <c r="K43" s="48">
        <f>'04'!S2</f>
        <v>0</v>
      </c>
      <c r="L43" s="49">
        <f>'04'!T2</f>
        <v>0</v>
      </c>
      <c r="M43" s="47">
        <f>'04'!U2</f>
        <v>0</v>
      </c>
      <c r="N43" s="48">
        <f>'04'!V2</f>
        <v>0</v>
      </c>
      <c r="O43" s="50">
        <f>'04'!W2</f>
        <v>0</v>
      </c>
      <c r="P43" s="49">
        <f>'04'!X2</f>
        <v>0</v>
      </c>
      <c r="Q43" s="51">
        <f>'04'!Y2</f>
        <v>0</v>
      </c>
      <c r="R43" s="52">
        <f t="shared" si="4"/>
        <v>0</v>
      </c>
      <c r="S43" s="52">
        <f>IF(R43&lt;&gt;0,MAX(S31,S35,S39)+R43,0)</f>
        <v>0</v>
      </c>
    </row>
    <row r="44" spans="1:19" x14ac:dyDescent="0.3">
      <c r="A44" s="366"/>
      <c r="B44" s="367"/>
      <c r="C44" s="12" t="s">
        <v>112</v>
      </c>
      <c r="D44" s="31">
        <f>'04'!L3</f>
        <v>0</v>
      </c>
      <c r="E44" s="32">
        <f>'04'!M3</f>
        <v>0</v>
      </c>
      <c r="F44" s="33">
        <f>'04'!N3</f>
        <v>0</v>
      </c>
      <c r="G44" s="34">
        <f>'04'!O3</f>
        <v>0</v>
      </c>
      <c r="H44" s="32">
        <f>'04'!P3</f>
        <v>0</v>
      </c>
      <c r="I44" s="35">
        <f>'04'!Q3</f>
        <v>0</v>
      </c>
      <c r="J44" s="36">
        <f>'04'!R3</f>
        <v>0</v>
      </c>
      <c r="K44" s="37">
        <f>'04'!S3</f>
        <v>0</v>
      </c>
      <c r="L44" s="38">
        <f>'04'!T3</f>
        <v>0</v>
      </c>
      <c r="M44" s="36">
        <f>'04'!U3</f>
        <v>0</v>
      </c>
      <c r="N44" s="37">
        <f>'04'!V3</f>
        <v>0</v>
      </c>
      <c r="O44" s="39">
        <f>'04'!W3</f>
        <v>0</v>
      </c>
      <c r="P44" s="38">
        <f>'04'!X3</f>
        <v>0</v>
      </c>
      <c r="Q44" s="40">
        <f>'04'!Y3</f>
        <v>0</v>
      </c>
      <c r="R44" s="41">
        <f t="shared" si="4"/>
        <v>0</v>
      </c>
      <c r="S44" s="41">
        <f>IF(R44&lt;&gt;0,MAX(S32,S36,S40)+R44,0)</f>
        <v>0</v>
      </c>
    </row>
    <row r="45" spans="1:19" x14ac:dyDescent="0.3">
      <c r="A45" s="366"/>
      <c r="B45" s="367"/>
      <c r="C45" s="12" t="s">
        <v>115</v>
      </c>
      <c r="D45" s="31">
        <f>'04'!L4</f>
        <v>0</v>
      </c>
      <c r="E45" s="32">
        <f>'04'!M4</f>
        <v>0</v>
      </c>
      <c r="F45" s="33">
        <f>'04'!N4</f>
        <v>0</v>
      </c>
      <c r="G45" s="34">
        <f>'04'!O4</f>
        <v>0</v>
      </c>
      <c r="H45" s="32">
        <f>'04'!P4</f>
        <v>0</v>
      </c>
      <c r="I45" s="35">
        <f>'04'!Q4</f>
        <v>0</v>
      </c>
      <c r="J45" s="36">
        <f>'04'!R4</f>
        <v>0</v>
      </c>
      <c r="K45" s="37">
        <f>'04'!S4</f>
        <v>0</v>
      </c>
      <c r="L45" s="38">
        <f>'04'!T4</f>
        <v>0</v>
      </c>
      <c r="M45" s="36">
        <f>'04'!U4</f>
        <v>0</v>
      </c>
      <c r="N45" s="37">
        <f>'04'!V4</f>
        <v>0</v>
      </c>
      <c r="O45" s="39">
        <f>'04'!W4</f>
        <v>0</v>
      </c>
      <c r="P45" s="38">
        <f>'04'!X4</f>
        <v>0</v>
      </c>
      <c r="Q45" s="40">
        <f>'04'!Y4</f>
        <v>0</v>
      </c>
      <c r="R45" s="41">
        <f t="shared" si="4"/>
        <v>0</v>
      </c>
      <c r="S45" s="41">
        <f>IF(R45&lt;&gt;0,MAX(S33,S37,S41)+R45,0)</f>
        <v>0</v>
      </c>
    </row>
    <row r="46" spans="1:19" x14ac:dyDescent="0.3">
      <c r="A46" s="368"/>
      <c r="B46" s="369"/>
      <c r="C46" s="248" t="s">
        <v>6</v>
      </c>
      <c r="D46" s="249">
        <f>'04'!L5</f>
        <v>0</v>
      </c>
      <c r="E46" s="250">
        <f>'04'!M5</f>
        <v>0</v>
      </c>
      <c r="F46" s="251">
        <f>'04'!N5</f>
        <v>0</v>
      </c>
      <c r="G46" s="252">
        <f>'04'!O5</f>
        <v>0</v>
      </c>
      <c r="H46" s="250">
        <f>'04'!P5</f>
        <v>0</v>
      </c>
      <c r="I46" s="253">
        <f>'04'!Q5</f>
        <v>0</v>
      </c>
      <c r="J46" s="249">
        <f>'04'!R5</f>
        <v>0</v>
      </c>
      <c r="K46" s="250">
        <f>'04'!S5</f>
        <v>0</v>
      </c>
      <c r="L46" s="251">
        <f>'04'!T5</f>
        <v>0</v>
      </c>
      <c r="M46" s="249">
        <f>'04'!U5</f>
        <v>0</v>
      </c>
      <c r="N46" s="250">
        <f>'04'!V5</f>
        <v>0</v>
      </c>
      <c r="O46" s="253">
        <f>'04'!W5</f>
        <v>0</v>
      </c>
      <c r="P46" s="251">
        <f>'04'!X5</f>
        <v>0</v>
      </c>
      <c r="Q46" s="254">
        <f>'04'!Y5</f>
        <v>0</v>
      </c>
      <c r="R46" s="254">
        <f t="shared" si="4"/>
        <v>0</v>
      </c>
      <c r="S46" s="254">
        <f>IF(R46&lt;&gt;0,MAX(S34,S38,S42)+R46,0)</f>
        <v>0</v>
      </c>
    </row>
    <row r="47" spans="1:19" x14ac:dyDescent="0.3">
      <c r="A47" s="371" t="s">
        <v>22</v>
      </c>
      <c r="B47" s="372"/>
      <c r="C47" s="13" t="s">
        <v>111</v>
      </c>
      <c r="D47" s="42">
        <f>'05'!L2</f>
        <v>0</v>
      </c>
      <c r="E47" s="43">
        <f>'05'!M2</f>
        <v>0</v>
      </c>
      <c r="F47" s="44">
        <f>'05'!N2</f>
        <v>0</v>
      </c>
      <c r="G47" s="45">
        <f>'05'!O2</f>
        <v>0</v>
      </c>
      <c r="H47" s="43">
        <f>'05'!P2</f>
        <v>0</v>
      </c>
      <c r="I47" s="46">
        <f>'05'!Q2</f>
        <v>0</v>
      </c>
      <c r="J47" s="47">
        <f>'05'!R2</f>
        <v>0</v>
      </c>
      <c r="K47" s="48">
        <f>'05'!S2</f>
        <v>0</v>
      </c>
      <c r="L47" s="49">
        <f>'05'!T2</f>
        <v>0</v>
      </c>
      <c r="M47" s="47">
        <f>'05'!U2</f>
        <v>0</v>
      </c>
      <c r="N47" s="48">
        <f>'05'!V2</f>
        <v>0</v>
      </c>
      <c r="O47" s="50">
        <f>'05'!W2</f>
        <v>0</v>
      </c>
      <c r="P47" s="49">
        <f>'05'!X2</f>
        <v>0</v>
      </c>
      <c r="Q47" s="51">
        <f>'05'!Y2</f>
        <v>0</v>
      </c>
      <c r="R47" s="52">
        <f t="shared" si="4"/>
        <v>0</v>
      </c>
      <c r="S47" s="52">
        <f>IF(R47&lt;&gt;0,MAX(S31,S35,S39,S43)+R47,0)</f>
        <v>0</v>
      </c>
    </row>
    <row r="48" spans="1:19" x14ac:dyDescent="0.3">
      <c r="A48" s="366"/>
      <c r="B48" s="367"/>
      <c r="C48" s="12" t="s">
        <v>112</v>
      </c>
      <c r="D48" s="31">
        <f>'05'!L3</f>
        <v>0</v>
      </c>
      <c r="E48" s="32">
        <f>'05'!M3</f>
        <v>0</v>
      </c>
      <c r="F48" s="33">
        <f>'05'!N3</f>
        <v>0</v>
      </c>
      <c r="G48" s="34">
        <f>'05'!O3</f>
        <v>0</v>
      </c>
      <c r="H48" s="32">
        <f>'05'!P3</f>
        <v>0</v>
      </c>
      <c r="I48" s="35">
        <f>'05'!Q3</f>
        <v>0</v>
      </c>
      <c r="J48" s="36">
        <f>'05'!R3</f>
        <v>0</v>
      </c>
      <c r="K48" s="37">
        <f>'05'!S3</f>
        <v>0</v>
      </c>
      <c r="L48" s="38">
        <f>'05'!T3</f>
        <v>0</v>
      </c>
      <c r="M48" s="36">
        <f>'05'!U3</f>
        <v>0</v>
      </c>
      <c r="N48" s="37">
        <f>'05'!V3</f>
        <v>0</v>
      </c>
      <c r="O48" s="39">
        <f>'05'!W3</f>
        <v>0</v>
      </c>
      <c r="P48" s="38">
        <f>'05'!X3</f>
        <v>0</v>
      </c>
      <c r="Q48" s="40">
        <f>'05'!Y3</f>
        <v>0</v>
      </c>
      <c r="R48" s="41">
        <f t="shared" si="4"/>
        <v>0</v>
      </c>
      <c r="S48" s="41">
        <f>IF(R48&lt;&gt;0,MAX(S32,S36,S40,S44)+R48,0)</f>
        <v>0</v>
      </c>
    </row>
    <row r="49" spans="1:19" x14ac:dyDescent="0.3">
      <c r="A49" s="366"/>
      <c r="B49" s="367"/>
      <c r="C49" s="12" t="s">
        <v>115</v>
      </c>
      <c r="D49" s="31">
        <f>'05'!L4</f>
        <v>0</v>
      </c>
      <c r="E49" s="32">
        <f>'05'!M4</f>
        <v>0</v>
      </c>
      <c r="F49" s="33">
        <f>'05'!N4</f>
        <v>0</v>
      </c>
      <c r="G49" s="34">
        <f>'05'!O4</f>
        <v>0</v>
      </c>
      <c r="H49" s="32">
        <f>'05'!P4</f>
        <v>0</v>
      </c>
      <c r="I49" s="35">
        <f>'05'!Q4</f>
        <v>0</v>
      </c>
      <c r="J49" s="36">
        <f>'05'!R4</f>
        <v>0</v>
      </c>
      <c r="K49" s="37">
        <f>'05'!S4</f>
        <v>0</v>
      </c>
      <c r="L49" s="38">
        <f>'05'!T4</f>
        <v>0</v>
      </c>
      <c r="M49" s="36">
        <f>'05'!U4</f>
        <v>0</v>
      </c>
      <c r="N49" s="37">
        <f>'05'!V4</f>
        <v>0</v>
      </c>
      <c r="O49" s="39">
        <f>'05'!W4</f>
        <v>0</v>
      </c>
      <c r="P49" s="38">
        <f>'05'!X4</f>
        <v>0</v>
      </c>
      <c r="Q49" s="40">
        <f>'05'!Y4</f>
        <v>0</v>
      </c>
      <c r="R49" s="41">
        <f t="shared" si="4"/>
        <v>0</v>
      </c>
      <c r="S49" s="41">
        <f>IF(R49&lt;&gt;0,MAX(S33,S37,S41,S45)+R49,0)</f>
        <v>0</v>
      </c>
    </row>
    <row r="50" spans="1:19" x14ac:dyDescent="0.3">
      <c r="A50" s="368"/>
      <c r="B50" s="369"/>
      <c r="C50" s="248" t="s">
        <v>6</v>
      </c>
      <c r="D50" s="249">
        <f>'05'!L5</f>
        <v>0</v>
      </c>
      <c r="E50" s="250">
        <f>'05'!M5</f>
        <v>0</v>
      </c>
      <c r="F50" s="251">
        <f>'05'!N5</f>
        <v>0</v>
      </c>
      <c r="G50" s="252">
        <f>'05'!O5</f>
        <v>0</v>
      </c>
      <c r="H50" s="250">
        <f>'05'!P5</f>
        <v>0</v>
      </c>
      <c r="I50" s="253">
        <f>'05'!Q5</f>
        <v>0</v>
      </c>
      <c r="J50" s="249">
        <f>'05'!R5</f>
        <v>0</v>
      </c>
      <c r="K50" s="250">
        <f>'05'!S5</f>
        <v>0</v>
      </c>
      <c r="L50" s="251">
        <f>'05'!T5</f>
        <v>0</v>
      </c>
      <c r="M50" s="249">
        <f>'05'!U5</f>
        <v>0</v>
      </c>
      <c r="N50" s="250">
        <f>'05'!V5</f>
        <v>0</v>
      </c>
      <c r="O50" s="253">
        <f>'05'!W5</f>
        <v>0</v>
      </c>
      <c r="P50" s="251">
        <f>'05'!X5</f>
        <v>0</v>
      </c>
      <c r="Q50" s="254">
        <f>'05'!Y5</f>
        <v>0</v>
      </c>
      <c r="R50" s="254">
        <f t="shared" si="4"/>
        <v>0</v>
      </c>
      <c r="S50" s="254">
        <f>IF(R50&lt;&gt;0,MAX(S34,S38,S42,S46)+R50,0)</f>
        <v>0</v>
      </c>
    </row>
    <row r="51" spans="1:19" x14ac:dyDescent="0.3">
      <c r="A51" s="371" t="s">
        <v>23</v>
      </c>
      <c r="B51" s="372"/>
      <c r="C51" s="13" t="s">
        <v>111</v>
      </c>
      <c r="D51" s="42">
        <f>'06'!L2</f>
        <v>0</v>
      </c>
      <c r="E51" s="43">
        <f>'06'!M2</f>
        <v>0</v>
      </c>
      <c r="F51" s="44">
        <f>'06'!N2</f>
        <v>0</v>
      </c>
      <c r="G51" s="45">
        <f>'06'!O2</f>
        <v>0</v>
      </c>
      <c r="H51" s="43">
        <f>'06'!P2</f>
        <v>0</v>
      </c>
      <c r="I51" s="46">
        <f>'06'!Q2</f>
        <v>0</v>
      </c>
      <c r="J51" s="47">
        <f>'06'!R2</f>
        <v>0</v>
      </c>
      <c r="K51" s="48">
        <f>'06'!S2</f>
        <v>0</v>
      </c>
      <c r="L51" s="49">
        <f>'06'!T2</f>
        <v>0</v>
      </c>
      <c r="M51" s="47">
        <f>'06'!U2</f>
        <v>0</v>
      </c>
      <c r="N51" s="48">
        <f>'06'!V2</f>
        <v>0</v>
      </c>
      <c r="O51" s="50">
        <f>'06'!W2</f>
        <v>0</v>
      </c>
      <c r="P51" s="49">
        <f>'06'!X2</f>
        <v>0</v>
      </c>
      <c r="Q51" s="51">
        <f>'06'!Y2</f>
        <v>0</v>
      </c>
      <c r="R51" s="52">
        <f t="shared" si="4"/>
        <v>0</v>
      </c>
      <c r="S51" s="52">
        <f>IF(R51&lt;&gt;0,MAX(S31,S35,S39,S43,S47)+R51,0)</f>
        <v>0</v>
      </c>
    </row>
    <row r="52" spans="1:19" x14ac:dyDescent="0.3">
      <c r="A52" s="366"/>
      <c r="B52" s="367"/>
      <c r="C52" s="12" t="s">
        <v>112</v>
      </c>
      <c r="D52" s="31">
        <f>'06'!L3</f>
        <v>0</v>
      </c>
      <c r="E52" s="32">
        <f>'06'!M3</f>
        <v>0</v>
      </c>
      <c r="F52" s="33">
        <f>'06'!N3</f>
        <v>0</v>
      </c>
      <c r="G52" s="34">
        <f>'06'!O3</f>
        <v>0</v>
      </c>
      <c r="H52" s="32">
        <f>'06'!P3</f>
        <v>0</v>
      </c>
      <c r="I52" s="35">
        <f>'06'!Q3</f>
        <v>0</v>
      </c>
      <c r="J52" s="36">
        <f>'06'!R3</f>
        <v>0</v>
      </c>
      <c r="K52" s="37">
        <f>'06'!S3</f>
        <v>0</v>
      </c>
      <c r="L52" s="38">
        <f>'06'!T3</f>
        <v>0</v>
      </c>
      <c r="M52" s="36">
        <f>'06'!U3</f>
        <v>0</v>
      </c>
      <c r="N52" s="37">
        <f>'06'!V3</f>
        <v>0</v>
      </c>
      <c r="O52" s="39">
        <f>'06'!W3</f>
        <v>0</v>
      </c>
      <c r="P52" s="38">
        <f>'06'!X3</f>
        <v>0</v>
      </c>
      <c r="Q52" s="40">
        <f>'06'!Y3</f>
        <v>0</v>
      </c>
      <c r="R52" s="41">
        <f t="shared" si="4"/>
        <v>0</v>
      </c>
      <c r="S52" s="41">
        <f>IF(R52&lt;&gt;0,MAX(S32,S36,S40,S44,S48)+R52,0)</f>
        <v>0</v>
      </c>
    </row>
    <row r="53" spans="1:19" x14ac:dyDescent="0.3">
      <c r="A53" s="366"/>
      <c r="B53" s="367"/>
      <c r="C53" s="12" t="s">
        <v>115</v>
      </c>
      <c r="D53" s="31">
        <f>'06'!L4</f>
        <v>0</v>
      </c>
      <c r="E53" s="32">
        <f>'06'!M4</f>
        <v>0</v>
      </c>
      <c r="F53" s="33">
        <f>'06'!N4</f>
        <v>0</v>
      </c>
      <c r="G53" s="34">
        <f>'06'!O4</f>
        <v>0</v>
      </c>
      <c r="H53" s="32">
        <f>'06'!P4</f>
        <v>0</v>
      </c>
      <c r="I53" s="35">
        <f>'06'!Q4</f>
        <v>0</v>
      </c>
      <c r="J53" s="36">
        <f>'06'!R4</f>
        <v>0</v>
      </c>
      <c r="K53" s="37">
        <f>'06'!S4</f>
        <v>0</v>
      </c>
      <c r="L53" s="38">
        <f>'06'!T4</f>
        <v>0</v>
      </c>
      <c r="M53" s="36">
        <f>'06'!U4</f>
        <v>0</v>
      </c>
      <c r="N53" s="37">
        <f>'06'!V4</f>
        <v>0</v>
      </c>
      <c r="O53" s="39">
        <f>'06'!W4</f>
        <v>0</v>
      </c>
      <c r="P53" s="38">
        <f>'06'!X4</f>
        <v>0</v>
      </c>
      <c r="Q53" s="40">
        <f>'06'!Y4</f>
        <v>0</v>
      </c>
      <c r="R53" s="41">
        <f t="shared" si="4"/>
        <v>0</v>
      </c>
      <c r="S53" s="41">
        <f>IF(R53&lt;&gt;0,MAX(S33,S37,S41,S45,S49)+R53,0)</f>
        <v>0</v>
      </c>
    </row>
    <row r="54" spans="1:19" ht="15" thickBot="1" x14ac:dyDescent="0.35">
      <c r="A54" s="373"/>
      <c r="B54" s="374"/>
      <c r="C54" s="255" t="s">
        <v>6</v>
      </c>
      <c r="D54" s="256">
        <f>'06'!L5</f>
        <v>0</v>
      </c>
      <c r="E54" s="257">
        <f>'06'!M5</f>
        <v>0</v>
      </c>
      <c r="F54" s="258">
        <f>'06'!N5</f>
        <v>0</v>
      </c>
      <c r="G54" s="259">
        <f>'06'!O5</f>
        <v>0</v>
      </c>
      <c r="H54" s="257">
        <f>'06'!P5</f>
        <v>0</v>
      </c>
      <c r="I54" s="260">
        <f>'06'!Q5</f>
        <v>0</v>
      </c>
      <c r="J54" s="256">
        <f>'06'!R5</f>
        <v>0</v>
      </c>
      <c r="K54" s="257">
        <f>'06'!S5</f>
        <v>0</v>
      </c>
      <c r="L54" s="258">
        <f>'06'!T5</f>
        <v>0</v>
      </c>
      <c r="M54" s="256">
        <f>'06'!U5</f>
        <v>0</v>
      </c>
      <c r="N54" s="257">
        <f>'06'!V5</f>
        <v>0</v>
      </c>
      <c r="O54" s="260">
        <f>'06'!W5</f>
        <v>0</v>
      </c>
      <c r="P54" s="258">
        <f>'06'!X5</f>
        <v>0</v>
      </c>
      <c r="Q54" s="261">
        <f>'06'!Y5</f>
        <v>0</v>
      </c>
      <c r="R54" s="261">
        <f t="shared" si="4"/>
        <v>0</v>
      </c>
      <c r="S54" s="261">
        <f>IF(R54&lt;&gt;0,MAX(S34,S38,S42,S46,S50)+R54,0)</f>
        <v>0</v>
      </c>
    </row>
    <row r="55" spans="1:19" ht="15" thickTop="1" x14ac:dyDescent="0.3">
      <c r="A55" s="364" t="s">
        <v>24</v>
      </c>
      <c r="B55" s="365"/>
      <c r="C55" s="11" t="s">
        <v>111</v>
      </c>
      <c r="D55" s="20">
        <f>'07'!L2</f>
        <v>0</v>
      </c>
      <c r="E55" s="21">
        <f>'07'!M2</f>
        <v>0</v>
      </c>
      <c r="F55" s="22">
        <f>'07'!N2</f>
        <v>0</v>
      </c>
      <c r="G55" s="23">
        <f>'07'!O2</f>
        <v>0</v>
      </c>
      <c r="H55" s="21">
        <f>'07'!P2</f>
        <v>0</v>
      </c>
      <c r="I55" s="24">
        <f>'07'!Q2</f>
        <v>0</v>
      </c>
      <c r="J55" s="25">
        <f>'07'!R2</f>
        <v>0</v>
      </c>
      <c r="K55" s="26">
        <f>'07'!S2</f>
        <v>0</v>
      </c>
      <c r="L55" s="27">
        <f>'07'!T2</f>
        <v>0</v>
      </c>
      <c r="M55" s="25">
        <f>'07'!U2</f>
        <v>0</v>
      </c>
      <c r="N55" s="26">
        <f>'07'!V2</f>
        <v>0</v>
      </c>
      <c r="O55" s="28">
        <f>'07'!W2</f>
        <v>0</v>
      </c>
      <c r="P55" s="27">
        <f>'07'!X2</f>
        <v>0</v>
      </c>
      <c r="Q55" s="29">
        <f>'07'!Y2</f>
        <v>0</v>
      </c>
      <c r="R55" s="30">
        <f t="shared" si="4"/>
        <v>0</v>
      </c>
      <c r="S55" s="30">
        <f>IF(R55&lt;&gt;0,MAX(S31,S35,S39,S43,S47,S51)+R55,0)</f>
        <v>0</v>
      </c>
    </row>
    <row r="56" spans="1:19" x14ac:dyDescent="0.3">
      <c r="A56" s="366"/>
      <c r="B56" s="367"/>
      <c r="C56" s="12" t="s">
        <v>112</v>
      </c>
      <c r="D56" s="31">
        <f>'07'!L3</f>
        <v>0</v>
      </c>
      <c r="E56" s="32">
        <f>'07'!M3</f>
        <v>0</v>
      </c>
      <c r="F56" s="33">
        <f>'07'!N3</f>
        <v>0</v>
      </c>
      <c r="G56" s="34">
        <f>'07'!O3</f>
        <v>0</v>
      </c>
      <c r="H56" s="32">
        <f>'07'!P3</f>
        <v>0</v>
      </c>
      <c r="I56" s="35">
        <f>'07'!Q3</f>
        <v>0</v>
      </c>
      <c r="J56" s="36">
        <f>'07'!R3</f>
        <v>0</v>
      </c>
      <c r="K56" s="37">
        <f>'07'!S3</f>
        <v>0</v>
      </c>
      <c r="L56" s="38">
        <f>'07'!T3</f>
        <v>0</v>
      </c>
      <c r="M56" s="36">
        <f>'07'!U3</f>
        <v>0</v>
      </c>
      <c r="N56" s="37">
        <f>'07'!V3</f>
        <v>0</v>
      </c>
      <c r="O56" s="39">
        <f>'07'!W3</f>
        <v>0</v>
      </c>
      <c r="P56" s="38">
        <f>'07'!X3</f>
        <v>0</v>
      </c>
      <c r="Q56" s="40">
        <f>'07'!Y3</f>
        <v>0</v>
      </c>
      <c r="R56" s="41">
        <f t="shared" si="4"/>
        <v>0</v>
      </c>
      <c r="S56" s="41">
        <f>IF(R56&lt;&gt;0,MAX(S32,S36,S40,S44,S48,S52)+R56,0)</f>
        <v>0</v>
      </c>
    </row>
    <row r="57" spans="1:19" x14ac:dyDescent="0.3">
      <c r="A57" s="366"/>
      <c r="B57" s="367"/>
      <c r="C57" s="12" t="s">
        <v>115</v>
      </c>
      <c r="D57" s="31">
        <f>'07'!L4</f>
        <v>0</v>
      </c>
      <c r="E57" s="32">
        <f>'07'!M4</f>
        <v>0</v>
      </c>
      <c r="F57" s="33">
        <f>'07'!N4</f>
        <v>0</v>
      </c>
      <c r="G57" s="34">
        <f>'07'!O4</f>
        <v>0</v>
      </c>
      <c r="H57" s="32">
        <f>'07'!P4</f>
        <v>0</v>
      </c>
      <c r="I57" s="35">
        <f>'07'!Q4</f>
        <v>0</v>
      </c>
      <c r="J57" s="36">
        <f>'07'!R4</f>
        <v>0</v>
      </c>
      <c r="K57" s="37">
        <f>'07'!S4</f>
        <v>0</v>
      </c>
      <c r="L57" s="38">
        <f>'07'!T4</f>
        <v>0</v>
      </c>
      <c r="M57" s="36">
        <f>'07'!U4</f>
        <v>0</v>
      </c>
      <c r="N57" s="37">
        <f>'07'!V4</f>
        <v>0</v>
      </c>
      <c r="O57" s="39">
        <f>'07'!W4</f>
        <v>0</v>
      </c>
      <c r="P57" s="38">
        <f>'07'!X4</f>
        <v>0</v>
      </c>
      <c r="Q57" s="40">
        <f>'07'!Y4</f>
        <v>0</v>
      </c>
      <c r="R57" s="41">
        <f t="shared" si="4"/>
        <v>0</v>
      </c>
      <c r="S57" s="41">
        <f>IF(R57&lt;&gt;0,MAX(S33,S37,S41,S45,S49,S53)+R57,0)</f>
        <v>0</v>
      </c>
    </row>
    <row r="58" spans="1:19" x14ac:dyDescent="0.3">
      <c r="A58" s="368"/>
      <c r="B58" s="369"/>
      <c r="C58" s="248" t="s">
        <v>6</v>
      </c>
      <c r="D58" s="249">
        <f>'07'!L5</f>
        <v>0</v>
      </c>
      <c r="E58" s="250">
        <f>'07'!M5</f>
        <v>0</v>
      </c>
      <c r="F58" s="251">
        <f>'07'!N5</f>
        <v>0</v>
      </c>
      <c r="G58" s="252">
        <f>'07'!O5</f>
        <v>0</v>
      </c>
      <c r="H58" s="250">
        <f>'07'!P5</f>
        <v>0</v>
      </c>
      <c r="I58" s="253">
        <f>'07'!Q5</f>
        <v>0</v>
      </c>
      <c r="J58" s="249">
        <f>'07'!R5</f>
        <v>0</v>
      </c>
      <c r="K58" s="250">
        <f>'07'!S5</f>
        <v>0</v>
      </c>
      <c r="L58" s="251">
        <f>'07'!T5</f>
        <v>0</v>
      </c>
      <c r="M58" s="249">
        <f>'07'!U5</f>
        <v>0</v>
      </c>
      <c r="N58" s="250">
        <f>'07'!V5</f>
        <v>0</v>
      </c>
      <c r="O58" s="253">
        <f>'07'!W5</f>
        <v>0</v>
      </c>
      <c r="P58" s="251">
        <f>'07'!X5</f>
        <v>0</v>
      </c>
      <c r="Q58" s="254">
        <f>'07'!Y5</f>
        <v>0</v>
      </c>
      <c r="R58" s="254">
        <f t="shared" si="4"/>
        <v>0</v>
      </c>
      <c r="S58" s="254">
        <f>IF(R58&lt;&gt;0,MAX(S34,S38,S42,S46,S50,S54)+R58,0)</f>
        <v>0</v>
      </c>
    </row>
    <row r="59" spans="1:19" x14ac:dyDescent="0.3">
      <c r="A59" s="371" t="s">
        <v>25</v>
      </c>
      <c r="B59" s="372"/>
      <c r="C59" s="13" t="s">
        <v>111</v>
      </c>
      <c r="D59" s="42">
        <f>'08'!L2</f>
        <v>0</v>
      </c>
      <c r="E59" s="43">
        <f>'08'!M2</f>
        <v>0</v>
      </c>
      <c r="F59" s="44">
        <f>'08'!N2</f>
        <v>0</v>
      </c>
      <c r="G59" s="45">
        <f>'08'!O2</f>
        <v>0</v>
      </c>
      <c r="H59" s="43">
        <f>'08'!P2</f>
        <v>0</v>
      </c>
      <c r="I59" s="46">
        <f>'08'!Q2</f>
        <v>0</v>
      </c>
      <c r="J59" s="47">
        <f>'08'!R2</f>
        <v>0</v>
      </c>
      <c r="K59" s="48">
        <f>'08'!S2</f>
        <v>0</v>
      </c>
      <c r="L59" s="49">
        <f>'08'!T2</f>
        <v>0</v>
      </c>
      <c r="M59" s="47">
        <f>'08'!U2</f>
        <v>0</v>
      </c>
      <c r="N59" s="48">
        <f>'08'!V2</f>
        <v>0</v>
      </c>
      <c r="O59" s="50">
        <f>'08'!W2</f>
        <v>0</v>
      </c>
      <c r="P59" s="49">
        <f>'08'!X2</f>
        <v>0</v>
      </c>
      <c r="Q59" s="51">
        <f>'08'!Y2</f>
        <v>0</v>
      </c>
      <c r="R59" s="52">
        <f t="shared" si="4"/>
        <v>0</v>
      </c>
      <c r="S59" s="52">
        <f>IF(R59&lt;&gt;0,MAX(S31,S35,S39,S43,S47,S51,S55)+R59,0)</f>
        <v>0</v>
      </c>
    </row>
    <row r="60" spans="1:19" x14ac:dyDescent="0.3">
      <c r="A60" s="366"/>
      <c r="B60" s="367"/>
      <c r="C60" s="12" t="s">
        <v>112</v>
      </c>
      <c r="D60" s="31">
        <f>'08'!L3</f>
        <v>0</v>
      </c>
      <c r="E60" s="32">
        <f>'08'!M3</f>
        <v>0</v>
      </c>
      <c r="F60" s="33">
        <f>'08'!N3</f>
        <v>0</v>
      </c>
      <c r="G60" s="34">
        <f>'08'!O3</f>
        <v>0</v>
      </c>
      <c r="H60" s="32">
        <f>'08'!P3</f>
        <v>0</v>
      </c>
      <c r="I60" s="35">
        <f>'08'!Q3</f>
        <v>0</v>
      </c>
      <c r="J60" s="36">
        <f>'08'!R3</f>
        <v>0</v>
      </c>
      <c r="K60" s="37">
        <f>'08'!S3</f>
        <v>0</v>
      </c>
      <c r="L60" s="38">
        <f>'08'!T3</f>
        <v>0</v>
      </c>
      <c r="M60" s="36">
        <f>'08'!U3</f>
        <v>0</v>
      </c>
      <c r="N60" s="37">
        <f>'08'!V3</f>
        <v>0</v>
      </c>
      <c r="O60" s="39">
        <f>'08'!W3</f>
        <v>0</v>
      </c>
      <c r="P60" s="38">
        <f>'08'!X3</f>
        <v>0</v>
      </c>
      <c r="Q60" s="40">
        <f>'08'!Y3</f>
        <v>0</v>
      </c>
      <c r="R60" s="41">
        <f t="shared" si="4"/>
        <v>0</v>
      </c>
      <c r="S60" s="41">
        <f>IF(R60&lt;&gt;0,MAX(S32,S36,S40,S44,S48,S52,S56)+R60,0)</f>
        <v>0</v>
      </c>
    </row>
    <row r="61" spans="1:19" x14ac:dyDescent="0.3">
      <c r="A61" s="366"/>
      <c r="B61" s="367"/>
      <c r="C61" s="12" t="s">
        <v>115</v>
      </c>
      <c r="D61" s="31">
        <f>'08'!L4</f>
        <v>0</v>
      </c>
      <c r="E61" s="32">
        <f>'08'!M4</f>
        <v>0</v>
      </c>
      <c r="F61" s="33">
        <f>'08'!N4</f>
        <v>0</v>
      </c>
      <c r="G61" s="34">
        <f>'08'!O4</f>
        <v>0</v>
      </c>
      <c r="H61" s="32">
        <f>'08'!P4</f>
        <v>0</v>
      </c>
      <c r="I61" s="35">
        <f>'08'!Q4</f>
        <v>0</v>
      </c>
      <c r="J61" s="36">
        <f>'08'!R4</f>
        <v>0</v>
      </c>
      <c r="K61" s="37">
        <f>'08'!S4</f>
        <v>0</v>
      </c>
      <c r="L61" s="38">
        <f>'08'!T4</f>
        <v>0</v>
      </c>
      <c r="M61" s="36">
        <f>'08'!U4</f>
        <v>0</v>
      </c>
      <c r="N61" s="37">
        <f>'08'!V4</f>
        <v>0</v>
      </c>
      <c r="O61" s="39">
        <f>'08'!W4</f>
        <v>0</v>
      </c>
      <c r="P61" s="38">
        <f>'08'!X4</f>
        <v>0</v>
      </c>
      <c r="Q61" s="40">
        <f>'08'!Y4</f>
        <v>0</v>
      </c>
      <c r="R61" s="41">
        <f t="shared" si="4"/>
        <v>0</v>
      </c>
      <c r="S61" s="41">
        <f>IF(R61&lt;&gt;0,MAX(S33,S37,S41,S45,S49,S53,S57)+R61,0)</f>
        <v>0</v>
      </c>
    </row>
    <row r="62" spans="1:19" ht="15" thickBot="1" x14ac:dyDescent="0.35">
      <c r="A62" s="373"/>
      <c r="B62" s="374"/>
      <c r="C62" s="255" t="s">
        <v>6</v>
      </c>
      <c r="D62" s="256">
        <f>'08'!L5</f>
        <v>0</v>
      </c>
      <c r="E62" s="257">
        <f>'08'!M5</f>
        <v>0</v>
      </c>
      <c r="F62" s="258">
        <f>'08'!N5</f>
        <v>0</v>
      </c>
      <c r="G62" s="259">
        <f>'08'!O5</f>
        <v>0</v>
      </c>
      <c r="H62" s="257">
        <f>'08'!P5</f>
        <v>0</v>
      </c>
      <c r="I62" s="260">
        <f>'08'!Q5</f>
        <v>0</v>
      </c>
      <c r="J62" s="256">
        <f>'08'!R5</f>
        <v>0</v>
      </c>
      <c r="K62" s="257">
        <f>'08'!S5</f>
        <v>0</v>
      </c>
      <c r="L62" s="258">
        <f>'08'!T5</f>
        <v>0</v>
      </c>
      <c r="M62" s="256">
        <f>'08'!U5</f>
        <v>0</v>
      </c>
      <c r="N62" s="257">
        <f>'08'!V5</f>
        <v>0</v>
      </c>
      <c r="O62" s="260">
        <f>'08'!W5</f>
        <v>0</v>
      </c>
      <c r="P62" s="258">
        <f>'08'!X5</f>
        <v>0</v>
      </c>
      <c r="Q62" s="261">
        <f>'08'!Y5</f>
        <v>0</v>
      </c>
      <c r="R62" s="261">
        <f t="shared" si="4"/>
        <v>0</v>
      </c>
      <c r="S62" s="261">
        <f>IF(R62&lt;&gt;0,MAX(S34,S38,S42,S46,S50,S54,S58)+R62,0)</f>
        <v>0</v>
      </c>
    </row>
    <row r="63" spans="1:19" ht="13.5" customHeight="1" thickTop="1" x14ac:dyDescent="0.3">
      <c r="A63" s="383" t="s">
        <v>28</v>
      </c>
      <c r="B63" s="375" t="s">
        <v>7</v>
      </c>
      <c r="C63" s="11" t="s">
        <v>111</v>
      </c>
      <c r="D63" s="53">
        <f>SUMIF(весна!$A$5:$A$178,1,весна!J$5:J$178)</f>
        <v>0</v>
      </c>
      <c r="E63" s="54">
        <f>SUMIF(весна!$A$5:$A$178,1,весна!K$5:K$178)</f>
        <v>0</v>
      </c>
      <c r="F63" s="55">
        <f>SUMIF(весна!$A$5:$A$178,1,весна!L$5:L$178)</f>
        <v>0</v>
      </c>
      <c r="G63" s="56">
        <f>SUMIF(весна!$A$5:$A$178,1,весна!M$5:M$178)</f>
        <v>0</v>
      </c>
      <c r="H63" s="54">
        <f>SUMIF(весна!$A$5:$A$178,1,весна!N$5:N$178)</f>
        <v>0</v>
      </c>
      <c r="I63" s="57">
        <f>SUMIF(весна!$A$5:$A$178,1,весна!O$5:O$178)</f>
        <v>0</v>
      </c>
      <c r="J63" s="53">
        <f>SUMIF(весна!$A$5:$A$178,1,весна!P$5:P$178)</f>
        <v>0</v>
      </c>
      <c r="K63" s="54">
        <f>SUMIF(весна!$A$5:$A$178,1,весна!Q$5:Q$178)</f>
        <v>0</v>
      </c>
      <c r="L63" s="55">
        <f>SUMIF(весна!$A$5:$A$178,1,весна!R$5:R$178)</f>
        <v>0</v>
      </c>
      <c r="M63" s="53">
        <f>SUMIF(весна!$A$5:$A$178,1,весна!S$5:S$178)</f>
        <v>0</v>
      </c>
      <c r="N63" s="54">
        <f>SUMIF(весна!$A$5:$A$178,1,весна!T$5:T$178)</f>
        <v>0</v>
      </c>
      <c r="O63" s="57">
        <f>SUMIF(весна!$A$5:$A$178,1,весна!U$5:U$178)</f>
        <v>0</v>
      </c>
      <c r="P63" s="55">
        <f>SUMIF(весна!$A$5:$A$178,1,весна!V$5:V$178)</f>
        <v>0</v>
      </c>
      <c r="Q63" s="30">
        <f>SUMIF(весна!$A$5:$A$178,1,весна!W$5:W$178)</f>
        <v>0</v>
      </c>
      <c r="R63" s="377">
        <f>Утв_План</f>
        <v>0</v>
      </c>
      <c r="S63" s="30">
        <f t="shared" ref="S63:S78" si="5">SUM(D63:Q63)</f>
        <v>0</v>
      </c>
    </row>
    <row r="64" spans="1:19" x14ac:dyDescent="0.3">
      <c r="A64" s="384"/>
      <c r="B64" s="376"/>
      <c r="C64" s="12" t="s">
        <v>112</v>
      </c>
      <c r="D64" s="58">
        <f>SUMIF(весна!$A$5:$A$178,2,весна!J$5:J$178)</f>
        <v>0</v>
      </c>
      <c r="E64" s="59">
        <f>SUMIF(весна!$A$5:$A$178,2,весна!K$5:K$178)</f>
        <v>0</v>
      </c>
      <c r="F64" s="60">
        <f>SUMIF(весна!$A$5:$A$178,2,весна!L$5:L$178)</f>
        <v>0</v>
      </c>
      <c r="G64" s="61">
        <f>SUMIF(весна!$A$5:$A$178,2,весна!M$5:M$178)</f>
        <v>0</v>
      </c>
      <c r="H64" s="59">
        <f>SUMIF(весна!$A$5:$A$178,2,весна!N$5:N$178)</f>
        <v>0</v>
      </c>
      <c r="I64" s="62">
        <f>SUMIF(весна!$A$5:$A$178,2,весна!O$5:O$178)</f>
        <v>0</v>
      </c>
      <c r="J64" s="58">
        <f>SUMIF(весна!$A$5:$A$178,2,весна!P$5:P$178)</f>
        <v>0</v>
      </c>
      <c r="K64" s="59">
        <f>SUMIF(весна!$A$5:$A$178,2,весна!Q$5:Q$178)</f>
        <v>0</v>
      </c>
      <c r="L64" s="60">
        <f>SUMIF(весна!$A$5:$A$178,2,весна!R$5:R$178)</f>
        <v>0</v>
      </c>
      <c r="M64" s="58">
        <f>SUMIF(весна!$A$5:$A$178,2,весна!S$5:S$178)</f>
        <v>0</v>
      </c>
      <c r="N64" s="59">
        <f>SUMIF(весна!$A$5:$A$178,2,весна!T$5:T$178)</f>
        <v>0</v>
      </c>
      <c r="O64" s="62">
        <f>SUMIF(весна!$A$5:$A$178,2,весна!U$5:U$178)</f>
        <v>0</v>
      </c>
      <c r="P64" s="60">
        <f>SUMIF(весна!$A$5:$A$178,2,весна!V$5:V$178)</f>
        <v>0</v>
      </c>
      <c r="Q64" s="41">
        <f>SUMIF(весна!$A$5:$A$178,2,весна!W$5:W$178)</f>
        <v>0</v>
      </c>
      <c r="R64" s="378"/>
      <c r="S64" s="41">
        <f t="shared" si="5"/>
        <v>0</v>
      </c>
    </row>
    <row r="65" spans="1:20" x14ac:dyDescent="0.3">
      <c r="A65" s="384"/>
      <c r="B65" s="376"/>
      <c r="C65" s="12" t="s">
        <v>115</v>
      </c>
      <c r="D65" s="58">
        <f>SUMIF(весна!$A$5:$A$178,3,весна!J$5:J$178)</f>
        <v>0</v>
      </c>
      <c r="E65" s="59">
        <f>SUMIF(весна!$A$5:$A$178,3,весна!K$5:K$178)</f>
        <v>0</v>
      </c>
      <c r="F65" s="60">
        <f>SUMIF(весна!$A$5:$A$178,3,весна!L$5:L$178)</f>
        <v>0</v>
      </c>
      <c r="G65" s="61">
        <f>SUMIF(весна!$A$5:$A$178,3,весна!M$5:M$178)</f>
        <v>0</v>
      </c>
      <c r="H65" s="59">
        <f>SUMIF(весна!$A$5:$A$178,3,весна!N$5:N$178)</f>
        <v>0</v>
      </c>
      <c r="I65" s="62">
        <f>SUMIF(весна!$A$5:$A$178,3,весна!O$5:O$178)</f>
        <v>0</v>
      </c>
      <c r="J65" s="58">
        <f>SUMIF(весна!$A$5:$A$178,3,весна!P$5:P$178)</f>
        <v>0</v>
      </c>
      <c r="K65" s="59">
        <f>SUMIF(весна!$A$5:$A$178,3,весна!Q$5:Q$178)</f>
        <v>0</v>
      </c>
      <c r="L65" s="60">
        <f>SUMIF(весна!$A$5:$A$178,3,весна!R$5:R$178)</f>
        <v>0</v>
      </c>
      <c r="M65" s="58">
        <f>SUMIF(весна!$A$5:$A$178,3,весна!S$5:S$178)</f>
        <v>0</v>
      </c>
      <c r="N65" s="59">
        <f>SUMIF(весна!$A$5:$A$178,3,весна!T$5:T$178)</f>
        <v>0</v>
      </c>
      <c r="O65" s="62">
        <f>SUMIF(весна!$A$5:$A$178,3,весна!U$5:U$178)</f>
        <v>0</v>
      </c>
      <c r="P65" s="60">
        <f>SUMIF(весна!$A$5:$A$178,3,весна!V$5:V$178)</f>
        <v>0</v>
      </c>
      <c r="Q65" s="41">
        <f>SUMIF(весна!$A$5:$A$178,3,весна!W$5:W$178)</f>
        <v>0</v>
      </c>
      <c r="R65" s="378"/>
      <c r="S65" s="41">
        <f t="shared" si="5"/>
        <v>0</v>
      </c>
    </row>
    <row r="66" spans="1:20" x14ac:dyDescent="0.3">
      <c r="A66" s="384"/>
      <c r="B66" s="376"/>
      <c r="C66" s="248" t="s">
        <v>6</v>
      </c>
      <c r="D66" s="249">
        <f>весна!J$3</f>
        <v>0</v>
      </c>
      <c r="E66" s="250">
        <f>весна!K$3</f>
        <v>0</v>
      </c>
      <c r="F66" s="251">
        <f>весна!L$3</f>
        <v>0</v>
      </c>
      <c r="G66" s="252">
        <f>весна!M$3</f>
        <v>0</v>
      </c>
      <c r="H66" s="250">
        <f>весна!N$3</f>
        <v>0</v>
      </c>
      <c r="I66" s="253">
        <f>весна!O$3</f>
        <v>0</v>
      </c>
      <c r="J66" s="249">
        <f>весна!P$3</f>
        <v>0</v>
      </c>
      <c r="K66" s="250">
        <f>весна!Q$3</f>
        <v>0</v>
      </c>
      <c r="L66" s="251">
        <f>весна!R$3</f>
        <v>0</v>
      </c>
      <c r="M66" s="249">
        <f>весна!S$3</f>
        <v>0</v>
      </c>
      <c r="N66" s="250">
        <f>весна!T$3</f>
        <v>0</v>
      </c>
      <c r="O66" s="253">
        <f>весна!U$3</f>
        <v>0</v>
      </c>
      <c r="P66" s="251">
        <f>весна!V$3</f>
        <v>0</v>
      </c>
      <c r="Q66" s="254">
        <f>весна!W$3</f>
        <v>0</v>
      </c>
      <c r="R66" s="379"/>
      <c r="S66" s="254">
        <f t="shared" si="5"/>
        <v>0</v>
      </c>
      <c r="T66" s="244"/>
    </row>
    <row r="67" spans="1:20" ht="12.75" customHeight="1" x14ac:dyDescent="0.3">
      <c r="A67" s="384"/>
      <c r="B67" s="376" t="s">
        <v>8</v>
      </c>
      <c r="C67" s="14" t="s">
        <v>111</v>
      </c>
      <c r="D67" s="63">
        <f>D35+D39+D43+D47+D51+D55+D59</f>
        <v>0</v>
      </c>
      <c r="E67" s="64">
        <f t="shared" ref="E67:Q67" si="6">E35+E39+E43+E47+E51+E55+E59</f>
        <v>0</v>
      </c>
      <c r="F67" s="65">
        <f t="shared" si="6"/>
        <v>0</v>
      </c>
      <c r="G67" s="66">
        <f t="shared" si="6"/>
        <v>0</v>
      </c>
      <c r="H67" s="64">
        <f t="shared" si="6"/>
        <v>0</v>
      </c>
      <c r="I67" s="67">
        <f t="shared" si="6"/>
        <v>0</v>
      </c>
      <c r="J67" s="63">
        <f t="shared" si="6"/>
        <v>0</v>
      </c>
      <c r="K67" s="64">
        <f t="shared" si="6"/>
        <v>0</v>
      </c>
      <c r="L67" s="65">
        <f t="shared" si="6"/>
        <v>0</v>
      </c>
      <c r="M67" s="63">
        <f t="shared" si="6"/>
        <v>0</v>
      </c>
      <c r="N67" s="64">
        <f t="shared" si="6"/>
        <v>0</v>
      </c>
      <c r="O67" s="67">
        <f t="shared" si="6"/>
        <v>0</v>
      </c>
      <c r="P67" s="65">
        <f t="shared" si="6"/>
        <v>0</v>
      </c>
      <c r="Q67" s="68">
        <f t="shared" si="6"/>
        <v>0</v>
      </c>
      <c r="R67" s="380">
        <f>Утв_Весна</f>
        <v>0</v>
      </c>
      <c r="S67" s="68">
        <f t="shared" si="5"/>
        <v>0</v>
      </c>
    </row>
    <row r="68" spans="1:20" x14ac:dyDescent="0.3">
      <c r="A68" s="384"/>
      <c r="B68" s="376"/>
      <c r="C68" s="12" t="s">
        <v>112</v>
      </c>
      <c r="D68" s="58">
        <f t="shared" ref="D68:Q70" si="7">D36+D40+D44+D48+D52+D56+D60</f>
        <v>0</v>
      </c>
      <c r="E68" s="59">
        <f t="shared" si="7"/>
        <v>0</v>
      </c>
      <c r="F68" s="60">
        <f t="shared" si="7"/>
        <v>0</v>
      </c>
      <c r="G68" s="61">
        <f t="shared" si="7"/>
        <v>0</v>
      </c>
      <c r="H68" s="59">
        <f t="shared" si="7"/>
        <v>0</v>
      </c>
      <c r="I68" s="62">
        <f t="shared" si="7"/>
        <v>0</v>
      </c>
      <c r="J68" s="58">
        <f t="shared" si="7"/>
        <v>0</v>
      </c>
      <c r="K68" s="59">
        <f t="shared" si="7"/>
        <v>0</v>
      </c>
      <c r="L68" s="60">
        <f t="shared" si="7"/>
        <v>0</v>
      </c>
      <c r="M68" s="58">
        <f t="shared" si="7"/>
        <v>0</v>
      </c>
      <c r="N68" s="59">
        <f t="shared" si="7"/>
        <v>0</v>
      </c>
      <c r="O68" s="62">
        <f t="shared" si="7"/>
        <v>0</v>
      </c>
      <c r="P68" s="60">
        <f t="shared" si="7"/>
        <v>0</v>
      </c>
      <c r="Q68" s="41">
        <f t="shared" si="7"/>
        <v>0</v>
      </c>
      <c r="R68" s="381"/>
      <c r="S68" s="41">
        <f t="shared" si="5"/>
        <v>0</v>
      </c>
    </row>
    <row r="69" spans="1:20" x14ac:dyDescent="0.3">
      <c r="A69" s="384"/>
      <c r="B69" s="376"/>
      <c r="C69" s="12" t="s">
        <v>115</v>
      </c>
      <c r="D69" s="58">
        <f t="shared" si="7"/>
        <v>0</v>
      </c>
      <c r="E69" s="59">
        <f t="shared" si="7"/>
        <v>0</v>
      </c>
      <c r="F69" s="60">
        <f t="shared" si="7"/>
        <v>0</v>
      </c>
      <c r="G69" s="61">
        <f t="shared" si="7"/>
        <v>0</v>
      </c>
      <c r="H69" s="59">
        <f t="shared" si="7"/>
        <v>0</v>
      </c>
      <c r="I69" s="62">
        <f t="shared" si="7"/>
        <v>0</v>
      </c>
      <c r="J69" s="58">
        <f t="shared" si="7"/>
        <v>0</v>
      </c>
      <c r="K69" s="59">
        <f t="shared" si="7"/>
        <v>0</v>
      </c>
      <c r="L69" s="60">
        <f t="shared" si="7"/>
        <v>0</v>
      </c>
      <c r="M69" s="58">
        <f t="shared" si="7"/>
        <v>0</v>
      </c>
      <c r="N69" s="59">
        <f t="shared" si="7"/>
        <v>0</v>
      </c>
      <c r="O69" s="62">
        <f t="shared" si="7"/>
        <v>0</v>
      </c>
      <c r="P69" s="60">
        <f t="shared" si="7"/>
        <v>0</v>
      </c>
      <c r="Q69" s="41">
        <f t="shared" si="7"/>
        <v>0</v>
      </c>
      <c r="R69" s="381"/>
      <c r="S69" s="41">
        <f t="shared" si="5"/>
        <v>0</v>
      </c>
    </row>
    <row r="70" spans="1:20" ht="15" thickBot="1" x14ac:dyDescent="0.35">
      <c r="A70" s="385"/>
      <c r="B70" s="386"/>
      <c r="C70" s="255" t="s">
        <v>6</v>
      </c>
      <c r="D70" s="256">
        <f t="shared" si="7"/>
        <v>0</v>
      </c>
      <c r="E70" s="257">
        <f t="shared" si="7"/>
        <v>0</v>
      </c>
      <c r="F70" s="258">
        <f t="shared" si="7"/>
        <v>0</v>
      </c>
      <c r="G70" s="259">
        <f t="shared" si="7"/>
        <v>0</v>
      </c>
      <c r="H70" s="257">
        <f t="shared" si="7"/>
        <v>0</v>
      </c>
      <c r="I70" s="260">
        <f t="shared" si="7"/>
        <v>0</v>
      </c>
      <c r="J70" s="256">
        <f t="shared" si="7"/>
        <v>0</v>
      </c>
      <c r="K70" s="257">
        <f t="shared" si="7"/>
        <v>0</v>
      </c>
      <c r="L70" s="258">
        <f t="shared" si="7"/>
        <v>0</v>
      </c>
      <c r="M70" s="256">
        <f t="shared" si="7"/>
        <v>0</v>
      </c>
      <c r="N70" s="257">
        <f t="shared" si="7"/>
        <v>0</v>
      </c>
      <c r="O70" s="260">
        <f t="shared" si="7"/>
        <v>0</v>
      </c>
      <c r="P70" s="258">
        <f t="shared" si="7"/>
        <v>0</v>
      </c>
      <c r="Q70" s="261">
        <f t="shared" si="7"/>
        <v>0</v>
      </c>
      <c r="R70" s="382"/>
      <c r="S70" s="261">
        <f>SUM(D70:Q70)</f>
        <v>0</v>
      </c>
    </row>
    <row r="71" spans="1:20" ht="13.5" customHeight="1" thickTop="1" x14ac:dyDescent="0.3">
      <c r="A71" s="383" t="s">
        <v>26</v>
      </c>
      <c r="B71" s="375" t="s">
        <v>7</v>
      </c>
      <c r="C71" s="11" t="s">
        <v>111</v>
      </c>
      <c r="D71" s="53">
        <f t="shared" ref="D71:Q71" si="8">D27+D63</f>
        <v>0</v>
      </c>
      <c r="E71" s="54">
        <f t="shared" si="8"/>
        <v>0</v>
      </c>
      <c r="F71" s="55">
        <f t="shared" si="8"/>
        <v>0</v>
      </c>
      <c r="G71" s="56">
        <f t="shared" si="8"/>
        <v>0</v>
      </c>
      <c r="H71" s="54">
        <f t="shared" si="8"/>
        <v>0</v>
      </c>
      <c r="I71" s="57">
        <f t="shared" si="8"/>
        <v>0</v>
      </c>
      <c r="J71" s="53">
        <f t="shared" si="8"/>
        <v>0</v>
      </c>
      <c r="K71" s="54">
        <f t="shared" si="8"/>
        <v>0</v>
      </c>
      <c r="L71" s="55">
        <f t="shared" si="8"/>
        <v>0</v>
      </c>
      <c r="M71" s="53">
        <f t="shared" si="8"/>
        <v>0</v>
      </c>
      <c r="N71" s="54">
        <f t="shared" si="8"/>
        <v>0</v>
      </c>
      <c r="O71" s="57">
        <f t="shared" si="8"/>
        <v>0</v>
      </c>
      <c r="P71" s="55">
        <f t="shared" si="8"/>
        <v>0</v>
      </c>
      <c r="Q71" s="30">
        <f t="shared" si="8"/>
        <v>0</v>
      </c>
      <c r="R71" s="15"/>
      <c r="S71" s="30">
        <f t="shared" si="5"/>
        <v>0</v>
      </c>
    </row>
    <row r="72" spans="1:20" x14ac:dyDescent="0.3">
      <c r="A72" s="384"/>
      <c r="B72" s="376"/>
      <c r="C72" s="12" t="s">
        <v>112</v>
      </c>
      <c r="D72" s="58">
        <f t="shared" ref="D72:Q72" si="9">D28+D64</f>
        <v>0</v>
      </c>
      <c r="E72" s="59">
        <f t="shared" si="9"/>
        <v>0</v>
      </c>
      <c r="F72" s="60">
        <f t="shared" si="9"/>
        <v>0</v>
      </c>
      <c r="G72" s="61">
        <f t="shared" si="9"/>
        <v>0</v>
      </c>
      <c r="H72" s="59">
        <f t="shared" si="9"/>
        <v>0</v>
      </c>
      <c r="I72" s="62">
        <f t="shared" si="9"/>
        <v>0</v>
      </c>
      <c r="J72" s="58">
        <f t="shared" si="9"/>
        <v>0</v>
      </c>
      <c r="K72" s="59">
        <f t="shared" si="9"/>
        <v>0</v>
      </c>
      <c r="L72" s="60">
        <f t="shared" si="9"/>
        <v>0</v>
      </c>
      <c r="M72" s="58">
        <f t="shared" si="9"/>
        <v>0</v>
      </c>
      <c r="N72" s="59">
        <f t="shared" si="9"/>
        <v>0</v>
      </c>
      <c r="O72" s="62">
        <f t="shared" si="9"/>
        <v>0</v>
      </c>
      <c r="P72" s="60">
        <f t="shared" si="9"/>
        <v>0</v>
      </c>
      <c r="Q72" s="41">
        <f t="shared" si="9"/>
        <v>0</v>
      </c>
      <c r="R72" s="16"/>
      <c r="S72" s="41">
        <f t="shared" si="5"/>
        <v>0</v>
      </c>
    </row>
    <row r="73" spans="1:20" ht="15" thickBot="1" x14ac:dyDescent="0.35">
      <c r="A73" s="384"/>
      <c r="B73" s="376"/>
      <c r="C73" s="12" t="s">
        <v>115</v>
      </c>
      <c r="D73" s="58">
        <f t="shared" ref="D73:Q73" si="10">D29+D65</f>
        <v>0</v>
      </c>
      <c r="E73" s="59">
        <f t="shared" si="10"/>
        <v>0</v>
      </c>
      <c r="F73" s="60">
        <f t="shared" si="10"/>
        <v>0</v>
      </c>
      <c r="G73" s="61">
        <f t="shared" si="10"/>
        <v>0</v>
      </c>
      <c r="H73" s="59">
        <f t="shared" si="10"/>
        <v>0</v>
      </c>
      <c r="I73" s="62">
        <f t="shared" si="10"/>
        <v>0</v>
      </c>
      <c r="J73" s="58">
        <f t="shared" si="10"/>
        <v>0</v>
      </c>
      <c r="K73" s="59">
        <f t="shared" si="10"/>
        <v>0</v>
      </c>
      <c r="L73" s="60">
        <f t="shared" si="10"/>
        <v>0</v>
      </c>
      <c r="M73" s="58">
        <f t="shared" si="10"/>
        <v>0</v>
      </c>
      <c r="N73" s="59">
        <f t="shared" si="10"/>
        <v>0</v>
      </c>
      <c r="O73" s="62">
        <f t="shared" si="10"/>
        <v>0</v>
      </c>
      <c r="P73" s="60">
        <f t="shared" si="10"/>
        <v>0</v>
      </c>
      <c r="Q73" s="41">
        <f t="shared" si="10"/>
        <v>0</v>
      </c>
      <c r="R73" s="16"/>
      <c r="S73" s="69">
        <f t="shared" si="5"/>
        <v>0</v>
      </c>
    </row>
    <row r="74" spans="1:20" ht="15" thickBot="1" x14ac:dyDescent="0.35">
      <c r="A74" s="384"/>
      <c r="B74" s="376"/>
      <c r="C74" s="248" t="s">
        <v>6</v>
      </c>
      <c r="D74" s="249">
        <f t="shared" ref="D74:Q74" si="11">D30+D66</f>
        <v>0</v>
      </c>
      <c r="E74" s="250">
        <f t="shared" si="11"/>
        <v>0</v>
      </c>
      <c r="F74" s="251">
        <f t="shared" si="11"/>
        <v>0</v>
      </c>
      <c r="G74" s="252">
        <f t="shared" si="11"/>
        <v>0</v>
      </c>
      <c r="H74" s="250">
        <f t="shared" si="11"/>
        <v>0</v>
      </c>
      <c r="I74" s="253">
        <f t="shared" si="11"/>
        <v>0</v>
      </c>
      <c r="J74" s="249">
        <f t="shared" si="11"/>
        <v>0</v>
      </c>
      <c r="K74" s="250">
        <f t="shared" si="11"/>
        <v>0</v>
      </c>
      <c r="L74" s="251">
        <f t="shared" si="11"/>
        <v>0</v>
      </c>
      <c r="M74" s="249">
        <f t="shared" si="11"/>
        <v>0</v>
      </c>
      <c r="N74" s="250">
        <f t="shared" si="11"/>
        <v>0</v>
      </c>
      <c r="O74" s="253">
        <f t="shared" si="11"/>
        <v>0</v>
      </c>
      <c r="P74" s="251">
        <f t="shared" si="11"/>
        <v>0</v>
      </c>
      <c r="Q74" s="254">
        <f t="shared" si="11"/>
        <v>0</v>
      </c>
      <c r="R74" s="262"/>
      <c r="S74" s="263">
        <f t="shared" si="5"/>
        <v>0</v>
      </c>
    </row>
    <row r="75" spans="1:20" ht="12.75" customHeight="1" x14ac:dyDescent="0.3">
      <c r="A75" s="384"/>
      <c r="B75" s="376" t="s">
        <v>8</v>
      </c>
      <c r="C75" s="14" t="s">
        <v>111</v>
      </c>
      <c r="D75" s="63">
        <f t="shared" ref="D75:Q75" si="12">D31+D67</f>
        <v>0</v>
      </c>
      <c r="E75" s="64">
        <f t="shared" si="12"/>
        <v>0</v>
      </c>
      <c r="F75" s="65">
        <f t="shared" si="12"/>
        <v>0</v>
      </c>
      <c r="G75" s="66">
        <f t="shared" si="12"/>
        <v>0</v>
      </c>
      <c r="H75" s="64">
        <f t="shared" si="12"/>
        <v>0</v>
      </c>
      <c r="I75" s="67">
        <f t="shared" si="12"/>
        <v>0</v>
      </c>
      <c r="J75" s="63">
        <f t="shared" si="12"/>
        <v>0</v>
      </c>
      <c r="K75" s="64">
        <f t="shared" si="12"/>
        <v>0</v>
      </c>
      <c r="L75" s="65">
        <f t="shared" si="12"/>
        <v>0</v>
      </c>
      <c r="M75" s="63">
        <f t="shared" si="12"/>
        <v>0</v>
      </c>
      <c r="N75" s="64">
        <f t="shared" si="12"/>
        <v>0</v>
      </c>
      <c r="O75" s="67">
        <f t="shared" si="12"/>
        <v>0</v>
      </c>
      <c r="P75" s="65">
        <f t="shared" si="12"/>
        <v>0</v>
      </c>
      <c r="Q75" s="68">
        <f t="shared" si="12"/>
        <v>0</v>
      </c>
      <c r="R75" s="17"/>
      <c r="S75" s="68">
        <f t="shared" si="5"/>
        <v>0</v>
      </c>
    </row>
    <row r="76" spans="1:20" x14ac:dyDescent="0.3">
      <c r="A76" s="384"/>
      <c r="B76" s="376"/>
      <c r="C76" s="12" t="s">
        <v>112</v>
      </c>
      <c r="D76" s="58">
        <f t="shared" ref="D76:Q76" si="13">D32+D68</f>
        <v>0</v>
      </c>
      <c r="E76" s="59">
        <f t="shared" si="13"/>
        <v>0</v>
      </c>
      <c r="F76" s="60">
        <f t="shared" si="13"/>
        <v>0</v>
      </c>
      <c r="G76" s="61">
        <f t="shared" si="13"/>
        <v>0</v>
      </c>
      <c r="H76" s="59">
        <f t="shared" si="13"/>
        <v>0</v>
      </c>
      <c r="I76" s="62">
        <f t="shared" si="13"/>
        <v>0</v>
      </c>
      <c r="J76" s="58">
        <f t="shared" si="13"/>
        <v>0</v>
      </c>
      <c r="K76" s="59">
        <f t="shared" si="13"/>
        <v>0</v>
      </c>
      <c r="L76" s="60">
        <f t="shared" si="13"/>
        <v>0</v>
      </c>
      <c r="M76" s="58">
        <f t="shared" si="13"/>
        <v>0</v>
      </c>
      <c r="N76" s="59">
        <f t="shared" si="13"/>
        <v>0</v>
      </c>
      <c r="O76" s="62">
        <f t="shared" si="13"/>
        <v>0</v>
      </c>
      <c r="P76" s="60">
        <f t="shared" si="13"/>
        <v>0</v>
      </c>
      <c r="Q76" s="41">
        <f t="shared" si="13"/>
        <v>0</v>
      </c>
      <c r="R76" s="16"/>
      <c r="S76" s="41">
        <f t="shared" si="5"/>
        <v>0</v>
      </c>
    </row>
    <row r="77" spans="1:20" ht="15" thickBot="1" x14ac:dyDescent="0.35">
      <c r="A77" s="384"/>
      <c r="B77" s="376"/>
      <c r="C77" s="12" t="s">
        <v>115</v>
      </c>
      <c r="D77" s="58">
        <f t="shared" ref="D77:Q77" si="14">D33+D69</f>
        <v>0</v>
      </c>
      <c r="E77" s="59">
        <f t="shared" si="14"/>
        <v>0</v>
      </c>
      <c r="F77" s="60">
        <f t="shared" si="14"/>
        <v>0</v>
      </c>
      <c r="G77" s="61">
        <f t="shared" si="14"/>
        <v>0</v>
      </c>
      <c r="H77" s="59">
        <f t="shared" si="14"/>
        <v>0</v>
      </c>
      <c r="I77" s="62">
        <f t="shared" si="14"/>
        <v>0</v>
      </c>
      <c r="J77" s="58">
        <f t="shared" si="14"/>
        <v>0</v>
      </c>
      <c r="K77" s="59">
        <f t="shared" si="14"/>
        <v>0</v>
      </c>
      <c r="L77" s="60">
        <f t="shared" si="14"/>
        <v>0</v>
      </c>
      <c r="M77" s="58">
        <f t="shared" si="14"/>
        <v>0</v>
      </c>
      <c r="N77" s="59">
        <f t="shared" si="14"/>
        <v>0</v>
      </c>
      <c r="O77" s="62">
        <f t="shared" si="14"/>
        <v>0</v>
      </c>
      <c r="P77" s="60">
        <f t="shared" si="14"/>
        <v>0</v>
      </c>
      <c r="Q77" s="41">
        <f t="shared" si="14"/>
        <v>0</v>
      </c>
      <c r="R77" s="16"/>
      <c r="S77" s="69">
        <f t="shared" si="5"/>
        <v>0</v>
      </c>
    </row>
    <row r="78" spans="1:20" ht="15" thickBot="1" x14ac:dyDescent="0.35">
      <c r="A78" s="385"/>
      <c r="B78" s="386"/>
      <c r="C78" s="255" t="s">
        <v>6</v>
      </c>
      <c r="D78" s="256">
        <f t="shared" ref="D78:Q78" si="15">D34+D70</f>
        <v>0</v>
      </c>
      <c r="E78" s="257">
        <f t="shared" si="15"/>
        <v>0</v>
      </c>
      <c r="F78" s="258">
        <f t="shared" si="15"/>
        <v>0</v>
      </c>
      <c r="G78" s="259">
        <f t="shared" si="15"/>
        <v>0</v>
      </c>
      <c r="H78" s="257">
        <f t="shared" si="15"/>
        <v>0</v>
      </c>
      <c r="I78" s="260">
        <f t="shared" si="15"/>
        <v>0</v>
      </c>
      <c r="J78" s="256">
        <f t="shared" si="15"/>
        <v>0</v>
      </c>
      <c r="K78" s="257">
        <f t="shared" si="15"/>
        <v>0</v>
      </c>
      <c r="L78" s="258">
        <f t="shared" si="15"/>
        <v>0</v>
      </c>
      <c r="M78" s="256">
        <f t="shared" si="15"/>
        <v>0</v>
      </c>
      <c r="N78" s="257">
        <f t="shared" si="15"/>
        <v>0</v>
      </c>
      <c r="O78" s="260">
        <f t="shared" si="15"/>
        <v>0</v>
      </c>
      <c r="P78" s="258">
        <f t="shared" si="15"/>
        <v>0</v>
      </c>
      <c r="Q78" s="261">
        <f t="shared" si="15"/>
        <v>0</v>
      </c>
      <c r="R78" s="264"/>
      <c r="S78" s="263">
        <f t="shared" si="5"/>
        <v>0</v>
      </c>
    </row>
    <row r="79" spans="1:20" ht="15" thickTop="1" x14ac:dyDescent="0.3">
      <c r="K79" s="2"/>
    </row>
  </sheetData>
  <sheetProtection algorithmName="SHA-512" hashValue="skTGx58gee6g42jXEonpu58jLZDTWrTEBOS5EBFMyt9Ighl28jjagllNZ7nLkBlnQLiI36WKHnRgGHgzQKfaLA==" saltValue="cNQVfx21G+/890HAztVPxA==" spinCount="100000" sheet="1" objects="1" scenarios="1"/>
  <mergeCells count="30">
    <mergeCell ref="B71:B74"/>
    <mergeCell ref="A71:A78"/>
    <mergeCell ref="B75:B78"/>
    <mergeCell ref="B67:B70"/>
    <mergeCell ref="A27:A34"/>
    <mergeCell ref="A35:B38"/>
    <mergeCell ref="B31:B34"/>
    <mergeCell ref="A51:B54"/>
    <mergeCell ref="A39:B42"/>
    <mergeCell ref="A47:B50"/>
    <mergeCell ref="A43:B46"/>
    <mergeCell ref="R27:R30"/>
    <mergeCell ref="R63:R66"/>
    <mergeCell ref="R31:R34"/>
    <mergeCell ref="A63:A70"/>
    <mergeCell ref="R67:R70"/>
    <mergeCell ref="B63:B66"/>
    <mergeCell ref="A15:B18"/>
    <mergeCell ref="A55:B58"/>
    <mergeCell ref="A59:B62"/>
    <mergeCell ref="A11:B14"/>
    <mergeCell ref="A19:B22"/>
    <mergeCell ref="A23:B26"/>
    <mergeCell ref="B27:B30"/>
    <mergeCell ref="Q3:S3"/>
    <mergeCell ref="Q4:S4"/>
    <mergeCell ref="A6:B6"/>
    <mergeCell ref="A7:B10"/>
    <mergeCell ref="C3:M3"/>
    <mergeCell ref="C4:M4"/>
  </mergeCells>
  <phoneticPr fontId="22" type="noConversion"/>
  <printOptions horizontalCentered="1"/>
  <pageMargins left="1.1811023622047245" right="0.39370078740157483" top="0.6692913385826772" bottom="0.6692913385826772" header="0.39370078740157483" footer="0.39370078740157483"/>
  <pageSetup paperSize="9" scale="59" orientation="portrait" r:id="rId1"/>
  <headerFooter>
    <oddHeader>&amp;L&amp;"Arial Cyr,полужирный"Карточка учета учебной работы преподавателя&amp;R&amp;F</oddHeader>
    <oddFooter>&amp;LПреподаватель  ________________&amp;CЗав. кафедрой  ________________&amp;RУчебный отдел  ________________</oddFooter>
  </headerFooter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0">
    <tabColor rgb="FFFFFF66"/>
    <outlinePr summaryBelow="0" summaryRight="0"/>
    <pageSetUpPr fitToPage="1"/>
  </sheetPr>
  <dimension ref="A1:Z160"/>
  <sheetViews>
    <sheetView zoomScale="85" zoomScaleNormal="100" workbookViewId="0">
      <pane xSplit="8" ySplit="6" topLeftCell="I7" activePane="bottomRight" state="frozen"/>
      <selection activeCell="D5" sqref="D5:D6"/>
      <selection pane="topRight" activeCell="D5" sqref="D5:D6"/>
      <selection pane="bottomLeft" activeCell="D5" sqref="D5:D6"/>
      <selection pane="bottomRight" activeCell="E7" sqref="E7"/>
    </sheetView>
  </sheetViews>
  <sheetFormatPr defaultRowHeight="14.25" x14ac:dyDescent="0.3"/>
  <cols>
    <col min="1" max="3" width="4.7109375" style="4" hidden="1" customWidth="1"/>
    <col min="4" max="4" width="30.7109375" style="240" hidden="1" customWidth="1"/>
    <col min="5" max="5" width="4.7109375" style="167" customWidth="1"/>
    <col min="6" max="6" width="32.7109375" style="241" customWidth="1"/>
    <col min="7" max="7" width="18.7109375" style="241" customWidth="1"/>
    <col min="8" max="8" width="6.7109375" style="241" customWidth="1"/>
    <col min="9" max="10" width="4.7109375" style="241" customWidth="1"/>
    <col min="11" max="11" width="40.7109375" style="242" customWidth="1"/>
    <col min="12" max="25" width="6.85546875" style="167" customWidth="1"/>
    <col min="26" max="26" width="30.7109375" style="2" customWidth="1"/>
    <col min="27" max="27" width="2.7109375" style="2" customWidth="1"/>
    <col min="28" max="16384" width="9.140625" style="2"/>
  </cols>
  <sheetData>
    <row r="1" spans="1:26" ht="112.5" customHeight="1" x14ac:dyDescent="0.3">
      <c r="A1" s="169" t="s">
        <v>77</v>
      </c>
      <c r="B1" s="169" t="s">
        <v>114</v>
      </c>
      <c r="C1" s="169" t="s">
        <v>113</v>
      </c>
      <c r="D1" s="191" t="s">
        <v>76</v>
      </c>
      <c r="E1" s="192" t="s">
        <v>116</v>
      </c>
      <c r="F1" s="193" t="s">
        <v>69</v>
      </c>
      <c r="G1" s="194" t="s">
        <v>100</v>
      </c>
      <c r="H1" s="195" t="s">
        <v>109</v>
      </c>
      <c r="I1" s="196" t="s">
        <v>102</v>
      </c>
      <c r="J1" s="197" t="s">
        <v>85</v>
      </c>
      <c r="K1" s="198" t="s">
        <v>81</v>
      </c>
      <c r="L1" s="199" t="s">
        <v>0</v>
      </c>
      <c r="M1" s="200" t="s">
        <v>68</v>
      </c>
      <c r="N1" s="195" t="s">
        <v>3</v>
      </c>
      <c r="O1" s="201" t="s">
        <v>1</v>
      </c>
      <c r="P1" s="200" t="s">
        <v>4</v>
      </c>
      <c r="Q1" s="195" t="s">
        <v>62</v>
      </c>
      <c r="R1" s="199" t="s">
        <v>252</v>
      </c>
      <c r="S1" s="202" t="s">
        <v>2</v>
      </c>
      <c r="T1" s="195" t="s">
        <v>205</v>
      </c>
      <c r="U1" s="201" t="s">
        <v>253</v>
      </c>
      <c r="V1" s="199" t="s">
        <v>254</v>
      </c>
      <c r="W1" s="202" t="s">
        <v>70</v>
      </c>
      <c r="X1" s="195" t="s">
        <v>138</v>
      </c>
      <c r="Y1" s="196" t="s">
        <v>5</v>
      </c>
      <c r="Z1" s="203" t="s">
        <v>29</v>
      </c>
    </row>
    <row r="2" spans="1:26" ht="17.100000000000001" customHeight="1" x14ac:dyDescent="0.3">
      <c r="A2" s="204">
        <f>MATCH(H2,ВидыНагр,0)</f>
        <v>1</v>
      </c>
      <c r="B2" s="204"/>
      <c r="C2" s="204"/>
      <c r="D2" s="205"/>
      <c r="E2" s="206"/>
      <c r="F2" s="390" t="s">
        <v>134</v>
      </c>
      <c r="G2" s="393">
        <f>SUM(L5:Y5)</f>
        <v>0</v>
      </c>
      <c r="H2" s="288" t="s">
        <v>111</v>
      </c>
      <c r="I2" s="396">
        <f>SUM(L2:Y2)</f>
        <v>0</v>
      </c>
      <c r="J2" s="397"/>
      <c r="K2" s="289"/>
      <c r="L2" s="58">
        <f t="shared" ref="L2:Y4" si="0">SUMIF($A$7:$A$159,$A2,L$7:L$159)</f>
        <v>0</v>
      </c>
      <c r="M2" s="59">
        <f t="shared" si="0"/>
        <v>0</v>
      </c>
      <c r="N2" s="60">
        <f t="shared" si="0"/>
        <v>0</v>
      </c>
      <c r="O2" s="58">
        <f t="shared" si="0"/>
        <v>0</v>
      </c>
      <c r="P2" s="59">
        <f t="shared" si="0"/>
        <v>0</v>
      </c>
      <c r="Q2" s="60">
        <f t="shared" si="0"/>
        <v>0</v>
      </c>
      <c r="R2" s="58">
        <f t="shared" si="0"/>
        <v>0</v>
      </c>
      <c r="S2" s="62">
        <f t="shared" si="0"/>
        <v>0</v>
      </c>
      <c r="T2" s="60">
        <f t="shared" si="0"/>
        <v>0</v>
      </c>
      <c r="U2" s="58">
        <f t="shared" si="0"/>
        <v>0</v>
      </c>
      <c r="V2" s="61">
        <f t="shared" si="0"/>
        <v>0</v>
      </c>
      <c r="W2" s="62">
        <f t="shared" si="0"/>
        <v>0</v>
      </c>
      <c r="X2" s="60">
        <f t="shared" si="0"/>
        <v>0</v>
      </c>
      <c r="Y2" s="41">
        <f t="shared" si="0"/>
        <v>0</v>
      </c>
      <c r="Z2" s="207"/>
    </row>
    <row r="3" spans="1:26" ht="17.100000000000001" customHeight="1" x14ac:dyDescent="0.3">
      <c r="A3" s="204">
        <f>MATCH(H3,ВидыНагр,0)</f>
        <v>2</v>
      </c>
      <c r="B3" s="204"/>
      <c r="C3" s="204"/>
      <c r="D3" s="205"/>
      <c r="E3" s="208"/>
      <c r="F3" s="391"/>
      <c r="G3" s="394"/>
      <c r="H3" s="290" t="s">
        <v>112</v>
      </c>
      <c r="I3" s="398">
        <f>SUM(L3:Y3)</f>
        <v>0</v>
      </c>
      <c r="J3" s="399"/>
      <c r="K3" s="291"/>
      <c r="L3" s="58">
        <f t="shared" si="0"/>
        <v>0</v>
      </c>
      <c r="M3" s="59">
        <f t="shared" si="0"/>
        <v>0</v>
      </c>
      <c r="N3" s="60">
        <f t="shared" si="0"/>
        <v>0</v>
      </c>
      <c r="O3" s="58">
        <f t="shared" si="0"/>
        <v>0</v>
      </c>
      <c r="P3" s="59">
        <f t="shared" si="0"/>
        <v>0</v>
      </c>
      <c r="Q3" s="60">
        <f t="shared" si="0"/>
        <v>0</v>
      </c>
      <c r="R3" s="58">
        <f t="shared" si="0"/>
        <v>0</v>
      </c>
      <c r="S3" s="62">
        <f t="shared" si="0"/>
        <v>0</v>
      </c>
      <c r="T3" s="60">
        <f t="shared" si="0"/>
        <v>0</v>
      </c>
      <c r="U3" s="58">
        <f t="shared" si="0"/>
        <v>0</v>
      </c>
      <c r="V3" s="61">
        <f t="shared" si="0"/>
        <v>0</v>
      </c>
      <c r="W3" s="62">
        <f t="shared" si="0"/>
        <v>0</v>
      </c>
      <c r="X3" s="60">
        <f t="shared" si="0"/>
        <v>0</v>
      </c>
      <c r="Y3" s="41">
        <f t="shared" si="0"/>
        <v>0</v>
      </c>
      <c r="Z3" s="207"/>
    </row>
    <row r="4" spans="1:26" ht="17.100000000000001" customHeight="1" x14ac:dyDescent="0.3">
      <c r="A4" s="204">
        <f>MATCH(H4,ВидыНагр,0)</f>
        <v>3</v>
      </c>
      <c r="B4" s="204"/>
      <c r="C4" s="204"/>
      <c r="D4" s="205"/>
      <c r="E4" s="208"/>
      <c r="F4" s="391"/>
      <c r="G4" s="394"/>
      <c r="H4" s="292" t="s">
        <v>115</v>
      </c>
      <c r="I4" s="400">
        <f>SUM(L4:Y4)</f>
        <v>0</v>
      </c>
      <c r="J4" s="401"/>
      <c r="K4" s="293"/>
      <c r="L4" s="209">
        <f t="shared" si="0"/>
        <v>0</v>
      </c>
      <c r="M4" s="210">
        <f t="shared" si="0"/>
        <v>0</v>
      </c>
      <c r="N4" s="211">
        <f t="shared" si="0"/>
        <v>0</v>
      </c>
      <c r="O4" s="209">
        <f t="shared" si="0"/>
        <v>0</v>
      </c>
      <c r="P4" s="210">
        <f t="shared" si="0"/>
        <v>0</v>
      </c>
      <c r="Q4" s="211">
        <f t="shared" si="0"/>
        <v>0</v>
      </c>
      <c r="R4" s="209">
        <f t="shared" si="0"/>
        <v>0</v>
      </c>
      <c r="S4" s="212">
        <f t="shared" si="0"/>
        <v>0</v>
      </c>
      <c r="T4" s="211">
        <f t="shared" si="0"/>
        <v>0</v>
      </c>
      <c r="U4" s="209">
        <f t="shared" si="0"/>
        <v>0</v>
      </c>
      <c r="V4" s="213">
        <f t="shared" si="0"/>
        <v>0</v>
      </c>
      <c r="W4" s="212">
        <f t="shared" si="0"/>
        <v>0</v>
      </c>
      <c r="X4" s="211">
        <f t="shared" si="0"/>
        <v>0</v>
      </c>
      <c r="Y4" s="69">
        <f t="shared" si="0"/>
        <v>0</v>
      </c>
      <c r="Z4" s="207"/>
    </row>
    <row r="5" spans="1:26" ht="17.100000000000001" customHeight="1" x14ac:dyDescent="0.3">
      <c r="A5" s="204"/>
      <c r="B5" s="204"/>
      <c r="C5" s="204"/>
      <c r="D5" s="205"/>
      <c r="E5" s="208"/>
      <c r="F5" s="392"/>
      <c r="G5" s="395"/>
      <c r="H5" s="294" t="s">
        <v>6</v>
      </c>
      <c r="I5" s="295"/>
      <c r="J5" s="296"/>
      <c r="K5" s="297"/>
      <c r="L5" s="298">
        <f>SUM(L2:L4)</f>
        <v>0</v>
      </c>
      <c r="M5" s="299">
        <f t="shared" ref="M5:Y5" si="1">SUM(M2:M4)</f>
        <v>0</v>
      </c>
      <c r="N5" s="300">
        <f t="shared" si="1"/>
        <v>0</v>
      </c>
      <c r="O5" s="298">
        <f t="shared" si="1"/>
        <v>0</v>
      </c>
      <c r="P5" s="299">
        <f t="shared" si="1"/>
        <v>0</v>
      </c>
      <c r="Q5" s="300">
        <f t="shared" si="1"/>
        <v>0</v>
      </c>
      <c r="R5" s="298">
        <f t="shared" si="1"/>
        <v>0</v>
      </c>
      <c r="S5" s="301">
        <f t="shared" si="1"/>
        <v>0</v>
      </c>
      <c r="T5" s="300">
        <f t="shared" si="1"/>
        <v>0</v>
      </c>
      <c r="U5" s="298">
        <f t="shared" si="1"/>
        <v>0</v>
      </c>
      <c r="V5" s="302">
        <f t="shared" si="1"/>
        <v>0</v>
      </c>
      <c r="W5" s="301">
        <f t="shared" si="1"/>
        <v>0</v>
      </c>
      <c r="X5" s="300">
        <f t="shared" si="1"/>
        <v>0</v>
      </c>
      <c r="Y5" s="303">
        <f t="shared" si="1"/>
        <v>0</v>
      </c>
      <c r="Z5" s="214">
        <f>Утв_Осень</f>
        <v>0</v>
      </c>
    </row>
    <row r="6" spans="1:26" ht="17.100000000000001" customHeight="1" x14ac:dyDescent="0.3">
      <c r="A6" s="204"/>
      <c r="B6" s="204"/>
      <c r="C6" s="204"/>
      <c r="D6" s="205"/>
      <c r="E6" s="215"/>
      <c r="F6" s="304" t="s">
        <v>82</v>
      </c>
      <c r="G6" s="305">
        <f>SUM(L6:Y6)</f>
        <v>0</v>
      </c>
      <c r="H6" s="306"/>
      <c r="I6" s="307"/>
      <c r="J6" s="308"/>
      <c r="K6" s="297"/>
      <c r="L6" s="216">
        <f t="shared" ref="L6:Y6" si="2">SUM(L7:L159)-L5</f>
        <v>0</v>
      </c>
      <c r="M6" s="217">
        <f t="shared" si="2"/>
        <v>0</v>
      </c>
      <c r="N6" s="218">
        <f t="shared" si="2"/>
        <v>0</v>
      </c>
      <c r="O6" s="216">
        <f t="shared" si="2"/>
        <v>0</v>
      </c>
      <c r="P6" s="217">
        <f t="shared" si="2"/>
        <v>0</v>
      </c>
      <c r="Q6" s="218">
        <f t="shared" si="2"/>
        <v>0</v>
      </c>
      <c r="R6" s="216">
        <f t="shared" si="2"/>
        <v>0</v>
      </c>
      <c r="S6" s="219">
        <f t="shared" si="2"/>
        <v>0</v>
      </c>
      <c r="T6" s="218">
        <f t="shared" si="2"/>
        <v>0</v>
      </c>
      <c r="U6" s="216">
        <f t="shared" si="2"/>
        <v>0</v>
      </c>
      <c r="V6" s="220">
        <f t="shared" si="2"/>
        <v>0</v>
      </c>
      <c r="W6" s="219">
        <f t="shared" si="2"/>
        <v>0</v>
      </c>
      <c r="X6" s="218">
        <f t="shared" si="2"/>
        <v>0</v>
      </c>
      <c r="Y6" s="216">
        <f t="shared" si="2"/>
        <v>0</v>
      </c>
      <c r="Z6" s="221"/>
    </row>
    <row r="7" spans="1:26" s="239" customFormat="1" ht="28.5" customHeight="1" x14ac:dyDescent="0.3">
      <c r="A7" s="222">
        <f t="shared" ref="A7:A38" si="3">IF(B7,0,MATCH(H7,ВидыНагр,0))</f>
        <v>0</v>
      </c>
      <c r="B7" s="223" t="b">
        <f t="shared" ref="B7:B38" si="4">(COUNTIF(КлючОсень,D7)&lt;&gt;1)</f>
        <v>1</v>
      </c>
      <c r="C7" s="222">
        <f t="shared" ref="C7:C38" si="5">IF(COUNTA(E7:K7,Z7)&gt;0,1,0)+IF(COUNTA(L7:Y7)&gt;0,2,0)</f>
        <v>0</v>
      </c>
      <c r="D7" s="205" t="str">
        <f>CONCATENATE("$",TRIM(F7),"$",TRIM(G7),"$",H7,"$")</f>
        <v>$$$$</v>
      </c>
      <c r="E7" s="224"/>
      <c r="F7" s="225"/>
      <c r="G7" s="226"/>
      <c r="H7" s="227"/>
      <c r="I7" s="228"/>
      <c r="J7" s="228"/>
      <c r="K7" s="229"/>
      <c r="L7" s="230"/>
      <c r="M7" s="231"/>
      <c r="N7" s="232"/>
      <c r="O7" s="230"/>
      <c r="P7" s="231"/>
      <c r="Q7" s="232"/>
      <c r="R7" s="233"/>
      <c r="S7" s="234"/>
      <c r="T7" s="235"/>
      <c r="U7" s="233"/>
      <c r="V7" s="236"/>
      <c r="W7" s="234"/>
      <c r="X7" s="235"/>
      <c r="Y7" s="237"/>
      <c r="Z7" s="238"/>
    </row>
    <row r="8" spans="1:26" s="239" customFormat="1" ht="28.5" customHeight="1" x14ac:dyDescent="0.3">
      <c r="A8" s="222">
        <f t="shared" si="3"/>
        <v>0</v>
      </c>
      <c r="B8" s="223" t="b">
        <f t="shared" si="4"/>
        <v>1</v>
      </c>
      <c r="C8" s="222">
        <f t="shared" si="5"/>
        <v>0</v>
      </c>
      <c r="D8" s="205" t="str">
        <f t="shared" ref="D8:D71" si="6">CONCATENATE("$",TRIM(F8),"$",TRIM(G8),"$",H8,"$")</f>
        <v>$$$$</v>
      </c>
      <c r="E8" s="224"/>
      <c r="F8" s="225"/>
      <c r="G8" s="226"/>
      <c r="H8" s="227"/>
      <c r="I8" s="228"/>
      <c r="J8" s="228"/>
      <c r="K8" s="229"/>
      <c r="L8" s="230"/>
      <c r="M8" s="231"/>
      <c r="N8" s="232"/>
      <c r="O8" s="230"/>
      <c r="P8" s="231"/>
      <c r="Q8" s="232"/>
      <c r="R8" s="233"/>
      <c r="S8" s="234"/>
      <c r="T8" s="235"/>
      <c r="U8" s="233"/>
      <c r="V8" s="236"/>
      <c r="W8" s="234"/>
      <c r="X8" s="235"/>
      <c r="Y8" s="237"/>
      <c r="Z8" s="238"/>
    </row>
    <row r="9" spans="1:26" s="239" customFormat="1" ht="28.5" customHeight="1" x14ac:dyDescent="0.3">
      <c r="A9" s="222">
        <f t="shared" si="3"/>
        <v>0</v>
      </c>
      <c r="B9" s="223" t="b">
        <f t="shared" si="4"/>
        <v>1</v>
      </c>
      <c r="C9" s="222">
        <f t="shared" si="5"/>
        <v>0</v>
      </c>
      <c r="D9" s="205" t="str">
        <f t="shared" si="6"/>
        <v>$$$$</v>
      </c>
      <c r="E9" s="224"/>
      <c r="F9" s="225"/>
      <c r="G9" s="226"/>
      <c r="H9" s="227"/>
      <c r="I9" s="228"/>
      <c r="J9" s="228"/>
      <c r="K9" s="229"/>
      <c r="L9" s="230"/>
      <c r="M9" s="231"/>
      <c r="N9" s="232"/>
      <c r="O9" s="230"/>
      <c r="P9" s="231"/>
      <c r="Q9" s="232"/>
      <c r="R9" s="233"/>
      <c r="S9" s="234"/>
      <c r="T9" s="235"/>
      <c r="U9" s="233"/>
      <c r="V9" s="236"/>
      <c r="W9" s="234"/>
      <c r="X9" s="235"/>
      <c r="Y9" s="237"/>
      <c r="Z9" s="238"/>
    </row>
    <row r="10" spans="1:26" s="239" customFormat="1" ht="28.5" customHeight="1" x14ac:dyDescent="0.3">
      <c r="A10" s="222">
        <f t="shared" si="3"/>
        <v>0</v>
      </c>
      <c r="B10" s="223" t="b">
        <f t="shared" si="4"/>
        <v>1</v>
      </c>
      <c r="C10" s="222">
        <f t="shared" si="5"/>
        <v>0</v>
      </c>
      <c r="D10" s="205" t="str">
        <f t="shared" si="6"/>
        <v>$$$$</v>
      </c>
      <c r="E10" s="224"/>
      <c r="F10" s="225"/>
      <c r="G10" s="226"/>
      <c r="H10" s="227"/>
      <c r="I10" s="228"/>
      <c r="J10" s="228"/>
      <c r="K10" s="229"/>
      <c r="L10" s="230"/>
      <c r="M10" s="231"/>
      <c r="N10" s="232"/>
      <c r="O10" s="230"/>
      <c r="P10" s="231"/>
      <c r="Q10" s="232"/>
      <c r="R10" s="233"/>
      <c r="S10" s="234"/>
      <c r="T10" s="235"/>
      <c r="U10" s="233"/>
      <c r="V10" s="236"/>
      <c r="W10" s="234"/>
      <c r="X10" s="235"/>
      <c r="Y10" s="237"/>
      <c r="Z10" s="238"/>
    </row>
    <row r="11" spans="1:26" s="239" customFormat="1" ht="28.5" customHeight="1" x14ac:dyDescent="0.3">
      <c r="A11" s="222">
        <f t="shared" si="3"/>
        <v>0</v>
      </c>
      <c r="B11" s="223" t="b">
        <f t="shared" si="4"/>
        <v>1</v>
      </c>
      <c r="C11" s="222">
        <f t="shared" si="5"/>
        <v>0</v>
      </c>
      <c r="D11" s="205" t="str">
        <f t="shared" si="6"/>
        <v>$$$$</v>
      </c>
      <c r="E11" s="224"/>
      <c r="F11" s="225"/>
      <c r="G11" s="226"/>
      <c r="H11" s="227"/>
      <c r="I11" s="228"/>
      <c r="J11" s="228"/>
      <c r="K11" s="229"/>
      <c r="L11" s="230"/>
      <c r="M11" s="231"/>
      <c r="N11" s="232"/>
      <c r="O11" s="230"/>
      <c r="P11" s="231"/>
      <c r="Q11" s="232"/>
      <c r="R11" s="233"/>
      <c r="S11" s="234"/>
      <c r="T11" s="235"/>
      <c r="U11" s="233"/>
      <c r="V11" s="236"/>
      <c r="W11" s="234"/>
      <c r="X11" s="235"/>
      <c r="Y11" s="237"/>
      <c r="Z11" s="238"/>
    </row>
    <row r="12" spans="1:26" s="239" customFormat="1" ht="28.5" customHeight="1" x14ac:dyDescent="0.3">
      <c r="A12" s="222">
        <f t="shared" si="3"/>
        <v>0</v>
      </c>
      <c r="B12" s="223" t="b">
        <f t="shared" si="4"/>
        <v>1</v>
      </c>
      <c r="C12" s="222">
        <f t="shared" si="5"/>
        <v>0</v>
      </c>
      <c r="D12" s="205" t="str">
        <f t="shared" si="6"/>
        <v>$$$$</v>
      </c>
      <c r="E12" s="224"/>
      <c r="F12" s="225"/>
      <c r="G12" s="226"/>
      <c r="H12" s="227"/>
      <c r="I12" s="228"/>
      <c r="J12" s="228"/>
      <c r="K12" s="229"/>
      <c r="L12" s="230"/>
      <c r="M12" s="231"/>
      <c r="N12" s="232"/>
      <c r="O12" s="230"/>
      <c r="P12" s="231"/>
      <c r="Q12" s="232"/>
      <c r="R12" s="233"/>
      <c r="S12" s="234"/>
      <c r="T12" s="235"/>
      <c r="U12" s="233"/>
      <c r="V12" s="236"/>
      <c r="W12" s="234"/>
      <c r="X12" s="235"/>
      <c r="Y12" s="237"/>
      <c r="Z12" s="238"/>
    </row>
    <row r="13" spans="1:26" s="239" customFormat="1" ht="28.5" customHeight="1" x14ac:dyDescent="0.3">
      <c r="A13" s="222">
        <f t="shared" si="3"/>
        <v>0</v>
      </c>
      <c r="B13" s="223" t="b">
        <f t="shared" si="4"/>
        <v>1</v>
      </c>
      <c r="C13" s="222">
        <f t="shared" si="5"/>
        <v>0</v>
      </c>
      <c r="D13" s="205" t="str">
        <f t="shared" si="6"/>
        <v>$$$$</v>
      </c>
      <c r="E13" s="224"/>
      <c r="F13" s="225"/>
      <c r="G13" s="226"/>
      <c r="H13" s="227"/>
      <c r="I13" s="228"/>
      <c r="J13" s="228"/>
      <c r="K13" s="229"/>
      <c r="L13" s="230"/>
      <c r="M13" s="231"/>
      <c r="N13" s="232"/>
      <c r="O13" s="230"/>
      <c r="P13" s="231"/>
      <c r="Q13" s="232"/>
      <c r="R13" s="233"/>
      <c r="S13" s="234"/>
      <c r="T13" s="235"/>
      <c r="U13" s="233"/>
      <c r="V13" s="236"/>
      <c r="W13" s="234"/>
      <c r="X13" s="235"/>
      <c r="Y13" s="237"/>
      <c r="Z13" s="238"/>
    </row>
    <row r="14" spans="1:26" s="239" customFormat="1" ht="28.5" customHeight="1" x14ac:dyDescent="0.3">
      <c r="A14" s="222">
        <f t="shared" si="3"/>
        <v>0</v>
      </c>
      <c r="B14" s="223" t="b">
        <f t="shared" si="4"/>
        <v>1</v>
      </c>
      <c r="C14" s="222">
        <f t="shared" si="5"/>
        <v>0</v>
      </c>
      <c r="D14" s="205" t="str">
        <f t="shared" si="6"/>
        <v>$$$$</v>
      </c>
      <c r="E14" s="224"/>
      <c r="F14" s="225"/>
      <c r="G14" s="226"/>
      <c r="H14" s="227"/>
      <c r="I14" s="228"/>
      <c r="J14" s="228"/>
      <c r="K14" s="229"/>
      <c r="L14" s="230"/>
      <c r="M14" s="231"/>
      <c r="N14" s="232"/>
      <c r="O14" s="230"/>
      <c r="P14" s="231"/>
      <c r="Q14" s="232"/>
      <c r="R14" s="233"/>
      <c r="S14" s="234"/>
      <c r="T14" s="235"/>
      <c r="U14" s="233"/>
      <c r="V14" s="236"/>
      <c r="W14" s="234"/>
      <c r="X14" s="235"/>
      <c r="Y14" s="237"/>
      <c r="Z14" s="238"/>
    </row>
    <row r="15" spans="1:26" s="239" customFormat="1" ht="28.5" customHeight="1" x14ac:dyDescent="0.3">
      <c r="A15" s="222">
        <f t="shared" si="3"/>
        <v>0</v>
      </c>
      <c r="B15" s="223" t="b">
        <f t="shared" si="4"/>
        <v>1</v>
      </c>
      <c r="C15" s="222">
        <f t="shared" si="5"/>
        <v>0</v>
      </c>
      <c r="D15" s="205" t="str">
        <f t="shared" si="6"/>
        <v>$$$$</v>
      </c>
      <c r="E15" s="224"/>
      <c r="F15" s="225"/>
      <c r="G15" s="226"/>
      <c r="H15" s="227"/>
      <c r="I15" s="228"/>
      <c r="J15" s="228"/>
      <c r="K15" s="229"/>
      <c r="L15" s="230"/>
      <c r="M15" s="231"/>
      <c r="N15" s="232"/>
      <c r="O15" s="230"/>
      <c r="P15" s="231"/>
      <c r="Q15" s="232"/>
      <c r="R15" s="233"/>
      <c r="S15" s="234"/>
      <c r="T15" s="235"/>
      <c r="U15" s="233"/>
      <c r="V15" s="236"/>
      <c r="W15" s="234"/>
      <c r="X15" s="235"/>
      <c r="Y15" s="237"/>
      <c r="Z15" s="238"/>
    </row>
    <row r="16" spans="1:26" s="239" customFormat="1" ht="28.5" customHeight="1" x14ac:dyDescent="0.3">
      <c r="A16" s="222">
        <f t="shared" si="3"/>
        <v>0</v>
      </c>
      <c r="B16" s="223" t="b">
        <f t="shared" si="4"/>
        <v>1</v>
      </c>
      <c r="C16" s="222">
        <f t="shared" si="5"/>
        <v>0</v>
      </c>
      <c r="D16" s="205" t="str">
        <f t="shared" si="6"/>
        <v>$$$$</v>
      </c>
      <c r="E16" s="224"/>
      <c r="F16" s="225"/>
      <c r="G16" s="226"/>
      <c r="H16" s="227"/>
      <c r="I16" s="228"/>
      <c r="J16" s="228"/>
      <c r="K16" s="229"/>
      <c r="L16" s="230"/>
      <c r="M16" s="231"/>
      <c r="N16" s="232"/>
      <c r="O16" s="230"/>
      <c r="P16" s="231"/>
      <c r="Q16" s="232"/>
      <c r="R16" s="233"/>
      <c r="S16" s="234"/>
      <c r="T16" s="235"/>
      <c r="U16" s="233"/>
      <c r="V16" s="236"/>
      <c r="W16" s="234"/>
      <c r="X16" s="235"/>
      <c r="Y16" s="237"/>
      <c r="Z16" s="238"/>
    </row>
    <row r="17" spans="1:26" s="239" customFormat="1" ht="28.5" customHeight="1" x14ac:dyDescent="0.3">
      <c r="A17" s="222">
        <f t="shared" si="3"/>
        <v>0</v>
      </c>
      <c r="B17" s="223" t="b">
        <f t="shared" si="4"/>
        <v>1</v>
      </c>
      <c r="C17" s="222">
        <f t="shared" si="5"/>
        <v>0</v>
      </c>
      <c r="D17" s="205" t="str">
        <f t="shared" si="6"/>
        <v>$$$$</v>
      </c>
      <c r="E17" s="224"/>
      <c r="F17" s="225"/>
      <c r="G17" s="226"/>
      <c r="H17" s="227"/>
      <c r="I17" s="228"/>
      <c r="J17" s="228"/>
      <c r="K17" s="229"/>
      <c r="L17" s="230"/>
      <c r="M17" s="231"/>
      <c r="N17" s="232"/>
      <c r="O17" s="230"/>
      <c r="P17" s="231"/>
      <c r="Q17" s="232"/>
      <c r="R17" s="233"/>
      <c r="S17" s="234"/>
      <c r="T17" s="235"/>
      <c r="U17" s="233"/>
      <c r="V17" s="236"/>
      <c r="W17" s="234"/>
      <c r="X17" s="235"/>
      <c r="Y17" s="237"/>
      <c r="Z17" s="238"/>
    </row>
    <row r="18" spans="1:26" s="239" customFormat="1" ht="28.5" customHeight="1" x14ac:dyDescent="0.3">
      <c r="A18" s="222">
        <f t="shared" si="3"/>
        <v>0</v>
      </c>
      <c r="B18" s="223" t="b">
        <f t="shared" si="4"/>
        <v>1</v>
      </c>
      <c r="C18" s="222">
        <f t="shared" si="5"/>
        <v>0</v>
      </c>
      <c r="D18" s="205" t="str">
        <f t="shared" si="6"/>
        <v>$$$$</v>
      </c>
      <c r="E18" s="224"/>
      <c r="F18" s="225"/>
      <c r="G18" s="226"/>
      <c r="H18" s="227"/>
      <c r="I18" s="228"/>
      <c r="J18" s="228"/>
      <c r="K18" s="229"/>
      <c r="L18" s="230"/>
      <c r="M18" s="231"/>
      <c r="N18" s="232"/>
      <c r="O18" s="230"/>
      <c r="P18" s="231"/>
      <c r="Q18" s="232"/>
      <c r="R18" s="233"/>
      <c r="S18" s="234"/>
      <c r="T18" s="235"/>
      <c r="U18" s="233"/>
      <c r="V18" s="236"/>
      <c r="W18" s="234"/>
      <c r="X18" s="235"/>
      <c r="Y18" s="237"/>
      <c r="Z18" s="238"/>
    </row>
    <row r="19" spans="1:26" s="239" customFormat="1" ht="28.5" customHeight="1" x14ac:dyDescent="0.3">
      <c r="A19" s="222">
        <f t="shared" si="3"/>
        <v>0</v>
      </c>
      <c r="B19" s="223" t="b">
        <f t="shared" si="4"/>
        <v>1</v>
      </c>
      <c r="C19" s="222">
        <f t="shared" si="5"/>
        <v>0</v>
      </c>
      <c r="D19" s="205" t="str">
        <f t="shared" si="6"/>
        <v>$$$$</v>
      </c>
      <c r="E19" s="224"/>
      <c r="F19" s="225"/>
      <c r="G19" s="226"/>
      <c r="H19" s="227"/>
      <c r="I19" s="228"/>
      <c r="J19" s="228"/>
      <c r="K19" s="229"/>
      <c r="L19" s="230"/>
      <c r="M19" s="231"/>
      <c r="N19" s="232"/>
      <c r="O19" s="230"/>
      <c r="P19" s="231"/>
      <c r="Q19" s="232"/>
      <c r="R19" s="233"/>
      <c r="S19" s="234"/>
      <c r="T19" s="235"/>
      <c r="U19" s="233"/>
      <c r="V19" s="236"/>
      <c r="W19" s="234"/>
      <c r="X19" s="235"/>
      <c r="Y19" s="237"/>
      <c r="Z19" s="238"/>
    </row>
    <row r="20" spans="1:26" s="239" customFormat="1" ht="28.5" customHeight="1" x14ac:dyDescent="0.3">
      <c r="A20" s="222">
        <f t="shared" si="3"/>
        <v>0</v>
      </c>
      <c r="B20" s="223" t="b">
        <f t="shared" si="4"/>
        <v>1</v>
      </c>
      <c r="C20" s="222">
        <f t="shared" si="5"/>
        <v>0</v>
      </c>
      <c r="D20" s="205" t="str">
        <f t="shared" si="6"/>
        <v>$$$$</v>
      </c>
      <c r="E20" s="224"/>
      <c r="F20" s="225"/>
      <c r="G20" s="226"/>
      <c r="H20" s="227"/>
      <c r="I20" s="228"/>
      <c r="J20" s="228"/>
      <c r="K20" s="229"/>
      <c r="L20" s="230"/>
      <c r="M20" s="231"/>
      <c r="N20" s="232"/>
      <c r="O20" s="230"/>
      <c r="P20" s="231"/>
      <c r="Q20" s="232"/>
      <c r="R20" s="233"/>
      <c r="S20" s="234"/>
      <c r="T20" s="235"/>
      <c r="U20" s="233"/>
      <c r="V20" s="236"/>
      <c r="W20" s="234"/>
      <c r="X20" s="235"/>
      <c r="Y20" s="237"/>
      <c r="Z20" s="238"/>
    </row>
    <row r="21" spans="1:26" s="239" customFormat="1" ht="28.5" customHeight="1" x14ac:dyDescent="0.3">
      <c r="A21" s="222">
        <f t="shared" si="3"/>
        <v>0</v>
      </c>
      <c r="B21" s="223" t="b">
        <f t="shared" si="4"/>
        <v>1</v>
      </c>
      <c r="C21" s="222">
        <f t="shared" si="5"/>
        <v>0</v>
      </c>
      <c r="D21" s="205" t="str">
        <f t="shared" si="6"/>
        <v>$$$$</v>
      </c>
      <c r="E21" s="224"/>
      <c r="F21" s="225"/>
      <c r="G21" s="226"/>
      <c r="H21" s="227"/>
      <c r="I21" s="228"/>
      <c r="J21" s="228"/>
      <c r="K21" s="229"/>
      <c r="L21" s="230"/>
      <c r="M21" s="231"/>
      <c r="N21" s="232"/>
      <c r="O21" s="230"/>
      <c r="P21" s="231"/>
      <c r="Q21" s="232"/>
      <c r="R21" s="233"/>
      <c r="S21" s="234"/>
      <c r="T21" s="235"/>
      <c r="U21" s="233"/>
      <c r="V21" s="236"/>
      <c r="W21" s="234"/>
      <c r="X21" s="235"/>
      <c r="Y21" s="237"/>
      <c r="Z21" s="238"/>
    </row>
    <row r="22" spans="1:26" s="239" customFormat="1" ht="28.5" customHeight="1" x14ac:dyDescent="0.3">
      <c r="A22" s="222">
        <f t="shared" si="3"/>
        <v>0</v>
      </c>
      <c r="B22" s="223" t="b">
        <f t="shared" si="4"/>
        <v>1</v>
      </c>
      <c r="C22" s="222">
        <f t="shared" si="5"/>
        <v>0</v>
      </c>
      <c r="D22" s="205" t="str">
        <f t="shared" si="6"/>
        <v>$$$$</v>
      </c>
      <c r="E22" s="224"/>
      <c r="F22" s="225"/>
      <c r="G22" s="226"/>
      <c r="H22" s="227"/>
      <c r="I22" s="228"/>
      <c r="J22" s="228"/>
      <c r="K22" s="229"/>
      <c r="L22" s="230"/>
      <c r="M22" s="231"/>
      <c r="N22" s="232"/>
      <c r="O22" s="230"/>
      <c r="P22" s="231"/>
      <c r="Q22" s="232"/>
      <c r="R22" s="233"/>
      <c r="S22" s="234"/>
      <c r="T22" s="235"/>
      <c r="U22" s="233"/>
      <c r="V22" s="236"/>
      <c r="W22" s="234"/>
      <c r="X22" s="235"/>
      <c r="Y22" s="237"/>
      <c r="Z22" s="238"/>
    </row>
    <row r="23" spans="1:26" s="239" customFormat="1" ht="28.5" customHeight="1" x14ac:dyDescent="0.3">
      <c r="A23" s="222">
        <f t="shared" si="3"/>
        <v>0</v>
      </c>
      <c r="B23" s="223" t="b">
        <f t="shared" si="4"/>
        <v>1</v>
      </c>
      <c r="C23" s="222">
        <f t="shared" si="5"/>
        <v>0</v>
      </c>
      <c r="D23" s="205" t="str">
        <f t="shared" si="6"/>
        <v>$$$$</v>
      </c>
      <c r="E23" s="224"/>
      <c r="F23" s="225"/>
      <c r="G23" s="226"/>
      <c r="H23" s="227"/>
      <c r="I23" s="228"/>
      <c r="J23" s="228"/>
      <c r="K23" s="229"/>
      <c r="L23" s="230"/>
      <c r="M23" s="231"/>
      <c r="N23" s="232"/>
      <c r="O23" s="230"/>
      <c r="P23" s="231"/>
      <c r="Q23" s="232"/>
      <c r="R23" s="233"/>
      <c r="S23" s="234"/>
      <c r="T23" s="235"/>
      <c r="U23" s="233"/>
      <c r="V23" s="236"/>
      <c r="W23" s="234"/>
      <c r="X23" s="235"/>
      <c r="Y23" s="237"/>
      <c r="Z23" s="238"/>
    </row>
    <row r="24" spans="1:26" s="239" customFormat="1" ht="28.5" customHeight="1" x14ac:dyDescent="0.3">
      <c r="A24" s="222">
        <f t="shared" si="3"/>
        <v>0</v>
      </c>
      <c r="B24" s="223" t="b">
        <f t="shared" si="4"/>
        <v>1</v>
      </c>
      <c r="C24" s="222">
        <f t="shared" si="5"/>
        <v>0</v>
      </c>
      <c r="D24" s="205" t="str">
        <f t="shared" si="6"/>
        <v>$$$$</v>
      </c>
      <c r="E24" s="224"/>
      <c r="F24" s="225"/>
      <c r="G24" s="226"/>
      <c r="H24" s="227"/>
      <c r="I24" s="228"/>
      <c r="J24" s="228"/>
      <c r="K24" s="229"/>
      <c r="L24" s="230"/>
      <c r="M24" s="231"/>
      <c r="N24" s="232"/>
      <c r="O24" s="230"/>
      <c r="P24" s="231"/>
      <c r="Q24" s="232"/>
      <c r="R24" s="233"/>
      <c r="S24" s="234"/>
      <c r="T24" s="235"/>
      <c r="U24" s="233"/>
      <c r="V24" s="236"/>
      <c r="W24" s="234"/>
      <c r="X24" s="235"/>
      <c r="Y24" s="237"/>
      <c r="Z24" s="238"/>
    </row>
    <row r="25" spans="1:26" s="239" customFormat="1" ht="28.5" customHeight="1" x14ac:dyDescent="0.3">
      <c r="A25" s="222">
        <f t="shared" si="3"/>
        <v>0</v>
      </c>
      <c r="B25" s="223" t="b">
        <f t="shared" si="4"/>
        <v>1</v>
      </c>
      <c r="C25" s="222">
        <f t="shared" si="5"/>
        <v>0</v>
      </c>
      <c r="D25" s="205" t="str">
        <f t="shared" si="6"/>
        <v>$$$$</v>
      </c>
      <c r="E25" s="224"/>
      <c r="F25" s="225"/>
      <c r="G25" s="226"/>
      <c r="H25" s="227"/>
      <c r="I25" s="228"/>
      <c r="J25" s="228"/>
      <c r="K25" s="229"/>
      <c r="L25" s="230"/>
      <c r="M25" s="231"/>
      <c r="N25" s="232"/>
      <c r="O25" s="230"/>
      <c r="P25" s="231"/>
      <c r="Q25" s="232"/>
      <c r="R25" s="233"/>
      <c r="S25" s="234"/>
      <c r="T25" s="235"/>
      <c r="U25" s="233"/>
      <c r="V25" s="236"/>
      <c r="W25" s="234"/>
      <c r="X25" s="235"/>
      <c r="Y25" s="237"/>
      <c r="Z25" s="238"/>
    </row>
    <row r="26" spans="1:26" s="239" customFormat="1" ht="28.5" customHeight="1" x14ac:dyDescent="0.3">
      <c r="A26" s="222">
        <f t="shared" si="3"/>
        <v>0</v>
      </c>
      <c r="B26" s="223" t="b">
        <f t="shared" si="4"/>
        <v>1</v>
      </c>
      <c r="C26" s="222">
        <f t="shared" si="5"/>
        <v>0</v>
      </c>
      <c r="D26" s="205" t="str">
        <f t="shared" si="6"/>
        <v>$$$$</v>
      </c>
      <c r="E26" s="224"/>
      <c r="F26" s="225"/>
      <c r="G26" s="226"/>
      <c r="H26" s="227"/>
      <c r="I26" s="228"/>
      <c r="J26" s="228"/>
      <c r="K26" s="229"/>
      <c r="L26" s="230"/>
      <c r="M26" s="231"/>
      <c r="N26" s="232"/>
      <c r="O26" s="230"/>
      <c r="P26" s="231"/>
      <c r="Q26" s="232"/>
      <c r="R26" s="233"/>
      <c r="S26" s="234"/>
      <c r="T26" s="235"/>
      <c r="U26" s="233"/>
      <c r="V26" s="236"/>
      <c r="W26" s="234"/>
      <c r="X26" s="235"/>
      <c r="Y26" s="237"/>
      <c r="Z26" s="238"/>
    </row>
    <row r="27" spans="1:26" s="239" customFormat="1" ht="28.5" customHeight="1" x14ac:dyDescent="0.3">
      <c r="A27" s="222">
        <f t="shared" si="3"/>
        <v>0</v>
      </c>
      <c r="B27" s="223" t="b">
        <f t="shared" si="4"/>
        <v>1</v>
      </c>
      <c r="C27" s="222">
        <f t="shared" si="5"/>
        <v>0</v>
      </c>
      <c r="D27" s="205" t="str">
        <f t="shared" si="6"/>
        <v>$$$$</v>
      </c>
      <c r="E27" s="224"/>
      <c r="F27" s="225"/>
      <c r="G27" s="226"/>
      <c r="H27" s="227"/>
      <c r="I27" s="228"/>
      <c r="J27" s="228"/>
      <c r="K27" s="229"/>
      <c r="L27" s="230"/>
      <c r="M27" s="231"/>
      <c r="N27" s="232"/>
      <c r="O27" s="230"/>
      <c r="P27" s="231"/>
      <c r="Q27" s="232"/>
      <c r="R27" s="233"/>
      <c r="S27" s="234"/>
      <c r="T27" s="235"/>
      <c r="U27" s="233"/>
      <c r="V27" s="236"/>
      <c r="W27" s="234"/>
      <c r="X27" s="235"/>
      <c r="Y27" s="237"/>
      <c r="Z27" s="238"/>
    </row>
    <row r="28" spans="1:26" s="239" customFormat="1" ht="28.5" customHeight="1" x14ac:dyDescent="0.3">
      <c r="A28" s="222">
        <f t="shared" si="3"/>
        <v>0</v>
      </c>
      <c r="B28" s="223" t="b">
        <f t="shared" si="4"/>
        <v>1</v>
      </c>
      <c r="C28" s="222">
        <f t="shared" si="5"/>
        <v>0</v>
      </c>
      <c r="D28" s="205" t="str">
        <f t="shared" si="6"/>
        <v>$$$$</v>
      </c>
      <c r="E28" s="224"/>
      <c r="F28" s="225"/>
      <c r="G28" s="226"/>
      <c r="H28" s="227"/>
      <c r="I28" s="228"/>
      <c r="J28" s="228"/>
      <c r="K28" s="229"/>
      <c r="L28" s="230"/>
      <c r="M28" s="231"/>
      <c r="N28" s="232"/>
      <c r="O28" s="230"/>
      <c r="P28" s="231"/>
      <c r="Q28" s="232"/>
      <c r="R28" s="233"/>
      <c r="S28" s="234"/>
      <c r="T28" s="235"/>
      <c r="U28" s="233"/>
      <c r="V28" s="236"/>
      <c r="W28" s="234"/>
      <c r="X28" s="235"/>
      <c r="Y28" s="237"/>
      <c r="Z28" s="238"/>
    </row>
    <row r="29" spans="1:26" s="239" customFormat="1" ht="28.5" customHeight="1" x14ac:dyDescent="0.3">
      <c r="A29" s="222">
        <f t="shared" si="3"/>
        <v>0</v>
      </c>
      <c r="B29" s="223" t="b">
        <f t="shared" si="4"/>
        <v>1</v>
      </c>
      <c r="C29" s="222">
        <f t="shared" si="5"/>
        <v>0</v>
      </c>
      <c r="D29" s="205" t="str">
        <f t="shared" si="6"/>
        <v>$$$$</v>
      </c>
      <c r="E29" s="224"/>
      <c r="F29" s="225"/>
      <c r="G29" s="226"/>
      <c r="H29" s="227"/>
      <c r="I29" s="228"/>
      <c r="J29" s="228"/>
      <c r="K29" s="229"/>
      <c r="L29" s="230"/>
      <c r="M29" s="231"/>
      <c r="N29" s="232"/>
      <c r="O29" s="230"/>
      <c r="P29" s="231"/>
      <c r="Q29" s="232"/>
      <c r="R29" s="233"/>
      <c r="S29" s="234"/>
      <c r="T29" s="235"/>
      <c r="U29" s="233"/>
      <c r="V29" s="236"/>
      <c r="W29" s="234"/>
      <c r="X29" s="235"/>
      <c r="Y29" s="237"/>
      <c r="Z29" s="238"/>
    </row>
    <row r="30" spans="1:26" s="239" customFormat="1" ht="28.5" customHeight="1" x14ac:dyDescent="0.3">
      <c r="A30" s="222">
        <f t="shared" si="3"/>
        <v>0</v>
      </c>
      <c r="B30" s="223" t="b">
        <f t="shared" si="4"/>
        <v>1</v>
      </c>
      <c r="C30" s="222">
        <f t="shared" si="5"/>
        <v>0</v>
      </c>
      <c r="D30" s="205" t="str">
        <f t="shared" si="6"/>
        <v>$$$$</v>
      </c>
      <c r="E30" s="224"/>
      <c r="F30" s="225"/>
      <c r="G30" s="226"/>
      <c r="H30" s="227"/>
      <c r="I30" s="228"/>
      <c r="J30" s="228"/>
      <c r="K30" s="229"/>
      <c r="L30" s="230"/>
      <c r="M30" s="231"/>
      <c r="N30" s="232"/>
      <c r="O30" s="230"/>
      <c r="P30" s="231"/>
      <c r="Q30" s="232"/>
      <c r="R30" s="233"/>
      <c r="S30" s="234"/>
      <c r="T30" s="235"/>
      <c r="U30" s="233"/>
      <c r="V30" s="236"/>
      <c r="W30" s="234"/>
      <c r="X30" s="235"/>
      <c r="Y30" s="237"/>
      <c r="Z30" s="238"/>
    </row>
    <row r="31" spans="1:26" s="239" customFormat="1" ht="28.5" customHeight="1" x14ac:dyDescent="0.3">
      <c r="A31" s="222">
        <f t="shared" si="3"/>
        <v>0</v>
      </c>
      <c r="B31" s="223" t="b">
        <f t="shared" si="4"/>
        <v>1</v>
      </c>
      <c r="C31" s="222">
        <f t="shared" si="5"/>
        <v>0</v>
      </c>
      <c r="D31" s="205" t="str">
        <f t="shared" si="6"/>
        <v>$$$$</v>
      </c>
      <c r="E31" s="224"/>
      <c r="F31" s="225"/>
      <c r="G31" s="226"/>
      <c r="H31" s="227"/>
      <c r="I31" s="228"/>
      <c r="J31" s="228"/>
      <c r="K31" s="229"/>
      <c r="L31" s="230"/>
      <c r="M31" s="231"/>
      <c r="N31" s="232"/>
      <c r="O31" s="230"/>
      <c r="P31" s="231"/>
      <c r="Q31" s="232"/>
      <c r="R31" s="233"/>
      <c r="S31" s="234"/>
      <c r="T31" s="235"/>
      <c r="U31" s="233"/>
      <c r="V31" s="236"/>
      <c r="W31" s="234"/>
      <c r="X31" s="235"/>
      <c r="Y31" s="237"/>
      <c r="Z31" s="238"/>
    </row>
    <row r="32" spans="1:26" s="239" customFormat="1" ht="28.5" customHeight="1" x14ac:dyDescent="0.3">
      <c r="A32" s="222">
        <f t="shared" si="3"/>
        <v>0</v>
      </c>
      <c r="B32" s="223" t="b">
        <f t="shared" si="4"/>
        <v>1</v>
      </c>
      <c r="C32" s="222">
        <f t="shared" si="5"/>
        <v>0</v>
      </c>
      <c r="D32" s="205" t="str">
        <f t="shared" si="6"/>
        <v>$$$$</v>
      </c>
      <c r="E32" s="224"/>
      <c r="F32" s="225"/>
      <c r="G32" s="226"/>
      <c r="H32" s="227"/>
      <c r="I32" s="228"/>
      <c r="J32" s="228"/>
      <c r="K32" s="229"/>
      <c r="L32" s="230"/>
      <c r="M32" s="231"/>
      <c r="N32" s="232"/>
      <c r="O32" s="230"/>
      <c r="P32" s="231"/>
      <c r="Q32" s="232"/>
      <c r="R32" s="233"/>
      <c r="S32" s="234"/>
      <c r="T32" s="235"/>
      <c r="U32" s="233"/>
      <c r="V32" s="236"/>
      <c r="W32" s="234"/>
      <c r="X32" s="235"/>
      <c r="Y32" s="237"/>
      <c r="Z32" s="238"/>
    </row>
    <row r="33" spans="1:26" s="239" customFormat="1" ht="28.5" customHeight="1" x14ac:dyDescent="0.3">
      <c r="A33" s="222">
        <f t="shared" si="3"/>
        <v>0</v>
      </c>
      <c r="B33" s="223" t="b">
        <f t="shared" si="4"/>
        <v>1</v>
      </c>
      <c r="C33" s="222">
        <f t="shared" si="5"/>
        <v>0</v>
      </c>
      <c r="D33" s="205" t="str">
        <f t="shared" si="6"/>
        <v>$$$$</v>
      </c>
      <c r="E33" s="224"/>
      <c r="F33" s="225"/>
      <c r="G33" s="226"/>
      <c r="H33" s="227"/>
      <c r="I33" s="228"/>
      <c r="J33" s="228"/>
      <c r="K33" s="229"/>
      <c r="L33" s="230"/>
      <c r="M33" s="231"/>
      <c r="N33" s="232"/>
      <c r="O33" s="230"/>
      <c r="P33" s="231"/>
      <c r="Q33" s="232"/>
      <c r="R33" s="233"/>
      <c r="S33" s="234"/>
      <c r="T33" s="235"/>
      <c r="U33" s="233"/>
      <c r="V33" s="236"/>
      <c r="W33" s="234"/>
      <c r="X33" s="235"/>
      <c r="Y33" s="237"/>
      <c r="Z33" s="238"/>
    </row>
    <row r="34" spans="1:26" s="239" customFormat="1" ht="28.5" customHeight="1" x14ac:dyDescent="0.3">
      <c r="A34" s="222">
        <f t="shared" si="3"/>
        <v>0</v>
      </c>
      <c r="B34" s="223" t="b">
        <f t="shared" si="4"/>
        <v>1</v>
      </c>
      <c r="C34" s="222">
        <f t="shared" si="5"/>
        <v>0</v>
      </c>
      <c r="D34" s="205" t="str">
        <f t="shared" si="6"/>
        <v>$$$$</v>
      </c>
      <c r="E34" s="224"/>
      <c r="F34" s="225"/>
      <c r="G34" s="226"/>
      <c r="H34" s="227"/>
      <c r="I34" s="228"/>
      <c r="J34" s="228"/>
      <c r="K34" s="229"/>
      <c r="L34" s="230"/>
      <c r="M34" s="231"/>
      <c r="N34" s="232"/>
      <c r="O34" s="230"/>
      <c r="P34" s="231"/>
      <c r="Q34" s="232"/>
      <c r="R34" s="233"/>
      <c r="S34" s="234"/>
      <c r="T34" s="235"/>
      <c r="U34" s="233"/>
      <c r="V34" s="236"/>
      <c r="W34" s="234"/>
      <c r="X34" s="235"/>
      <c r="Y34" s="237"/>
      <c r="Z34" s="238"/>
    </row>
    <row r="35" spans="1:26" s="239" customFormat="1" ht="28.5" customHeight="1" x14ac:dyDescent="0.3">
      <c r="A35" s="222">
        <f t="shared" si="3"/>
        <v>0</v>
      </c>
      <c r="B35" s="223" t="b">
        <f t="shared" si="4"/>
        <v>1</v>
      </c>
      <c r="C35" s="222">
        <f t="shared" si="5"/>
        <v>0</v>
      </c>
      <c r="D35" s="205" t="str">
        <f t="shared" si="6"/>
        <v>$$$$</v>
      </c>
      <c r="E35" s="224"/>
      <c r="F35" s="225"/>
      <c r="G35" s="226"/>
      <c r="H35" s="227"/>
      <c r="I35" s="228"/>
      <c r="J35" s="228"/>
      <c r="K35" s="229"/>
      <c r="L35" s="230"/>
      <c r="M35" s="231"/>
      <c r="N35" s="232"/>
      <c r="O35" s="230"/>
      <c r="P35" s="231"/>
      <c r="Q35" s="232"/>
      <c r="R35" s="233"/>
      <c r="S35" s="234"/>
      <c r="T35" s="235"/>
      <c r="U35" s="233"/>
      <c r="V35" s="236"/>
      <c r="W35" s="234"/>
      <c r="X35" s="235"/>
      <c r="Y35" s="237"/>
      <c r="Z35" s="238"/>
    </row>
    <row r="36" spans="1:26" s="239" customFormat="1" ht="28.5" customHeight="1" x14ac:dyDescent="0.3">
      <c r="A36" s="222">
        <f t="shared" si="3"/>
        <v>0</v>
      </c>
      <c r="B36" s="223" t="b">
        <f t="shared" si="4"/>
        <v>1</v>
      </c>
      <c r="C36" s="222">
        <f t="shared" si="5"/>
        <v>0</v>
      </c>
      <c r="D36" s="205" t="str">
        <f t="shared" si="6"/>
        <v>$$$$</v>
      </c>
      <c r="E36" s="224"/>
      <c r="F36" s="225"/>
      <c r="G36" s="226"/>
      <c r="H36" s="227"/>
      <c r="I36" s="228"/>
      <c r="J36" s="228"/>
      <c r="K36" s="229"/>
      <c r="L36" s="230"/>
      <c r="M36" s="231"/>
      <c r="N36" s="232"/>
      <c r="O36" s="230"/>
      <c r="P36" s="231"/>
      <c r="Q36" s="232"/>
      <c r="R36" s="233"/>
      <c r="S36" s="234"/>
      <c r="T36" s="235"/>
      <c r="U36" s="233"/>
      <c r="V36" s="236"/>
      <c r="W36" s="234"/>
      <c r="X36" s="235"/>
      <c r="Y36" s="237"/>
      <c r="Z36" s="238"/>
    </row>
    <row r="37" spans="1:26" s="239" customFormat="1" ht="28.5" customHeight="1" x14ac:dyDescent="0.3">
      <c r="A37" s="222">
        <f t="shared" si="3"/>
        <v>0</v>
      </c>
      <c r="B37" s="223" t="b">
        <f t="shared" si="4"/>
        <v>1</v>
      </c>
      <c r="C37" s="222">
        <f t="shared" si="5"/>
        <v>0</v>
      </c>
      <c r="D37" s="205" t="str">
        <f t="shared" si="6"/>
        <v>$$$$</v>
      </c>
      <c r="E37" s="224"/>
      <c r="F37" s="225"/>
      <c r="G37" s="226"/>
      <c r="H37" s="227"/>
      <c r="I37" s="228"/>
      <c r="J37" s="228"/>
      <c r="K37" s="229"/>
      <c r="L37" s="230"/>
      <c r="M37" s="231"/>
      <c r="N37" s="232"/>
      <c r="O37" s="230"/>
      <c r="P37" s="231"/>
      <c r="Q37" s="232"/>
      <c r="R37" s="233"/>
      <c r="S37" s="234"/>
      <c r="T37" s="235"/>
      <c r="U37" s="233"/>
      <c r="V37" s="236"/>
      <c r="W37" s="234"/>
      <c r="X37" s="235"/>
      <c r="Y37" s="237"/>
      <c r="Z37" s="238"/>
    </row>
    <row r="38" spans="1:26" s="239" customFormat="1" ht="28.5" customHeight="1" x14ac:dyDescent="0.3">
      <c r="A38" s="222">
        <f t="shared" si="3"/>
        <v>0</v>
      </c>
      <c r="B38" s="223" t="b">
        <f t="shared" si="4"/>
        <v>1</v>
      </c>
      <c r="C38" s="222">
        <f t="shared" si="5"/>
        <v>0</v>
      </c>
      <c r="D38" s="205" t="str">
        <f t="shared" si="6"/>
        <v>$$$$</v>
      </c>
      <c r="E38" s="224"/>
      <c r="F38" s="225"/>
      <c r="G38" s="226"/>
      <c r="H38" s="227"/>
      <c r="I38" s="228"/>
      <c r="J38" s="228"/>
      <c r="K38" s="229"/>
      <c r="L38" s="230"/>
      <c r="M38" s="231"/>
      <c r="N38" s="232"/>
      <c r="O38" s="230"/>
      <c r="P38" s="231"/>
      <c r="Q38" s="232"/>
      <c r="R38" s="233"/>
      <c r="S38" s="234"/>
      <c r="T38" s="235"/>
      <c r="U38" s="233"/>
      <c r="V38" s="236"/>
      <c r="W38" s="234"/>
      <c r="X38" s="235"/>
      <c r="Y38" s="237"/>
      <c r="Z38" s="238"/>
    </row>
    <row r="39" spans="1:26" s="239" customFormat="1" ht="28.5" customHeight="1" x14ac:dyDescent="0.3">
      <c r="A39" s="222">
        <f t="shared" ref="A39:A70" si="7">IF(B39,0,MATCH(H39,ВидыНагр,0))</f>
        <v>0</v>
      </c>
      <c r="B39" s="223" t="b">
        <f t="shared" ref="B39:B70" si="8">(COUNTIF(КлючОсень,D39)&lt;&gt;1)</f>
        <v>1</v>
      </c>
      <c r="C39" s="222">
        <f t="shared" ref="C39:C70" si="9">IF(COUNTA(E39:K39,Z39)&gt;0,1,0)+IF(COUNTA(L39:Y39)&gt;0,2,0)</f>
        <v>0</v>
      </c>
      <c r="D39" s="205" t="str">
        <f t="shared" si="6"/>
        <v>$$$$</v>
      </c>
      <c r="E39" s="224"/>
      <c r="F39" s="225"/>
      <c r="G39" s="226"/>
      <c r="H39" s="227"/>
      <c r="I39" s="228"/>
      <c r="J39" s="228"/>
      <c r="K39" s="229"/>
      <c r="L39" s="230"/>
      <c r="M39" s="231"/>
      <c r="N39" s="232"/>
      <c r="O39" s="230"/>
      <c r="P39" s="231"/>
      <c r="Q39" s="232"/>
      <c r="R39" s="233"/>
      <c r="S39" s="234"/>
      <c r="T39" s="235"/>
      <c r="U39" s="233"/>
      <c r="V39" s="236"/>
      <c r="W39" s="234"/>
      <c r="X39" s="235"/>
      <c r="Y39" s="237"/>
      <c r="Z39" s="238"/>
    </row>
    <row r="40" spans="1:26" s="239" customFormat="1" ht="28.5" customHeight="1" x14ac:dyDescent="0.3">
      <c r="A40" s="222">
        <f t="shared" si="7"/>
        <v>0</v>
      </c>
      <c r="B40" s="223" t="b">
        <f t="shared" si="8"/>
        <v>1</v>
      </c>
      <c r="C40" s="222">
        <f t="shared" si="9"/>
        <v>0</v>
      </c>
      <c r="D40" s="205" t="str">
        <f t="shared" si="6"/>
        <v>$$$$</v>
      </c>
      <c r="E40" s="224"/>
      <c r="F40" s="225"/>
      <c r="G40" s="226"/>
      <c r="H40" s="227"/>
      <c r="I40" s="228"/>
      <c r="J40" s="228"/>
      <c r="K40" s="229"/>
      <c r="L40" s="230"/>
      <c r="M40" s="231"/>
      <c r="N40" s="232"/>
      <c r="O40" s="230"/>
      <c r="P40" s="231"/>
      <c r="Q40" s="232"/>
      <c r="R40" s="233"/>
      <c r="S40" s="234"/>
      <c r="T40" s="235"/>
      <c r="U40" s="233"/>
      <c r="V40" s="236"/>
      <c r="W40" s="234"/>
      <c r="X40" s="235"/>
      <c r="Y40" s="237"/>
      <c r="Z40" s="238"/>
    </row>
    <row r="41" spans="1:26" s="239" customFormat="1" ht="28.5" customHeight="1" x14ac:dyDescent="0.3">
      <c r="A41" s="222">
        <f t="shared" si="7"/>
        <v>0</v>
      </c>
      <c r="B41" s="223" t="b">
        <f t="shared" si="8"/>
        <v>1</v>
      </c>
      <c r="C41" s="222">
        <f t="shared" si="9"/>
        <v>0</v>
      </c>
      <c r="D41" s="205" t="str">
        <f t="shared" si="6"/>
        <v>$$$$</v>
      </c>
      <c r="E41" s="224"/>
      <c r="F41" s="225"/>
      <c r="G41" s="226"/>
      <c r="H41" s="227"/>
      <c r="I41" s="228"/>
      <c r="J41" s="228"/>
      <c r="K41" s="229"/>
      <c r="L41" s="230"/>
      <c r="M41" s="231"/>
      <c r="N41" s="232"/>
      <c r="O41" s="230"/>
      <c r="P41" s="231"/>
      <c r="Q41" s="232"/>
      <c r="R41" s="233"/>
      <c r="S41" s="234"/>
      <c r="T41" s="235"/>
      <c r="U41" s="233"/>
      <c r="V41" s="236"/>
      <c r="W41" s="234"/>
      <c r="X41" s="235"/>
      <c r="Y41" s="237"/>
      <c r="Z41" s="238"/>
    </row>
    <row r="42" spans="1:26" s="239" customFormat="1" ht="28.5" customHeight="1" x14ac:dyDescent="0.3">
      <c r="A42" s="222">
        <f t="shared" si="7"/>
        <v>0</v>
      </c>
      <c r="B42" s="223" t="b">
        <f t="shared" si="8"/>
        <v>1</v>
      </c>
      <c r="C42" s="222">
        <f t="shared" si="9"/>
        <v>0</v>
      </c>
      <c r="D42" s="205" t="str">
        <f t="shared" si="6"/>
        <v>$$$$</v>
      </c>
      <c r="E42" s="224"/>
      <c r="F42" s="225"/>
      <c r="G42" s="226"/>
      <c r="H42" s="227"/>
      <c r="I42" s="228"/>
      <c r="J42" s="228"/>
      <c r="K42" s="229"/>
      <c r="L42" s="230"/>
      <c r="M42" s="231"/>
      <c r="N42" s="232"/>
      <c r="O42" s="230"/>
      <c r="P42" s="231"/>
      <c r="Q42" s="232"/>
      <c r="R42" s="233"/>
      <c r="S42" s="234"/>
      <c r="T42" s="235"/>
      <c r="U42" s="233"/>
      <c r="V42" s="236"/>
      <c r="W42" s="234"/>
      <c r="X42" s="235"/>
      <c r="Y42" s="237"/>
      <c r="Z42" s="238"/>
    </row>
    <row r="43" spans="1:26" s="239" customFormat="1" ht="28.5" customHeight="1" x14ac:dyDescent="0.3">
      <c r="A43" s="222">
        <f t="shared" si="7"/>
        <v>0</v>
      </c>
      <c r="B43" s="223" t="b">
        <f t="shared" si="8"/>
        <v>1</v>
      </c>
      <c r="C43" s="222">
        <f t="shared" si="9"/>
        <v>0</v>
      </c>
      <c r="D43" s="205" t="str">
        <f t="shared" si="6"/>
        <v>$$$$</v>
      </c>
      <c r="E43" s="224"/>
      <c r="F43" s="225"/>
      <c r="G43" s="226"/>
      <c r="H43" s="227"/>
      <c r="I43" s="228"/>
      <c r="J43" s="228"/>
      <c r="K43" s="229"/>
      <c r="L43" s="230"/>
      <c r="M43" s="231"/>
      <c r="N43" s="232"/>
      <c r="O43" s="230"/>
      <c r="P43" s="231"/>
      <c r="Q43" s="232"/>
      <c r="R43" s="233"/>
      <c r="S43" s="234"/>
      <c r="T43" s="235"/>
      <c r="U43" s="233"/>
      <c r="V43" s="236"/>
      <c r="W43" s="234"/>
      <c r="X43" s="235"/>
      <c r="Y43" s="237"/>
      <c r="Z43" s="238"/>
    </row>
    <row r="44" spans="1:26" s="239" customFormat="1" ht="28.5" customHeight="1" x14ac:dyDescent="0.3">
      <c r="A44" s="222">
        <f t="shared" si="7"/>
        <v>0</v>
      </c>
      <c r="B44" s="223" t="b">
        <f t="shared" si="8"/>
        <v>1</v>
      </c>
      <c r="C44" s="222">
        <f t="shared" si="9"/>
        <v>0</v>
      </c>
      <c r="D44" s="205" t="str">
        <f t="shared" si="6"/>
        <v>$$$$</v>
      </c>
      <c r="E44" s="224"/>
      <c r="F44" s="225"/>
      <c r="G44" s="226"/>
      <c r="H44" s="227"/>
      <c r="I44" s="228"/>
      <c r="J44" s="228"/>
      <c r="K44" s="229"/>
      <c r="L44" s="230"/>
      <c r="M44" s="231"/>
      <c r="N44" s="232"/>
      <c r="O44" s="230"/>
      <c r="P44" s="231"/>
      <c r="Q44" s="232"/>
      <c r="R44" s="233"/>
      <c r="S44" s="234"/>
      <c r="T44" s="235"/>
      <c r="U44" s="233"/>
      <c r="V44" s="236"/>
      <c r="W44" s="234"/>
      <c r="X44" s="235"/>
      <c r="Y44" s="237"/>
      <c r="Z44" s="238"/>
    </row>
    <row r="45" spans="1:26" s="239" customFormat="1" ht="28.5" customHeight="1" x14ac:dyDescent="0.3">
      <c r="A45" s="222">
        <f t="shared" si="7"/>
        <v>0</v>
      </c>
      <c r="B45" s="223" t="b">
        <f t="shared" si="8"/>
        <v>1</v>
      </c>
      <c r="C45" s="222">
        <f t="shared" si="9"/>
        <v>0</v>
      </c>
      <c r="D45" s="205" t="str">
        <f t="shared" si="6"/>
        <v>$$$$</v>
      </c>
      <c r="E45" s="224"/>
      <c r="F45" s="225"/>
      <c r="G45" s="226"/>
      <c r="H45" s="227"/>
      <c r="I45" s="228"/>
      <c r="J45" s="228"/>
      <c r="K45" s="229"/>
      <c r="L45" s="230"/>
      <c r="M45" s="231"/>
      <c r="N45" s="232"/>
      <c r="O45" s="230"/>
      <c r="P45" s="231"/>
      <c r="Q45" s="232"/>
      <c r="R45" s="233"/>
      <c r="S45" s="234"/>
      <c r="T45" s="235"/>
      <c r="U45" s="233"/>
      <c r="V45" s="236"/>
      <c r="W45" s="234"/>
      <c r="X45" s="235"/>
      <c r="Y45" s="237"/>
      <c r="Z45" s="238"/>
    </row>
    <row r="46" spans="1:26" s="239" customFormat="1" ht="28.5" customHeight="1" x14ac:dyDescent="0.3">
      <c r="A46" s="222">
        <f t="shared" si="7"/>
        <v>0</v>
      </c>
      <c r="B46" s="223" t="b">
        <f t="shared" si="8"/>
        <v>1</v>
      </c>
      <c r="C46" s="222">
        <f t="shared" si="9"/>
        <v>0</v>
      </c>
      <c r="D46" s="205" t="str">
        <f t="shared" si="6"/>
        <v>$$$$</v>
      </c>
      <c r="E46" s="224"/>
      <c r="F46" s="225"/>
      <c r="G46" s="226"/>
      <c r="H46" s="227"/>
      <c r="I46" s="228"/>
      <c r="J46" s="228"/>
      <c r="K46" s="229"/>
      <c r="L46" s="230"/>
      <c r="M46" s="231"/>
      <c r="N46" s="232"/>
      <c r="O46" s="230"/>
      <c r="P46" s="231"/>
      <c r="Q46" s="232"/>
      <c r="R46" s="233"/>
      <c r="S46" s="234"/>
      <c r="T46" s="235"/>
      <c r="U46" s="233"/>
      <c r="V46" s="236"/>
      <c r="W46" s="234"/>
      <c r="X46" s="235"/>
      <c r="Y46" s="237"/>
      <c r="Z46" s="238"/>
    </row>
    <row r="47" spans="1:26" s="239" customFormat="1" ht="28.5" customHeight="1" x14ac:dyDescent="0.3">
      <c r="A47" s="222">
        <f t="shared" si="7"/>
        <v>0</v>
      </c>
      <c r="B47" s="223" t="b">
        <f t="shared" si="8"/>
        <v>1</v>
      </c>
      <c r="C47" s="222">
        <f t="shared" si="9"/>
        <v>0</v>
      </c>
      <c r="D47" s="205" t="str">
        <f t="shared" si="6"/>
        <v>$$$$</v>
      </c>
      <c r="E47" s="224"/>
      <c r="F47" s="225"/>
      <c r="G47" s="226"/>
      <c r="H47" s="227"/>
      <c r="I47" s="228"/>
      <c r="J47" s="228"/>
      <c r="K47" s="229"/>
      <c r="L47" s="230"/>
      <c r="M47" s="231"/>
      <c r="N47" s="232"/>
      <c r="O47" s="230"/>
      <c r="P47" s="231"/>
      <c r="Q47" s="232"/>
      <c r="R47" s="233"/>
      <c r="S47" s="234"/>
      <c r="T47" s="235"/>
      <c r="U47" s="233"/>
      <c r="V47" s="236"/>
      <c r="W47" s="234"/>
      <c r="X47" s="235"/>
      <c r="Y47" s="237"/>
      <c r="Z47" s="238"/>
    </row>
    <row r="48" spans="1:26" s="239" customFormat="1" ht="28.5" customHeight="1" x14ac:dyDescent="0.3">
      <c r="A48" s="222">
        <f t="shared" si="7"/>
        <v>0</v>
      </c>
      <c r="B48" s="223" t="b">
        <f t="shared" si="8"/>
        <v>1</v>
      </c>
      <c r="C48" s="222">
        <f t="shared" si="9"/>
        <v>0</v>
      </c>
      <c r="D48" s="205" t="str">
        <f t="shared" si="6"/>
        <v>$$$$</v>
      </c>
      <c r="E48" s="224"/>
      <c r="F48" s="225"/>
      <c r="G48" s="226"/>
      <c r="H48" s="227"/>
      <c r="I48" s="228"/>
      <c r="J48" s="228"/>
      <c r="K48" s="229"/>
      <c r="L48" s="230"/>
      <c r="M48" s="231"/>
      <c r="N48" s="232"/>
      <c r="O48" s="230"/>
      <c r="P48" s="231"/>
      <c r="Q48" s="232"/>
      <c r="R48" s="233"/>
      <c r="S48" s="234"/>
      <c r="T48" s="235"/>
      <c r="U48" s="233"/>
      <c r="V48" s="236"/>
      <c r="W48" s="234"/>
      <c r="X48" s="235"/>
      <c r="Y48" s="237"/>
      <c r="Z48" s="238"/>
    </row>
    <row r="49" spans="1:26" s="239" customFormat="1" ht="28.5" customHeight="1" x14ac:dyDescent="0.3">
      <c r="A49" s="222">
        <f t="shared" si="7"/>
        <v>0</v>
      </c>
      <c r="B49" s="223" t="b">
        <f t="shared" si="8"/>
        <v>1</v>
      </c>
      <c r="C49" s="222">
        <f t="shared" si="9"/>
        <v>0</v>
      </c>
      <c r="D49" s="205" t="str">
        <f t="shared" si="6"/>
        <v>$$$$</v>
      </c>
      <c r="E49" s="224"/>
      <c r="F49" s="225"/>
      <c r="G49" s="226"/>
      <c r="H49" s="227"/>
      <c r="I49" s="228"/>
      <c r="J49" s="228"/>
      <c r="K49" s="229"/>
      <c r="L49" s="230"/>
      <c r="M49" s="231"/>
      <c r="N49" s="232"/>
      <c r="O49" s="230"/>
      <c r="P49" s="231"/>
      <c r="Q49" s="232"/>
      <c r="R49" s="233"/>
      <c r="S49" s="234"/>
      <c r="T49" s="235"/>
      <c r="U49" s="233"/>
      <c r="V49" s="236"/>
      <c r="W49" s="234"/>
      <c r="X49" s="235"/>
      <c r="Y49" s="237"/>
      <c r="Z49" s="238"/>
    </row>
    <row r="50" spans="1:26" s="239" customFormat="1" ht="28.5" customHeight="1" x14ac:dyDescent="0.3">
      <c r="A50" s="222">
        <f t="shared" si="7"/>
        <v>0</v>
      </c>
      <c r="B50" s="223" t="b">
        <f t="shared" si="8"/>
        <v>1</v>
      </c>
      <c r="C50" s="222">
        <f t="shared" si="9"/>
        <v>0</v>
      </c>
      <c r="D50" s="205" t="str">
        <f t="shared" si="6"/>
        <v>$$$$</v>
      </c>
      <c r="E50" s="224"/>
      <c r="F50" s="225"/>
      <c r="G50" s="226"/>
      <c r="H50" s="227"/>
      <c r="I50" s="228"/>
      <c r="J50" s="228"/>
      <c r="K50" s="229"/>
      <c r="L50" s="230"/>
      <c r="M50" s="231"/>
      <c r="N50" s="232"/>
      <c r="O50" s="230"/>
      <c r="P50" s="231"/>
      <c r="Q50" s="232"/>
      <c r="R50" s="233"/>
      <c r="S50" s="234"/>
      <c r="T50" s="235"/>
      <c r="U50" s="233"/>
      <c r="V50" s="236"/>
      <c r="W50" s="234"/>
      <c r="X50" s="235"/>
      <c r="Y50" s="237"/>
      <c r="Z50" s="238"/>
    </row>
    <row r="51" spans="1:26" s="239" customFormat="1" ht="28.5" customHeight="1" x14ac:dyDescent="0.3">
      <c r="A51" s="222">
        <f t="shared" si="7"/>
        <v>0</v>
      </c>
      <c r="B51" s="223" t="b">
        <f t="shared" si="8"/>
        <v>1</v>
      </c>
      <c r="C51" s="222">
        <f t="shared" si="9"/>
        <v>0</v>
      </c>
      <c r="D51" s="205" t="str">
        <f t="shared" si="6"/>
        <v>$$$$</v>
      </c>
      <c r="E51" s="224"/>
      <c r="F51" s="225"/>
      <c r="G51" s="226"/>
      <c r="H51" s="227"/>
      <c r="I51" s="228"/>
      <c r="J51" s="228"/>
      <c r="K51" s="229"/>
      <c r="L51" s="230"/>
      <c r="M51" s="231"/>
      <c r="N51" s="232"/>
      <c r="O51" s="230"/>
      <c r="P51" s="231"/>
      <c r="Q51" s="232"/>
      <c r="R51" s="233"/>
      <c r="S51" s="234"/>
      <c r="T51" s="235"/>
      <c r="U51" s="233"/>
      <c r="V51" s="236"/>
      <c r="W51" s="234"/>
      <c r="X51" s="235"/>
      <c r="Y51" s="237"/>
      <c r="Z51" s="238"/>
    </row>
    <row r="52" spans="1:26" s="239" customFormat="1" ht="28.5" customHeight="1" x14ac:dyDescent="0.3">
      <c r="A52" s="222">
        <f t="shared" si="7"/>
        <v>0</v>
      </c>
      <c r="B52" s="223" t="b">
        <f t="shared" si="8"/>
        <v>1</v>
      </c>
      <c r="C52" s="222">
        <f t="shared" si="9"/>
        <v>0</v>
      </c>
      <c r="D52" s="205" t="str">
        <f t="shared" si="6"/>
        <v>$$$$</v>
      </c>
      <c r="E52" s="224"/>
      <c r="F52" s="225"/>
      <c r="G52" s="226"/>
      <c r="H52" s="227"/>
      <c r="I52" s="228"/>
      <c r="J52" s="228"/>
      <c r="K52" s="229"/>
      <c r="L52" s="230"/>
      <c r="M52" s="231"/>
      <c r="N52" s="232"/>
      <c r="O52" s="230"/>
      <c r="P52" s="231"/>
      <c r="Q52" s="232"/>
      <c r="R52" s="233"/>
      <c r="S52" s="234"/>
      <c r="T52" s="235"/>
      <c r="U52" s="233"/>
      <c r="V52" s="236"/>
      <c r="W52" s="234"/>
      <c r="X52" s="235"/>
      <c r="Y52" s="237"/>
      <c r="Z52" s="238"/>
    </row>
    <row r="53" spans="1:26" s="239" customFormat="1" ht="28.5" customHeight="1" x14ac:dyDescent="0.3">
      <c r="A53" s="222">
        <f t="shared" si="7"/>
        <v>0</v>
      </c>
      <c r="B53" s="223" t="b">
        <f t="shared" si="8"/>
        <v>1</v>
      </c>
      <c r="C53" s="222">
        <f t="shared" si="9"/>
        <v>0</v>
      </c>
      <c r="D53" s="205" t="str">
        <f t="shared" si="6"/>
        <v>$$$$</v>
      </c>
      <c r="E53" s="224"/>
      <c r="F53" s="225"/>
      <c r="G53" s="226"/>
      <c r="H53" s="227"/>
      <c r="I53" s="228"/>
      <c r="J53" s="228"/>
      <c r="K53" s="229"/>
      <c r="L53" s="230"/>
      <c r="M53" s="231"/>
      <c r="N53" s="232"/>
      <c r="O53" s="230"/>
      <c r="P53" s="231"/>
      <c r="Q53" s="232"/>
      <c r="R53" s="233"/>
      <c r="S53" s="234"/>
      <c r="T53" s="235"/>
      <c r="U53" s="233"/>
      <c r="V53" s="236"/>
      <c r="W53" s="234"/>
      <c r="X53" s="235"/>
      <c r="Y53" s="237"/>
      <c r="Z53" s="238"/>
    </row>
    <row r="54" spans="1:26" s="239" customFormat="1" ht="28.5" customHeight="1" x14ac:dyDescent="0.3">
      <c r="A54" s="222">
        <f t="shared" si="7"/>
        <v>0</v>
      </c>
      <c r="B54" s="223" t="b">
        <f t="shared" si="8"/>
        <v>1</v>
      </c>
      <c r="C54" s="222">
        <f t="shared" si="9"/>
        <v>0</v>
      </c>
      <c r="D54" s="205" t="str">
        <f t="shared" si="6"/>
        <v>$$$$</v>
      </c>
      <c r="E54" s="224"/>
      <c r="F54" s="225"/>
      <c r="G54" s="226"/>
      <c r="H54" s="227"/>
      <c r="I54" s="228"/>
      <c r="J54" s="228"/>
      <c r="K54" s="229"/>
      <c r="L54" s="230"/>
      <c r="M54" s="231"/>
      <c r="N54" s="232"/>
      <c r="O54" s="230"/>
      <c r="P54" s="231"/>
      <c r="Q54" s="232"/>
      <c r="R54" s="233"/>
      <c r="S54" s="234"/>
      <c r="T54" s="235"/>
      <c r="U54" s="233"/>
      <c r="V54" s="236"/>
      <c r="W54" s="234"/>
      <c r="X54" s="235"/>
      <c r="Y54" s="237"/>
      <c r="Z54" s="238"/>
    </row>
    <row r="55" spans="1:26" s="239" customFormat="1" ht="28.5" customHeight="1" x14ac:dyDescent="0.3">
      <c r="A55" s="222">
        <f t="shared" si="7"/>
        <v>0</v>
      </c>
      <c r="B55" s="223" t="b">
        <f t="shared" si="8"/>
        <v>1</v>
      </c>
      <c r="C55" s="222">
        <f t="shared" si="9"/>
        <v>0</v>
      </c>
      <c r="D55" s="205" t="str">
        <f t="shared" si="6"/>
        <v>$$$$</v>
      </c>
      <c r="E55" s="224"/>
      <c r="F55" s="225"/>
      <c r="G55" s="226"/>
      <c r="H55" s="227"/>
      <c r="I55" s="228"/>
      <c r="J55" s="228"/>
      <c r="K55" s="229"/>
      <c r="L55" s="230"/>
      <c r="M55" s="231"/>
      <c r="N55" s="232"/>
      <c r="O55" s="230"/>
      <c r="P55" s="231"/>
      <c r="Q55" s="232"/>
      <c r="R55" s="233"/>
      <c r="S55" s="234"/>
      <c r="T55" s="235"/>
      <c r="U55" s="233"/>
      <c r="V55" s="236"/>
      <c r="W55" s="234"/>
      <c r="X55" s="235"/>
      <c r="Y55" s="237"/>
      <c r="Z55" s="238"/>
    </row>
    <row r="56" spans="1:26" s="239" customFormat="1" ht="28.5" customHeight="1" x14ac:dyDescent="0.3">
      <c r="A56" s="222">
        <f t="shared" si="7"/>
        <v>0</v>
      </c>
      <c r="B56" s="223" t="b">
        <f t="shared" si="8"/>
        <v>1</v>
      </c>
      <c r="C56" s="222">
        <f t="shared" si="9"/>
        <v>0</v>
      </c>
      <c r="D56" s="205" t="str">
        <f t="shared" si="6"/>
        <v>$$$$</v>
      </c>
      <c r="E56" s="224"/>
      <c r="F56" s="225"/>
      <c r="G56" s="226"/>
      <c r="H56" s="227"/>
      <c r="I56" s="228"/>
      <c r="J56" s="228"/>
      <c r="K56" s="229"/>
      <c r="L56" s="230"/>
      <c r="M56" s="231"/>
      <c r="N56" s="232"/>
      <c r="O56" s="230"/>
      <c r="P56" s="231"/>
      <c r="Q56" s="232"/>
      <c r="R56" s="233"/>
      <c r="S56" s="234"/>
      <c r="T56" s="235"/>
      <c r="U56" s="233"/>
      <c r="V56" s="236"/>
      <c r="W56" s="234"/>
      <c r="X56" s="235"/>
      <c r="Y56" s="237"/>
      <c r="Z56" s="238"/>
    </row>
    <row r="57" spans="1:26" s="239" customFormat="1" ht="28.5" customHeight="1" x14ac:dyDescent="0.3">
      <c r="A57" s="222">
        <f t="shared" si="7"/>
        <v>0</v>
      </c>
      <c r="B57" s="223" t="b">
        <f t="shared" si="8"/>
        <v>1</v>
      </c>
      <c r="C57" s="222">
        <f t="shared" si="9"/>
        <v>0</v>
      </c>
      <c r="D57" s="205" t="str">
        <f t="shared" si="6"/>
        <v>$$$$</v>
      </c>
      <c r="E57" s="224"/>
      <c r="F57" s="225"/>
      <c r="G57" s="226"/>
      <c r="H57" s="227"/>
      <c r="I57" s="228"/>
      <c r="J57" s="228"/>
      <c r="K57" s="229"/>
      <c r="L57" s="230"/>
      <c r="M57" s="231"/>
      <c r="N57" s="232"/>
      <c r="O57" s="230"/>
      <c r="P57" s="231"/>
      <c r="Q57" s="232"/>
      <c r="R57" s="233"/>
      <c r="S57" s="234"/>
      <c r="T57" s="235"/>
      <c r="U57" s="233"/>
      <c r="V57" s="236"/>
      <c r="W57" s="234"/>
      <c r="X57" s="235"/>
      <c r="Y57" s="237"/>
      <c r="Z57" s="238"/>
    </row>
    <row r="58" spans="1:26" s="239" customFormat="1" ht="28.5" customHeight="1" x14ac:dyDescent="0.3">
      <c r="A58" s="222">
        <f t="shared" si="7"/>
        <v>0</v>
      </c>
      <c r="B58" s="223" t="b">
        <f t="shared" si="8"/>
        <v>1</v>
      </c>
      <c r="C58" s="222">
        <f t="shared" si="9"/>
        <v>0</v>
      </c>
      <c r="D58" s="205" t="str">
        <f t="shared" si="6"/>
        <v>$$$$</v>
      </c>
      <c r="E58" s="224"/>
      <c r="F58" s="225"/>
      <c r="G58" s="226"/>
      <c r="H58" s="227"/>
      <c r="I58" s="228"/>
      <c r="J58" s="228"/>
      <c r="K58" s="229"/>
      <c r="L58" s="230"/>
      <c r="M58" s="231"/>
      <c r="N58" s="232"/>
      <c r="O58" s="230"/>
      <c r="P58" s="231"/>
      <c r="Q58" s="232"/>
      <c r="R58" s="233"/>
      <c r="S58" s="234"/>
      <c r="T58" s="235"/>
      <c r="U58" s="233"/>
      <c r="V58" s="236"/>
      <c r="W58" s="234"/>
      <c r="X58" s="235"/>
      <c r="Y58" s="237"/>
      <c r="Z58" s="238"/>
    </row>
    <row r="59" spans="1:26" s="239" customFormat="1" ht="28.5" customHeight="1" x14ac:dyDescent="0.3">
      <c r="A59" s="222">
        <f t="shared" si="7"/>
        <v>0</v>
      </c>
      <c r="B59" s="223" t="b">
        <f t="shared" si="8"/>
        <v>1</v>
      </c>
      <c r="C59" s="222">
        <f t="shared" si="9"/>
        <v>0</v>
      </c>
      <c r="D59" s="205" t="str">
        <f t="shared" si="6"/>
        <v>$$$$</v>
      </c>
      <c r="E59" s="224"/>
      <c r="F59" s="225"/>
      <c r="G59" s="226"/>
      <c r="H59" s="227"/>
      <c r="I59" s="228"/>
      <c r="J59" s="228"/>
      <c r="K59" s="229"/>
      <c r="L59" s="230"/>
      <c r="M59" s="231"/>
      <c r="N59" s="232"/>
      <c r="O59" s="230"/>
      <c r="P59" s="231"/>
      <c r="Q59" s="232"/>
      <c r="R59" s="233"/>
      <c r="S59" s="234"/>
      <c r="T59" s="235"/>
      <c r="U59" s="233"/>
      <c r="V59" s="236"/>
      <c r="W59" s="234"/>
      <c r="X59" s="235"/>
      <c r="Y59" s="237"/>
      <c r="Z59" s="238"/>
    </row>
    <row r="60" spans="1:26" s="239" customFormat="1" ht="28.5" customHeight="1" x14ac:dyDescent="0.3">
      <c r="A60" s="222">
        <f t="shared" si="7"/>
        <v>0</v>
      </c>
      <c r="B60" s="223" t="b">
        <f t="shared" si="8"/>
        <v>1</v>
      </c>
      <c r="C60" s="222">
        <f t="shared" si="9"/>
        <v>0</v>
      </c>
      <c r="D60" s="205" t="str">
        <f t="shared" si="6"/>
        <v>$$$$</v>
      </c>
      <c r="E60" s="224"/>
      <c r="F60" s="225"/>
      <c r="G60" s="226"/>
      <c r="H60" s="227"/>
      <c r="I60" s="228"/>
      <c r="J60" s="228"/>
      <c r="K60" s="229"/>
      <c r="L60" s="230"/>
      <c r="M60" s="231"/>
      <c r="N60" s="232"/>
      <c r="O60" s="230"/>
      <c r="P60" s="231"/>
      <c r="Q60" s="232"/>
      <c r="R60" s="233"/>
      <c r="S60" s="234"/>
      <c r="T60" s="235"/>
      <c r="U60" s="233"/>
      <c r="V60" s="236"/>
      <c r="W60" s="234"/>
      <c r="X60" s="235"/>
      <c r="Y60" s="237"/>
      <c r="Z60" s="238"/>
    </row>
    <row r="61" spans="1:26" s="239" customFormat="1" ht="28.5" customHeight="1" x14ac:dyDescent="0.3">
      <c r="A61" s="222">
        <f t="shared" si="7"/>
        <v>0</v>
      </c>
      <c r="B61" s="223" t="b">
        <f t="shared" si="8"/>
        <v>1</v>
      </c>
      <c r="C61" s="222">
        <f t="shared" si="9"/>
        <v>0</v>
      </c>
      <c r="D61" s="205" t="str">
        <f t="shared" si="6"/>
        <v>$$$$</v>
      </c>
      <c r="E61" s="224"/>
      <c r="F61" s="225"/>
      <c r="G61" s="226"/>
      <c r="H61" s="227"/>
      <c r="I61" s="228"/>
      <c r="J61" s="228"/>
      <c r="K61" s="229"/>
      <c r="L61" s="230"/>
      <c r="M61" s="231"/>
      <c r="N61" s="232"/>
      <c r="O61" s="230"/>
      <c r="P61" s="231"/>
      <c r="Q61" s="232"/>
      <c r="R61" s="233"/>
      <c r="S61" s="234"/>
      <c r="T61" s="235"/>
      <c r="U61" s="233"/>
      <c r="V61" s="236"/>
      <c r="W61" s="234"/>
      <c r="X61" s="235"/>
      <c r="Y61" s="237"/>
      <c r="Z61" s="238"/>
    </row>
    <row r="62" spans="1:26" s="239" customFormat="1" ht="28.5" customHeight="1" x14ac:dyDescent="0.3">
      <c r="A62" s="222">
        <f t="shared" si="7"/>
        <v>0</v>
      </c>
      <c r="B62" s="223" t="b">
        <f t="shared" si="8"/>
        <v>1</v>
      </c>
      <c r="C62" s="222">
        <f t="shared" si="9"/>
        <v>0</v>
      </c>
      <c r="D62" s="205" t="str">
        <f t="shared" si="6"/>
        <v>$$$$</v>
      </c>
      <c r="E62" s="224"/>
      <c r="F62" s="225"/>
      <c r="G62" s="226"/>
      <c r="H62" s="227"/>
      <c r="I62" s="228"/>
      <c r="J62" s="228"/>
      <c r="K62" s="229"/>
      <c r="L62" s="230"/>
      <c r="M62" s="231"/>
      <c r="N62" s="232"/>
      <c r="O62" s="230"/>
      <c r="P62" s="231"/>
      <c r="Q62" s="232"/>
      <c r="R62" s="233"/>
      <c r="S62" s="234"/>
      <c r="T62" s="235"/>
      <c r="U62" s="233"/>
      <c r="V62" s="236"/>
      <c r="W62" s="234"/>
      <c r="X62" s="235"/>
      <c r="Y62" s="237"/>
      <c r="Z62" s="238"/>
    </row>
    <row r="63" spans="1:26" s="239" customFormat="1" ht="28.5" customHeight="1" x14ac:dyDescent="0.3">
      <c r="A63" s="222">
        <f t="shared" si="7"/>
        <v>0</v>
      </c>
      <c r="B63" s="223" t="b">
        <f t="shared" si="8"/>
        <v>1</v>
      </c>
      <c r="C63" s="222">
        <f t="shared" si="9"/>
        <v>0</v>
      </c>
      <c r="D63" s="205" t="str">
        <f t="shared" si="6"/>
        <v>$$$$</v>
      </c>
      <c r="E63" s="224"/>
      <c r="F63" s="225"/>
      <c r="G63" s="226"/>
      <c r="H63" s="227"/>
      <c r="I63" s="228"/>
      <c r="J63" s="228"/>
      <c r="K63" s="229"/>
      <c r="L63" s="230"/>
      <c r="M63" s="231"/>
      <c r="N63" s="232"/>
      <c r="O63" s="230"/>
      <c r="P63" s="231"/>
      <c r="Q63" s="232"/>
      <c r="R63" s="233"/>
      <c r="S63" s="234"/>
      <c r="T63" s="235"/>
      <c r="U63" s="233"/>
      <c r="V63" s="236"/>
      <c r="W63" s="234"/>
      <c r="X63" s="235"/>
      <c r="Y63" s="237"/>
      <c r="Z63" s="238"/>
    </row>
    <row r="64" spans="1:26" s="239" customFormat="1" ht="28.5" customHeight="1" x14ac:dyDescent="0.3">
      <c r="A64" s="222">
        <f t="shared" si="7"/>
        <v>0</v>
      </c>
      <c r="B64" s="223" t="b">
        <f t="shared" si="8"/>
        <v>1</v>
      </c>
      <c r="C64" s="222">
        <f t="shared" si="9"/>
        <v>0</v>
      </c>
      <c r="D64" s="205" t="str">
        <f t="shared" si="6"/>
        <v>$$$$</v>
      </c>
      <c r="E64" s="224"/>
      <c r="F64" s="225"/>
      <c r="G64" s="226"/>
      <c r="H64" s="227"/>
      <c r="I64" s="228"/>
      <c r="J64" s="228"/>
      <c r="K64" s="229"/>
      <c r="L64" s="230"/>
      <c r="M64" s="231"/>
      <c r="N64" s="232"/>
      <c r="O64" s="230"/>
      <c r="P64" s="231"/>
      <c r="Q64" s="232"/>
      <c r="R64" s="233"/>
      <c r="S64" s="234"/>
      <c r="T64" s="235"/>
      <c r="U64" s="233"/>
      <c r="V64" s="236"/>
      <c r="W64" s="234"/>
      <c r="X64" s="235"/>
      <c r="Y64" s="237"/>
      <c r="Z64" s="238"/>
    </row>
    <row r="65" spans="1:26" s="239" customFormat="1" ht="28.5" customHeight="1" x14ac:dyDescent="0.3">
      <c r="A65" s="222">
        <f t="shared" si="7"/>
        <v>0</v>
      </c>
      <c r="B65" s="223" t="b">
        <f t="shared" si="8"/>
        <v>1</v>
      </c>
      <c r="C65" s="222">
        <f t="shared" si="9"/>
        <v>0</v>
      </c>
      <c r="D65" s="205" t="str">
        <f t="shared" si="6"/>
        <v>$$$$</v>
      </c>
      <c r="E65" s="224"/>
      <c r="F65" s="225"/>
      <c r="G65" s="226"/>
      <c r="H65" s="227"/>
      <c r="I65" s="228"/>
      <c r="J65" s="228"/>
      <c r="K65" s="229"/>
      <c r="L65" s="230"/>
      <c r="M65" s="231"/>
      <c r="N65" s="232"/>
      <c r="O65" s="230"/>
      <c r="P65" s="231"/>
      <c r="Q65" s="232"/>
      <c r="R65" s="233"/>
      <c r="S65" s="234"/>
      <c r="T65" s="235"/>
      <c r="U65" s="233"/>
      <c r="V65" s="236"/>
      <c r="W65" s="234"/>
      <c r="X65" s="235"/>
      <c r="Y65" s="237"/>
      <c r="Z65" s="238"/>
    </row>
    <row r="66" spans="1:26" s="239" customFormat="1" ht="28.5" customHeight="1" x14ac:dyDescent="0.3">
      <c r="A66" s="222">
        <f t="shared" si="7"/>
        <v>0</v>
      </c>
      <c r="B66" s="223" t="b">
        <f t="shared" si="8"/>
        <v>1</v>
      </c>
      <c r="C66" s="222">
        <f t="shared" si="9"/>
        <v>0</v>
      </c>
      <c r="D66" s="205" t="str">
        <f t="shared" si="6"/>
        <v>$$$$</v>
      </c>
      <c r="E66" s="224"/>
      <c r="F66" s="225"/>
      <c r="G66" s="226"/>
      <c r="H66" s="227"/>
      <c r="I66" s="228"/>
      <c r="J66" s="228"/>
      <c r="K66" s="229"/>
      <c r="L66" s="230"/>
      <c r="M66" s="231"/>
      <c r="N66" s="232"/>
      <c r="O66" s="230"/>
      <c r="P66" s="231"/>
      <c r="Q66" s="232"/>
      <c r="R66" s="233"/>
      <c r="S66" s="234"/>
      <c r="T66" s="235"/>
      <c r="U66" s="233"/>
      <c r="V66" s="236"/>
      <c r="W66" s="234"/>
      <c r="X66" s="235"/>
      <c r="Y66" s="237"/>
      <c r="Z66" s="238"/>
    </row>
    <row r="67" spans="1:26" s="239" customFormat="1" ht="28.5" customHeight="1" x14ac:dyDescent="0.3">
      <c r="A67" s="222">
        <f t="shared" si="7"/>
        <v>0</v>
      </c>
      <c r="B67" s="223" t="b">
        <f t="shared" si="8"/>
        <v>1</v>
      </c>
      <c r="C67" s="222">
        <f t="shared" si="9"/>
        <v>0</v>
      </c>
      <c r="D67" s="205" t="str">
        <f t="shared" si="6"/>
        <v>$$$$</v>
      </c>
      <c r="E67" s="224"/>
      <c r="F67" s="225"/>
      <c r="G67" s="226"/>
      <c r="H67" s="227"/>
      <c r="I67" s="228"/>
      <c r="J67" s="228"/>
      <c r="K67" s="229"/>
      <c r="L67" s="230"/>
      <c r="M67" s="231"/>
      <c r="N67" s="232"/>
      <c r="O67" s="230"/>
      <c r="P67" s="231"/>
      <c r="Q67" s="232"/>
      <c r="R67" s="233"/>
      <c r="S67" s="234"/>
      <c r="T67" s="235"/>
      <c r="U67" s="233"/>
      <c r="V67" s="236"/>
      <c r="W67" s="234"/>
      <c r="X67" s="235"/>
      <c r="Y67" s="237"/>
      <c r="Z67" s="238"/>
    </row>
    <row r="68" spans="1:26" s="239" customFormat="1" ht="28.5" customHeight="1" x14ac:dyDescent="0.3">
      <c r="A68" s="222">
        <f t="shared" si="7"/>
        <v>0</v>
      </c>
      <c r="B68" s="223" t="b">
        <f t="shared" si="8"/>
        <v>1</v>
      </c>
      <c r="C68" s="222">
        <f t="shared" si="9"/>
        <v>0</v>
      </c>
      <c r="D68" s="205" t="str">
        <f t="shared" si="6"/>
        <v>$$$$</v>
      </c>
      <c r="E68" s="224"/>
      <c r="F68" s="225"/>
      <c r="G68" s="226"/>
      <c r="H68" s="227"/>
      <c r="I68" s="228"/>
      <c r="J68" s="228"/>
      <c r="K68" s="229"/>
      <c r="L68" s="230"/>
      <c r="M68" s="231"/>
      <c r="N68" s="232"/>
      <c r="O68" s="230"/>
      <c r="P68" s="231"/>
      <c r="Q68" s="232"/>
      <c r="R68" s="233"/>
      <c r="S68" s="234"/>
      <c r="T68" s="235"/>
      <c r="U68" s="233"/>
      <c r="V68" s="236"/>
      <c r="W68" s="234"/>
      <c r="X68" s="235"/>
      <c r="Y68" s="237"/>
      <c r="Z68" s="238"/>
    </row>
    <row r="69" spans="1:26" s="239" customFormat="1" ht="28.5" customHeight="1" x14ac:dyDescent="0.3">
      <c r="A69" s="222">
        <f t="shared" si="7"/>
        <v>0</v>
      </c>
      <c r="B69" s="223" t="b">
        <f t="shared" si="8"/>
        <v>1</v>
      </c>
      <c r="C69" s="222">
        <f t="shared" si="9"/>
        <v>0</v>
      </c>
      <c r="D69" s="205" t="str">
        <f t="shared" si="6"/>
        <v>$$$$</v>
      </c>
      <c r="E69" s="224"/>
      <c r="F69" s="225"/>
      <c r="G69" s="226"/>
      <c r="H69" s="227"/>
      <c r="I69" s="228"/>
      <c r="J69" s="228"/>
      <c r="K69" s="229"/>
      <c r="L69" s="230"/>
      <c r="M69" s="231"/>
      <c r="N69" s="232"/>
      <c r="O69" s="230"/>
      <c r="P69" s="231"/>
      <c r="Q69" s="232"/>
      <c r="R69" s="233"/>
      <c r="S69" s="234"/>
      <c r="T69" s="235"/>
      <c r="U69" s="233"/>
      <c r="V69" s="236"/>
      <c r="W69" s="234"/>
      <c r="X69" s="235"/>
      <c r="Y69" s="237"/>
      <c r="Z69" s="238"/>
    </row>
    <row r="70" spans="1:26" s="239" customFormat="1" ht="28.5" customHeight="1" x14ac:dyDescent="0.3">
      <c r="A70" s="222">
        <f t="shared" si="7"/>
        <v>0</v>
      </c>
      <c r="B70" s="223" t="b">
        <f t="shared" si="8"/>
        <v>1</v>
      </c>
      <c r="C70" s="222">
        <f t="shared" si="9"/>
        <v>0</v>
      </c>
      <c r="D70" s="205" t="str">
        <f t="shared" si="6"/>
        <v>$$$$</v>
      </c>
      <c r="E70" s="224"/>
      <c r="F70" s="225"/>
      <c r="G70" s="226"/>
      <c r="H70" s="227"/>
      <c r="I70" s="228"/>
      <c r="J70" s="228"/>
      <c r="K70" s="229"/>
      <c r="L70" s="230"/>
      <c r="M70" s="231"/>
      <c r="N70" s="232"/>
      <c r="O70" s="230"/>
      <c r="P70" s="231"/>
      <c r="Q70" s="232"/>
      <c r="R70" s="233"/>
      <c r="S70" s="234"/>
      <c r="T70" s="235"/>
      <c r="U70" s="233"/>
      <c r="V70" s="236"/>
      <c r="W70" s="234"/>
      <c r="X70" s="235"/>
      <c r="Y70" s="237"/>
      <c r="Z70" s="238"/>
    </row>
    <row r="71" spans="1:26" s="239" customFormat="1" ht="28.5" customHeight="1" x14ac:dyDescent="0.3">
      <c r="A71" s="222">
        <f t="shared" ref="A71:A102" si="10">IF(B71,0,MATCH(H71,ВидыНагр,0))</f>
        <v>0</v>
      </c>
      <c r="B71" s="223" t="b">
        <f t="shared" ref="B71:B102" si="11">(COUNTIF(КлючОсень,D71)&lt;&gt;1)</f>
        <v>1</v>
      </c>
      <c r="C71" s="222">
        <f t="shared" ref="C71:C102" si="12">IF(COUNTA(E71:K71,Z71)&gt;0,1,0)+IF(COUNTA(L71:Y71)&gt;0,2,0)</f>
        <v>0</v>
      </c>
      <c r="D71" s="205" t="str">
        <f t="shared" si="6"/>
        <v>$$$$</v>
      </c>
      <c r="E71" s="224"/>
      <c r="F71" s="225"/>
      <c r="G71" s="226"/>
      <c r="H71" s="227"/>
      <c r="I71" s="228"/>
      <c r="J71" s="228"/>
      <c r="K71" s="229"/>
      <c r="L71" s="230"/>
      <c r="M71" s="231"/>
      <c r="N71" s="232"/>
      <c r="O71" s="230"/>
      <c r="P71" s="231"/>
      <c r="Q71" s="232"/>
      <c r="R71" s="233"/>
      <c r="S71" s="234"/>
      <c r="T71" s="235"/>
      <c r="U71" s="233"/>
      <c r="V71" s="236"/>
      <c r="W71" s="234"/>
      <c r="X71" s="235"/>
      <c r="Y71" s="237"/>
      <c r="Z71" s="238"/>
    </row>
    <row r="72" spans="1:26" s="239" customFormat="1" ht="28.5" customHeight="1" x14ac:dyDescent="0.3">
      <c r="A72" s="222">
        <f t="shared" si="10"/>
        <v>0</v>
      </c>
      <c r="B72" s="223" t="b">
        <f t="shared" si="11"/>
        <v>1</v>
      </c>
      <c r="C72" s="222">
        <f t="shared" si="12"/>
        <v>0</v>
      </c>
      <c r="D72" s="205" t="str">
        <f t="shared" ref="D72:D159" si="13">CONCATENATE("$",TRIM(F72),"$",TRIM(G72),"$",H72,"$")</f>
        <v>$$$$</v>
      </c>
      <c r="E72" s="224"/>
      <c r="F72" s="225"/>
      <c r="G72" s="226"/>
      <c r="H72" s="227"/>
      <c r="I72" s="228"/>
      <c r="J72" s="228"/>
      <c r="K72" s="229"/>
      <c r="L72" s="230"/>
      <c r="M72" s="231"/>
      <c r="N72" s="232"/>
      <c r="O72" s="230"/>
      <c r="P72" s="231"/>
      <c r="Q72" s="232"/>
      <c r="R72" s="233"/>
      <c r="S72" s="234"/>
      <c r="T72" s="235"/>
      <c r="U72" s="233"/>
      <c r="V72" s="236"/>
      <c r="W72" s="234"/>
      <c r="X72" s="235"/>
      <c r="Y72" s="237"/>
      <c r="Z72" s="238"/>
    </row>
    <row r="73" spans="1:26" s="239" customFormat="1" ht="28.5" customHeight="1" x14ac:dyDescent="0.3">
      <c r="A73" s="222">
        <f t="shared" si="10"/>
        <v>0</v>
      </c>
      <c r="B73" s="223" t="b">
        <f t="shared" si="11"/>
        <v>1</v>
      </c>
      <c r="C73" s="222">
        <f t="shared" si="12"/>
        <v>0</v>
      </c>
      <c r="D73" s="205" t="str">
        <f t="shared" si="13"/>
        <v>$$$$</v>
      </c>
      <c r="E73" s="224"/>
      <c r="F73" s="225"/>
      <c r="G73" s="226"/>
      <c r="H73" s="227"/>
      <c r="I73" s="228"/>
      <c r="J73" s="228"/>
      <c r="K73" s="229"/>
      <c r="L73" s="230"/>
      <c r="M73" s="231"/>
      <c r="N73" s="232"/>
      <c r="O73" s="230"/>
      <c r="P73" s="231"/>
      <c r="Q73" s="232"/>
      <c r="R73" s="233"/>
      <c r="S73" s="234"/>
      <c r="T73" s="235"/>
      <c r="U73" s="233"/>
      <c r="V73" s="236"/>
      <c r="W73" s="234"/>
      <c r="X73" s="235"/>
      <c r="Y73" s="237"/>
      <c r="Z73" s="238"/>
    </row>
    <row r="74" spans="1:26" s="239" customFormat="1" ht="28.5" customHeight="1" x14ac:dyDescent="0.3">
      <c r="A74" s="222">
        <f t="shared" si="10"/>
        <v>0</v>
      </c>
      <c r="B74" s="223" t="b">
        <f t="shared" si="11"/>
        <v>1</v>
      </c>
      <c r="C74" s="222">
        <f t="shared" si="12"/>
        <v>0</v>
      </c>
      <c r="D74" s="205" t="str">
        <f t="shared" si="13"/>
        <v>$$$$</v>
      </c>
      <c r="E74" s="224"/>
      <c r="F74" s="225"/>
      <c r="G74" s="226"/>
      <c r="H74" s="227"/>
      <c r="I74" s="228"/>
      <c r="J74" s="228"/>
      <c r="K74" s="229"/>
      <c r="L74" s="230"/>
      <c r="M74" s="231"/>
      <c r="N74" s="232"/>
      <c r="O74" s="230"/>
      <c r="P74" s="231"/>
      <c r="Q74" s="232"/>
      <c r="R74" s="233"/>
      <c r="S74" s="234"/>
      <c r="T74" s="235"/>
      <c r="U74" s="233"/>
      <c r="V74" s="236"/>
      <c r="W74" s="234"/>
      <c r="X74" s="235"/>
      <c r="Y74" s="237"/>
      <c r="Z74" s="238"/>
    </row>
    <row r="75" spans="1:26" s="239" customFormat="1" ht="28.5" customHeight="1" x14ac:dyDescent="0.3">
      <c r="A75" s="222">
        <f t="shared" si="10"/>
        <v>0</v>
      </c>
      <c r="B75" s="223" t="b">
        <f t="shared" si="11"/>
        <v>1</v>
      </c>
      <c r="C75" s="222">
        <f t="shared" si="12"/>
        <v>0</v>
      </c>
      <c r="D75" s="205" t="str">
        <f t="shared" si="13"/>
        <v>$$$$</v>
      </c>
      <c r="E75" s="224"/>
      <c r="F75" s="225"/>
      <c r="G75" s="226"/>
      <c r="H75" s="227"/>
      <c r="I75" s="228"/>
      <c r="J75" s="228"/>
      <c r="K75" s="229"/>
      <c r="L75" s="230"/>
      <c r="M75" s="231"/>
      <c r="N75" s="232"/>
      <c r="O75" s="230"/>
      <c r="P75" s="231"/>
      <c r="Q75" s="232"/>
      <c r="R75" s="233"/>
      <c r="S75" s="234"/>
      <c r="T75" s="235"/>
      <c r="U75" s="233"/>
      <c r="V75" s="236"/>
      <c r="W75" s="234"/>
      <c r="X75" s="235"/>
      <c r="Y75" s="237"/>
      <c r="Z75" s="238"/>
    </row>
    <row r="76" spans="1:26" s="239" customFormat="1" ht="28.5" customHeight="1" x14ac:dyDescent="0.3">
      <c r="A76" s="222">
        <f t="shared" si="10"/>
        <v>0</v>
      </c>
      <c r="B76" s="223" t="b">
        <f t="shared" si="11"/>
        <v>1</v>
      </c>
      <c r="C76" s="222">
        <f t="shared" si="12"/>
        <v>0</v>
      </c>
      <c r="D76" s="205" t="str">
        <f t="shared" si="13"/>
        <v>$$$$</v>
      </c>
      <c r="E76" s="224"/>
      <c r="F76" s="225"/>
      <c r="G76" s="226"/>
      <c r="H76" s="227"/>
      <c r="I76" s="228"/>
      <c r="J76" s="228"/>
      <c r="K76" s="229"/>
      <c r="L76" s="230"/>
      <c r="M76" s="231"/>
      <c r="N76" s="232"/>
      <c r="O76" s="230"/>
      <c r="P76" s="231"/>
      <c r="Q76" s="232"/>
      <c r="R76" s="233"/>
      <c r="S76" s="234"/>
      <c r="T76" s="235"/>
      <c r="U76" s="233"/>
      <c r="V76" s="236"/>
      <c r="W76" s="234"/>
      <c r="X76" s="235"/>
      <c r="Y76" s="237"/>
      <c r="Z76" s="238"/>
    </row>
    <row r="77" spans="1:26" s="239" customFormat="1" ht="28.5" customHeight="1" x14ac:dyDescent="0.3">
      <c r="A77" s="222">
        <f t="shared" si="10"/>
        <v>0</v>
      </c>
      <c r="B77" s="223" t="b">
        <f t="shared" si="11"/>
        <v>1</v>
      </c>
      <c r="C77" s="222">
        <f t="shared" si="12"/>
        <v>0</v>
      </c>
      <c r="D77" s="205" t="str">
        <f t="shared" si="13"/>
        <v>$$$$</v>
      </c>
      <c r="E77" s="224"/>
      <c r="F77" s="225"/>
      <c r="G77" s="226"/>
      <c r="H77" s="227"/>
      <c r="I77" s="228"/>
      <c r="J77" s="228"/>
      <c r="K77" s="229"/>
      <c r="L77" s="230"/>
      <c r="M77" s="231"/>
      <c r="N77" s="232"/>
      <c r="O77" s="230"/>
      <c r="P77" s="231"/>
      <c r="Q77" s="232"/>
      <c r="R77" s="233"/>
      <c r="S77" s="234"/>
      <c r="T77" s="235"/>
      <c r="U77" s="233"/>
      <c r="V77" s="236"/>
      <c r="W77" s="234"/>
      <c r="X77" s="235"/>
      <c r="Y77" s="237"/>
      <c r="Z77" s="238"/>
    </row>
    <row r="78" spans="1:26" s="239" customFormat="1" ht="28.5" customHeight="1" x14ac:dyDescent="0.3">
      <c r="A78" s="222">
        <f t="shared" si="10"/>
        <v>0</v>
      </c>
      <c r="B78" s="223" t="b">
        <f t="shared" si="11"/>
        <v>1</v>
      </c>
      <c r="C78" s="222">
        <f t="shared" si="12"/>
        <v>0</v>
      </c>
      <c r="D78" s="205" t="str">
        <f t="shared" si="13"/>
        <v>$$$$</v>
      </c>
      <c r="E78" s="224"/>
      <c r="F78" s="225"/>
      <c r="G78" s="226"/>
      <c r="H78" s="227"/>
      <c r="I78" s="228"/>
      <c r="J78" s="228"/>
      <c r="K78" s="229"/>
      <c r="L78" s="230"/>
      <c r="M78" s="231"/>
      <c r="N78" s="232"/>
      <c r="O78" s="230"/>
      <c r="P78" s="231"/>
      <c r="Q78" s="232"/>
      <c r="R78" s="233"/>
      <c r="S78" s="234"/>
      <c r="T78" s="235"/>
      <c r="U78" s="233"/>
      <c r="V78" s="236"/>
      <c r="W78" s="234"/>
      <c r="X78" s="235"/>
      <c r="Y78" s="237"/>
      <c r="Z78" s="238"/>
    </row>
    <row r="79" spans="1:26" s="239" customFormat="1" ht="28.5" customHeight="1" x14ac:dyDescent="0.3">
      <c r="A79" s="222">
        <f t="shared" si="10"/>
        <v>0</v>
      </c>
      <c r="B79" s="223" t="b">
        <f t="shared" si="11"/>
        <v>1</v>
      </c>
      <c r="C79" s="222">
        <f t="shared" si="12"/>
        <v>0</v>
      </c>
      <c r="D79" s="205" t="str">
        <f t="shared" si="13"/>
        <v>$$$$</v>
      </c>
      <c r="E79" s="224"/>
      <c r="F79" s="225"/>
      <c r="G79" s="226"/>
      <c r="H79" s="227"/>
      <c r="I79" s="228"/>
      <c r="J79" s="228"/>
      <c r="K79" s="229"/>
      <c r="L79" s="230"/>
      <c r="M79" s="231"/>
      <c r="N79" s="232"/>
      <c r="O79" s="230"/>
      <c r="P79" s="231"/>
      <c r="Q79" s="232"/>
      <c r="R79" s="233"/>
      <c r="S79" s="234"/>
      <c r="T79" s="235"/>
      <c r="U79" s="233"/>
      <c r="V79" s="236"/>
      <c r="W79" s="234"/>
      <c r="X79" s="235"/>
      <c r="Y79" s="237"/>
      <c r="Z79" s="238"/>
    </row>
    <row r="80" spans="1:26" s="239" customFormat="1" ht="28.5" customHeight="1" x14ac:dyDescent="0.3">
      <c r="A80" s="222">
        <f t="shared" si="10"/>
        <v>0</v>
      </c>
      <c r="B80" s="223" t="b">
        <f t="shared" si="11"/>
        <v>1</v>
      </c>
      <c r="C80" s="222">
        <f t="shared" si="12"/>
        <v>0</v>
      </c>
      <c r="D80" s="205" t="str">
        <f t="shared" si="13"/>
        <v>$$$$</v>
      </c>
      <c r="E80" s="224"/>
      <c r="F80" s="225"/>
      <c r="G80" s="226"/>
      <c r="H80" s="227"/>
      <c r="I80" s="228"/>
      <c r="J80" s="228"/>
      <c r="K80" s="229"/>
      <c r="L80" s="230"/>
      <c r="M80" s="231"/>
      <c r="N80" s="232"/>
      <c r="O80" s="230"/>
      <c r="P80" s="231"/>
      <c r="Q80" s="232"/>
      <c r="R80" s="233"/>
      <c r="S80" s="234"/>
      <c r="T80" s="235"/>
      <c r="U80" s="233"/>
      <c r="V80" s="236"/>
      <c r="W80" s="234"/>
      <c r="X80" s="235"/>
      <c r="Y80" s="237"/>
      <c r="Z80" s="238"/>
    </row>
    <row r="81" spans="1:26" s="239" customFormat="1" ht="28.5" customHeight="1" x14ac:dyDescent="0.3">
      <c r="A81" s="222">
        <f t="shared" si="10"/>
        <v>0</v>
      </c>
      <c r="B81" s="223" t="b">
        <f t="shared" si="11"/>
        <v>1</v>
      </c>
      <c r="C81" s="222">
        <f t="shared" si="12"/>
        <v>0</v>
      </c>
      <c r="D81" s="205" t="str">
        <f t="shared" si="13"/>
        <v>$$$$</v>
      </c>
      <c r="E81" s="224"/>
      <c r="F81" s="225"/>
      <c r="G81" s="226"/>
      <c r="H81" s="227"/>
      <c r="I81" s="228"/>
      <c r="J81" s="228"/>
      <c r="K81" s="229"/>
      <c r="L81" s="230"/>
      <c r="M81" s="231"/>
      <c r="N81" s="232"/>
      <c r="O81" s="230"/>
      <c r="P81" s="231"/>
      <c r="Q81" s="232"/>
      <c r="R81" s="233"/>
      <c r="S81" s="234"/>
      <c r="T81" s="235"/>
      <c r="U81" s="233"/>
      <c r="V81" s="236"/>
      <c r="W81" s="234"/>
      <c r="X81" s="235"/>
      <c r="Y81" s="237"/>
      <c r="Z81" s="238"/>
    </row>
    <row r="82" spans="1:26" s="239" customFormat="1" ht="28.5" customHeight="1" x14ac:dyDescent="0.3">
      <c r="A82" s="222">
        <f t="shared" si="10"/>
        <v>0</v>
      </c>
      <c r="B82" s="223" t="b">
        <f t="shared" si="11"/>
        <v>1</v>
      </c>
      <c r="C82" s="222">
        <f t="shared" si="12"/>
        <v>0</v>
      </c>
      <c r="D82" s="205" t="str">
        <f t="shared" si="13"/>
        <v>$$$$</v>
      </c>
      <c r="E82" s="224"/>
      <c r="F82" s="225"/>
      <c r="G82" s="226"/>
      <c r="H82" s="227"/>
      <c r="I82" s="228"/>
      <c r="J82" s="228"/>
      <c r="K82" s="229"/>
      <c r="L82" s="230"/>
      <c r="M82" s="231"/>
      <c r="N82" s="232"/>
      <c r="O82" s="230"/>
      <c r="P82" s="231"/>
      <c r="Q82" s="232"/>
      <c r="R82" s="233"/>
      <c r="S82" s="234"/>
      <c r="T82" s="235"/>
      <c r="U82" s="233"/>
      <c r="V82" s="236"/>
      <c r="W82" s="234"/>
      <c r="X82" s="235"/>
      <c r="Y82" s="237"/>
      <c r="Z82" s="238"/>
    </row>
    <row r="83" spans="1:26" s="239" customFormat="1" ht="28.5" customHeight="1" x14ac:dyDescent="0.3">
      <c r="A83" s="222">
        <f t="shared" si="10"/>
        <v>0</v>
      </c>
      <c r="B83" s="223" t="b">
        <f t="shared" si="11"/>
        <v>1</v>
      </c>
      <c r="C83" s="222">
        <f t="shared" si="12"/>
        <v>0</v>
      </c>
      <c r="D83" s="205" t="str">
        <f t="shared" si="13"/>
        <v>$$$$</v>
      </c>
      <c r="E83" s="224"/>
      <c r="F83" s="225"/>
      <c r="G83" s="226"/>
      <c r="H83" s="227"/>
      <c r="I83" s="228"/>
      <c r="J83" s="228"/>
      <c r="K83" s="229"/>
      <c r="L83" s="230"/>
      <c r="M83" s="231"/>
      <c r="N83" s="232"/>
      <c r="O83" s="230"/>
      <c r="P83" s="231"/>
      <c r="Q83" s="232"/>
      <c r="R83" s="233"/>
      <c r="S83" s="234"/>
      <c r="T83" s="235"/>
      <c r="U83" s="233"/>
      <c r="V83" s="236"/>
      <c r="W83" s="234"/>
      <c r="X83" s="235"/>
      <c r="Y83" s="237"/>
      <c r="Z83" s="238"/>
    </row>
    <row r="84" spans="1:26" s="239" customFormat="1" ht="28.5" customHeight="1" x14ac:dyDescent="0.3">
      <c r="A84" s="222">
        <f t="shared" si="10"/>
        <v>0</v>
      </c>
      <c r="B84" s="223" t="b">
        <f t="shared" si="11"/>
        <v>1</v>
      </c>
      <c r="C84" s="222">
        <f t="shared" si="12"/>
        <v>0</v>
      </c>
      <c r="D84" s="205" t="str">
        <f t="shared" si="13"/>
        <v>$$$$</v>
      </c>
      <c r="E84" s="224"/>
      <c r="F84" s="225"/>
      <c r="G84" s="226"/>
      <c r="H84" s="227"/>
      <c r="I84" s="228"/>
      <c r="J84" s="228"/>
      <c r="K84" s="229"/>
      <c r="L84" s="230"/>
      <c r="M84" s="231"/>
      <c r="N84" s="232"/>
      <c r="O84" s="230"/>
      <c r="P84" s="231"/>
      <c r="Q84" s="232"/>
      <c r="R84" s="233"/>
      <c r="S84" s="234"/>
      <c r="T84" s="235"/>
      <c r="U84" s="233"/>
      <c r="V84" s="236"/>
      <c r="W84" s="234"/>
      <c r="X84" s="235"/>
      <c r="Y84" s="237"/>
      <c r="Z84" s="238"/>
    </row>
    <row r="85" spans="1:26" s="239" customFormat="1" ht="28.5" customHeight="1" x14ac:dyDescent="0.3">
      <c r="A85" s="222">
        <f t="shared" si="10"/>
        <v>0</v>
      </c>
      <c r="B85" s="223" t="b">
        <f t="shared" si="11"/>
        <v>1</v>
      </c>
      <c r="C85" s="222">
        <f t="shared" si="12"/>
        <v>0</v>
      </c>
      <c r="D85" s="205" t="str">
        <f t="shared" si="13"/>
        <v>$$$$</v>
      </c>
      <c r="E85" s="224"/>
      <c r="F85" s="225"/>
      <c r="G85" s="226"/>
      <c r="H85" s="227"/>
      <c r="I85" s="228"/>
      <c r="J85" s="228"/>
      <c r="K85" s="229"/>
      <c r="L85" s="230"/>
      <c r="M85" s="231"/>
      <c r="N85" s="232"/>
      <c r="O85" s="230"/>
      <c r="P85" s="231"/>
      <c r="Q85" s="232"/>
      <c r="R85" s="233"/>
      <c r="S85" s="234"/>
      <c r="T85" s="235"/>
      <c r="U85" s="233"/>
      <c r="V85" s="236"/>
      <c r="W85" s="234"/>
      <c r="X85" s="235"/>
      <c r="Y85" s="237"/>
      <c r="Z85" s="238"/>
    </row>
    <row r="86" spans="1:26" s="239" customFormat="1" ht="28.5" customHeight="1" x14ac:dyDescent="0.3">
      <c r="A86" s="222">
        <f t="shared" si="10"/>
        <v>0</v>
      </c>
      <c r="B86" s="223" t="b">
        <f t="shared" si="11"/>
        <v>1</v>
      </c>
      <c r="C86" s="222">
        <f t="shared" si="12"/>
        <v>0</v>
      </c>
      <c r="D86" s="205" t="str">
        <f t="shared" si="13"/>
        <v>$$$$</v>
      </c>
      <c r="E86" s="224"/>
      <c r="F86" s="225"/>
      <c r="G86" s="226"/>
      <c r="H86" s="227"/>
      <c r="I86" s="228"/>
      <c r="J86" s="228"/>
      <c r="K86" s="229"/>
      <c r="L86" s="230"/>
      <c r="M86" s="231"/>
      <c r="N86" s="232"/>
      <c r="O86" s="230"/>
      <c r="P86" s="231"/>
      <c r="Q86" s="232"/>
      <c r="R86" s="233"/>
      <c r="S86" s="234"/>
      <c r="T86" s="235"/>
      <c r="U86" s="233"/>
      <c r="V86" s="236"/>
      <c r="W86" s="234"/>
      <c r="X86" s="235"/>
      <c r="Y86" s="237"/>
      <c r="Z86" s="238"/>
    </row>
    <row r="87" spans="1:26" s="239" customFormat="1" ht="28.5" customHeight="1" x14ac:dyDescent="0.3">
      <c r="A87" s="222">
        <f t="shared" si="10"/>
        <v>0</v>
      </c>
      <c r="B87" s="223" t="b">
        <f t="shared" si="11"/>
        <v>1</v>
      </c>
      <c r="C87" s="222">
        <f t="shared" si="12"/>
        <v>0</v>
      </c>
      <c r="D87" s="205" t="str">
        <f t="shared" si="13"/>
        <v>$$$$</v>
      </c>
      <c r="E87" s="224"/>
      <c r="F87" s="225"/>
      <c r="G87" s="226"/>
      <c r="H87" s="227"/>
      <c r="I87" s="228"/>
      <c r="J87" s="228"/>
      <c r="K87" s="229"/>
      <c r="L87" s="230"/>
      <c r="M87" s="231"/>
      <c r="N87" s="232"/>
      <c r="O87" s="230"/>
      <c r="P87" s="231"/>
      <c r="Q87" s="232"/>
      <c r="R87" s="233"/>
      <c r="S87" s="234"/>
      <c r="T87" s="235"/>
      <c r="U87" s="233"/>
      <c r="V87" s="236"/>
      <c r="W87" s="234"/>
      <c r="X87" s="235"/>
      <c r="Y87" s="237"/>
      <c r="Z87" s="238"/>
    </row>
    <row r="88" spans="1:26" s="239" customFormat="1" ht="28.5" customHeight="1" x14ac:dyDescent="0.3">
      <c r="A88" s="222">
        <f t="shared" si="10"/>
        <v>0</v>
      </c>
      <c r="B88" s="223" t="b">
        <f t="shared" si="11"/>
        <v>1</v>
      </c>
      <c r="C88" s="222">
        <f t="shared" si="12"/>
        <v>0</v>
      </c>
      <c r="D88" s="205" t="str">
        <f t="shared" si="13"/>
        <v>$$$$</v>
      </c>
      <c r="E88" s="224"/>
      <c r="F88" s="225"/>
      <c r="G88" s="226"/>
      <c r="H88" s="227"/>
      <c r="I88" s="228"/>
      <c r="J88" s="228"/>
      <c r="K88" s="229"/>
      <c r="L88" s="230"/>
      <c r="M88" s="231"/>
      <c r="N88" s="232"/>
      <c r="O88" s="230"/>
      <c r="P88" s="231"/>
      <c r="Q88" s="232"/>
      <c r="R88" s="233"/>
      <c r="S88" s="234"/>
      <c r="T88" s="235"/>
      <c r="U88" s="233"/>
      <c r="V88" s="236"/>
      <c r="W88" s="234"/>
      <c r="X88" s="235"/>
      <c r="Y88" s="237"/>
      <c r="Z88" s="238"/>
    </row>
    <row r="89" spans="1:26" s="239" customFormat="1" ht="28.5" customHeight="1" x14ac:dyDescent="0.3">
      <c r="A89" s="222">
        <f t="shared" si="10"/>
        <v>0</v>
      </c>
      <c r="B89" s="223" t="b">
        <f t="shared" si="11"/>
        <v>1</v>
      </c>
      <c r="C89" s="222">
        <f t="shared" si="12"/>
        <v>0</v>
      </c>
      <c r="D89" s="205" t="str">
        <f t="shared" si="13"/>
        <v>$$$$</v>
      </c>
      <c r="E89" s="224"/>
      <c r="F89" s="225"/>
      <c r="G89" s="226"/>
      <c r="H89" s="227"/>
      <c r="I89" s="228"/>
      <c r="J89" s="228"/>
      <c r="K89" s="229"/>
      <c r="L89" s="230"/>
      <c r="M89" s="231"/>
      <c r="N89" s="232"/>
      <c r="O89" s="230"/>
      <c r="P89" s="231"/>
      <c r="Q89" s="232"/>
      <c r="R89" s="233"/>
      <c r="S89" s="234"/>
      <c r="T89" s="235"/>
      <c r="U89" s="233"/>
      <c r="V89" s="236"/>
      <c r="W89" s="234"/>
      <c r="X89" s="235"/>
      <c r="Y89" s="237"/>
      <c r="Z89" s="238"/>
    </row>
    <row r="90" spans="1:26" s="239" customFormat="1" ht="28.5" customHeight="1" x14ac:dyDescent="0.3">
      <c r="A90" s="222">
        <f t="shared" si="10"/>
        <v>0</v>
      </c>
      <c r="B90" s="223" t="b">
        <f t="shared" si="11"/>
        <v>1</v>
      </c>
      <c r="C90" s="222">
        <f t="shared" si="12"/>
        <v>0</v>
      </c>
      <c r="D90" s="205" t="str">
        <f t="shared" si="13"/>
        <v>$$$$</v>
      </c>
      <c r="E90" s="224"/>
      <c r="F90" s="225"/>
      <c r="G90" s="226"/>
      <c r="H90" s="227"/>
      <c r="I90" s="228"/>
      <c r="J90" s="228"/>
      <c r="K90" s="229"/>
      <c r="L90" s="230"/>
      <c r="M90" s="231"/>
      <c r="N90" s="232"/>
      <c r="O90" s="230"/>
      <c r="P90" s="231"/>
      <c r="Q90" s="232"/>
      <c r="R90" s="233"/>
      <c r="S90" s="234"/>
      <c r="T90" s="235"/>
      <c r="U90" s="233"/>
      <c r="V90" s="236"/>
      <c r="W90" s="234"/>
      <c r="X90" s="235"/>
      <c r="Y90" s="237"/>
      <c r="Z90" s="238"/>
    </row>
    <row r="91" spans="1:26" s="239" customFormat="1" ht="28.5" customHeight="1" x14ac:dyDescent="0.3">
      <c r="A91" s="222">
        <f t="shared" si="10"/>
        <v>0</v>
      </c>
      <c r="B91" s="223" t="b">
        <f t="shared" si="11"/>
        <v>1</v>
      </c>
      <c r="C91" s="222">
        <f t="shared" si="12"/>
        <v>0</v>
      </c>
      <c r="D91" s="205" t="str">
        <f t="shared" si="13"/>
        <v>$$$$</v>
      </c>
      <c r="E91" s="224"/>
      <c r="F91" s="225"/>
      <c r="G91" s="226"/>
      <c r="H91" s="227"/>
      <c r="I91" s="228"/>
      <c r="J91" s="228"/>
      <c r="K91" s="229"/>
      <c r="L91" s="230"/>
      <c r="M91" s="231"/>
      <c r="N91" s="232"/>
      <c r="O91" s="230"/>
      <c r="P91" s="231"/>
      <c r="Q91" s="232"/>
      <c r="R91" s="233"/>
      <c r="S91" s="234"/>
      <c r="T91" s="235"/>
      <c r="U91" s="233"/>
      <c r="V91" s="236"/>
      <c r="W91" s="234"/>
      <c r="X91" s="235"/>
      <c r="Y91" s="237"/>
      <c r="Z91" s="238"/>
    </row>
    <row r="92" spans="1:26" s="239" customFormat="1" ht="28.5" customHeight="1" x14ac:dyDescent="0.3">
      <c r="A92" s="222">
        <f t="shared" si="10"/>
        <v>0</v>
      </c>
      <c r="B92" s="223" t="b">
        <f t="shared" si="11"/>
        <v>1</v>
      </c>
      <c r="C92" s="222">
        <f t="shared" si="12"/>
        <v>0</v>
      </c>
      <c r="D92" s="205" t="str">
        <f t="shared" si="13"/>
        <v>$$$$</v>
      </c>
      <c r="E92" s="224"/>
      <c r="F92" s="225"/>
      <c r="G92" s="226"/>
      <c r="H92" s="227"/>
      <c r="I92" s="228"/>
      <c r="J92" s="228"/>
      <c r="K92" s="229"/>
      <c r="L92" s="230"/>
      <c r="M92" s="231"/>
      <c r="N92" s="232"/>
      <c r="O92" s="230"/>
      <c r="P92" s="231"/>
      <c r="Q92" s="232"/>
      <c r="R92" s="233"/>
      <c r="S92" s="234"/>
      <c r="T92" s="235"/>
      <c r="U92" s="233"/>
      <c r="V92" s="236"/>
      <c r="W92" s="234"/>
      <c r="X92" s="235"/>
      <c r="Y92" s="237"/>
      <c r="Z92" s="238"/>
    </row>
    <row r="93" spans="1:26" s="239" customFormat="1" ht="28.5" customHeight="1" x14ac:dyDescent="0.3">
      <c r="A93" s="222">
        <f t="shared" si="10"/>
        <v>0</v>
      </c>
      <c r="B93" s="223" t="b">
        <f t="shared" si="11"/>
        <v>1</v>
      </c>
      <c r="C93" s="222">
        <f t="shared" si="12"/>
        <v>0</v>
      </c>
      <c r="D93" s="205" t="str">
        <f t="shared" si="13"/>
        <v>$$$$</v>
      </c>
      <c r="E93" s="224"/>
      <c r="F93" s="225"/>
      <c r="G93" s="226"/>
      <c r="H93" s="227"/>
      <c r="I93" s="228"/>
      <c r="J93" s="228"/>
      <c r="K93" s="229"/>
      <c r="L93" s="230"/>
      <c r="M93" s="231"/>
      <c r="N93" s="232"/>
      <c r="O93" s="230"/>
      <c r="P93" s="231"/>
      <c r="Q93" s="232"/>
      <c r="R93" s="233"/>
      <c r="S93" s="234"/>
      <c r="T93" s="235"/>
      <c r="U93" s="233"/>
      <c r="V93" s="236"/>
      <c r="W93" s="234"/>
      <c r="X93" s="235"/>
      <c r="Y93" s="237"/>
      <c r="Z93" s="238"/>
    </row>
    <row r="94" spans="1:26" s="239" customFormat="1" ht="28.5" customHeight="1" x14ac:dyDescent="0.3">
      <c r="A94" s="222">
        <f t="shared" si="10"/>
        <v>0</v>
      </c>
      <c r="B94" s="223" t="b">
        <f t="shared" si="11"/>
        <v>1</v>
      </c>
      <c r="C94" s="222">
        <f t="shared" si="12"/>
        <v>0</v>
      </c>
      <c r="D94" s="205" t="str">
        <f t="shared" si="13"/>
        <v>$$$$</v>
      </c>
      <c r="E94" s="224"/>
      <c r="F94" s="225"/>
      <c r="G94" s="226"/>
      <c r="H94" s="227"/>
      <c r="I94" s="228"/>
      <c r="J94" s="228"/>
      <c r="K94" s="229"/>
      <c r="L94" s="230"/>
      <c r="M94" s="231"/>
      <c r="N94" s="232"/>
      <c r="O94" s="230"/>
      <c r="P94" s="231"/>
      <c r="Q94" s="232"/>
      <c r="R94" s="233"/>
      <c r="S94" s="234"/>
      <c r="T94" s="235"/>
      <c r="U94" s="233"/>
      <c r="V94" s="236"/>
      <c r="W94" s="234"/>
      <c r="X94" s="235"/>
      <c r="Y94" s="237"/>
      <c r="Z94" s="238"/>
    </row>
    <row r="95" spans="1:26" s="239" customFormat="1" ht="28.5" customHeight="1" x14ac:dyDescent="0.3">
      <c r="A95" s="222">
        <f t="shared" si="10"/>
        <v>0</v>
      </c>
      <c r="B95" s="223" t="b">
        <f t="shared" si="11"/>
        <v>1</v>
      </c>
      <c r="C95" s="222">
        <f t="shared" si="12"/>
        <v>0</v>
      </c>
      <c r="D95" s="205" t="str">
        <f t="shared" si="13"/>
        <v>$$$$</v>
      </c>
      <c r="E95" s="224"/>
      <c r="F95" s="225"/>
      <c r="G95" s="226"/>
      <c r="H95" s="227"/>
      <c r="I95" s="228"/>
      <c r="J95" s="228"/>
      <c r="K95" s="229"/>
      <c r="L95" s="230"/>
      <c r="M95" s="231"/>
      <c r="N95" s="232"/>
      <c r="O95" s="230"/>
      <c r="P95" s="231"/>
      <c r="Q95" s="232"/>
      <c r="R95" s="233"/>
      <c r="S95" s="234"/>
      <c r="T95" s="235"/>
      <c r="U95" s="233"/>
      <c r="V95" s="236"/>
      <c r="W95" s="234"/>
      <c r="X95" s="235"/>
      <c r="Y95" s="237"/>
      <c r="Z95" s="238"/>
    </row>
    <row r="96" spans="1:26" s="239" customFormat="1" ht="28.5" customHeight="1" x14ac:dyDescent="0.3">
      <c r="A96" s="222">
        <f t="shared" si="10"/>
        <v>0</v>
      </c>
      <c r="B96" s="223" t="b">
        <f t="shared" si="11"/>
        <v>1</v>
      </c>
      <c r="C96" s="222">
        <f t="shared" si="12"/>
        <v>0</v>
      </c>
      <c r="D96" s="205" t="str">
        <f t="shared" si="13"/>
        <v>$$$$</v>
      </c>
      <c r="E96" s="224"/>
      <c r="F96" s="225"/>
      <c r="G96" s="226"/>
      <c r="H96" s="227"/>
      <c r="I96" s="228"/>
      <c r="J96" s="228"/>
      <c r="K96" s="229"/>
      <c r="L96" s="230"/>
      <c r="M96" s="231"/>
      <c r="N96" s="232"/>
      <c r="O96" s="230"/>
      <c r="P96" s="231"/>
      <c r="Q96" s="232"/>
      <c r="R96" s="233"/>
      <c r="S96" s="234"/>
      <c r="T96" s="235"/>
      <c r="U96" s="233"/>
      <c r="V96" s="236"/>
      <c r="W96" s="234"/>
      <c r="X96" s="235"/>
      <c r="Y96" s="237"/>
      <c r="Z96" s="238"/>
    </row>
    <row r="97" spans="1:26" s="239" customFormat="1" ht="28.5" customHeight="1" x14ac:dyDescent="0.3">
      <c r="A97" s="222">
        <f t="shared" si="10"/>
        <v>0</v>
      </c>
      <c r="B97" s="223" t="b">
        <f t="shared" si="11"/>
        <v>1</v>
      </c>
      <c r="C97" s="222">
        <f t="shared" si="12"/>
        <v>0</v>
      </c>
      <c r="D97" s="205" t="str">
        <f t="shared" si="13"/>
        <v>$$$$</v>
      </c>
      <c r="E97" s="224"/>
      <c r="F97" s="225"/>
      <c r="G97" s="226"/>
      <c r="H97" s="227"/>
      <c r="I97" s="228"/>
      <c r="J97" s="228"/>
      <c r="K97" s="229"/>
      <c r="L97" s="230"/>
      <c r="M97" s="231"/>
      <c r="N97" s="232"/>
      <c r="O97" s="230"/>
      <c r="P97" s="231"/>
      <c r="Q97" s="232"/>
      <c r="R97" s="233"/>
      <c r="S97" s="234"/>
      <c r="T97" s="235"/>
      <c r="U97" s="233"/>
      <c r="V97" s="236"/>
      <c r="W97" s="234"/>
      <c r="X97" s="235"/>
      <c r="Y97" s="237"/>
      <c r="Z97" s="238"/>
    </row>
    <row r="98" spans="1:26" s="239" customFormat="1" ht="28.5" customHeight="1" x14ac:dyDescent="0.3">
      <c r="A98" s="222">
        <f t="shared" si="10"/>
        <v>0</v>
      </c>
      <c r="B98" s="223" t="b">
        <f t="shared" si="11"/>
        <v>1</v>
      </c>
      <c r="C98" s="222">
        <f t="shared" si="12"/>
        <v>0</v>
      </c>
      <c r="D98" s="205" t="str">
        <f t="shared" si="13"/>
        <v>$$$$</v>
      </c>
      <c r="E98" s="224"/>
      <c r="F98" s="225"/>
      <c r="G98" s="226"/>
      <c r="H98" s="227"/>
      <c r="I98" s="228"/>
      <c r="J98" s="228"/>
      <c r="K98" s="229"/>
      <c r="L98" s="230"/>
      <c r="M98" s="231"/>
      <c r="N98" s="232"/>
      <c r="O98" s="230"/>
      <c r="P98" s="231"/>
      <c r="Q98" s="232"/>
      <c r="R98" s="233"/>
      <c r="S98" s="234"/>
      <c r="T98" s="235"/>
      <c r="U98" s="233"/>
      <c r="V98" s="236"/>
      <c r="W98" s="234"/>
      <c r="X98" s="235"/>
      <c r="Y98" s="237"/>
      <c r="Z98" s="238"/>
    </row>
    <row r="99" spans="1:26" s="239" customFormat="1" ht="28.5" customHeight="1" x14ac:dyDescent="0.3">
      <c r="A99" s="222">
        <f t="shared" si="10"/>
        <v>0</v>
      </c>
      <c r="B99" s="223" t="b">
        <f t="shared" si="11"/>
        <v>1</v>
      </c>
      <c r="C99" s="222">
        <f t="shared" si="12"/>
        <v>0</v>
      </c>
      <c r="D99" s="205" t="str">
        <f t="shared" si="13"/>
        <v>$$$$</v>
      </c>
      <c r="E99" s="224"/>
      <c r="F99" s="225"/>
      <c r="G99" s="226"/>
      <c r="H99" s="227"/>
      <c r="I99" s="228"/>
      <c r="J99" s="228"/>
      <c r="K99" s="229"/>
      <c r="L99" s="230"/>
      <c r="M99" s="231"/>
      <c r="N99" s="232"/>
      <c r="O99" s="230"/>
      <c r="P99" s="231"/>
      <c r="Q99" s="232"/>
      <c r="R99" s="233"/>
      <c r="S99" s="234"/>
      <c r="T99" s="235"/>
      <c r="U99" s="233"/>
      <c r="V99" s="236"/>
      <c r="W99" s="234"/>
      <c r="X99" s="235"/>
      <c r="Y99" s="237"/>
      <c r="Z99" s="238"/>
    </row>
    <row r="100" spans="1:26" s="239" customFormat="1" ht="28.5" customHeight="1" x14ac:dyDescent="0.3">
      <c r="A100" s="222">
        <f t="shared" si="10"/>
        <v>0</v>
      </c>
      <c r="B100" s="223" t="b">
        <f t="shared" si="11"/>
        <v>1</v>
      </c>
      <c r="C100" s="222">
        <f t="shared" si="12"/>
        <v>0</v>
      </c>
      <c r="D100" s="205" t="str">
        <f t="shared" si="13"/>
        <v>$$$$</v>
      </c>
      <c r="E100" s="224"/>
      <c r="F100" s="225"/>
      <c r="G100" s="226"/>
      <c r="H100" s="227"/>
      <c r="I100" s="228"/>
      <c r="J100" s="228"/>
      <c r="K100" s="229"/>
      <c r="L100" s="230"/>
      <c r="M100" s="231"/>
      <c r="N100" s="232"/>
      <c r="O100" s="230"/>
      <c r="P100" s="231"/>
      <c r="Q100" s="232"/>
      <c r="R100" s="233"/>
      <c r="S100" s="234"/>
      <c r="T100" s="235"/>
      <c r="U100" s="233"/>
      <c r="V100" s="236"/>
      <c r="W100" s="234"/>
      <c r="X100" s="235"/>
      <c r="Y100" s="237"/>
      <c r="Z100" s="238"/>
    </row>
    <row r="101" spans="1:26" s="239" customFormat="1" ht="28.5" customHeight="1" x14ac:dyDescent="0.3">
      <c r="A101" s="222">
        <f t="shared" si="10"/>
        <v>0</v>
      </c>
      <c r="B101" s="223" t="b">
        <f t="shared" si="11"/>
        <v>1</v>
      </c>
      <c r="C101" s="222">
        <f t="shared" si="12"/>
        <v>0</v>
      </c>
      <c r="D101" s="205" t="str">
        <f t="shared" si="13"/>
        <v>$$$$</v>
      </c>
      <c r="E101" s="224"/>
      <c r="F101" s="225"/>
      <c r="G101" s="226"/>
      <c r="H101" s="227"/>
      <c r="I101" s="228"/>
      <c r="J101" s="228"/>
      <c r="K101" s="229"/>
      <c r="L101" s="230"/>
      <c r="M101" s="231"/>
      <c r="N101" s="232"/>
      <c r="O101" s="230"/>
      <c r="P101" s="231"/>
      <c r="Q101" s="232"/>
      <c r="R101" s="233"/>
      <c r="S101" s="234"/>
      <c r="T101" s="235"/>
      <c r="U101" s="233"/>
      <c r="V101" s="236"/>
      <c r="W101" s="234"/>
      <c r="X101" s="235"/>
      <c r="Y101" s="237"/>
      <c r="Z101" s="238"/>
    </row>
    <row r="102" spans="1:26" s="239" customFormat="1" ht="28.5" customHeight="1" x14ac:dyDescent="0.3">
      <c r="A102" s="222">
        <f t="shared" si="10"/>
        <v>0</v>
      </c>
      <c r="B102" s="223" t="b">
        <f t="shared" si="11"/>
        <v>1</v>
      </c>
      <c r="C102" s="222">
        <f t="shared" si="12"/>
        <v>0</v>
      </c>
      <c r="D102" s="205" t="str">
        <f t="shared" si="13"/>
        <v>$$$$</v>
      </c>
      <c r="E102" s="224"/>
      <c r="F102" s="225"/>
      <c r="G102" s="226"/>
      <c r="H102" s="227"/>
      <c r="I102" s="228"/>
      <c r="J102" s="228"/>
      <c r="K102" s="229"/>
      <c r="L102" s="230"/>
      <c r="M102" s="231"/>
      <c r="N102" s="232"/>
      <c r="O102" s="230"/>
      <c r="P102" s="231"/>
      <c r="Q102" s="232"/>
      <c r="R102" s="233"/>
      <c r="S102" s="234"/>
      <c r="T102" s="235"/>
      <c r="U102" s="233"/>
      <c r="V102" s="236"/>
      <c r="W102" s="234"/>
      <c r="X102" s="235"/>
      <c r="Y102" s="237"/>
      <c r="Z102" s="238"/>
    </row>
    <row r="103" spans="1:26" s="239" customFormat="1" ht="28.5" customHeight="1" x14ac:dyDescent="0.3">
      <c r="A103" s="222">
        <f t="shared" ref="A103:A159" si="14">IF(B103,0,MATCH(H103,ВидыНагр,0))</f>
        <v>0</v>
      </c>
      <c r="B103" s="223" t="b">
        <f t="shared" ref="B103:B159" si="15">(COUNTIF(КлючОсень,D103)&lt;&gt;1)</f>
        <v>1</v>
      </c>
      <c r="C103" s="222">
        <f t="shared" ref="C103:C159" si="16">IF(COUNTA(E103:K103,Z103)&gt;0,1,0)+IF(COUNTA(L103:Y103)&gt;0,2,0)</f>
        <v>0</v>
      </c>
      <c r="D103" s="205" t="str">
        <f t="shared" si="13"/>
        <v>$$$$</v>
      </c>
      <c r="E103" s="224"/>
      <c r="F103" s="225"/>
      <c r="G103" s="226"/>
      <c r="H103" s="227"/>
      <c r="I103" s="228"/>
      <c r="J103" s="228"/>
      <c r="K103" s="229"/>
      <c r="L103" s="230"/>
      <c r="M103" s="231"/>
      <c r="N103" s="232"/>
      <c r="O103" s="230"/>
      <c r="P103" s="231"/>
      <c r="Q103" s="232"/>
      <c r="R103" s="233"/>
      <c r="S103" s="234"/>
      <c r="T103" s="235"/>
      <c r="U103" s="233"/>
      <c r="V103" s="236"/>
      <c r="W103" s="234"/>
      <c r="X103" s="235"/>
      <c r="Y103" s="237"/>
      <c r="Z103" s="238"/>
    </row>
    <row r="104" spans="1:26" s="239" customFormat="1" ht="28.5" customHeight="1" x14ac:dyDescent="0.3">
      <c r="A104" s="222">
        <f t="shared" si="14"/>
        <v>0</v>
      </c>
      <c r="B104" s="223" t="b">
        <f t="shared" si="15"/>
        <v>1</v>
      </c>
      <c r="C104" s="222">
        <f t="shared" si="16"/>
        <v>0</v>
      </c>
      <c r="D104" s="205" t="str">
        <f t="shared" si="13"/>
        <v>$$$$</v>
      </c>
      <c r="E104" s="224"/>
      <c r="F104" s="225"/>
      <c r="G104" s="226"/>
      <c r="H104" s="227"/>
      <c r="I104" s="228"/>
      <c r="J104" s="228"/>
      <c r="K104" s="229"/>
      <c r="L104" s="230"/>
      <c r="M104" s="231"/>
      <c r="N104" s="232"/>
      <c r="O104" s="230"/>
      <c r="P104" s="231"/>
      <c r="Q104" s="232"/>
      <c r="R104" s="233"/>
      <c r="S104" s="234"/>
      <c r="T104" s="235"/>
      <c r="U104" s="233"/>
      <c r="V104" s="236"/>
      <c r="W104" s="234"/>
      <c r="X104" s="235"/>
      <c r="Y104" s="237"/>
      <c r="Z104" s="238"/>
    </row>
    <row r="105" spans="1:26" s="239" customFormat="1" ht="28.5" customHeight="1" x14ac:dyDescent="0.3">
      <c r="A105" s="222">
        <f t="shared" si="14"/>
        <v>0</v>
      </c>
      <c r="B105" s="223" t="b">
        <f t="shared" si="15"/>
        <v>1</v>
      </c>
      <c r="C105" s="222">
        <f t="shared" si="16"/>
        <v>0</v>
      </c>
      <c r="D105" s="205" t="str">
        <f t="shared" si="13"/>
        <v>$$$$</v>
      </c>
      <c r="E105" s="224"/>
      <c r="F105" s="225"/>
      <c r="G105" s="226"/>
      <c r="H105" s="227"/>
      <c r="I105" s="228"/>
      <c r="J105" s="228"/>
      <c r="K105" s="229"/>
      <c r="L105" s="230"/>
      <c r="M105" s="231"/>
      <c r="N105" s="232"/>
      <c r="O105" s="230"/>
      <c r="P105" s="231"/>
      <c r="Q105" s="232"/>
      <c r="R105" s="233"/>
      <c r="S105" s="234"/>
      <c r="T105" s="235"/>
      <c r="U105" s="233"/>
      <c r="V105" s="236"/>
      <c r="W105" s="234"/>
      <c r="X105" s="235"/>
      <c r="Y105" s="237"/>
      <c r="Z105" s="238"/>
    </row>
    <row r="106" spans="1:26" s="239" customFormat="1" ht="28.5" customHeight="1" x14ac:dyDescent="0.3">
      <c r="A106" s="222">
        <f t="shared" si="14"/>
        <v>0</v>
      </c>
      <c r="B106" s="223" t="b">
        <f t="shared" si="15"/>
        <v>1</v>
      </c>
      <c r="C106" s="222">
        <f t="shared" si="16"/>
        <v>0</v>
      </c>
      <c r="D106" s="205" t="str">
        <f t="shared" si="13"/>
        <v>$$$$</v>
      </c>
      <c r="E106" s="224"/>
      <c r="F106" s="225"/>
      <c r="G106" s="226"/>
      <c r="H106" s="227"/>
      <c r="I106" s="228"/>
      <c r="J106" s="228"/>
      <c r="K106" s="229"/>
      <c r="L106" s="230"/>
      <c r="M106" s="231"/>
      <c r="N106" s="232"/>
      <c r="O106" s="230"/>
      <c r="P106" s="231"/>
      <c r="Q106" s="232"/>
      <c r="R106" s="233"/>
      <c r="S106" s="234"/>
      <c r="T106" s="235"/>
      <c r="U106" s="233"/>
      <c r="V106" s="236"/>
      <c r="W106" s="234"/>
      <c r="X106" s="235"/>
      <c r="Y106" s="237"/>
      <c r="Z106" s="238"/>
    </row>
    <row r="107" spans="1:26" s="239" customFormat="1" ht="28.5" customHeight="1" x14ac:dyDescent="0.3">
      <c r="A107" s="222">
        <f>IF(B107,0,MATCH(H107,ВидыНагр,0))</f>
        <v>0</v>
      </c>
      <c r="B107" s="223" t="b">
        <f>(COUNTIF(КлючОсень,D107)&lt;&gt;1)</f>
        <v>1</v>
      </c>
      <c r="C107" s="222">
        <f t="shared" si="16"/>
        <v>0</v>
      </c>
      <c r="D107" s="205" t="str">
        <f>CONCATENATE("$",TRIM(F107),"$",TRIM(G107),"$",H107,"$")</f>
        <v>$$$$</v>
      </c>
      <c r="E107" s="224"/>
      <c r="F107" s="225"/>
      <c r="G107" s="226"/>
      <c r="H107" s="227"/>
      <c r="I107" s="228"/>
      <c r="J107" s="228"/>
      <c r="K107" s="229"/>
      <c r="L107" s="230"/>
      <c r="M107" s="231"/>
      <c r="N107" s="232"/>
      <c r="O107" s="230"/>
      <c r="P107" s="231"/>
      <c r="Q107" s="232"/>
      <c r="R107" s="233"/>
      <c r="S107" s="234"/>
      <c r="T107" s="235"/>
      <c r="U107" s="233"/>
      <c r="V107" s="236"/>
      <c r="W107" s="234"/>
      <c r="X107" s="235"/>
      <c r="Y107" s="237"/>
      <c r="Z107" s="238"/>
    </row>
    <row r="108" spans="1:26" s="239" customFormat="1" ht="28.5" customHeight="1" x14ac:dyDescent="0.3">
      <c r="A108" s="222">
        <f>IF(B108,0,MATCH(H108,ВидыНагр,0))</f>
        <v>0</v>
      </c>
      <c r="B108" s="223" t="b">
        <f>(COUNTIF(КлючОсень,D108)&lt;&gt;1)</f>
        <v>1</v>
      </c>
      <c r="C108" s="222">
        <f t="shared" si="16"/>
        <v>0</v>
      </c>
      <c r="D108" s="205" t="str">
        <f>CONCATENATE("$",TRIM(F108),"$",TRIM(G108),"$",H108,"$")</f>
        <v>$$$$</v>
      </c>
      <c r="E108" s="224"/>
      <c r="F108" s="225"/>
      <c r="G108" s="226"/>
      <c r="H108" s="227"/>
      <c r="I108" s="228"/>
      <c r="J108" s="228"/>
      <c r="K108" s="229"/>
      <c r="L108" s="230"/>
      <c r="M108" s="231"/>
      <c r="N108" s="232"/>
      <c r="O108" s="230"/>
      <c r="P108" s="231"/>
      <c r="Q108" s="232"/>
      <c r="R108" s="233"/>
      <c r="S108" s="234"/>
      <c r="T108" s="235"/>
      <c r="U108" s="233"/>
      <c r="V108" s="236"/>
      <c r="W108" s="234"/>
      <c r="X108" s="235"/>
      <c r="Y108" s="237"/>
      <c r="Z108" s="238"/>
    </row>
    <row r="109" spans="1:26" s="239" customFormat="1" ht="28.5" customHeight="1" x14ac:dyDescent="0.3">
      <c r="A109" s="222">
        <f t="shared" si="14"/>
        <v>0</v>
      </c>
      <c r="B109" s="223" t="b">
        <f t="shared" si="15"/>
        <v>1</v>
      </c>
      <c r="C109" s="222">
        <f t="shared" si="16"/>
        <v>0</v>
      </c>
      <c r="D109" s="205" t="str">
        <f t="shared" si="13"/>
        <v>$$$$</v>
      </c>
      <c r="E109" s="224"/>
      <c r="F109" s="225"/>
      <c r="G109" s="226"/>
      <c r="H109" s="227"/>
      <c r="I109" s="228"/>
      <c r="J109" s="228"/>
      <c r="K109" s="229"/>
      <c r="L109" s="230"/>
      <c r="M109" s="231"/>
      <c r="N109" s="232"/>
      <c r="O109" s="230"/>
      <c r="P109" s="231"/>
      <c r="Q109" s="232"/>
      <c r="R109" s="233"/>
      <c r="S109" s="234"/>
      <c r="T109" s="235"/>
      <c r="U109" s="233"/>
      <c r="V109" s="236"/>
      <c r="W109" s="234"/>
      <c r="X109" s="235"/>
      <c r="Y109" s="237"/>
      <c r="Z109" s="238"/>
    </row>
    <row r="110" spans="1:26" s="239" customFormat="1" ht="28.5" customHeight="1" x14ac:dyDescent="0.3">
      <c r="A110" s="222">
        <f t="shared" si="14"/>
        <v>0</v>
      </c>
      <c r="B110" s="223" t="b">
        <f t="shared" si="15"/>
        <v>1</v>
      </c>
      <c r="C110" s="222">
        <f t="shared" si="16"/>
        <v>0</v>
      </c>
      <c r="D110" s="205" t="str">
        <f t="shared" si="13"/>
        <v>$$$$</v>
      </c>
      <c r="E110" s="224"/>
      <c r="F110" s="225"/>
      <c r="G110" s="226"/>
      <c r="H110" s="227"/>
      <c r="I110" s="228"/>
      <c r="J110" s="228"/>
      <c r="K110" s="229"/>
      <c r="L110" s="230"/>
      <c r="M110" s="231"/>
      <c r="N110" s="232"/>
      <c r="O110" s="230"/>
      <c r="P110" s="231"/>
      <c r="Q110" s="232"/>
      <c r="R110" s="233"/>
      <c r="S110" s="234"/>
      <c r="T110" s="235"/>
      <c r="U110" s="233"/>
      <c r="V110" s="236"/>
      <c r="W110" s="234"/>
      <c r="X110" s="235"/>
      <c r="Y110" s="237"/>
      <c r="Z110" s="238"/>
    </row>
    <row r="111" spans="1:26" s="239" customFormat="1" ht="28.5" customHeight="1" x14ac:dyDescent="0.3">
      <c r="A111" s="222">
        <f t="shared" si="14"/>
        <v>0</v>
      </c>
      <c r="B111" s="223" t="b">
        <f t="shared" si="15"/>
        <v>1</v>
      </c>
      <c r="C111" s="222">
        <f t="shared" si="16"/>
        <v>0</v>
      </c>
      <c r="D111" s="205" t="str">
        <f t="shared" si="13"/>
        <v>$$$$</v>
      </c>
      <c r="E111" s="224"/>
      <c r="F111" s="225"/>
      <c r="G111" s="226"/>
      <c r="H111" s="227"/>
      <c r="I111" s="228"/>
      <c r="J111" s="228"/>
      <c r="K111" s="229"/>
      <c r="L111" s="230"/>
      <c r="M111" s="231"/>
      <c r="N111" s="232"/>
      <c r="O111" s="230"/>
      <c r="P111" s="231"/>
      <c r="Q111" s="232"/>
      <c r="R111" s="233"/>
      <c r="S111" s="234"/>
      <c r="T111" s="235"/>
      <c r="U111" s="233"/>
      <c r="V111" s="236"/>
      <c r="W111" s="234"/>
      <c r="X111" s="235"/>
      <c r="Y111" s="237"/>
      <c r="Z111" s="238"/>
    </row>
    <row r="112" spans="1:26" s="239" customFormat="1" ht="28.5" customHeight="1" x14ac:dyDescent="0.3">
      <c r="A112" s="222">
        <f t="shared" si="14"/>
        <v>0</v>
      </c>
      <c r="B112" s="223" t="b">
        <f t="shared" si="15"/>
        <v>1</v>
      </c>
      <c r="C112" s="222">
        <f t="shared" si="16"/>
        <v>0</v>
      </c>
      <c r="D112" s="205" t="str">
        <f t="shared" si="13"/>
        <v>$$$$</v>
      </c>
      <c r="E112" s="224"/>
      <c r="F112" s="225"/>
      <c r="G112" s="226"/>
      <c r="H112" s="227"/>
      <c r="I112" s="228"/>
      <c r="J112" s="228"/>
      <c r="K112" s="229"/>
      <c r="L112" s="230"/>
      <c r="M112" s="231"/>
      <c r="N112" s="232"/>
      <c r="O112" s="230"/>
      <c r="P112" s="231"/>
      <c r="Q112" s="232"/>
      <c r="R112" s="233"/>
      <c r="S112" s="234"/>
      <c r="T112" s="235"/>
      <c r="U112" s="233"/>
      <c r="V112" s="236"/>
      <c r="W112" s="234"/>
      <c r="X112" s="235"/>
      <c r="Y112" s="237"/>
      <c r="Z112" s="238"/>
    </row>
    <row r="113" spans="1:26" s="239" customFormat="1" ht="28.5" customHeight="1" x14ac:dyDescent="0.3">
      <c r="A113" s="222">
        <f t="shared" si="14"/>
        <v>0</v>
      </c>
      <c r="B113" s="223" t="b">
        <f t="shared" si="15"/>
        <v>1</v>
      </c>
      <c r="C113" s="222">
        <f t="shared" si="16"/>
        <v>0</v>
      </c>
      <c r="D113" s="205" t="str">
        <f t="shared" si="13"/>
        <v>$$$$</v>
      </c>
      <c r="E113" s="224"/>
      <c r="F113" s="225"/>
      <c r="G113" s="226"/>
      <c r="H113" s="227"/>
      <c r="I113" s="228"/>
      <c r="J113" s="228"/>
      <c r="K113" s="229"/>
      <c r="L113" s="230"/>
      <c r="M113" s="231"/>
      <c r="N113" s="232"/>
      <c r="O113" s="230"/>
      <c r="P113" s="231"/>
      <c r="Q113" s="232"/>
      <c r="R113" s="233"/>
      <c r="S113" s="234"/>
      <c r="T113" s="235"/>
      <c r="U113" s="233"/>
      <c r="V113" s="236"/>
      <c r="W113" s="234"/>
      <c r="X113" s="235"/>
      <c r="Y113" s="237"/>
      <c r="Z113" s="238"/>
    </row>
    <row r="114" spans="1:26" s="239" customFormat="1" ht="28.5" customHeight="1" x14ac:dyDescent="0.3">
      <c r="A114" s="222">
        <f t="shared" si="14"/>
        <v>0</v>
      </c>
      <c r="B114" s="223" t="b">
        <f t="shared" si="15"/>
        <v>1</v>
      </c>
      <c r="C114" s="222">
        <f t="shared" si="16"/>
        <v>0</v>
      </c>
      <c r="D114" s="205" t="str">
        <f t="shared" si="13"/>
        <v>$$$$</v>
      </c>
      <c r="E114" s="224"/>
      <c r="F114" s="225"/>
      <c r="G114" s="226"/>
      <c r="H114" s="227"/>
      <c r="I114" s="228"/>
      <c r="J114" s="228"/>
      <c r="K114" s="229"/>
      <c r="L114" s="230"/>
      <c r="M114" s="231"/>
      <c r="N114" s="232"/>
      <c r="O114" s="230"/>
      <c r="P114" s="231"/>
      <c r="Q114" s="232"/>
      <c r="R114" s="233"/>
      <c r="S114" s="234"/>
      <c r="T114" s="235"/>
      <c r="U114" s="233"/>
      <c r="V114" s="236"/>
      <c r="W114" s="234"/>
      <c r="X114" s="235"/>
      <c r="Y114" s="237"/>
      <c r="Z114" s="238"/>
    </row>
    <row r="115" spans="1:26" s="239" customFormat="1" ht="28.5" customHeight="1" x14ac:dyDescent="0.3">
      <c r="A115" s="222">
        <f t="shared" si="14"/>
        <v>0</v>
      </c>
      <c r="B115" s="223" t="b">
        <f t="shared" si="15"/>
        <v>1</v>
      </c>
      <c r="C115" s="222">
        <f t="shared" si="16"/>
        <v>0</v>
      </c>
      <c r="D115" s="205" t="str">
        <f t="shared" si="13"/>
        <v>$$$$</v>
      </c>
      <c r="E115" s="224"/>
      <c r="F115" s="225"/>
      <c r="G115" s="226"/>
      <c r="H115" s="227"/>
      <c r="I115" s="228"/>
      <c r="J115" s="228"/>
      <c r="K115" s="229"/>
      <c r="L115" s="230"/>
      <c r="M115" s="231"/>
      <c r="N115" s="232"/>
      <c r="O115" s="230"/>
      <c r="P115" s="231"/>
      <c r="Q115" s="232"/>
      <c r="R115" s="233"/>
      <c r="S115" s="234"/>
      <c r="T115" s="235"/>
      <c r="U115" s="233"/>
      <c r="V115" s="236"/>
      <c r="W115" s="234"/>
      <c r="X115" s="235"/>
      <c r="Y115" s="237"/>
      <c r="Z115" s="238"/>
    </row>
    <row r="116" spans="1:26" s="239" customFormat="1" ht="28.5" customHeight="1" x14ac:dyDescent="0.3">
      <c r="A116" s="222">
        <f t="shared" si="14"/>
        <v>0</v>
      </c>
      <c r="B116" s="223" t="b">
        <f t="shared" si="15"/>
        <v>1</v>
      </c>
      <c r="C116" s="222">
        <f t="shared" si="16"/>
        <v>0</v>
      </c>
      <c r="D116" s="205" t="str">
        <f t="shared" si="13"/>
        <v>$$$$</v>
      </c>
      <c r="E116" s="224"/>
      <c r="F116" s="225"/>
      <c r="G116" s="226"/>
      <c r="H116" s="227"/>
      <c r="I116" s="228"/>
      <c r="J116" s="228"/>
      <c r="K116" s="229"/>
      <c r="L116" s="230"/>
      <c r="M116" s="231"/>
      <c r="N116" s="232"/>
      <c r="O116" s="230"/>
      <c r="P116" s="231"/>
      <c r="Q116" s="232"/>
      <c r="R116" s="233"/>
      <c r="S116" s="234"/>
      <c r="T116" s="235"/>
      <c r="U116" s="233"/>
      <c r="V116" s="236"/>
      <c r="W116" s="234"/>
      <c r="X116" s="235"/>
      <c r="Y116" s="237"/>
      <c r="Z116" s="238"/>
    </row>
    <row r="117" spans="1:26" s="239" customFormat="1" ht="28.5" customHeight="1" x14ac:dyDescent="0.3">
      <c r="A117" s="222">
        <f t="shared" si="14"/>
        <v>0</v>
      </c>
      <c r="B117" s="223" t="b">
        <f t="shared" si="15"/>
        <v>1</v>
      </c>
      <c r="C117" s="222">
        <f t="shared" si="16"/>
        <v>0</v>
      </c>
      <c r="D117" s="205" t="str">
        <f t="shared" si="13"/>
        <v>$$$$</v>
      </c>
      <c r="E117" s="224"/>
      <c r="F117" s="225"/>
      <c r="G117" s="226"/>
      <c r="H117" s="227"/>
      <c r="I117" s="228"/>
      <c r="J117" s="228"/>
      <c r="K117" s="229"/>
      <c r="L117" s="230"/>
      <c r="M117" s="231"/>
      <c r="N117" s="232"/>
      <c r="O117" s="230"/>
      <c r="P117" s="231"/>
      <c r="Q117" s="232"/>
      <c r="R117" s="233"/>
      <c r="S117" s="234"/>
      <c r="T117" s="235"/>
      <c r="U117" s="233"/>
      <c r="V117" s="236"/>
      <c r="W117" s="234"/>
      <c r="X117" s="235"/>
      <c r="Y117" s="237"/>
      <c r="Z117" s="238"/>
    </row>
    <row r="118" spans="1:26" s="239" customFormat="1" ht="28.5" customHeight="1" x14ac:dyDescent="0.3">
      <c r="A118" s="222">
        <f t="shared" si="14"/>
        <v>0</v>
      </c>
      <c r="B118" s="223" t="b">
        <f t="shared" si="15"/>
        <v>1</v>
      </c>
      <c r="C118" s="222">
        <f t="shared" si="16"/>
        <v>0</v>
      </c>
      <c r="D118" s="205" t="str">
        <f t="shared" si="13"/>
        <v>$$$$</v>
      </c>
      <c r="E118" s="224"/>
      <c r="F118" s="225"/>
      <c r="G118" s="226"/>
      <c r="H118" s="227"/>
      <c r="I118" s="228"/>
      <c r="J118" s="228"/>
      <c r="K118" s="229"/>
      <c r="L118" s="230"/>
      <c r="M118" s="231"/>
      <c r="N118" s="232"/>
      <c r="O118" s="230"/>
      <c r="P118" s="231"/>
      <c r="Q118" s="232"/>
      <c r="R118" s="233"/>
      <c r="S118" s="234"/>
      <c r="T118" s="235"/>
      <c r="U118" s="233"/>
      <c r="V118" s="236"/>
      <c r="W118" s="234"/>
      <c r="X118" s="235"/>
      <c r="Y118" s="237"/>
      <c r="Z118" s="238"/>
    </row>
    <row r="119" spans="1:26" s="239" customFormat="1" ht="28.5" customHeight="1" x14ac:dyDescent="0.3">
      <c r="A119" s="222">
        <f t="shared" si="14"/>
        <v>0</v>
      </c>
      <c r="B119" s="223" t="b">
        <f t="shared" si="15"/>
        <v>1</v>
      </c>
      <c r="C119" s="222">
        <f t="shared" si="16"/>
        <v>0</v>
      </c>
      <c r="D119" s="205" t="str">
        <f t="shared" si="13"/>
        <v>$$$$</v>
      </c>
      <c r="E119" s="224"/>
      <c r="F119" s="225"/>
      <c r="G119" s="226"/>
      <c r="H119" s="227"/>
      <c r="I119" s="228"/>
      <c r="J119" s="228"/>
      <c r="K119" s="229"/>
      <c r="L119" s="230"/>
      <c r="M119" s="231"/>
      <c r="N119" s="232"/>
      <c r="O119" s="230"/>
      <c r="P119" s="231"/>
      <c r="Q119" s="232"/>
      <c r="R119" s="233"/>
      <c r="S119" s="234"/>
      <c r="T119" s="235"/>
      <c r="U119" s="233"/>
      <c r="V119" s="236"/>
      <c r="W119" s="234"/>
      <c r="X119" s="235"/>
      <c r="Y119" s="237"/>
      <c r="Z119" s="238"/>
    </row>
    <row r="120" spans="1:26" s="239" customFormat="1" ht="28.5" customHeight="1" x14ac:dyDescent="0.3">
      <c r="A120" s="222">
        <f t="shared" si="14"/>
        <v>0</v>
      </c>
      <c r="B120" s="223" t="b">
        <f t="shared" si="15"/>
        <v>1</v>
      </c>
      <c r="C120" s="222">
        <f t="shared" si="16"/>
        <v>0</v>
      </c>
      <c r="D120" s="205" t="str">
        <f t="shared" ref="D120:D154" si="17">CONCATENATE("$",TRIM(F120),"$",TRIM(G120),"$",H120,"$")</f>
        <v>$$$$</v>
      </c>
      <c r="E120" s="224"/>
      <c r="F120" s="225"/>
      <c r="G120" s="226"/>
      <c r="H120" s="227"/>
      <c r="I120" s="228"/>
      <c r="J120" s="228"/>
      <c r="K120" s="229"/>
      <c r="L120" s="230"/>
      <c r="M120" s="231"/>
      <c r="N120" s="232"/>
      <c r="O120" s="230"/>
      <c r="P120" s="231"/>
      <c r="Q120" s="232"/>
      <c r="R120" s="233"/>
      <c r="S120" s="234"/>
      <c r="T120" s="235"/>
      <c r="U120" s="233"/>
      <c r="V120" s="236"/>
      <c r="W120" s="234"/>
      <c r="X120" s="235"/>
      <c r="Y120" s="237"/>
      <c r="Z120" s="238"/>
    </row>
    <row r="121" spans="1:26" s="239" customFormat="1" ht="28.5" customHeight="1" x14ac:dyDescent="0.3">
      <c r="A121" s="222">
        <f t="shared" si="14"/>
        <v>0</v>
      </c>
      <c r="B121" s="223" t="b">
        <f t="shared" si="15"/>
        <v>1</v>
      </c>
      <c r="C121" s="222">
        <f t="shared" si="16"/>
        <v>0</v>
      </c>
      <c r="D121" s="205" t="str">
        <f t="shared" si="17"/>
        <v>$$$$</v>
      </c>
      <c r="E121" s="224"/>
      <c r="F121" s="225"/>
      <c r="G121" s="226"/>
      <c r="H121" s="227"/>
      <c r="I121" s="228"/>
      <c r="J121" s="228"/>
      <c r="K121" s="229"/>
      <c r="L121" s="230"/>
      <c r="M121" s="231"/>
      <c r="N121" s="232"/>
      <c r="O121" s="230"/>
      <c r="P121" s="231"/>
      <c r="Q121" s="232"/>
      <c r="R121" s="233"/>
      <c r="S121" s="234"/>
      <c r="T121" s="235"/>
      <c r="U121" s="233"/>
      <c r="V121" s="236"/>
      <c r="W121" s="234"/>
      <c r="X121" s="235"/>
      <c r="Y121" s="237"/>
      <c r="Z121" s="238"/>
    </row>
    <row r="122" spans="1:26" s="239" customFormat="1" ht="28.5" customHeight="1" x14ac:dyDescent="0.3">
      <c r="A122" s="222">
        <f t="shared" si="14"/>
        <v>0</v>
      </c>
      <c r="B122" s="223" t="b">
        <f t="shared" si="15"/>
        <v>1</v>
      </c>
      <c r="C122" s="222">
        <f t="shared" si="16"/>
        <v>0</v>
      </c>
      <c r="D122" s="205" t="str">
        <f t="shared" si="17"/>
        <v>$$$$</v>
      </c>
      <c r="E122" s="224"/>
      <c r="F122" s="225"/>
      <c r="G122" s="226"/>
      <c r="H122" s="227"/>
      <c r="I122" s="228"/>
      <c r="J122" s="228"/>
      <c r="K122" s="229"/>
      <c r="L122" s="230"/>
      <c r="M122" s="231"/>
      <c r="N122" s="232"/>
      <c r="O122" s="230"/>
      <c r="P122" s="231"/>
      <c r="Q122" s="232"/>
      <c r="R122" s="233"/>
      <c r="S122" s="234"/>
      <c r="T122" s="235"/>
      <c r="U122" s="233"/>
      <c r="V122" s="236"/>
      <c r="W122" s="234"/>
      <c r="X122" s="235"/>
      <c r="Y122" s="237"/>
      <c r="Z122" s="238"/>
    </row>
    <row r="123" spans="1:26" s="239" customFormat="1" ht="28.5" customHeight="1" x14ac:dyDescent="0.3">
      <c r="A123" s="222">
        <f t="shared" si="14"/>
        <v>0</v>
      </c>
      <c r="B123" s="223" t="b">
        <f t="shared" si="15"/>
        <v>1</v>
      </c>
      <c r="C123" s="222">
        <f t="shared" si="16"/>
        <v>0</v>
      </c>
      <c r="D123" s="205" t="str">
        <f t="shared" si="17"/>
        <v>$$$$</v>
      </c>
      <c r="E123" s="224"/>
      <c r="F123" s="225"/>
      <c r="G123" s="226"/>
      <c r="H123" s="227"/>
      <c r="I123" s="228"/>
      <c r="J123" s="228"/>
      <c r="K123" s="229"/>
      <c r="L123" s="230"/>
      <c r="M123" s="231"/>
      <c r="N123" s="232"/>
      <c r="O123" s="230"/>
      <c r="P123" s="231"/>
      <c r="Q123" s="232"/>
      <c r="R123" s="233"/>
      <c r="S123" s="234"/>
      <c r="T123" s="235"/>
      <c r="U123" s="233"/>
      <c r="V123" s="236"/>
      <c r="W123" s="234"/>
      <c r="X123" s="235"/>
      <c r="Y123" s="237"/>
      <c r="Z123" s="238"/>
    </row>
    <row r="124" spans="1:26" s="239" customFormat="1" ht="28.5" customHeight="1" x14ac:dyDescent="0.3">
      <c r="A124" s="222">
        <f t="shared" si="14"/>
        <v>0</v>
      </c>
      <c r="B124" s="223" t="b">
        <f t="shared" si="15"/>
        <v>1</v>
      </c>
      <c r="C124" s="222">
        <f t="shared" si="16"/>
        <v>0</v>
      </c>
      <c r="D124" s="205" t="str">
        <f t="shared" si="17"/>
        <v>$$$$</v>
      </c>
      <c r="E124" s="224"/>
      <c r="F124" s="225"/>
      <c r="G124" s="226"/>
      <c r="H124" s="227"/>
      <c r="I124" s="228"/>
      <c r="J124" s="228"/>
      <c r="K124" s="229"/>
      <c r="L124" s="230"/>
      <c r="M124" s="231"/>
      <c r="N124" s="232"/>
      <c r="O124" s="230"/>
      <c r="P124" s="231"/>
      <c r="Q124" s="232"/>
      <c r="R124" s="233"/>
      <c r="S124" s="234"/>
      <c r="T124" s="235"/>
      <c r="U124" s="233"/>
      <c r="V124" s="236"/>
      <c r="W124" s="234"/>
      <c r="X124" s="235"/>
      <c r="Y124" s="237"/>
      <c r="Z124" s="238"/>
    </row>
    <row r="125" spans="1:26" s="239" customFormat="1" ht="28.5" customHeight="1" x14ac:dyDescent="0.3">
      <c r="A125" s="222">
        <f t="shared" si="14"/>
        <v>0</v>
      </c>
      <c r="B125" s="223" t="b">
        <f t="shared" si="15"/>
        <v>1</v>
      </c>
      <c r="C125" s="222">
        <f t="shared" si="16"/>
        <v>0</v>
      </c>
      <c r="D125" s="205" t="str">
        <f t="shared" si="17"/>
        <v>$$$$</v>
      </c>
      <c r="E125" s="224"/>
      <c r="F125" s="225"/>
      <c r="G125" s="226"/>
      <c r="H125" s="227"/>
      <c r="I125" s="228"/>
      <c r="J125" s="228"/>
      <c r="K125" s="229"/>
      <c r="L125" s="230"/>
      <c r="M125" s="231"/>
      <c r="N125" s="232"/>
      <c r="O125" s="230"/>
      <c r="P125" s="231"/>
      <c r="Q125" s="232"/>
      <c r="R125" s="233"/>
      <c r="S125" s="234"/>
      <c r="T125" s="235"/>
      <c r="U125" s="233"/>
      <c r="V125" s="236"/>
      <c r="W125" s="234"/>
      <c r="X125" s="235"/>
      <c r="Y125" s="237"/>
      <c r="Z125" s="238"/>
    </row>
    <row r="126" spans="1:26" s="239" customFormat="1" ht="28.5" customHeight="1" x14ac:dyDescent="0.3">
      <c r="A126" s="222">
        <f t="shared" si="14"/>
        <v>0</v>
      </c>
      <c r="B126" s="223" t="b">
        <f t="shared" si="15"/>
        <v>1</v>
      </c>
      <c r="C126" s="222">
        <f t="shared" si="16"/>
        <v>0</v>
      </c>
      <c r="D126" s="205" t="str">
        <f t="shared" si="17"/>
        <v>$$$$</v>
      </c>
      <c r="E126" s="224"/>
      <c r="F126" s="225"/>
      <c r="G126" s="226"/>
      <c r="H126" s="227"/>
      <c r="I126" s="228"/>
      <c r="J126" s="228"/>
      <c r="K126" s="229"/>
      <c r="L126" s="230"/>
      <c r="M126" s="231"/>
      <c r="N126" s="232"/>
      <c r="O126" s="230"/>
      <c r="P126" s="231"/>
      <c r="Q126" s="232"/>
      <c r="R126" s="233"/>
      <c r="S126" s="234"/>
      <c r="T126" s="235"/>
      <c r="U126" s="233"/>
      <c r="V126" s="236"/>
      <c r="W126" s="234"/>
      <c r="X126" s="235"/>
      <c r="Y126" s="237"/>
      <c r="Z126" s="238"/>
    </row>
    <row r="127" spans="1:26" s="239" customFormat="1" ht="28.5" customHeight="1" x14ac:dyDescent="0.3">
      <c r="A127" s="222">
        <f t="shared" si="14"/>
        <v>0</v>
      </c>
      <c r="B127" s="223" t="b">
        <f t="shared" si="15"/>
        <v>1</v>
      </c>
      <c r="C127" s="222">
        <f t="shared" si="16"/>
        <v>0</v>
      </c>
      <c r="D127" s="205" t="str">
        <f t="shared" si="17"/>
        <v>$$$$</v>
      </c>
      <c r="E127" s="224"/>
      <c r="F127" s="225"/>
      <c r="G127" s="226"/>
      <c r="H127" s="227"/>
      <c r="I127" s="228"/>
      <c r="J127" s="228"/>
      <c r="K127" s="229"/>
      <c r="L127" s="230"/>
      <c r="M127" s="231"/>
      <c r="N127" s="232"/>
      <c r="O127" s="230"/>
      <c r="P127" s="231"/>
      <c r="Q127" s="232"/>
      <c r="R127" s="233"/>
      <c r="S127" s="234"/>
      <c r="T127" s="235"/>
      <c r="U127" s="233"/>
      <c r="V127" s="236"/>
      <c r="W127" s="234"/>
      <c r="X127" s="235"/>
      <c r="Y127" s="237"/>
      <c r="Z127" s="238"/>
    </row>
    <row r="128" spans="1:26" s="239" customFormat="1" ht="28.5" customHeight="1" x14ac:dyDescent="0.3">
      <c r="A128" s="222">
        <f t="shared" si="14"/>
        <v>0</v>
      </c>
      <c r="B128" s="223" t="b">
        <f t="shared" si="15"/>
        <v>1</v>
      </c>
      <c r="C128" s="222">
        <f t="shared" si="16"/>
        <v>0</v>
      </c>
      <c r="D128" s="205" t="str">
        <f t="shared" si="17"/>
        <v>$$$$</v>
      </c>
      <c r="E128" s="224"/>
      <c r="F128" s="225"/>
      <c r="G128" s="226"/>
      <c r="H128" s="227"/>
      <c r="I128" s="228"/>
      <c r="J128" s="228"/>
      <c r="K128" s="229"/>
      <c r="L128" s="230"/>
      <c r="M128" s="231"/>
      <c r="N128" s="232"/>
      <c r="O128" s="230"/>
      <c r="P128" s="231"/>
      <c r="Q128" s="232"/>
      <c r="R128" s="233"/>
      <c r="S128" s="234"/>
      <c r="T128" s="235"/>
      <c r="U128" s="233"/>
      <c r="V128" s="236"/>
      <c r="W128" s="234"/>
      <c r="X128" s="235"/>
      <c r="Y128" s="237"/>
      <c r="Z128" s="238"/>
    </row>
    <row r="129" spans="1:26" s="239" customFormat="1" ht="28.5" customHeight="1" x14ac:dyDescent="0.3">
      <c r="A129" s="222">
        <f t="shared" si="14"/>
        <v>0</v>
      </c>
      <c r="B129" s="223" t="b">
        <f t="shared" si="15"/>
        <v>1</v>
      </c>
      <c r="C129" s="222">
        <f t="shared" si="16"/>
        <v>0</v>
      </c>
      <c r="D129" s="205" t="str">
        <f t="shared" si="17"/>
        <v>$$$$</v>
      </c>
      <c r="E129" s="224"/>
      <c r="F129" s="225"/>
      <c r="G129" s="226"/>
      <c r="H129" s="227"/>
      <c r="I129" s="228"/>
      <c r="J129" s="228"/>
      <c r="K129" s="229"/>
      <c r="L129" s="230"/>
      <c r="M129" s="231"/>
      <c r="N129" s="232"/>
      <c r="O129" s="230"/>
      <c r="P129" s="231"/>
      <c r="Q129" s="232"/>
      <c r="R129" s="233"/>
      <c r="S129" s="234"/>
      <c r="T129" s="235"/>
      <c r="U129" s="233"/>
      <c r="V129" s="236"/>
      <c r="W129" s="234"/>
      <c r="X129" s="235"/>
      <c r="Y129" s="237"/>
      <c r="Z129" s="238"/>
    </row>
    <row r="130" spans="1:26" s="239" customFormat="1" ht="28.5" customHeight="1" x14ac:dyDescent="0.3">
      <c r="A130" s="222">
        <f t="shared" si="14"/>
        <v>0</v>
      </c>
      <c r="B130" s="223" t="b">
        <f t="shared" si="15"/>
        <v>1</v>
      </c>
      <c r="C130" s="222">
        <f t="shared" si="16"/>
        <v>0</v>
      </c>
      <c r="D130" s="205" t="str">
        <f t="shared" si="17"/>
        <v>$$$$</v>
      </c>
      <c r="E130" s="224"/>
      <c r="F130" s="225"/>
      <c r="G130" s="226"/>
      <c r="H130" s="227"/>
      <c r="I130" s="228"/>
      <c r="J130" s="228"/>
      <c r="K130" s="229"/>
      <c r="L130" s="230"/>
      <c r="M130" s="231"/>
      <c r="N130" s="232"/>
      <c r="O130" s="230"/>
      <c r="P130" s="231"/>
      <c r="Q130" s="232"/>
      <c r="R130" s="233"/>
      <c r="S130" s="234"/>
      <c r="T130" s="235"/>
      <c r="U130" s="233"/>
      <c r="V130" s="236"/>
      <c r="W130" s="234"/>
      <c r="X130" s="235"/>
      <c r="Y130" s="237"/>
      <c r="Z130" s="238"/>
    </row>
    <row r="131" spans="1:26" s="239" customFormat="1" ht="28.5" customHeight="1" x14ac:dyDescent="0.3">
      <c r="A131" s="222">
        <f t="shared" si="14"/>
        <v>0</v>
      </c>
      <c r="B131" s="223" t="b">
        <f t="shared" si="15"/>
        <v>1</v>
      </c>
      <c r="C131" s="222">
        <f t="shared" si="16"/>
        <v>0</v>
      </c>
      <c r="D131" s="205" t="str">
        <f t="shared" si="17"/>
        <v>$$$$</v>
      </c>
      <c r="E131" s="224"/>
      <c r="F131" s="225"/>
      <c r="G131" s="226"/>
      <c r="H131" s="227"/>
      <c r="I131" s="228"/>
      <c r="J131" s="228"/>
      <c r="K131" s="229"/>
      <c r="L131" s="230"/>
      <c r="M131" s="231"/>
      <c r="N131" s="232"/>
      <c r="O131" s="230"/>
      <c r="P131" s="231"/>
      <c r="Q131" s="232"/>
      <c r="R131" s="233"/>
      <c r="S131" s="234"/>
      <c r="T131" s="235"/>
      <c r="U131" s="233"/>
      <c r="V131" s="236"/>
      <c r="W131" s="234"/>
      <c r="X131" s="235"/>
      <c r="Y131" s="237"/>
      <c r="Z131" s="238"/>
    </row>
    <row r="132" spans="1:26" s="239" customFormat="1" ht="28.5" customHeight="1" x14ac:dyDescent="0.3">
      <c r="A132" s="222">
        <f t="shared" si="14"/>
        <v>0</v>
      </c>
      <c r="B132" s="223" t="b">
        <f t="shared" si="15"/>
        <v>1</v>
      </c>
      <c r="C132" s="222">
        <f t="shared" si="16"/>
        <v>0</v>
      </c>
      <c r="D132" s="205" t="str">
        <f t="shared" si="17"/>
        <v>$$$$</v>
      </c>
      <c r="E132" s="224"/>
      <c r="F132" s="225"/>
      <c r="G132" s="226"/>
      <c r="H132" s="227"/>
      <c r="I132" s="228"/>
      <c r="J132" s="228"/>
      <c r="K132" s="229"/>
      <c r="L132" s="230"/>
      <c r="M132" s="231"/>
      <c r="N132" s="232"/>
      <c r="O132" s="230"/>
      <c r="P132" s="231"/>
      <c r="Q132" s="232"/>
      <c r="R132" s="233"/>
      <c r="S132" s="234"/>
      <c r="T132" s="235"/>
      <c r="U132" s="233"/>
      <c r="V132" s="236"/>
      <c r="W132" s="234"/>
      <c r="X132" s="235"/>
      <c r="Y132" s="237"/>
      <c r="Z132" s="238"/>
    </row>
    <row r="133" spans="1:26" s="239" customFormat="1" ht="28.5" customHeight="1" x14ac:dyDescent="0.3">
      <c r="A133" s="222">
        <f t="shared" si="14"/>
        <v>0</v>
      </c>
      <c r="B133" s="223" t="b">
        <f t="shared" si="15"/>
        <v>1</v>
      </c>
      <c r="C133" s="222">
        <f t="shared" si="16"/>
        <v>0</v>
      </c>
      <c r="D133" s="205" t="str">
        <f t="shared" si="17"/>
        <v>$$$$</v>
      </c>
      <c r="E133" s="224"/>
      <c r="F133" s="225"/>
      <c r="G133" s="226"/>
      <c r="H133" s="227"/>
      <c r="I133" s="228"/>
      <c r="J133" s="228"/>
      <c r="K133" s="229"/>
      <c r="L133" s="230"/>
      <c r="M133" s="231"/>
      <c r="N133" s="232"/>
      <c r="O133" s="230"/>
      <c r="P133" s="231"/>
      <c r="Q133" s="232"/>
      <c r="R133" s="233"/>
      <c r="S133" s="234"/>
      <c r="T133" s="235"/>
      <c r="U133" s="233"/>
      <c r="V133" s="236"/>
      <c r="W133" s="234"/>
      <c r="X133" s="235"/>
      <c r="Y133" s="237"/>
      <c r="Z133" s="238"/>
    </row>
    <row r="134" spans="1:26" s="239" customFormat="1" ht="28.5" customHeight="1" x14ac:dyDescent="0.3">
      <c r="A134" s="222">
        <f t="shared" si="14"/>
        <v>0</v>
      </c>
      <c r="B134" s="223" t="b">
        <f t="shared" si="15"/>
        <v>1</v>
      </c>
      <c r="C134" s="222">
        <f t="shared" si="16"/>
        <v>0</v>
      </c>
      <c r="D134" s="205" t="str">
        <f t="shared" si="17"/>
        <v>$$$$</v>
      </c>
      <c r="E134" s="224"/>
      <c r="F134" s="225"/>
      <c r="G134" s="226"/>
      <c r="H134" s="227"/>
      <c r="I134" s="228"/>
      <c r="J134" s="228"/>
      <c r="K134" s="229"/>
      <c r="L134" s="230"/>
      <c r="M134" s="231"/>
      <c r="N134" s="232"/>
      <c r="O134" s="230"/>
      <c r="P134" s="231"/>
      <c r="Q134" s="232"/>
      <c r="R134" s="233"/>
      <c r="S134" s="234"/>
      <c r="T134" s="235"/>
      <c r="U134" s="233"/>
      <c r="V134" s="236"/>
      <c r="W134" s="234"/>
      <c r="X134" s="235"/>
      <c r="Y134" s="237"/>
      <c r="Z134" s="238"/>
    </row>
    <row r="135" spans="1:26" s="239" customFormat="1" ht="28.5" customHeight="1" x14ac:dyDescent="0.3">
      <c r="A135" s="222">
        <f t="shared" si="14"/>
        <v>0</v>
      </c>
      <c r="B135" s="223" t="b">
        <f t="shared" si="15"/>
        <v>1</v>
      </c>
      <c r="C135" s="222">
        <f t="shared" si="16"/>
        <v>0</v>
      </c>
      <c r="D135" s="205" t="str">
        <f t="shared" si="17"/>
        <v>$$$$</v>
      </c>
      <c r="E135" s="224"/>
      <c r="F135" s="225"/>
      <c r="G135" s="226"/>
      <c r="H135" s="227"/>
      <c r="I135" s="228"/>
      <c r="J135" s="228"/>
      <c r="K135" s="229"/>
      <c r="L135" s="230"/>
      <c r="M135" s="231"/>
      <c r="N135" s="232"/>
      <c r="O135" s="230"/>
      <c r="P135" s="231"/>
      <c r="Q135" s="232"/>
      <c r="R135" s="233"/>
      <c r="S135" s="234"/>
      <c r="T135" s="235"/>
      <c r="U135" s="233"/>
      <c r="V135" s="236"/>
      <c r="W135" s="234"/>
      <c r="X135" s="235"/>
      <c r="Y135" s="237"/>
      <c r="Z135" s="238"/>
    </row>
    <row r="136" spans="1:26" s="239" customFormat="1" ht="28.5" customHeight="1" x14ac:dyDescent="0.3">
      <c r="A136" s="222">
        <f t="shared" si="14"/>
        <v>0</v>
      </c>
      <c r="B136" s="223" t="b">
        <f t="shared" si="15"/>
        <v>1</v>
      </c>
      <c r="C136" s="222">
        <f t="shared" si="16"/>
        <v>0</v>
      </c>
      <c r="D136" s="205" t="str">
        <f t="shared" si="17"/>
        <v>$$$$</v>
      </c>
      <c r="E136" s="224"/>
      <c r="F136" s="225"/>
      <c r="G136" s="226"/>
      <c r="H136" s="227"/>
      <c r="I136" s="228"/>
      <c r="J136" s="228"/>
      <c r="K136" s="229"/>
      <c r="L136" s="230"/>
      <c r="M136" s="231"/>
      <c r="N136" s="232"/>
      <c r="O136" s="230"/>
      <c r="P136" s="231"/>
      <c r="Q136" s="232"/>
      <c r="R136" s="233"/>
      <c r="S136" s="234"/>
      <c r="T136" s="235"/>
      <c r="U136" s="233"/>
      <c r="V136" s="236"/>
      <c r="W136" s="234"/>
      <c r="X136" s="235"/>
      <c r="Y136" s="237"/>
      <c r="Z136" s="238"/>
    </row>
    <row r="137" spans="1:26" s="239" customFormat="1" ht="28.5" customHeight="1" x14ac:dyDescent="0.3">
      <c r="A137" s="222">
        <f t="shared" si="14"/>
        <v>0</v>
      </c>
      <c r="B137" s="223" t="b">
        <f t="shared" si="15"/>
        <v>1</v>
      </c>
      <c r="C137" s="222">
        <f t="shared" si="16"/>
        <v>0</v>
      </c>
      <c r="D137" s="205" t="str">
        <f t="shared" si="17"/>
        <v>$$$$</v>
      </c>
      <c r="E137" s="224"/>
      <c r="F137" s="225"/>
      <c r="G137" s="226"/>
      <c r="H137" s="227"/>
      <c r="I137" s="228"/>
      <c r="J137" s="228"/>
      <c r="K137" s="229"/>
      <c r="L137" s="230"/>
      <c r="M137" s="231"/>
      <c r="N137" s="232"/>
      <c r="O137" s="230"/>
      <c r="P137" s="231"/>
      <c r="Q137" s="232"/>
      <c r="R137" s="233"/>
      <c r="S137" s="234"/>
      <c r="T137" s="235"/>
      <c r="U137" s="233"/>
      <c r="V137" s="236"/>
      <c r="W137" s="234"/>
      <c r="X137" s="235"/>
      <c r="Y137" s="237"/>
      <c r="Z137" s="238"/>
    </row>
    <row r="138" spans="1:26" s="239" customFormat="1" ht="28.5" customHeight="1" x14ac:dyDescent="0.3">
      <c r="A138" s="222">
        <f t="shared" si="14"/>
        <v>0</v>
      </c>
      <c r="B138" s="223" t="b">
        <f t="shared" si="15"/>
        <v>1</v>
      </c>
      <c r="C138" s="222">
        <f t="shared" si="16"/>
        <v>0</v>
      </c>
      <c r="D138" s="205" t="str">
        <f t="shared" si="17"/>
        <v>$$$$</v>
      </c>
      <c r="E138" s="224"/>
      <c r="F138" s="225"/>
      <c r="G138" s="226"/>
      <c r="H138" s="227"/>
      <c r="I138" s="228"/>
      <c r="J138" s="228"/>
      <c r="K138" s="229"/>
      <c r="L138" s="230"/>
      <c r="M138" s="231"/>
      <c r="N138" s="232"/>
      <c r="O138" s="230"/>
      <c r="P138" s="231"/>
      <c r="Q138" s="232"/>
      <c r="R138" s="233"/>
      <c r="S138" s="234"/>
      <c r="T138" s="235"/>
      <c r="U138" s="233"/>
      <c r="V138" s="236"/>
      <c r="W138" s="234"/>
      <c r="X138" s="235"/>
      <c r="Y138" s="237"/>
      <c r="Z138" s="238"/>
    </row>
    <row r="139" spans="1:26" s="239" customFormat="1" ht="28.5" customHeight="1" x14ac:dyDescent="0.3">
      <c r="A139" s="222">
        <f t="shared" si="14"/>
        <v>0</v>
      </c>
      <c r="B139" s="223" t="b">
        <f t="shared" si="15"/>
        <v>1</v>
      </c>
      <c r="C139" s="222">
        <f t="shared" si="16"/>
        <v>0</v>
      </c>
      <c r="D139" s="205" t="str">
        <f t="shared" si="17"/>
        <v>$$$$</v>
      </c>
      <c r="E139" s="224"/>
      <c r="F139" s="225"/>
      <c r="G139" s="226"/>
      <c r="H139" s="227"/>
      <c r="I139" s="228"/>
      <c r="J139" s="228"/>
      <c r="K139" s="229"/>
      <c r="L139" s="230"/>
      <c r="M139" s="231"/>
      <c r="N139" s="232"/>
      <c r="O139" s="230"/>
      <c r="P139" s="231"/>
      <c r="Q139" s="232"/>
      <c r="R139" s="233"/>
      <c r="S139" s="234"/>
      <c r="T139" s="235"/>
      <c r="U139" s="233"/>
      <c r="V139" s="236"/>
      <c r="W139" s="234"/>
      <c r="X139" s="235"/>
      <c r="Y139" s="237"/>
      <c r="Z139" s="238"/>
    </row>
    <row r="140" spans="1:26" s="239" customFormat="1" ht="28.5" customHeight="1" x14ac:dyDescent="0.3">
      <c r="A140" s="222">
        <f t="shared" si="14"/>
        <v>0</v>
      </c>
      <c r="B140" s="223" t="b">
        <f t="shared" si="15"/>
        <v>1</v>
      </c>
      <c r="C140" s="222">
        <f t="shared" si="16"/>
        <v>0</v>
      </c>
      <c r="D140" s="205" t="str">
        <f t="shared" si="17"/>
        <v>$$$$</v>
      </c>
      <c r="E140" s="224"/>
      <c r="F140" s="225"/>
      <c r="G140" s="226"/>
      <c r="H140" s="227"/>
      <c r="I140" s="228"/>
      <c r="J140" s="228"/>
      <c r="K140" s="229"/>
      <c r="L140" s="230"/>
      <c r="M140" s="231"/>
      <c r="N140" s="232"/>
      <c r="O140" s="230"/>
      <c r="P140" s="231"/>
      <c r="Q140" s="232"/>
      <c r="R140" s="233"/>
      <c r="S140" s="234"/>
      <c r="T140" s="235"/>
      <c r="U140" s="233"/>
      <c r="V140" s="236"/>
      <c r="W140" s="234"/>
      <c r="X140" s="235"/>
      <c r="Y140" s="237"/>
      <c r="Z140" s="238"/>
    </row>
    <row r="141" spans="1:26" s="239" customFormat="1" ht="28.5" customHeight="1" x14ac:dyDescent="0.3">
      <c r="A141" s="222">
        <f t="shared" si="14"/>
        <v>0</v>
      </c>
      <c r="B141" s="223" t="b">
        <f t="shared" si="15"/>
        <v>1</v>
      </c>
      <c r="C141" s="222">
        <f t="shared" si="16"/>
        <v>0</v>
      </c>
      <c r="D141" s="205" t="str">
        <f t="shared" si="17"/>
        <v>$$$$</v>
      </c>
      <c r="E141" s="224"/>
      <c r="F141" s="225"/>
      <c r="G141" s="226"/>
      <c r="H141" s="227"/>
      <c r="I141" s="228"/>
      <c r="J141" s="228"/>
      <c r="K141" s="229"/>
      <c r="L141" s="230"/>
      <c r="M141" s="231"/>
      <c r="N141" s="232"/>
      <c r="O141" s="230"/>
      <c r="P141" s="231"/>
      <c r="Q141" s="232"/>
      <c r="R141" s="233"/>
      <c r="S141" s="234"/>
      <c r="T141" s="235"/>
      <c r="U141" s="233"/>
      <c r="V141" s="236"/>
      <c r="W141" s="234"/>
      <c r="X141" s="235"/>
      <c r="Y141" s="237"/>
      <c r="Z141" s="238"/>
    </row>
    <row r="142" spans="1:26" s="239" customFormat="1" ht="28.5" customHeight="1" x14ac:dyDescent="0.3">
      <c r="A142" s="222">
        <f t="shared" si="14"/>
        <v>0</v>
      </c>
      <c r="B142" s="223" t="b">
        <f t="shared" si="15"/>
        <v>1</v>
      </c>
      <c r="C142" s="222">
        <f t="shared" si="16"/>
        <v>0</v>
      </c>
      <c r="D142" s="205" t="str">
        <f t="shared" si="17"/>
        <v>$$$$</v>
      </c>
      <c r="E142" s="224"/>
      <c r="F142" s="225"/>
      <c r="G142" s="226"/>
      <c r="H142" s="227"/>
      <c r="I142" s="228"/>
      <c r="J142" s="228"/>
      <c r="K142" s="229"/>
      <c r="L142" s="230"/>
      <c r="M142" s="231"/>
      <c r="N142" s="232"/>
      <c r="O142" s="230"/>
      <c r="P142" s="231"/>
      <c r="Q142" s="232"/>
      <c r="R142" s="233"/>
      <c r="S142" s="234"/>
      <c r="T142" s="235"/>
      <c r="U142" s="233"/>
      <c r="V142" s="236"/>
      <c r="W142" s="234"/>
      <c r="X142" s="235"/>
      <c r="Y142" s="237"/>
      <c r="Z142" s="238"/>
    </row>
    <row r="143" spans="1:26" s="239" customFormat="1" ht="28.5" customHeight="1" x14ac:dyDescent="0.3">
      <c r="A143" s="222">
        <f t="shared" si="14"/>
        <v>0</v>
      </c>
      <c r="B143" s="223" t="b">
        <f t="shared" si="15"/>
        <v>1</v>
      </c>
      <c r="C143" s="222">
        <f t="shared" si="16"/>
        <v>0</v>
      </c>
      <c r="D143" s="205" t="str">
        <f t="shared" si="17"/>
        <v>$$$$</v>
      </c>
      <c r="E143" s="224"/>
      <c r="F143" s="225"/>
      <c r="G143" s="226"/>
      <c r="H143" s="227"/>
      <c r="I143" s="228"/>
      <c r="J143" s="228"/>
      <c r="K143" s="229"/>
      <c r="L143" s="230"/>
      <c r="M143" s="231"/>
      <c r="N143" s="232"/>
      <c r="O143" s="230"/>
      <c r="P143" s="231"/>
      <c r="Q143" s="232"/>
      <c r="R143" s="233"/>
      <c r="S143" s="234"/>
      <c r="T143" s="235"/>
      <c r="U143" s="233"/>
      <c r="V143" s="236"/>
      <c r="W143" s="234"/>
      <c r="X143" s="235"/>
      <c r="Y143" s="237"/>
      <c r="Z143" s="238"/>
    </row>
    <row r="144" spans="1:26" s="239" customFormat="1" ht="28.5" customHeight="1" x14ac:dyDescent="0.3">
      <c r="A144" s="222">
        <f t="shared" si="14"/>
        <v>0</v>
      </c>
      <c r="B144" s="223" t="b">
        <f t="shared" si="15"/>
        <v>1</v>
      </c>
      <c r="C144" s="222">
        <f t="shared" si="16"/>
        <v>0</v>
      </c>
      <c r="D144" s="205" t="str">
        <f t="shared" si="17"/>
        <v>$$$$</v>
      </c>
      <c r="E144" s="224"/>
      <c r="F144" s="225"/>
      <c r="G144" s="226"/>
      <c r="H144" s="227"/>
      <c r="I144" s="228"/>
      <c r="J144" s="228"/>
      <c r="K144" s="229"/>
      <c r="L144" s="230"/>
      <c r="M144" s="231"/>
      <c r="N144" s="232"/>
      <c r="O144" s="230"/>
      <c r="P144" s="231"/>
      <c r="Q144" s="232"/>
      <c r="R144" s="233"/>
      <c r="S144" s="234"/>
      <c r="T144" s="235"/>
      <c r="U144" s="233"/>
      <c r="V144" s="236"/>
      <c r="W144" s="234"/>
      <c r="X144" s="235"/>
      <c r="Y144" s="237"/>
      <c r="Z144" s="238"/>
    </row>
    <row r="145" spans="1:26" s="239" customFormat="1" ht="28.5" customHeight="1" x14ac:dyDescent="0.3">
      <c r="A145" s="222">
        <f t="shared" si="14"/>
        <v>0</v>
      </c>
      <c r="B145" s="223" t="b">
        <f t="shared" si="15"/>
        <v>1</v>
      </c>
      <c r="C145" s="222">
        <f t="shared" si="16"/>
        <v>0</v>
      </c>
      <c r="D145" s="205" t="str">
        <f t="shared" si="17"/>
        <v>$$$$</v>
      </c>
      <c r="E145" s="224"/>
      <c r="F145" s="225"/>
      <c r="G145" s="226"/>
      <c r="H145" s="227"/>
      <c r="I145" s="228"/>
      <c r="J145" s="228"/>
      <c r="K145" s="229"/>
      <c r="L145" s="230"/>
      <c r="M145" s="231"/>
      <c r="N145" s="232"/>
      <c r="O145" s="230"/>
      <c r="P145" s="231"/>
      <c r="Q145" s="232"/>
      <c r="R145" s="233"/>
      <c r="S145" s="234"/>
      <c r="T145" s="235"/>
      <c r="U145" s="233"/>
      <c r="V145" s="236"/>
      <c r="W145" s="234"/>
      <c r="X145" s="235"/>
      <c r="Y145" s="237"/>
      <c r="Z145" s="238"/>
    </row>
    <row r="146" spans="1:26" s="239" customFormat="1" ht="28.5" customHeight="1" x14ac:dyDescent="0.3">
      <c r="A146" s="222">
        <f t="shared" si="14"/>
        <v>0</v>
      </c>
      <c r="B146" s="223" t="b">
        <f t="shared" si="15"/>
        <v>1</v>
      </c>
      <c r="C146" s="222">
        <f t="shared" si="16"/>
        <v>0</v>
      </c>
      <c r="D146" s="205" t="str">
        <f t="shared" si="17"/>
        <v>$$$$</v>
      </c>
      <c r="E146" s="224"/>
      <c r="F146" s="225"/>
      <c r="G146" s="226"/>
      <c r="H146" s="227"/>
      <c r="I146" s="228"/>
      <c r="J146" s="228"/>
      <c r="K146" s="229"/>
      <c r="L146" s="230"/>
      <c r="M146" s="231"/>
      <c r="N146" s="232"/>
      <c r="O146" s="230"/>
      <c r="P146" s="231"/>
      <c r="Q146" s="232"/>
      <c r="R146" s="233"/>
      <c r="S146" s="234"/>
      <c r="T146" s="235"/>
      <c r="U146" s="233"/>
      <c r="V146" s="236"/>
      <c r="W146" s="234"/>
      <c r="X146" s="235"/>
      <c r="Y146" s="237"/>
      <c r="Z146" s="238"/>
    </row>
    <row r="147" spans="1:26" s="239" customFormat="1" ht="28.5" customHeight="1" x14ac:dyDescent="0.3">
      <c r="A147" s="222">
        <f t="shared" si="14"/>
        <v>0</v>
      </c>
      <c r="B147" s="223" t="b">
        <f t="shared" si="15"/>
        <v>1</v>
      </c>
      <c r="C147" s="222">
        <f t="shared" si="16"/>
        <v>0</v>
      </c>
      <c r="D147" s="205" t="str">
        <f t="shared" si="17"/>
        <v>$$$$</v>
      </c>
      <c r="E147" s="224"/>
      <c r="F147" s="225"/>
      <c r="G147" s="226"/>
      <c r="H147" s="227"/>
      <c r="I147" s="228"/>
      <c r="J147" s="228"/>
      <c r="K147" s="229"/>
      <c r="L147" s="230"/>
      <c r="M147" s="231"/>
      <c r="N147" s="232"/>
      <c r="O147" s="230"/>
      <c r="P147" s="231"/>
      <c r="Q147" s="232"/>
      <c r="R147" s="233"/>
      <c r="S147" s="234"/>
      <c r="T147" s="235"/>
      <c r="U147" s="233"/>
      <c r="V147" s="236"/>
      <c r="W147" s="234"/>
      <c r="X147" s="235"/>
      <c r="Y147" s="237"/>
      <c r="Z147" s="238"/>
    </row>
    <row r="148" spans="1:26" s="239" customFormat="1" ht="28.5" customHeight="1" x14ac:dyDescent="0.3">
      <c r="A148" s="222">
        <f t="shared" si="14"/>
        <v>0</v>
      </c>
      <c r="B148" s="223" t="b">
        <f t="shared" si="15"/>
        <v>1</v>
      </c>
      <c r="C148" s="222">
        <f t="shared" si="16"/>
        <v>0</v>
      </c>
      <c r="D148" s="205" t="str">
        <f t="shared" si="17"/>
        <v>$$$$</v>
      </c>
      <c r="E148" s="224"/>
      <c r="F148" s="225"/>
      <c r="G148" s="226"/>
      <c r="H148" s="227"/>
      <c r="I148" s="228"/>
      <c r="J148" s="228"/>
      <c r="K148" s="229"/>
      <c r="L148" s="230"/>
      <c r="M148" s="231"/>
      <c r="N148" s="232"/>
      <c r="O148" s="230"/>
      <c r="P148" s="231"/>
      <c r="Q148" s="232"/>
      <c r="R148" s="233"/>
      <c r="S148" s="234"/>
      <c r="T148" s="235"/>
      <c r="U148" s="233"/>
      <c r="V148" s="236"/>
      <c r="W148" s="234"/>
      <c r="X148" s="235"/>
      <c r="Y148" s="237"/>
      <c r="Z148" s="238"/>
    </row>
    <row r="149" spans="1:26" s="239" customFormat="1" ht="28.5" customHeight="1" x14ac:dyDescent="0.3">
      <c r="A149" s="222">
        <f t="shared" si="14"/>
        <v>0</v>
      </c>
      <c r="B149" s="223" t="b">
        <f t="shared" si="15"/>
        <v>1</v>
      </c>
      <c r="C149" s="222">
        <f t="shared" si="16"/>
        <v>0</v>
      </c>
      <c r="D149" s="205" t="str">
        <f t="shared" si="17"/>
        <v>$$$$</v>
      </c>
      <c r="E149" s="224"/>
      <c r="F149" s="225"/>
      <c r="G149" s="226"/>
      <c r="H149" s="227"/>
      <c r="I149" s="228"/>
      <c r="J149" s="228"/>
      <c r="K149" s="229"/>
      <c r="L149" s="230"/>
      <c r="M149" s="231"/>
      <c r="N149" s="232"/>
      <c r="O149" s="230"/>
      <c r="P149" s="231"/>
      <c r="Q149" s="232"/>
      <c r="R149" s="233"/>
      <c r="S149" s="234"/>
      <c r="T149" s="235"/>
      <c r="U149" s="233"/>
      <c r="V149" s="236"/>
      <c r="W149" s="234"/>
      <c r="X149" s="235"/>
      <c r="Y149" s="237"/>
      <c r="Z149" s="238"/>
    </row>
    <row r="150" spans="1:26" s="239" customFormat="1" ht="28.5" customHeight="1" x14ac:dyDescent="0.3">
      <c r="A150" s="222">
        <f t="shared" si="14"/>
        <v>0</v>
      </c>
      <c r="B150" s="223" t="b">
        <f t="shared" si="15"/>
        <v>1</v>
      </c>
      <c r="C150" s="222">
        <f t="shared" si="16"/>
        <v>0</v>
      </c>
      <c r="D150" s="205" t="str">
        <f t="shared" si="17"/>
        <v>$$$$</v>
      </c>
      <c r="E150" s="224"/>
      <c r="F150" s="225"/>
      <c r="G150" s="226"/>
      <c r="H150" s="227"/>
      <c r="I150" s="228"/>
      <c r="J150" s="228"/>
      <c r="K150" s="229"/>
      <c r="L150" s="230"/>
      <c r="M150" s="231"/>
      <c r="N150" s="232"/>
      <c r="O150" s="230"/>
      <c r="P150" s="231"/>
      <c r="Q150" s="232"/>
      <c r="R150" s="233"/>
      <c r="S150" s="234"/>
      <c r="T150" s="235"/>
      <c r="U150" s="233"/>
      <c r="V150" s="236"/>
      <c r="W150" s="234"/>
      <c r="X150" s="235"/>
      <c r="Y150" s="237"/>
      <c r="Z150" s="238"/>
    </row>
    <row r="151" spans="1:26" s="239" customFormat="1" ht="28.5" customHeight="1" x14ac:dyDescent="0.3">
      <c r="A151" s="222">
        <f t="shared" ref="A151:A154" si="18">IF(B151,0,MATCH(H151,ВидыНагр,0))</f>
        <v>0</v>
      </c>
      <c r="B151" s="223" t="b">
        <f t="shared" ref="B151:B154" si="19">(COUNTIF(КлючОсень,D151)&lt;&gt;1)</f>
        <v>1</v>
      </c>
      <c r="C151" s="222">
        <f t="shared" ref="C151:C158" si="20">IF(COUNTA(E151:K151,Z151)&gt;0,1,0)+IF(COUNTA(L151:Y151)&gt;0,2,0)</f>
        <v>0</v>
      </c>
      <c r="D151" s="205" t="str">
        <f t="shared" si="17"/>
        <v>$$$$</v>
      </c>
      <c r="E151" s="224"/>
      <c r="F151" s="225"/>
      <c r="G151" s="226"/>
      <c r="H151" s="227"/>
      <c r="I151" s="228"/>
      <c r="J151" s="228"/>
      <c r="K151" s="229"/>
      <c r="L151" s="230"/>
      <c r="M151" s="231"/>
      <c r="N151" s="232"/>
      <c r="O151" s="230"/>
      <c r="P151" s="231"/>
      <c r="Q151" s="232"/>
      <c r="R151" s="233"/>
      <c r="S151" s="234"/>
      <c r="T151" s="235"/>
      <c r="U151" s="233"/>
      <c r="V151" s="236"/>
      <c r="W151" s="234"/>
      <c r="X151" s="235"/>
      <c r="Y151" s="237"/>
      <c r="Z151" s="238"/>
    </row>
    <row r="152" spans="1:26" s="239" customFormat="1" ht="28.5" customHeight="1" x14ac:dyDescent="0.3">
      <c r="A152" s="222">
        <f t="shared" si="18"/>
        <v>0</v>
      </c>
      <c r="B152" s="223" t="b">
        <f t="shared" si="19"/>
        <v>1</v>
      </c>
      <c r="C152" s="222">
        <f t="shared" si="20"/>
        <v>0</v>
      </c>
      <c r="D152" s="205" t="str">
        <f t="shared" si="17"/>
        <v>$$$$</v>
      </c>
      <c r="E152" s="224"/>
      <c r="F152" s="225"/>
      <c r="G152" s="226"/>
      <c r="H152" s="227"/>
      <c r="I152" s="228"/>
      <c r="J152" s="228"/>
      <c r="K152" s="229"/>
      <c r="L152" s="230"/>
      <c r="M152" s="231"/>
      <c r="N152" s="232"/>
      <c r="O152" s="230"/>
      <c r="P152" s="231"/>
      <c r="Q152" s="232"/>
      <c r="R152" s="233"/>
      <c r="S152" s="234"/>
      <c r="T152" s="235"/>
      <c r="U152" s="233"/>
      <c r="V152" s="236"/>
      <c r="W152" s="234"/>
      <c r="X152" s="235"/>
      <c r="Y152" s="237"/>
      <c r="Z152" s="238"/>
    </row>
    <row r="153" spans="1:26" s="239" customFormat="1" ht="28.5" customHeight="1" x14ac:dyDescent="0.3">
      <c r="A153" s="222">
        <f t="shared" si="18"/>
        <v>0</v>
      </c>
      <c r="B153" s="223" t="b">
        <f t="shared" si="19"/>
        <v>1</v>
      </c>
      <c r="C153" s="222">
        <f t="shared" si="20"/>
        <v>0</v>
      </c>
      <c r="D153" s="205" t="str">
        <f t="shared" si="17"/>
        <v>$$$$</v>
      </c>
      <c r="E153" s="224"/>
      <c r="F153" s="225"/>
      <c r="G153" s="226"/>
      <c r="H153" s="227"/>
      <c r="I153" s="228"/>
      <c r="J153" s="228"/>
      <c r="K153" s="229"/>
      <c r="L153" s="230"/>
      <c r="M153" s="231"/>
      <c r="N153" s="232"/>
      <c r="O153" s="230"/>
      <c r="P153" s="231"/>
      <c r="Q153" s="232"/>
      <c r="R153" s="233"/>
      <c r="S153" s="234"/>
      <c r="T153" s="235"/>
      <c r="U153" s="233"/>
      <c r="V153" s="236"/>
      <c r="W153" s="234"/>
      <c r="X153" s="235"/>
      <c r="Y153" s="237"/>
      <c r="Z153" s="238"/>
    </row>
    <row r="154" spans="1:26" s="239" customFormat="1" ht="28.5" customHeight="1" x14ac:dyDescent="0.3">
      <c r="A154" s="222">
        <f t="shared" si="18"/>
        <v>0</v>
      </c>
      <c r="B154" s="223" t="b">
        <f t="shared" si="19"/>
        <v>1</v>
      </c>
      <c r="C154" s="222">
        <f t="shared" si="20"/>
        <v>0</v>
      </c>
      <c r="D154" s="205" t="str">
        <f t="shared" si="17"/>
        <v>$$$$</v>
      </c>
      <c r="E154" s="224"/>
      <c r="F154" s="225"/>
      <c r="G154" s="226"/>
      <c r="H154" s="227"/>
      <c r="I154" s="228"/>
      <c r="J154" s="228"/>
      <c r="K154" s="229"/>
      <c r="L154" s="230"/>
      <c r="M154" s="231"/>
      <c r="N154" s="232"/>
      <c r="O154" s="230"/>
      <c r="P154" s="231"/>
      <c r="Q154" s="232"/>
      <c r="R154" s="233"/>
      <c r="S154" s="234"/>
      <c r="T154" s="235"/>
      <c r="U154" s="233"/>
      <c r="V154" s="236"/>
      <c r="W154" s="234"/>
      <c r="X154" s="235"/>
      <c r="Y154" s="237"/>
      <c r="Z154" s="238"/>
    </row>
    <row r="155" spans="1:26" s="239" customFormat="1" ht="28.5" customHeight="1" x14ac:dyDescent="0.3">
      <c r="A155" s="222">
        <f>IF(B155,0,MATCH(H155,ВидыНагр,0))</f>
        <v>0</v>
      </c>
      <c r="B155" s="223" t="b">
        <f>(COUNTIF(КлючОсень,D155)&lt;&gt;1)</f>
        <v>1</v>
      </c>
      <c r="C155" s="222">
        <f t="shared" si="20"/>
        <v>0</v>
      </c>
      <c r="D155" s="205" t="str">
        <f>CONCATENATE("$",TRIM(F155),"$",TRIM(G155),"$",H155,"$")</f>
        <v>$$$$</v>
      </c>
      <c r="E155" s="224"/>
      <c r="F155" s="225"/>
      <c r="G155" s="226"/>
      <c r="H155" s="227"/>
      <c r="I155" s="228"/>
      <c r="J155" s="228"/>
      <c r="K155" s="229"/>
      <c r="L155" s="230"/>
      <c r="M155" s="231"/>
      <c r="N155" s="232"/>
      <c r="O155" s="230"/>
      <c r="P155" s="231"/>
      <c r="Q155" s="232"/>
      <c r="R155" s="233"/>
      <c r="S155" s="234"/>
      <c r="T155" s="235"/>
      <c r="U155" s="233"/>
      <c r="V155" s="236"/>
      <c r="W155" s="234"/>
      <c r="X155" s="235"/>
      <c r="Y155" s="237"/>
      <c r="Z155" s="238"/>
    </row>
    <row r="156" spans="1:26" s="239" customFormat="1" ht="28.5" customHeight="1" x14ac:dyDescent="0.3">
      <c r="A156" s="222">
        <f>IF(B156,0,MATCH(H156,ВидыНагр,0))</f>
        <v>0</v>
      </c>
      <c r="B156" s="223" t="b">
        <f>(COUNTIF(КлючОсень,D156)&lt;&gt;1)</f>
        <v>1</v>
      </c>
      <c r="C156" s="222">
        <f t="shared" si="20"/>
        <v>0</v>
      </c>
      <c r="D156" s="205" t="str">
        <f>CONCATENATE("$",TRIM(F156),"$",TRIM(G156),"$",H156,"$")</f>
        <v>$$$$</v>
      </c>
      <c r="E156" s="224"/>
      <c r="F156" s="225"/>
      <c r="G156" s="226"/>
      <c r="H156" s="227"/>
      <c r="I156" s="228"/>
      <c r="J156" s="228"/>
      <c r="K156" s="229"/>
      <c r="L156" s="230"/>
      <c r="M156" s="231"/>
      <c r="N156" s="232"/>
      <c r="O156" s="230"/>
      <c r="P156" s="231"/>
      <c r="Q156" s="232"/>
      <c r="R156" s="233"/>
      <c r="S156" s="234"/>
      <c r="T156" s="235"/>
      <c r="U156" s="233"/>
      <c r="V156" s="236"/>
      <c r="W156" s="234"/>
      <c r="X156" s="235"/>
      <c r="Y156" s="237"/>
      <c r="Z156" s="238"/>
    </row>
    <row r="157" spans="1:26" s="239" customFormat="1" ht="28.5" customHeight="1" x14ac:dyDescent="0.3">
      <c r="A157" s="222">
        <f t="shared" ref="A157:A158" si="21">IF(B157,0,MATCH(H157,ВидыНагр,0))</f>
        <v>0</v>
      </c>
      <c r="B157" s="223" t="b">
        <f t="shared" ref="B157:B158" si="22">(COUNTIF(КлючОсень,D157)&lt;&gt;1)</f>
        <v>1</v>
      </c>
      <c r="C157" s="222">
        <f t="shared" si="20"/>
        <v>0</v>
      </c>
      <c r="D157" s="205" t="str">
        <f t="shared" ref="D157:D158" si="23">CONCATENATE("$",TRIM(F157),"$",TRIM(G157),"$",H157,"$")</f>
        <v>$$$$</v>
      </c>
      <c r="E157" s="224"/>
      <c r="F157" s="225"/>
      <c r="G157" s="226"/>
      <c r="H157" s="227"/>
      <c r="I157" s="228"/>
      <c r="J157" s="228"/>
      <c r="K157" s="229"/>
      <c r="L157" s="230"/>
      <c r="M157" s="231"/>
      <c r="N157" s="232"/>
      <c r="O157" s="230"/>
      <c r="P157" s="231"/>
      <c r="Q157" s="232"/>
      <c r="R157" s="233"/>
      <c r="S157" s="234"/>
      <c r="T157" s="235"/>
      <c r="U157" s="233"/>
      <c r="V157" s="236"/>
      <c r="W157" s="234"/>
      <c r="X157" s="235"/>
      <c r="Y157" s="237"/>
      <c r="Z157" s="238"/>
    </row>
    <row r="158" spans="1:26" s="239" customFormat="1" ht="28.5" customHeight="1" x14ac:dyDescent="0.3">
      <c r="A158" s="222">
        <f t="shared" si="21"/>
        <v>0</v>
      </c>
      <c r="B158" s="223" t="b">
        <f t="shared" si="22"/>
        <v>1</v>
      </c>
      <c r="C158" s="222">
        <f t="shared" si="20"/>
        <v>0</v>
      </c>
      <c r="D158" s="205" t="str">
        <f t="shared" si="23"/>
        <v>$$$$</v>
      </c>
      <c r="E158" s="224"/>
      <c r="F158" s="225"/>
      <c r="G158" s="226"/>
      <c r="H158" s="227"/>
      <c r="I158" s="228"/>
      <c r="J158" s="228"/>
      <c r="K158" s="229"/>
      <c r="L158" s="230"/>
      <c r="M158" s="231"/>
      <c r="N158" s="232"/>
      <c r="O158" s="230"/>
      <c r="P158" s="231"/>
      <c r="Q158" s="232"/>
      <c r="R158" s="233"/>
      <c r="S158" s="234"/>
      <c r="T158" s="235"/>
      <c r="U158" s="233"/>
      <c r="V158" s="236"/>
      <c r="W158" s="234"/>
      <c r="X158" s="235"/>
      <c r="Y158" s="237"/>
      <c r="Z158" s="238"/>
    </row>
    <row r="159" spans="1:26" s="239" customFormat="1" ht="28.5" customHeight="1" x14ac:dyDescent="0.3">
      <c r="A159" s="222">
        <f t="shared" si="14"/>
        <v>0</v>
      </c>
      <c r="B159" s="223" t="b">
        <f t="shared" si="15"/>
        <v>1</v>
      </c>
      <c r="C159" s="222">
        <f t="shared" si="16"/>
        <v>0</v>
      </c>
      <c r="D159" s="205" t="str">
        <f t="shared" si="13"/>
        <v>$$$$</v>
      </c>
      <c r="E159" s="224"/>
      <c r="F159" s="225"/>
      <c r="G159" s="226"/>
      <c r="H159" s="227"/>
      <c r="I159" s="228"/>
      <c r="J159" s="228"/>
      <c r="K159" s="229"/>
      <c r="L159" s="230"/>
      <c r="M159" s="231"/>
      <c r="N159" s="232"/>
      <c r="O159" s="230"/>
      <c r="P159" s="231"/>
      <c r="Q159" s="232"/>
      <c r="R159" s="233"/>
      <c r="S159" s="234"/>
      <c r="T159" s="235"/>
      <c r="U159" s="233"/>
      <c r="V159" s="236"/>
      <c r="W159" s="234"/>
      <c r="X159" s="235"/>
      <c r="Y159" s="237"/>
      <c r="Z159" s="238"/>
    </row>
    <row r="160" spans="1:26" x14ac:dyDescent="0.3">
      <c r="D160" s="1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</row>
  </sheetData>
  <sheetProtection algorithmName="SHA-512" hashValue="d71KOhbFom41nVp89lcs+HR5DsrjsCwlFEEI+wKj+t5b2ZBOjmguMH1HsbZMX3YU7aM8S1E+rQlXNYz9ko0mRA==" saltValue="YFWqjYBnZXFBWjkGCo0VXw==" spinCount="100000" sheet="1" objects="1" scenarios="1"/>
  <mergeCells count="5">
    <mergeCell ref="F2:F5"/>
    <mergeCell ref="G2:G5"/>
    <mergeCell ref="I2:J2"/>
    <mergeCell ref="I3:J3"/>
    <mergeCell ref="I4:J4"/>
  </mergeCells>
  <phoneticPr fontId="0" type="noConversion"/>
  <conditionalFormatting sqref="E7:Z159">
    <cfRule type="expression" dxfId="71" priority="19" stopIfTrue="1">
      <formula>($C7=0)</formula>
    </cfRule>
  </conditionalFormatting>
  <conditionalFormatting sqref="F7:H159">
    <cfRule type="expression" dxfId="70" priority="21" stopIfTrue="1">
      <formula>$B7</formula>
    </cfRule>
  </conditionalFormatting>
  <conditionalFormatting sqref="L6:Y6">
    <cfRule type="cellIs" dxfId="69" priority="17" stopIfTrue="1" operator="notEqual">
      <formula>0</formula>
    </cfRule>
  </conditionalFormatting>
  <conditionalFormatting sqref="F6:H6">
    <cfRule type="expression" dxfId="68" priority="18" stopIfTrue="1">
      <formula>$G$6&lt;&gt;0</formula>
    </cfRule>
  </conditionalFormatting>
  <conditionalFormatting sqref="L7:Y159">
    <cfRule type="expression" dxfId="67" priority="25" stopIfTrue="1">
      <formula>AND(NOT($B7),$C7&lt;2)</formula>
    </cfRule>
    <cfRule type="expression" dxfId="66" priority="26" stopIfTrue="1">
      <formula>AND($B7,L7&lt;&gt;0)</formula>
    </cfRule>
  </conditionalFormatting>
  <dataValidations count="4">
    <dataValidation type="whole" allowBlank="1" showInputMessage="1" showErrorMessage="1" sqref="E7:E159">
      <formula1>1</formula1>
      <formula2>30</formula2>
    </dataValidation>
    <dataValidation type="list" allowBlank="1" showInputMessage="1" sqref="F7:F159">
      <formula1>OFFSET(ДисциплиныОсень,0,0,ДисциплиныОсеньКол,1)</formula1>
    </dataValidation>
    <dataValidation type="list" allowBlank="1" showInputMessage="1" sqref="G7:G159">
      <formula1>OFFSET(ГруппыОсень,0,0,ГруппыОсеньКол,1)</formula1>
    </dataValidation>
    <dataValidation type="list" allowBlank="1" showInputMessage="1" sqref="H7:H159">
      <formula1>ВидыНагр</formula1>
    </dataValidation>
  </dataValidations>
  <printOptions horizontalCentered="1"/>
  <pageMargins left="0.39370078740157483" right="0.39370078740157483" top="1.1811023622047245" bottom="0.59055118110236227" header="0.98425196850393704" footer="0.39370078740157483"/>
  <pageSetup paperSize="9" scale="63" fitToHeight="10" orientation="landscape" r:id="rId1"/>
  <headerFooter>
    <oddHeader>&amp;L&amp;F&amp;C&amp;"Open Sans,полужирный"Месяц &amp;A &amp;"Open Sans,обычный"(с. &amp;P из &amp;N)&amp;R&amp;D  &amp;T</oddHeader>
  </headerFooter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1">
    <tabColor rgb="FFFFFF66"/>
    <outlinePr summaryBelow="0" summaryRight="0"/>
    <pageSetUpPr fitToPage="1"/>
  </sheetPr>
  <dimension ref="A1:Z160"/>
  <sheetViews>
    <sheetView zoomScale="85" zoomScaleNormal="100" workbookViewId="0">
      <pane xSplit="8" ySplit="6" topLeftCell="I7" activePane="bottomRight" state="frozen"/>
      <selection activeCell="E7" sqref="E7"/>
      <selection pane="topRight" activeCell="E7" sqref="E7"/>
      <selection pane="bottomLeft" activeCell="E7" sqref="E7"/>
      <selection pane="bottomRight" activeCell="E7" sqref="E7"/>
    </sheetView>
  </sheetViews>
  <sheetFormatPr defaultRowHeight="14.25" x14ac:dyDescent="0.3"/>
  <cols>
    <col min="1" max="3" width="4.7109375" style="4" hidden="1" customWidth="1"/>
    <col min="4" max="4" width="30.7109375" style="240" hidden="1" customWidth="1"/>
    <col min="5" max="5" width="4.7109375" style="167" customWidth="1"/>
    <col min="6" max="6" width="32.7109375" style="241" customWidth="1"/>
    <col min="7" max="7" width="18.7109375" style="241" customWidth="1"/>
    <col min="8" max="8" width="6.7109375" style="241" customWidth="1"/>
    <col min="9" max="10" width="4.7109375" style="241" customWidth="1"/>
    <col min="11" max="11" width="40.7109375" style="242" customWidth="1"/>
    <col min="12" max="25" width="6.85546875" style="167" customWidth="1"/>
    <col min="26" max="26" width="30.7109375" style="2" customWidth="1"/>
    <col min="27" max="27" width="2.7109375" style="2" customWidth="1"/>
    <col min="28" max="16384" width="9.140625" style="2"/>
  </cols>
  <sheetData>
    <row r="1" spans="1:26" ht="112.5" customHeight="1" x14ac:dyDescent="0.3">
      <c r="A1" s="169" t="s">
        <v>77</v>
      </c>
      <c r="B1" s="169" t="s">
        <v>114</v>
      </c>
      <c r="C1" s="169" t="s">
        <v>113</v>
      </c>
      <c r="D1" s="191" t="s">
        <v>76</v>
      </c>
      <c r="E1" s="192" t="s">
        <v>116</v>
      </c>
      <c r="F1" s="193" t="s">
        <v>69</v>
      </c>
      <c r="G1" s="194" t="s">
        <v>100</v>
      </c>
      <c r="H1" s="195" t="s">
        <v>109</v>
      </c>
      <c r="I1" s="196" t="s">
        <v>102</v>
      </c>
      <c r="J1" s="197" t="s">
        <v>85</v>
      </c>
      <c r="K1" s="198" t="s">
        <v>81</v>
      </c>
      <c r="L1" s="199" t="s">
        <v>0</v>
      </c>
      <c r="M1" s="200" t="s">
        <v>68</v>
      </c>
      <c r="N1" s="195" t="s">
        <v>3</v>
      </c>
      <c r="O1" s="201" t="s">
        <v>1</v>
      </c>
      <c r="P1" s="200" t="s">
        <v>4</v>
      </c>
      <c r="Q1" s="195" t="s">
        <v>62</v>
      </c>
      <c r="R1" s="199" t="s">
        <v>252</v>
      </c>
      <c r="S1" s="202" t="s">
        <v>2</v>
      </c>
      <c r="T1" s="195" t="s">
        <v>205</v>
      </c>
      <c r="U1" s="201" t="s">
        <v>253</v>
      </c>
      <c r="V1" s="199" t="s">
        <v>254</v>
      </c>
      <c r="W1" s="202" t="s">
        <v>70</v>
      </c>
      <c r="X1" s="195" t="s">
        <v>138</v>
      </c>
      <c r="Y1" s="196" t="s">
        <v>5</v>
      </c>
      <c r="Z1" s="203" t="s">
        <v>29</v>
      </c>
    </row>
    <row r="2" spans="1:26" ht="17.100000000000001" customHeight="1" x14ac:dyDescent="0.3">
      <c r="A2" s="204">
        <f>MATCH(H2,ВидыНагр,0)</f>
        <v>1</v>
      </c>
      <c r="B2" s="204"/>
      <c r="C2" s="204"/>
      <c r="D2" s="205"/>
      <c r="E2" s="206"/>
      <c r="F2" s="390" t="s">
        <v>134</v>
      </c>
      <c r="G2" s="393">
        <f>SUM(L5:Y5)</f>
        <v>0</v>
      </c>
      <c r="H2" s="288" t="s">
        <v>111</v>
      </c>
      <c r="I2" s="396">
        <f>SUM(L2:Y2)</f>
        <v>0</v>
      </c>
      <c r="J2" s="397"/>
      <c r="K2" s="289"/>
      <c r="L2" s="58">
        <f t="shared" ref="L2:Y4" si="0">SUMIF($A$7:$A$159,$A2,L$7:L$159)</f>
        <v>0</v>
      </c>
      <c r="M2" s="59">
        <f t="shared" si="0"/>
        <v>0</v>
      </c>
      <c r="N2" s="60">
        <f t="shared" si="0"/>
        <v>0</v>
      </c>
      <c r="O2" s="58">
        <f t="shared" si="0"/>
        <v>0</v>
      </c>
      <c r="P2" s="59">
        <f t="shared" si="0"/>
        <v>0</v>
      </c>
      <c r="Q2" s="60">
        <f t="shared" si="0"/>
        <v>0</v>
      </c>
      <c r="R2" s="58">
        <f t="shared" si="0"/>
        <v>0</v>
      </c>
      <c r="S2" s="62">
        <f t="shared" si="0"/>
        <v>0</v>
      </c>
      <c r="T2" s="60">
        <f t="shared" si="0"/>
        <v>0</v>
      </c>
      <c r="U2" s="58">
        <f t="shared" si="0"/>
        <v>0</v>
      </c>
      <c r="V2" s="61">
        <f t="shared" si="0"/>
        <v>0</v>
      </c>
      <c r="W2" s="62">
        <f t="shared" si="0"/>
        <v>0</v>
      </c>
      <c r="X2" s="60">
        <f t="shared" si="0"/>
        <v>0</v>
      </c>
      <c r="Y2" s="41">
        <f t="shared" si="0"/>
        <v>0</v>
      </c>
      <c r="Z2" s="207"/>
    </row>
    <row r="3" spans="1:26" ht="17.100000000000001" customHeight="1" x14ac:dyDescent="0.3">
      <c r="A3" s="204">
        <f>MATCH(H3,ВидыНагр,0)</f>
        <v>2</v>
      </c>
      <c r="B3" s="204"/>
      <c r="C3" s="204"/>
      <c r="D3" s="205"/>
      <c r="E3" s="208"/>
      <c r="F3" s="391"/>
      <c r="G3" s="394"/>
      <c r="H3" s="290" t="s">
        <v>112</v>
      </c>
      <c r="I3" s="398">
        <f>SUM(L3:Y3)</f>
        <v>0</v>
      </c>
      <c r="J3" s="399"/>
      <c r="K3" s="291"/>
      <c r="L3" s="58">
        <f t="shared" si="0"/>
        <v>0</v>
      </c>
      <c r="M3" s="59">
        <f t="shared" si="0"/>
        <v>0</v>
      </c>
      <c r="N3" s="60">
        <f t="shared" si="0"/>
        <v>0</v>
      </c>
      <c r="O3" s="58">
        <f t="shared" si="0"/>
        <v>0</v>
      </c>
      <c r="P3" s="59">
        <f t="shared" si="0"/>
        <v>0</v>
      </c>
      <c r="Q3" s="60">
        <f t="shared" si="0"/>
        <v>0</v>
      </c>
      <c r="R3" s="58">
        <f t="shared" si="0"/>
        <v>0</v>
      </c>
      <c r="S3" s="62">
        <f t="shared" si="0"/>
        <v>0</v>
      </c>
      <c r="T3" s="60">
        <f t="shared" si="0"/>
        <v>0</v>
      </c>
      <c r="U3" s="58">
        <f t="shared" si="0"/>
        <v>0</v>
      </c>
      <c r="V3" s="61">
        <f t="shared" si="0"/>
        <v>0</v>
      </c>
      <c r="W3" s="62">
        <f t="shared" si="0"/>
        <v>0</v>
      </c>
      <c r="X3" s="60">
        <f t="shared" si="0"/>
        <v>0</v>
      </c>
      <c r="Y3" s="41">
        <f t="shared" si="0"/>
        <v>0</v>
      </c>
      <c r="Z3" s="207"/>
    </row>
    <row r="4" spans="1:26" ht="17.100000000000001" customHeight="1" x14ac:dyDescent="0.3">
      <c r="A4" s="204">
        <f>MATCH(H4,ВидыНагр,0)</f>
        <v>3</v>
      </c>
      <c r="B4" s="204"/>
      <c r="C4" s="204"/>
      <c r="D4" s="205"/>
      <c r="E4" s="208"/>
      <c r="F4" s="391"/>
      <c r="G4" s="394"/>
      <c r="H4" s="292" t="s">
        <v>115</v>
      </c>
      <c r="I4" s="400">
        <f>SUM(L4:Y4)</f>
        <v>0</v>
      </c>
      <c r="J4" s="401"/>
      <c r="K4" s="293"/>
      <c r="L4" s="209">
        <f t="shared" si="0"/>
        <v>0</v>
      </c>
      <c r="M4" s="210">
        <f t="shared" si="0"/>
        <v>0</v>
      </c>
      <c r="N4" s="211">
        <f t="shared" si="0"/>
        <v>0</v>
      </c>
      <c r="O4" s="209">
        <f t="shared" si="0"/>
        <v>0</v>
      </c>
      <c r="P4" s="210">
        <f t="shared" si="0"/>
        <v>0</v>
      </c>
      <c r="Q4" s="211">
        <f t="shared" si="0"/>
        <v>0</v>
      </c>
      <c r="R4" s="209">
        <f t="shared" si="0"/>
        <v>0</v>
      </c>
      <c r="S4" s="212">
        <f t="shared" si="0"/>
        <v>0</v>
      </c>
      <c r="T4" s="211">
        <f t="shared" si="0"/>
        <v>0</v>
      </c>
      <c r="U4" s="209">
        <f t="shared" si="0"/>
        <v>0</v>
      </c>
      <c r="V4" s="213">
        <f t="shared" si="0"/>
        <v>0</v>
      </c>
      <c r="W4" s="212">
        <f t="shared" si="0"/>
        <v>0</v>
      </c>
      <c r="X4" s="211">
        <f t="shared" si="0"/>
        <v>0</v>
      </c>
      <c r="Y4" s="69">
        <f t="shared" si="0"/>
        <v>0</v>
      </c>
      <c r="Z4" s="207"/>
    </row>
    <row r="5" spans="1:26" ht="17.100000000000001" customHeight="1" x14ac:dyDescent="0.3">
      <c r="A5" s="204"/>
      <c r="B5" s="204"/>
      <c r="C5" s="204"/>
      <c r="D5" s="205"/>
      <c r="E5" s="208"/>
      <c r="F5" s="392"/>
      <c r="G5" s="395"/>
      <c r="H5" s="294" t="s">
        <v>6</v>
      </c>
      <c r="I5" s="295"/>
      <c r="J5" s="296"/>
      <c r="K5" s="297"/>
      <c r="L5" s="298">
        <f>SUM(L2:L4)</f>
        <v>0</v>
      </c>
      <c r="M5" s="299">
        <f t="shared" ref="M5:Y5" si="1">SUM(M2:M4)</f>
        <v>0</v>
      </c>
      <c r="N5" s="300">
        <f t="shared" si="1"/>
        <v>0</v>
      </c>
      <c r="O5" s="298">
        <f t="shared" si="1"/>
        <v>0</v>
      </c>
      <c r="P5" s="299">
        <f t="shared" si="1"/>
        <v>0</v>
      </c>
      <c r="Q5" s="300">
        <f t="shared" si="1"/>
        <v>0</v>
      </c>
      <c r="R5" s="298">
        <f t="shared" si="1"/>
        <v>0</v>
      </c>
      <c r="S5" s="301">
        <f t="shared" si="1"/>
        <v>0</v>
      </c>
      <c r="T5" s="300">
        <f t="shared" si="1"/>
        <v>0</v>
      </c>
      <c r="U5" s="298">
        <f t="shared" si="1"/>
        <v>0</v>
      </c>
      <c r="V5" s="302">
        <f t="shared" si="1"/>
        <v>0</v>
      </c>
      <c r="W5" s="301">
        <f t="shared" si="1"/>
        <v>0</v>
      </c>
      <c r="X5" s="300">
        <f t="shared" si="1"/>
        <v>0</v>
      </c>
      <c r="Y5" s="303">
        <f t="shared" si="1"/>
        <v>0</v>
      </c>
      <c r="Z5" s="214">
        <f>Утв_Осень</f>
        <v>0</v>
      </c>
    </row>
    <row r="6" spans="1:26" ht="17.100000000000001" customHeight="1" x14ac:dyDescent="0.3">
      <c r="A6" s="204"/>
      <c r="B6" s="204"/>
      <c r="C6" s="204"/>
      <c r="D6" s="205"/>
      <c r="E6" s="215"/>
      <c r="F6" s="304" t="s">
        <v>82</v>
      </c>
      <c r="G6" s="305">
        <f>SUM(L6:Y6)</f>
        <v>0</v>
      </c>
      <c r="H6" s="306"/>
      <c r="I6" s="307"/>
      <c r="J6" s="308"/>
      <c r="K6" s="297"/>
      <c r="L6" s="216">
        <f t="shared" ref="L6:Y6" si="2">SUM(L7:L159)-L5</f>
        <v>0</v>
      </c>
      <c r="M6" s="217">
        <f t="shared" si="2"/>
        <v>0</v>
      </c>
      <c r="N6" s="218">
        <f t="shared" si="2"/>
        <v>0</v>
      </c>
      <c r="O6" s="216">
        <f t="shared" si="2"/>
        <v>0</v>
      </c>
      <c r="P6" s="217">
        <f t="shared" si="2"/>
        <v>0</v>
      </c>
      <c r="Q6" s="218">
        <f t="shared" si="2"/>
        <v>0</v>
      </c>
      <c r="R6" s="216">
        <f t="shared" si="2"/>
        <v>0</v>
      </c>
      <c r="S6" s="219">
        <f t="shared" si="2"/>
        <v>0</v>
      </c>
      <c r="T6" s="218">
        <f t="shared" si="2"/>
        <v>0</v>
      </c>
      <c r="U6" s="216">
        <f t="shared" si="2"/>
        <v>0</v>
      </c>
      <c r="V6" s="220">
        <f t="shared" si="2"/>
        <v>0</v>
      </c>
      <c r="W6" s="219">
        <f t="shared" si="2"/>
        <v>0</v>
      </c>
      <c r="X6" s="218">
        <f t="shared" si="2"/>
        <v>0</v>
      </c>
      <c r="Y6" s="216">
        <f t="shared" si="2"/>
        <v>0</v>
      </c>
      <c r="Z6" s="221"/>
    </row>
    <row r="7" spans="1:26" s="239" customFormat="1" ht="28.5" customHeight="1" x14ac:dyDescent="0.3">
      <c r="A7" s="222">
        <f t="shared" ref="A7:A38" si="3">IF(B7,0,MATCH(H7,ВидыНагр,0))</f>
        <v>0</v>
      </c>
      <c r="B7" s="223" t="b">
        <f t="shared" ref="B7:B38" si="4">(COUNTIF(КлючОсень,D7)&lt;&gt;1)</f>
        <v>1</v>
      </c>
      <c r="C7" s="222">
        <f t="shared" ref="C7:C38" si="5">IF(COUNTA(E7:K7,Z7)&gt;0,1,0)+IF(COUNTA(L7:Y7)&gt;0,2,0)</f>
        <v>0</v>
      </c>
      <c r="D7" s="205" t="str">
        <f>CONCATENATE("$",TRIM(F7),"$",TRIM(G7),"$",H7,"$")</f>
        <v>$$$$</v>
      </c>
      <c r="E7" s="224"/>
      <c r="F7" s="225"/>
      <c r="G7" s="226"/>
      <c r="H7" s="227"/>
      <c r="I7" s="228"/>
      <c r="J7" s="228"/>
      <c r="K7" s="229"/>
      <c r="L7" s="230"/>
      <c r="M7" s="231"/>
      <c r="N7" s="232"/>
      <c r="O7" s="230"/>
      <c r="P7" s="231"/>
      <c r="Q7" s="232"/>
      <c r="R7" s="233"/>
      <c r="S7" s="234"/>
      <c r="T7" s="235"/>
      <c r="U7" s="233"/>
      <c r="V7" s="236"/>
      <c r="W7" s="234"/>
      <c r="X7" s="235"/>
      <c r="Y7" s="237"/>
      <c r="Z7" s="238"/>
    </row>
    <row r="8" spans="1:26" s="239" customFormat="1" ht="28.5" customHeight="1" x14ac:dyDescent="0.3">
      <c r="A8" s="222">
        <f t="shared" si="3"/>
        <v>0</v>
      </c>
      <c r="B8" s="223" t="b">
        <f t="shared" si="4"/>
        <v>1</v>
      </c>
      <c r="C8" s="222">
        <f t="shared" si="5"/>
        <v>0</v>
      </c>
      <c r="D8" s="205" t="str">
        <f t="shared" ref="D8:D71" si="6">CONCATENATE("$",TRIM(F8),"$",TRIM(G8),"$",H8,"$")</f>
        <v>$$$$</v>
      </c>
      <c r="E8" s="224"/>
      <c r="F8" s="225"/>
      <c r="G8" s="226"/>
      <c r="H8" s="227"/>
      <c r="I8" s="228"/>
      <c r="J8" s="228"/>
      <c r="K8" s="229"/>
      <c r="L8" s="230"/>
      <c r="M8" s="231"/>
      <c r="N8" s="232"/>
      <c r="O8" s="230"/>
      <c r="P8" s="231"/>
      <c r="Q8" s="232"/>
      <c r="R8" s="233"/>
      <c r="S8" s="234"/>
      <c r="T8" s="235"/>
      <c r="U8" s="233"/>
      <c r="V8" s="236"/>
      <c r="W8" s="234"/>
      <c r="X8" s="235"/>
      <c r="Y8" s="237"/>
      <c r="Z8" s="238"/>
    </row>
    <row r="9" spans="1:26" s="239" customFormat="1" ht="28.5" customHeight="1" x14ac:dyDescent="0.3">
      <c r="A9" s="222">
        <f t="shared" si="3"/>
        <v>0</v>
      </c>
      <c r="B9" s="223" t="b">
        <f t="shared" si="4"/>
        <v>1</v>
      </c>
      <c r="C9" s="222">
        <f t="shared" si="5"/>
        <v>0</v>
      </c>
      <c r="D9" s="205" t="str">
        <f t="shared" si="6"/>
        <v>$$$$</v>
      </c>
      <c r="E9" s="224"/>
      <c r="F9" s="225"/>
      <c r="G9" s="226"/>
      <c r="H9" s="227"/>
      <c r="I9" s="228"/>
      <c r="J9" s="228"/>
      <c r="K9" s="229"/>
      <c r="L9" s="230"/>
      <c r="M9" s="231"/>
      <c r="N9" s="232"/>
      <c r="O9" s="230"/>
      <c r="P9" s="231"/>
      <c r="Q9" s="232"/>
      <c r="R9" s="233"/>
      <c r="S9" s="234"/>
      <c r="T9" s="235"/>
      <c r="U9" s="233"/>
      <c r="V9" s="236"/>
      <c r="W9" s="234"/>
      <c r="X9" s="235"/>
      <c r="Y9" s="237"/>
      <c r="Z9" s="238"/>
    </row>
    <row r="10" spans="1:26" s="239" customFormat="1" ht="28.5" customHeight="1" x14ac:dyDescent="0.3">
      <c r="A10" s="222">
        <f t="shared" si="3"/>
        <v>0</v>
      </c>
      <c r="B10" s="223" t="b">
        <f t="shared" si="4"/>
        <v>1</v>
      </c>
      <c r="C10" s="222">
        <f t="shared" si="5"/>
        <v>0</v>
      </c>
      <c r="D10" s="205" t="str">
        <f t="shared" si="6"/>
        <v>$$$$</v>
      </c>
      <c r="E10" s="224"/>
      <c r="F10" s="225"/>
      <c r="G10" s="226"/>
      <c r="H10" s="227"/>
      <c r="I10" s="228"/>
      <c r="J10" s="228"/>
      <c r="K10" s="229"/>
      <c r="L10" s="230"/>
      <c r="M10" s="231"/>
      <c r="N10" s="232"/>
      <c r="O10" s="230"/>
      <c r="P10" s="231"/>
      <c r="Q10" s="232"/>
      <c r="R10" s="233"/>
      <c r="S10" s="234"/>
      <c r="T10" s="235"/>
      <c r="U10" s="233"/>
      <c r="V10" s="236"/>
      <c r="W10" s="234"/>
      <c r="X10" s="235"/>
      <c r="Y10" s="237"/>
      <c r="Z10" s="238"/>
    </row>
    <row r="11" spans="1:26" s="239" customFormat="1" ht="28.5" customHeight="1" x14ac:dyDescent="0.3">
      <c r="A11" s="222">
        <f t="shared" si="3"/>
        <v>0</v>
      </c>
      <c r="B11" s="223" t="b">
        <f t="shared" si="4"/>
        <v>1</v>
      </c>
      <c r="C11" s="222">
        <f t="shared" si="5"/>
        <v>0</v>
      </c>
      <c r="D11" s="205" t="str">
        <f t="shared" si="6"/>
        <v>$$$$</v>
      </c>
      <c r="E11" s="224"/>
      <c r="F11" s="225"/>
      <c r="G11" s="226"/>
      <c r="H11" s="227"/>
      <c r="I11" s="228"/>
      <c r="J11" s="228"/>
      <c r="K11" s="229"/>
      <c r="L11" s="230"/>
      <c r="M11" s="231"/>
      <c r="N11" s="232"/>
      <c r="O11" s="230"/>
      <c r="P11" s="231"/>
      <c r="Q11" s="232"/>
      <c r="R11" s="233"/>
      <c r="S11" s="234"/>
      <c r="T11" s="235"/>
      <c r="U11" s="233"/>
      <c r="V11" s="236"/>
      <c r="W11" s="234"/>
      <c r="X11" s="235"/>
      <c r="Y11" s="237"/>
      <c r="Z11" s="238"/>
    </row>
    <row r="12" spans="1:26" s="239" customFormat="1" ht="28.5" customHeight="1" x14ac:dyDescent="0.3">
      <c r="A12" s="222">
        <f t="shared" si="3"/>
        <v>0</v>
      </c>
      <c r="B12" s="223" t="b">
        <f t="shared" si="4"/>
        <v>1</v>
      </c>
      <c r="C12" s="222">
        <f t="shared" si="5"/>
        <v>0</v>
      </c>
      <c r="D12" s="205" t="str">
        <f t="shared" si="6"/>
        <v>$$$$</v>
      </c>
      <c r="E12" s="224"/>
      <c r="F12" s="225"/>
      <c r="G12" s="226"/>
      <c r="H12" s="227"/>
      <c r="I12" s="228"/>
      <c r="J12" s="228"/>
      <c r="K12" s="229"/>
      <c r="L12" s="230"/>
      <c r="M12" s="231"/>
      <c r="N12" s="232"/>
      <c r="O12" s="230"/>
      <c r="P12" s="231"/>
      <c r="Q12" s="232"/>
      <c r="R12" s="233"/>
      <c r="S12" s="234"/>
      <c r="T12" s="235"/>
      <c r="U12" s="233"/>
      <c r="V12" s="236"/>
      <c r="W12" s="234"/>
      <c r="X12" s="235"/>
      <c r="Y12" s="237"/>
      <c r="Z12" s="238"/>
    </row>
    <row r="13" spans="1:26" s="239" customFormat="1" ht="28.5" customHeight="1" x14ac:dyDescent="0.3">
      <c r="A13" s="222">
        <f t="shared" si="3"/>
        <v>0</v>
      </c>
      <c r="B13" s="223" t="b">
        <f t="shared" si="4"/>
        <v>1</v>
      </c>
      <c r="C13" s="222">
        <f t="shared" si="5"/>
        <v>0</v>
      </c>
      <c r="D13" s="205" t="str">
        <f t="shared" si="6"/>
        <v>$$$$</v>
      </c>
      <c r="E13" s="224"/>
      <c r="F13" s="225"/>
      <c r="G13" s="226"/>
      <c r="H13" s="227"/>
      <c r="I13" s="228"/>
      <c r="J13" s="228"/>
      <c r="K13" s="229"/>
      <c r="L13" s="230"/>
      <c r="M13" s="231"/>
      <c r="N13" s="232"/>
      <c r="O13" s="230"/>
      <c r="P13" s="231"/>
      <c r="Q13" s="232"/>
      <c r="R13" s="233"/>
      <c r="S13" s="234"/>
      <c r="T13" s="235"/>
      <c r="U13" s="233"/>
      <c r="V13" s="236"/>
      <c r="W13" s="234"/>
      <c r="X13" s="235"/>
      <c r="Y13" s="237"/>
      <c r="Z13" s="238"/>
    </row>
    <row r="14" spans="1:26" s="239" customFormat="1" ht="28.5" customHeight="1" x14ac:dyDescent="0.3">
      <c r="A14" s="222">
        <f t="shared" si="3"/>
        <v>0</v>
      </c>
      <c r="B14" s="223" t="b">
        <f t="shared" si="4"/>
        <v>1</v>
      </c>
      <c r="C14" s="222">
        <f t="shared" si="5"/>
        <v>0</v>
      </c>
      <c r="D14" s="205" t="str">
        <f t="shared" si="6"/>
        <v>$$$$</v>
      </c>
      <c r="E14" s="224"/>
      <c r="F14" s="225"/>
      <c r="G14" s="226"/>
      <c r="H14" s="227"/>
      <c r="I14" s="228"/>
      <c r="J14" s="228"/>
      <c r="K14" s="229"/>
      <c r="L14" s="230"/>
      <c r="M14" s="231"/>
      <c r="N14" s="232"/>
      <c r="O14" s="230"/>
      <c r="P14" s="231"/>
      <c r="Q14" s="232"/>
      <c r="R14" s="233"/>
      <c r="S14" s="234"/>
      <c r="T14" s="235"/>
      <c r="U14" s="233"/>
      <c r="V14" s="236"/>
      <c r="W14" s="234"/>
      <c r="X14" s="235"/>
      <c r="Y14" s="237"/>
      <c r="Z14" s="238"/>
    </row>
    <row r="15" spans="1:26" s="239" customFormat="1" ht="28.5" customHeight="1" x14ac:dyDescent="0.3">
      <c r="A15" s="222">
        <f t="shared" si="3"/>
        <v>0</v>
      </c>
      <c r="B15" s="223" t="b">
        <f t="shared" si="4"/>
        <v>1</v>
      </c>
      <c r="C15" s="222">
        <f t="shared" si="5"/>
        <v>0</v>
      </c>
      <c r="D15" s="205" t="str">
        <f t="shared" si="6"/>
        <v>$$$$</v>
      </c>
      <c r="E15" s="224"/>
      <c r="F15" s="225"/>
      <c r="G15" s="226"/>
      <c r="H15" s="227"/>
      <c r="I15" s="228"/>
      <c r="J15" s="228"/>
      <c r="K15" s="229"/>
      <c r="L15" s="230"/>
      <c r="M15" s="231"/>
      <c r="N15" s="232"/>
      <c r="O15" s="230"/>
      <c r="P15" s="231"/>
      <c r="Q15" s="232"/>
      <c r="R15" s="233"/>
      <c r="S15" s="234"/>
      <c r="T15" s="235"/>
      <c r="U15" s="233"/>
      <c r="V15" s="236"/>
      <c r="W15" s="234"/>
      <c r="X15" s="235"/>
      <c r="Y15" s="237"/>
      <c r="Z15" s="238"/>
    </row>
    <row r="16" spans="1:26" s="239" customFormat="1" ht="28.5" customHeight="1" x14ac:dyDescent="0.3">
      <c r="A16" s="222">
        <f t="shared" si="3"/>
        <v>0</v>
      </c>
      <c r="B16" s="223" t="b">
        <f t="shared" si="4"/>
        <v>1</v>
      </c>
      <c r="C16" s="222">
        <f t="shared" si="5"/>
        <v>0</v>
      </c>
      <c r="D16" s="205" t="str">
        <f t="shared" si="6"/>
        <v>$$$$</v>
      </c>
      <c r="E16" s="224"/>
      <c r="F16" s="225"/>
      <c r="G16" s="226"/>
      <c r="H16" s="227"/>
      <c r="I16" s="228"/>
      <c r="J16" s="228"/>
      <c r="K16" s="229"/>
      <c r="L16" s="230"/>
      <c r="M16" s="231"/>
      <c r="N16" s="232"/>
      <c r="O16" s="230"/>
      <c r="P16" s="231"/>
      <c r="Q16" s="232"/>
      <c r="R16" s="233"/>
      <c r="S16" s="234"/>
      <c r="T16" s="235"/>
      <c r="U16" s="233"/>
      <c r="V16" s="236"/>
      <c r="W16" s="234"/>
      <c r="X16" s="235"/>
      <c r="Y16" s="237"/>
      <c r="Z16" s="238"/>
    </row>
    <row r="17" spans="1:26" s="239" customFormat="1" ht="28.5" customHeight="1" x14ac:dyDescent="0.3">
      <c r="A17" s="222">
        <f t="shared" si="3"/>
        <v>0</v>
      </c>
      <c r="B17" s="223" t="b">
        <f t="shared" si="4"/>
        <v>1</v>
      </c>
      <c r="C17" s="222">
        <f t="shared" si="5"/>
        <v>0</v>
      </c>
      <c r="D17" s="205" t="str">
        <f t="shared" si="6"/>
        <v>$$$$</v>
      </c>
      <c r="E17" s="224"/>
      <c r="F17" s="225"/>
      <c r="G17" s="226"/>
      <c r="H17" s="227"/>
      <c r="I17" s="228"/>
      <c r="J17" s="228"/>
      <c r="K17" s="229"/>
      <c r="L17" s="230"/>
      <c r="M17" s="231"/>
      <c r="N17" s="232"/>
      <c r="O17" s="230"/>
      <c r="P17" s="231"/>
      <c r="Q17" s="232"/>
      <c r="R17" s="233"/>
      <c r="S17" s="234"/>
      <c r="T17" s="235"/>
      <c r="U17" s="233"/>
      <c r="V17" s="236"/>
      <c r="W17" s="234"/>
      <c r="X17" s="235"/>
      <c r="Y17" s="237"/>
      <c r="Z17" s="238"/>
    </row>
    <row r="18" spans="1:26" s="239" customFormat="1" ht="28.5" customHeight="1" x14ac:dyDescent="0.3">
      <c r="A18" s="222">
        <f t="shared" si="3"/>
        <v>0</v>
      </c>
      <c r="B18" s="223" t="b">
        <f t="shared" si="4"/>
        <v>1</v>
      </c>
      <c r="C18" s="222">
        <f t="shared" si="5"/>
        <v>0</v>
      </c>
      <c r="D18" s="205" t="str">
        <f t="shared" si="6"/>
        <v>$$$$</v>
      </c>
      <c r="E18" s="224"/>
      <c r="F18" s="225"/>
      <c r="G18" s="226"/>
      <c r="H18" s="227"/>
      <c r="I18" s="228"/>
      <c r="J18" s="228"/>
      <c r="K18" s="229"/>
      <c r="L18" s="230"/>
      <c r="M18" s="231"/>
      <c r="N18" s="232"/>
      <c r="O18" s="230"/>
      <c r="P18" s="231"/>
      <c r="Q18" s="232"/>
      <c r="R18" s="233"/>
      <c r="S18" s="234"/>
      <c r="T18" s="235"/>
      <c r="U18" s="233"/>
      <c r="V18" s="236"/>
      <c r="W18" s="234"/>
      <c r="X18" s="235"/>
      <c r="Y18" s="237"/>
      <c r="Z18" s="238"/>
    </row>
    <row r="19" spans="1:26" s="239" customFormat="1" ht="28.5" customHeight="1" x14ac:dyDescent="0.3">
      <c r="A19" s="222">
        <f t="shared" si="3"/>
        <v>0</v>
      </c>
      <c r="B19" s="223" t="b">
        <f t="shared" si="4"/>
        <v>1</v>
      </c>
      <c r="C19" s="222">
        <f t="shared" si="5"/>
        <v>0</v>
      </c>
      <c r="D19" s="205" t="str">
        <f t="shared" si="6"/>
        <v>$$$$</v>
      </c>
      <c r="E19" s="224"/>
      <c r="F19" s="225"/>
      <c r="G19" s="226"/>
      <c r="H19" s="227"/>
      <c r="I19" s="228"/>
      <c r="J19" s="228"/>
      <c r="K19" s="229"/>
      <c r="L19" s="230"/>
      <c r="M19" s="231"/>
      <c r="N19" s="232"/>
      <c r="O19" s="230"/>
      <c r="P19" s="231"/>
      <c r="Q19" s="232"/>
      <c r="R19" s="233"/>
      <c r="S19" s="234"/>
      <c r="T19" s="235"/>
      <c r="U19" s="233"/>
      <c r="V19" s="236"/>
      <c r="W19" s="234"/>
      <c r="X19" s="235"/>
      <c r="Y19" s="237"/>
      <c r="Z19" s="238"/>
    </row>
    <row r="20" spans="1:26" s="239" customFormat="1" ht="28.5" customHeight="1" x14ac:dyDescent="0.3">
      <c r="A20" s="222">
        <f t="shared" si="3"/>
        <v>0</v>
      </c>
      <c r="B20" s="223" t="b">
        <f t="shared" si="4"/>
        <v>1</v>
      </c>
      <c r="C20" s="222">
        <f t="shared" si="5"/>
        <v>0</v>
      </c>
      <c r="D20" s="205" t="str">
        <f t="shared" si="6"/>
        <v>$$$$</v>
      </c>
      <c r="E20" s="224"/>
      <c r="F20" s="225"/>
      <c r="G20" s="226"/>
      <c r="H20" s="227"/>
      <c r="I20" s="228"/>
      <c r="J20" s="228"/>
      <c r="K20" s="229"/>
      <c r="L20" s="230"/>
      <c r="M20" s="231"/>
      <c r="N20" s="232"/>
      <c r="O20" s="230"/>
      <c r="P20" s="231"/>
      <c r="Q20" s="232"/>
      <c r="R20" s="233"/>
      <c r="S20" s="234"/>
      <c r="T20" s="235"/>
      <c r="U20" s="233"/>
      <c r="V20" s="236"/>
      <c r="W20" s="234"/>
      <c r="X20" s="235"/>
      <c r="Y20" s="237"/>
      <c r="Z20" s="238"/>
    </row>
    <row r="21" spans="1:26" s="239" customFormat="1" ht="28.5" customHeight="1" x14ac:dyDescent="0.3">
      <c r="A21" s="222">
        <f t="shared" si="3"/>
        <v>0</v>
      </c>
      <c r="B21" s="223" t="b">
        <f t="shared" si="4"/>
        <v>1</v>
      </c>
      <c r="C21" s="222">
        <f t="shared" si="5"/>
        <v>0</v>
      </c>
      <c r="D21" s="205" t="str">
        <f t="shared" si="6"/>
        <v>$$$$</v>
      </c>
      <c r="E21" s="224"/>
      <c r="F21" s="225"/>
      <c r="G21" s="226"/>
      <c r="H21" s="227"/>
      <c r="I21" s="228"/>
      <c r="J21" s="228"/>
      <c r="K21" s="229"/>
      <c r="L21" s="230"/>
      <c r="M21" s="231"/>
      <c r="N21" s="232"/>
      <c r="O21" s="230"/>
      <c r="P21" s="231"/>
      <c r="Q21" s="232"/>
      <c r="R21" s="233"/>
      <c r="S21" s="234"/>
      <c r="T21" s="235"/>
      <c r="U21" s="233"/>
      <c r="V21" s="236"/>
      <c r="W21" s="234"/>
      <c r="X21" s="235"/>
      <c r="Y21" s="237"/>
      <c r="Z21" s="238"/>
    </row>
    <row r="22" spans="1:26" s="239" customFormat="1" ht="28.5" customHeight="1" x14ac:dyDescent="0.3">
      <c r="A22" s="222">
        <f t="shared" si="3"/>
        <v>0</v>
      </c>
      <c r="B22" s="223" t="b">
        <f t="shared" si="4"/>
        <v>1</v>
      </c>
      <c r="C22" s="222">
        <f t="shared" si="5"/>
        <v>0</v>
      </c>
      <c r="D22" s="205" t="str">
        <f t="shared" si="6"/>
        <v>$$$$</v>
      </c>
      <c r="E22" s="224"/>
      <c r="F22" s="225"/>
      <c r="G22" s="226"/>
      <c r="H22" s="227"/>
      <c r="I22" s="228"/>
      <c r="J22" s="228"/>
      <c r="K22" s="229"/>
      <c r="L22" s="230"/>
      <c r="M22" s="231"/>
      <c r="N22" s="232"/>
      <c r="O22" s="230"/>
      <c r="P22" s="231"/>
      <c r="Q22" s="232"/>
      <c r="R22" s="233"/>
      <c r="S22" s="234"/>
      <c r="T22" s="235"/>
      <c r="U22" s="233"/>
      <c r="V22" s="236"/>
      <c r="W22" s="234"/>
      <c r="X22" s="235"/>
      <c r="Y22" s="237"/>
      <c r="Z22" s="238"/>
    </row>
    <row r="23" spans="1:26" s="239" customFormat="1" ht="28.5" customHeight="1" x14ac:dyDescent="0.3">
      <c r="A23" s="222">
        <f t="shared" si="3"/>
        <v>0</v>
      </c>
      <c r="B23" s="223" t="b">
        <f t="shared" si="4"/>
        <v>1</v>
      </c>
      <c r="C23" s="222">
        <f t="shared" si="5"/>
        <v>0</v>
      </c>
      <c r="D23" s="205" t="str">
        <f t="shared" si="6"/>
        <v>$$$$</v>
      </c>
      <c r="E23" s="224"/>
      <c r="F23" s="225"/>
      <c r="G23" s="226"/>
      <c r="H23" s="227"/>
      <c r="I23" s="228"/>
      <c r="J23" s="228"/>
      <c r="K23" s="229"/>
      <c r="L23" s="230"/>
      <c r="M23" s="231"/>
      <c r="N23" s="232"/>
      <c r="O23" s="230"/>
      <c r="P23" s="231"/>
      <c r="Q23" s="232"/>
      <c r="R23" s="233"/>
      <c r="S23" s="234"/>
      <c r="T23" s="235"/>
      <c r="U23" s="233"/>
      <c r="V23" s="236"/>
      <c r="W23" s="234"/>
      <c r="X23" s="235"/>
      <c r="Y23" s="237"/>
      <c r="Z23" s="238"/>
    </row>
    <row r="24" spans="1:26" s="239" customFormat="1" ht="28.5" customHeight="1" x14ac:dyDescent="0.3">
      <c r="A24" s="222">
        <f t="shared" si="3"/>
        <v>0</v>
      </c>
      <c r="B24" s="223" t="b">
        <f t="shared" si="4"/>
        <v>1</v>
      </c>
      <c r="C24" s="222">
        <f t="shared" si="5"/>
        <v>0</v>
      </c>
      <c r="D24" s="205" t="str">
        <f t="shared" si="6"/>
        <v>$$$$</v>
      </c>
      <c r="E24" s="224"/>
      <c r="F24" s="225"/>
      <c r="G24" s="226"/>
      <c r="H24" s="227"/>
      <c r="I24" s="228"/>
      <c r="J24" s="228"/>
      <c r="K24" s="229"/>
      <c r="L24" s="230"/>
      <c r="M24" s="231"/>
      <c r="N24" s="232"/>
      <c r="O24" s="230"/>
      <c r="P24" s="231"/>
      <c r="Q24" s="232"/>
      <c r="R24" s="233"/>
      <c r="S24" s="234"/>
      <c r="T24" s="235"/>
      <c r="U24" s="233"/>
      <c r="V24" s="236"/>
      <c r="W24" s="234"/>
      <c r="X24" s="235"/>
      <c r="Y24" s="237"/>
      <c r="Z24" s="238"/>
    </row>
    <row r="25" spans="1:26" s="239" customFormat="1" ht="28.5" customHeight="1" x14ac:dyDescent="0.3">
      <c r="A25" s="222">
        <f t="shared" si="3"/>
        <v>0</v>
      </c>
      <c r="B25" s="223" t="b">
        <f t="shared" si="4"/>
        <v>1</v>
      </c>
      <c r="C25" s="222">
        <f t="shared" si="5"/>
        <v>0</v>
      </c>
      <c r="D25" s="205" t="str">
        <f t="shared" si="6"/>
        <v>$$$$</v>
      </c>
      <c r="E25" s="224"/>
      <c r="F25" s="225"/>
      <c r="G25" s="226"/>
      <c r="H25" s="227"/>
      <c r="I25" s="228"/>
      <c r="J25" s="228"/>
      <c r="K25" s="229"/>
      <c r="L25" s="230"/>
      <c r="M25" s="231"/>
      <c r="N25" s="232"/>
      <c r="O25" s="230"/>
      <c r="P25" s="231"/>
      <c r="Q25" s="232"/>
      <c r="R25" s="233"/>
      <c r="S25" s="234"/>
      <c r="T25" s="235"/>
      <c r="U25" s="233"/>
      <c r="V25" s="236"/>
      <c r="W25" s="234"/>
      <c r="X25" s="235"/>
      <c r="Y25" s="237"/>
      <c r="Z25" s="238"/>
    </row>
    <row r="26" spans="1:26" s="239" customFormat="1" ht="28.5" customHeight="1" x14ac:dyDescent="0.3">
      <c r="A26" s="222">
        <f t="shared" si="3"/>
        <v>0</v>
      </c>
      <c r="B26" s="223" t="b">
        <f t="shared" si="4"/>
        <v>1</v>
      </c>
      <c r="C26" s="222">
        <f t="shared" si="5"/>
        <v>0</v>
      </c>
      <c r="D26" s="205" t="str">
        <f t="shared" si="6"/>
        <v>$$$$</v>
      </c>
      <c r="E26" s="224"/>
      <c r="F26" s="225"/>
      <c r="G26" s="226"/>
      <c r="H26" s="227"/>
      <c r="I26" s="228"/>
      <c r="J26" s="228"/>
      <c r="K26" s="229"/>
      <c r="L26" s="230"/>
      <c r="M26" s="231"/>
      <c r="N26" s="232"/>
      <c r="O26" s="230"/>
      <c r="P26" s="231"/>
      <c r="Q26" s="232"/>
      <c r="R26" s="233"/>
      <c r="S26" s="234"/>
      <c r="T26" s="235"/>
      <c r="U26" s="233"/>
      <c r="V26" s="236"/>
      <c r="W26" s="234"/>
      <c r="X26" s="235"/>
      <c r="Y26" s="237"/>
      <c r="Z26" s="238"/>
    </row>
    <row r="27" spans="1:26" s="239" customFormat="1" ht="28.5" customHeight="1" x14ac:dyDescent="0.3">
      <c r="A27" s="222">
        <f t="shared" si="3"/>
        <v>0</v>
      </c>
      <c r="B27" s="223" t="b">
        <f t="shared" si="4"/>
        <v>1</v>
      </c>
      <c r="C27" s="222">
        <f t="shared" si="5"/>
        <v>0</v>
      </c>
      <c r="D27" s="205" t="str">
        <f t="shared" si="6"/>
        <v>$$$$</v>
      </c>
      <c r="E27" s="224"/>
      <c r="F27" s="225"/>
      <c r="G27" s="226"/>
      <c r="H27" s="227"/>
      <c r="I27" s="228"/>
      <c r="J27" s="228"/>
      <c r="K27" s="229"/>
      <c r="L27" s="230"/>
      <c r="M27" s="231"/>
      <c r="N27" s="232"/>
      <c r="O27" s="230"/>
      <c r="P27" s="231"/>
      <c r="Q27" s="232"/>
      <c r="R27" s="233"/>
      <c r="S27" s="234"/>
      <c r="T27" s="235"/>
      <c r="U27" s="233"/>
      <c r="V27" s="236"/>
      <c r="W27" s="234"/>
      <c r="X27" s="235"/>
      <c r="Y27" s="237"/>
      <c r="Z27" s="238"/>
    </row>
    <row r="28" spans="1:26" s="239" customFormat="1" ht="28.5" customHeight="1" x14ac:dyDescent="0.3">
      <c r="A28" s="222">
        <f t="shared" si="3"/>
        <v>0</v>
      </c>
      <c r="B28" s="223" t="b">
        <f t="shared" si="4"/>
        <v>1</v>
      </c>
      <c r="C28" s="222">
        <f t="shared" si="5"/>
        <v>0</v>
      </c>
      <c r="D28" s="205" t="str">
        <f t="shared" si="6"/>
        <v>$$$$</v>
      </c>
      <c r="E28" s="224"/>
      <c r="F28" s="225"/>
      <c r="G28" s="226"/>
      <c r="H28" s="227"/>
      <c r="I28" s="228"/>
      <c r="J28" s="228"/>
      <c r="K28" s="229"/>
      <c r="L28" s="230"/>
      <c r="M28" s="231"/>
      <c r="N28" s="232"/>
      <c r="O28" s="230"/>
      <c r="P28" s="231"/>
      <c r="Q28" s="232"/>
      <c r="R28" s="233"/>
      <c r="S28" s="234"/>
      <c r="T28" s="235"/>
      <c r="U28" s="233"/>
      <c r="V28" s="236"/>
      <c r="W28" s="234"/>
      <c r="X28" s="235"/>
      <c r="Y28" s="237"/>
      <c r="Z28" s="238"/>
    </row>
    <row r="29" spans="1:26" s="239" customFormat="1" ht="28.5" customHeight="1" x14ac:dyDescent="0.3">
      <c r="A29" s="222">
        <f t="shared" si="3"/>
        <v>0</v>
      </c>
      <c r="B29" s="223" t="b">
        <f t="shared" si="4"/>
        <v>1</v>
      </c>
      <c r="C29" s="222">
        <f t="shared" si="5"/>
        <v>0</v>
      </c>
      <c r="D29" s="205" t="str">
        <f t="shared" si="6"/>
        <v>$$$$</v>
      </c>
      <c r="E29" s="224"/>
      <c r="F29" s="225"/>
      <c r="G29" s="226"/>
      <c r="H29" s="227"/>
      <c r="I29" s="228"/>
      <c r="J29" s="228"/>
      <c r="K29" s="229"/>
      <c r="L29" s="230"/>
      <c r="M29" s="231"/>
      <c r="N29" s="232"/>
      <c r="O29" s="230"/>
      <c r="P29" s="231"/>
      <c r="Q29" s="232"/>
      <c r="R29" s="233"/>
      <c r="S29" s="234"/>
      <c r="T29" s="235"/>
      <c r="U29" s="233"/>
      <c r="V29" s="236"/>
      <c r="W29" s="234"/>
      <c r="X29" s="235"/>
      <c r="Y29" s="237"/>
      <c r="Z29" s="238"/>
    </row>
    <row r="30" spans="1:26" s="239" customFormat="1" ht="28.5" customHeight="1" x14ac:dyDescent="0.3">
      <c r="A30" s="222">
        <f t="shared" si="3"/>
        <v>0</v>
      </c>
      <c r="B30" s="223" t="b">
        <f t="shared" si="4"/>
        <v>1</v>
      </c>
      <c r="C30" s="222">
        <f t="shared" si="5"/>
        <v>0</v>
      </c>
      <c r="D30" s="205" t="str">
        <f t="shared" si="6"/>
        <v>$$$$</v>
      </c>
      <c r="E30" s="224"/>
      <c r="F30" s="225"/>
      <c r="G30" s="226"/>
      <c r="H30" s="227"/>
      <c r="I30" s="228"/>
      <c r="J30" s="228"/>
      <c r="K30" s="229"/>
      <c r="L30" s="230"/>
      <c r="M30" s="231"/>
      <c r="N30" s="232"/>
      <c r="O30" s="230"/>
      <c r="P30" s="231"/>
      <c r="Q30" s="232"/>
      <c r="R30" s="233"/>
      <c r="S30" s="234"/>
      <c r="T30" s="235"/>
      <c r="U30" s="233"/>
      <c r="V30" s="236"/>
      <c r="W30" s="234"/>
      <c r="X30" s="235"/>
      <c r="Y30" s="237"/>
      <c r="Z30" s="238"/>
    </row>
    <row r="31" spans="1:26" s="239" customFormat="1" ht="28.5" customHeight="1" x14ac:dyDescent="0.3">
      <c r="A31" s="222">
        <f t="shared" si="3"/>
        <v>0</v>
      </c>
      <c r="B31" s="223" t="b">
        <f t="shared" si="4"/>
        <v>1</v>
      </c>
      <c r="C31" s="222">
        <f t="shared" si="5"/>
        <v>0</v>
      </c>
      <c r="D31" s="205" t="str">
        <f t="shared" si="6"/>
        <v>$$$$</v>
      </c>
      <c r="E31" s="224"/>
      <c r="F31" s="225"/>
      <c r="G31" s="226"/>
      <c r="H31" s="227"/>
      <c r="I31" s="228"/>
      <c r="J31" s="228"/>
      <c r="K31" s="229"/>
      <c r="L31" s="230"/>
      <c r="M31" s="231"/>
      <c r="N31" s="232"/>
      <c r="O31" s="230"/>
      <c r="P31" s="231"/>
      <c r="Q31" s="232"/>
      <c r="R31" s="233"/>
      <c r="S31" s="234"/>
      <c r="T31" s="235"/>
      <c r="U31" s="233"/>
      <c r="V31" s="236"/>
      <c r="W31" s="234"/>
      <c r="X31" s="235"/>
      <c r="Y31" s="237"/>
      <c r="Z31" s="238"/>
    </row>
    <row r="32" spans="1:26" s="239" customFormat="1" ht="28.5" customHeight="1" x14ac:dyDescent="0.3">
      <c r="A32" s="222">
        <f t="shared" si="3"/>
        <v>0</v>
      </c>
      <c r="B32" s="223" t="b">
        <f t="shared" si="4"/>
        <v>1</v>
      </c>
      <c r="C32" s="222">
        <f t="shared" si="5"/>
        <v>0</v>
      </c>
      <c r="D32" s="205" t="str">
        <f t="shared" si="6"/>
        <v>$$$$</v>
      </c>
      <c r="E32" s="224"/>
      <c r="F32" s="225"/>
      <c r="G32" s="226"/>
      <c r="H32" s="227"/>
      <c r="I32" s="228"/>
      <c r="J32" s="228"/>
      <c r="K32" s="229"/>
      <c r="L32" s="230"/>
      <c r="M32" s="231"/>
      <c r="N32" s="232"/>
      <c r="O32" s="230"/>
      <c r="P32" s="231"/>
      <c r="Q32" s="232"/>
      <c r="R32" s="233"/>
      <c r="S32" s="234"/>
      <c r="T32" s="235"/>
      <c r="U32" s="233"/>
      <c r="V32" s="236"/>
      <c r="W32" s="234"/>
      <c r="X32" s="235"/>
      <c r="Y32" s="237"/>
      <c r="Z32" s="238"/>
    </row>
    <row r="33" spans="1:26" s="239" customFormat="1" ht="28.5" customHeight="1" x14ac:dyDescent="0.3">
      <c r="A33" s="222">
        <f t="shared" si="3"/>
        <v>0</v>
      </c>
      <c r="B33" s="223" t="b">
        <f t="shared" si="4"/>
        <v>1</v>
      </c>
      <c r="C33" s="222">
        <f t="shared" si="5"/>
        <v>0</v>
      </c>
      <c r="D33" s="205" t="str">
        <f t="shared" si="6"/>
        <v>$$$$</v>
      </c>
      <c r="E33" s="224"/>
      <c r="F33" s="225"/>
      <c r="G33" s="226"/>
      <c r="H33" s="227"/>
      <c r="I33" s="228"/>
      <c r="J33" s="228"/>
      <c r="K33" s="229"/>
      <c r="L33" s="230"/>
      <c r="M33" s="231"/>
      <c r="N33" s="232"/>
      <c r="O33" s="230"/>
      <c r="P33" s="231"/>
      <c r="Q33" s="232"/>
      <c r="R33" s="233"/>
      <c r="S33" s="234"/>
      <c r="T33" s="235"/>
      <c r="U33" s="233"/>
      <c r="V33" s="236"/>
      <c r="W33" s="234"/>
      <c r="X33" s="235"/>
      <c r="Y33" s="237"/>
      <c r="Z33" s="238"/>
    </row>
    <row r="34" spans="1:26" s="239" customFormat="1" ht="28.5" customHeight="1" x14ac:dyDescent="0.3">
      <c r="A34" s="222">
        <f t="shared" si="3"/>
        <v>0</v>
      </c>
      <c r="B34" s="223" t="b">
        <f t="shared" si="4"/>
        <v>1</v>
      </c>
      <c r="C34" s="222">
        <f t="shared" si="5"/>
        <v>0</v>
      </c>
      <c r="D34" s="205" t="str">
        <f t="shared" si="6"/>
        <v>$$$$</v>
      </c>
      <c r="E34" s="224"/>
      <c r="F34" s="225"/>
      <c r="G34" s="226"/>
      <c r="H34" s="227"/>
      <c r="I34" s="228"/>
      <c r="J34" s="228"/>
      <c r="K34" s="229"/>
      <c r="L34" s="230"/>
      <c r="M34" s="231"/>
      <c r="N34" s="232"/>
      <c r="O34" s="230"/>
      <c r="P34" s="231"/>
      <c r="Q34" s="232"/>
      <c r="R34" s="233"/>
      <c r="S34" s="234"/>
      <c r="T34" s="235"/>
      <c r="U34" s="233"/>
      <c r="V34" s="236"/>
      <c r="W34" s="234"/>
      <c r="X34" s="235"/>
      <c r="Y34" s="237"/>
      <c r="Z34" s="238"/>
    </row>
    <row r="35" spans="1:26" s="239" customFormat="1" ht="28.5" customHeight="1" x14ac:dyDescent="0.3">
      <c r="A35" s="222">
        <f t="shared" si="3"/>
        <v>0</v>
      </c>
      <c r="B35" s="223" t="b">
        <f t="shared" si="4"/>
        <v>1</v>
      </c>
      <c r="C35" s="222">
        <f t="shared" si="5"/>
        <v>0</v>
      </c>
      <c r="D35" s="205" t="str">
        <f t="shared" si="6"/>
        <v>$$$$</v>
      </c>
      <c r="E35" s="224"/>
      <c r="F35" s="225"/>
      <c r="G35" s="226"/>
      <c r="H35" s="227"/>
      <c r="I35" s="228"/>
      <c r="J35" s="228"/>
      <c r="K35" s="229"/>
      <c r="L35" s="230"/>
      <c r="M35" s="231"/>
      <c r="N35" s="232"/>
      <c r="O35" s="230"/>
      <c r="P35" s="231"/>
      <c r="Q35" s="232"/>
      <c r="R35" s="233"/>
      <c r="S35" s="234"/>
      <c r="T35" s="235"/>
      <c r="U35" s="233"/>
      <c r="V35" s="236"/>
      <c r="W35" s="234"/>
      <c r="X35" s="235"/>
      <c r="Y35" s="237"/>
      <c r="Z35" s="238"/>
    </row>
    <row r="36" spans="1:26" s="239" customFormat="1" ht="28.5" customHeight="1" x14ac:dyDescent="0.3">
      <c r="A36" s="222">
        <f t="shared" si="3"/>
        <v>0</v>
      </c>
      <c r="B36" s="223" t="b">
        <f t="shared" si="4"/>
        <v>1</v>
      </c>
      <c r="C36" s="222">
        <f t="shared" si="5"/>
        <v>0</v>
      </c>
      <c r="D36" s="205" t="str">
        <f t="shared" si="6"/>
        <v>$$$$</v>
      </c>
      <c r="E36" s="224"/>
      <c r="F36" s="225"/>
      <c r="G36" s="226"/>
      <c r="H36" s="227"/>
      <c r="I36" s="228"/>
      <c r="J36" s="228"/>
      <c r="K36" s="229"/>
      <c r="L36" s="230"/>
      <c r="M36" s="231"/>
      <c r="N36" s="232"/>
      <c r="O36" s="230"/>
      <c r="P36" s="231"/>
      <c r="Q36" s="232"/>
      <c r="R36" s="233"/>
      <c r="S36" s="234"/>
      <c r="T36" s="235"/>
      <c r="U36" s="233"/>
      <c r="V36" s="236"/>
      <c r="W36" s="234"/>
      <c r="X36" s="235"/>
      <c r="Y36" s="237"/>
      <c r="Z36" s="238"/>
    </row>
    <row r="37" spans="1:26" s="239" customFormat="1" ht="28.5" customHeight="1" x14ac:dyDescent="0.3">
      <c r="A37" s="222">
        <f t="shared" si="3"/>
        <v>0</v>
      </c>
      <c r="B37" s="223" t="b">
        <f t="shared" si="4"/>
        <v>1</v>
      </c>
      <c r="C37" s="222">
        <f t="shared" si="5"/>
        <v>0</v>
      </c>
      <c r="D37" s="205" t="str">
        <f t="shared" si="6"/>
        <v>$$$$</v>
      </c>
      <c r="E37" s="224"/>
      <c r="F37" s="225"/>
      <c r="G37" s="226"/>
      <c r="H37" s="227"/>
      <c r="I37" s="228"/>
      <c r="J37" s="228"/>
      <c r="K37" s="229"/>
      <c r="L37" s="230"/>
      <c r="M37" s="231"/>
      <c r="N37" s="232"/>
      <c r="O37" s="230"/>
      <c r="P37" s="231"/>
      <c r="Q37" s="232"/>
      <c r="R37" s="233"/>
      <c r="S37" s="234"/>
      <c r="T37" s="235"/>
      <c r="U37" s="233"/>
      <c r="V37" s="236"/>
      <c r="W37" s="234"/>
      <c r="X37" s="235"/>
      <c r="Y37" s="237"/>
      <c r="Z37" s="238"/>
    </row>
    <row r="38" spans="1:26" s="239" customFormat="1" ht="28.5" customHeight="1" x14ac:dyDescent="0.3">
      <c r="A38" s="222">
        <f t="shared" si="3"/>
        <v>0</v>
      </c>
      <c r="B38" s="223" t="b">
        <f t="shared" si="4"/>
        <v>1</v>
      </c>
      <c r="C38" s="222">
        <f t="shared" si="5"/>
        <v>0</v>
      </c>
      <c r="D38" s="205" t="str">
        <f t="shared" si="6"/>
        <v>$$$$</v>
      </c>
      <c r="E38" s="224"/>
      <c r="F38" s="225"/>
      <c r="G38" s="226"/>
      <c r="H38" s="227"/>
      <c r="I38" s="228"/>
      <c r="J38" s="228"/>
      <c r="K38" s="229"/>
      <c r="L38" s="230"/>
      <c r="M38" s="231"/>
      <c r="N38" s="232"/>
      <c r="O38" s="230"/>
      <c r="P38" s="231"/>
      <c r="Q38" s="232"/>
      <c r="R38" s="233"/>
      <c r="S38" s="234"/>
      <c r="T38" s="235"/>
      <c r="U38" s="233"/>
      <c r="V38" s="236"/>
      <c r="W38" s="234"/>
      <c r="X38" s="235"/>
      <c r="Y38" s="237"/>
      <c r="Z38" s="238"/>
    </row>
    <row r="39" spans="1:26" s="239" customFormat="1" ht="28.5" customHeight="1" x14ac:dyDescent="0.3">
      <c r="A39" s="222">
        <f t="shared" ref="A39:A70" si="7">IF(B39,0,MATCH(H39,ВидыНагр,0))</f>
        <v>0</v>
      </c>
      <c r="B39" s="223" t="b">
        <f t="shared" ref="B39:B70" si="8">(COUNTIF(КлючОсень,D39)&lt;&gt;1)</f>
        <v>1</v>
      </c>
      <c r="C39" s="222">
        <f t="shared" ref="C39:C70" si="9">IF(COUNTA(E39:K39,Z39)&gt;0,1,0)+IF(COUNTA(L39:Y39)&gt;0,2,0)</f>
        <v>0</v>
      </c>
      <c r="D39" s="205" t="str">
        <f t="shared" si="6"/>
        <v>$$$$</v>
      </c>
      <c r="E39" s="224"/>
      <c r="F39" s="225"/>
      <c r="G39" s="226"/>
      <c r="H39" s="227"/>
      <c r="I39" s="228"/>
      <c r="J39" s="228"/>
      <c r="K39" s="229"/>
      <c r="L39" s="230"/>
      <c r="M39" s="231"/>
      <c r="N39" s="232"/>
      <c r="O39" s="230"/>
      <c r="P39" s="231"/>
      <c r="Q39" s="232"/>
      <c r="R39" s="233"/>
      <c r="S39" s="234"/>
      <c r="T39" s="235"/>
      <c r="U39" s="233"/>
      <c r="V39" s="236"/>
      <c r="W39" s="234"/>
      <c r="X39" s="235"/>
      <c r="Y39" s="237"/>
      <c r="Z39" s="238"/>
    </row>
    <row r="40" spans="1:26" s="239" customFormat="1" ht="28.5" customHeight="1" x14ac:dyDescent="0.3">
      <c r="A40" s="222">
        <f t="shared" si="7"/>
        <v>0</v>
      </c>
      <c r="B40" s="223" t="b">
        <f t="shared" si="8"/>
        <v>1</v>
      </c>
      <c r="C40" s="222">
        <f t="shared" si="9"/>
        <v>0</v>
      </c>
      <c r="D40" s="205" t="str">
        <f t="shared" si="6"/>
        <v>$$$$</v>
      </c>
      <c r="E40" s="224"/>
      <c r="F40" s="225"/>
      <c r="G40" s="226"/>
      <c r="H40" s="227"/>
      <c r="I40" s="228"/>
      <c r="J40" s="228"/>
      <c r="K40" s="229"/>
      <c r="L40" s="230"/>
      <c r="M40" s="231"/>
      <c r="N40" s="232"/>
      <c r="O40" s="230"/>
      <c r="P40" s="231"/>
      <c r="Q40" s="232"/>
      <c r="R40" s="233"/>
      <c r="S40" s="234"/>
      <c r="T40" s="235"/>
      <c r="U40" s="233"/>
      <c r="V40" s="236"/>
      <c r="W40" s="234"/>
      <c r="X40" s="235"/>
      <c r="Y40" s="237"/>
      <c r="Z40" s="238"/>
    </row>
    <row r="41" spans="1:26" s="239" customFormat="1" ht="28.5" customHeight="1" x14ac:dyDescent="0.3">
      <c r="A41" s="222">
        <f t="shared" si="7"/>
        <v>0</v>
      </c>
      <c r="B41" s="223" t="b">
        <f t="shared" si="8"/>
        <v>1</v>
      </c>
      <c r="C41" s="222">
        <f t="shared" si="9"/>
        <v>0</v>
      </c>
      <c r="D41" s="205" t="str">
        <f t="shared" si="6"/>
        <v>$$$$</v>
      </c>
      <c r="E41" s="224"/>
      <c r="F41" s="225"/>
      <c r="G41" s="226"/>
      <c r="H41" s="227"/>
      <c r="I41" s="228"/>
      <c r="J41" s="228"/>
      <c r="K41" s="229"/>
      <c r="L41" s="230"/>
      <c r="M41" s="231"/>
      <c r="N41" s="232"/>
      <c r="O41" s="230"/>
      <c r="P41" s="231"/>
      <c r="Q41" s="232"/>
      <c r="R41" s="233"/>
      <c r="S41" s="234"/>
      <c r="T41" s="235"/>
      <c r="U41" s="233"/>
      <c r="V41" s="236"/>
      <c r="W41" s="234"/>
      <c r="X41" s="235"/>
      <c r="Y41" s="237"/>
      <c r="Z41" s="238"/>
    </row>
    <row r="42" spans="1:26" s="239" customFormat="1" ht="28.5" customHeight="1" x14ac:dyDescent="0.3">
      <c r="A42" s="222">
        <f t="shared" si="7"/>
        <v>0</v>
      </c>
      <c r="B42" s="223" t="b">
        <f t="shared" si="8"/>
        <v>1</v>
      </c>
      <c r="C42" s="222">
        <f t="shared" si="9"/>
        <v>0</v>
      </c>
      <c r="D42" s="205" t="str">
        <f t="shared" si="6"/>
        <v>$$$$</v>
      </c>
      <c r="E42" s="224"/>
      <c r="F42" s="225"/>
      <c r="G42" s="226"/>
      <c r="H42" s="227"/>
      <c r="I42" s="228"/>
      <c r="J42" s="228"/>
      <c r="K42" s="229"/>
      <c r="L42" s="230"/>
      <c r="M42" s="231"/>
      <c r="N42" s="232"/>
      <c r="O42" s="230"/>
      <c r="P42" s="231"/>
      <c r="Q42" s="232"/>
      <c r="R42" s="233"/>
      <c r="S42" s="234"/>
      <c r="T42" s="235"/>
      <c r="U42" s="233"/>
      <c r="V42" s="236"/>
      <c r="W42" s="234"/>
      <c r="X42" s="235"/>
      <c r="Y42" s="237"/>
      <c r="Z42" s="238"/>
    </row>
    <row r="43" spans="1:26" s="239" customFormat="1" ht="28.5" customHeight="1" x14ac:dyDescent="0.3">
      <c r="A43" s="222">
        <f t="shared" si="7"/>
        <v>0</v>
      </c>
      <c r="B43" s="223" t="b">
        <f t="shared" si="8"/>
        <v>1</v>
      </c>
      <c r="C43" s="222">
        <f t="shared" si="9"/>
        <v>0</v>
      </c>
      <c r="D43" s="205" t="str">
        <f t="shared" si="6"/>
        <v>$$$$</v>
      </c>
      <c r="E43" s="224"/>
      <c r="F43" s="225"/>
      <c r="G43" s="226"/>
      <c r="H43" s="227"/>
      <c r="I43" s="228"/>
      <c r="J43" s="228"/>
      <c r="K43" s="229"/>
      <c r="L43" s="230"/>
      <c r="M43" s="231"/>
      <c r="N43" s="232"/>
      <c r="O43" s="230"/>
      <c r="P43" s="231"/>
      <c r="Q43" s="232"/>
      <c r="R43" s="233"/>
      <c r="S43" s="234"/>
      <c r="T43" s="235"/>
      <c r="U43" s="233"/>
      <c r="V43" s="236"/>
      <c r="W43" s="234"/>
      <c r="X43" s="235"/>
      <c r="Y43" s="237"/>
      <c r="Z43" s="238"/>
    </row>
    <row r="44" spans="1:26" s="239" customFormat="1" ht="28.5" customHeight="1" x14ac:dyDescent="0.3">
      <c r="A44" s="222">
        <f t="shared" si="7"/>
        <v>0</v>
      </c>
      <c r="B44" s="223" t="b">
        <f t="shared" si="8"/>
        <v>1</v>
      </c>
      <c r="C44" s="222">
        <f t="shared" si="9"/>
        <v>0</v>
      </c>
      <c r="D44" s="205" t="str">
        <f t="shared" si="6"/>
        <v>$$$$</v>
      </c>
      <c r="E44" s="224"/>
      <c r="F44" s="225"/>
      <c r="G44" s="226"/>
      <c r="H44" s="227"/>
      <c r="I44" s="228"/>
      <c r="J44" s="228"/>
      <c r="K44" s="229"/>
      <c r="L44" s="230"/>
      <c r="M44" s="231"/>
      <c r="N44" s="232"/>
      <c r="O44" s="230"/>
      <c r="P44" s="231"/>
      <c r="Q44" s="232"/>
      <c r="R44" s="233"/>
      <c r="S44" s="234"/>
      <c r="T44" s="235"/>
      <c r="U44" s="233"/>
      <c r="V44" s="236"/>
      <c r="W44" s="234"/>
      <c r="X44" s="235"/>
      <c r="Y44" s="237"/>
      <c r="Z44" s="238"/>
    </row>
    <row r="45" spans="1:26" s="239" customFormat="1" ht="28.5" customHeight="1" x14ac:dyDescent="0.3">
      <c r="A45" s="222">
        <f t="shared" si="7"/>
        <v>0</v>
      </c>
      <c r="B45" s="223" t="b">
        <f t="shared" si="8"/>
        <v>1</v>
      </c>
      <c r="C45" s="222">
        <f t="shared" si="9"/>
        <v>0</v>
      </c>
      <c r="D45" s="205" t="str">
        <f t="shared" si="6"/>
        <v>$$$$</v>
      </c>
      <c r="E45" s="224"/>
      <c r="F45" s="225"/>
      <c r="G45" s="226"/>
      <c r="H45" s="227"/>
      <c r="I45" s="228"/>
      <c r="J45" s="228"/>
      <c r="K45" s="229"/>
      <c r="L45" s="230"/>
      <c r="M45" s="231"/>
      <c r="N45" s="232"/>
      <c r="O45" s="230"/>
      <c r="P45" s="231"/>
      <c r="Q45" s="232"/>
      <c r="R45" s="233"/>
      <c r="S45" s="234"/>
      <c r="T45" s="235"/>
      <c r="U45" s="233"/>
      <c r="V45" s="236"/>
      <c r="W45" s="234"/>
      <c r="X45" s="235"/>
      <c r="Y45" s="237"/>
      <c r="Z45" s="238"/>
    </row>
    <row r="46" spans="1:26" s="239" customFormat="1" ht="28.5" customHeight="1" x14ac:dyDescent="0.3">
      <c r="A46" s="222">
        <f t="shared" si="7"/>
        <v>0</v>
      </c>
      <c r="B46" s="223" t="b">
        <f t="shared" si="8"/>
        <v>1</v>
      </c>
      <c r="C46" s="222">
        <f t="shared" si="9"/>
        <v>0</v>
      </c>
      <c r="D46" s="205" t="str">
        <f t="shared" si="6"/>
        <v>$$$$</v>
      </c>
      <c r="E46" s="224"/>
      <c r="F46" s="225"/>
      <c r="G46" s="226"/>
      <c r="H46" s="227"/>
      <c r="I46" s="228"/>
      <c r="J46" s="228"/>
      <c r="K46" s="229"/>
      <c r="L46" s="230"/>
      <c r="M46" s="231"/>
      <c r="N46" s="232"/>
      <c r="O46" s="230"/>
      <c r="P46" s="231"/>
      <c r="Q46" s="232"/>
      <c r="R46" s="233"/>
      <c r="S46" s="234"/>
      <c r="T46" s="235"/>
      <c r="U46" s="233"/>
      <c r="V46" s="236"/>
      <c r="W46" s="234"/>
      <c r="X46" s="235"/>
      <c r="Y46" s="237"/>
      <c r="Z46" s="238"/>
    </row>
    <row r="47" spans="1:26" s="239" customFormat="1" ht="28.5" customHeight="1" x14ac:dyDescent="0.3">
      <c r="A47" s="222">
        <f t="shared" si="7"/>
        <v>0</v>
      </c>
      <c r="B47" s="223" t="b">
        <f t="shared" si="8"/>
        <v>1</v>
      </c>
      <c r="C47" s="222">
        <f t="shared" si="9"/>
        <v>0</v>
      </c>
      <c r="D47" s="205" t="str">
        <f t="shared" si="6"/>
        <v>$$$$</v>
      </c>
      <c r="E47" s="224"/>
      <c r="F47" s="225"/>
      <c r="G47" s="226"/>
      <c r="H47" s="227"/>
      <c r="I47" s="228"/>
      <c r="J47" s="228"/>
      <c r="K47" s="229"/>
      <c r="L47" s="230"/>
      <c r="M47" s="231"/>
      <c r="N47" s="232"/>
      <c r="O47" s="230"/>
      <c r="P47" s="231"/>
      <c r="Q47" s="232"/>
      <c r="R47" s="233"/>
      <c r="S47" s="234"/>
      <c r="T47" s="235"/>
      <c r="U47" s="233"/>
      <c r="V47" s="236"/>
      <c r="W47" s="234"/>
      <c r="X47" s="235"/>
      <c r="Y47" s="237"/>
      <c r="Z47" s="238"/>
    </row>
    <row r="48" spans="1:26" s="239" customFormat="1" ht="28.5" customHeight="1" x14ac:dyDescent="0.3">
      <c r="A48" s="222">
        <f t="shared" si="7"/>
        <v>0</v>
      </c>
      <c r="B48" s="223" t="b">
        <f t="shared" si="8"/>
        <v>1</v>
      </c>
      <c r="C48" s="222">
        <f t="shared" si="9"/>
        <v>0</v>
      </c>
      <c r="D48" s="205" t="str">
        <f t="shared" si="6"/>
        <v>$$$$</v>
      </c>
      <c r="E48" s="224"/>
      <c r="F48" s="225"/>
      <c r="G48" s="226"/>
      <c r="H48" s="227"/>
      <c r="I48" s="228"/>
      <c r="J48" s="228"/>
      <c r="K48" s="229"/>
      <c r="L48" s="230"/>
      <c r="M48" s="231"/>
      <c r="N48" s="232"/>
      <c r="O48" s="230"/>
      <c r="P48" s="231"/>
      <c r="Q48" s="232"/>
      <c r="R48" s="233"/>
      <c r="S48" s="234"/>
      <c r="T48" s="235"/>
      <c r="U48" s="233"/>
      <c r="V48" s="236"/>
      <c r="W48" s="234"/>
      <c r="X48" s="235"/>
      <c r="Y48" s="237"/>
      <c r="Z48" s="238"/>
    </row>
    <row r="49" spans="1:26" s="239" customFormat="1" ht="28.5" customHeight="1" x14ac:dyDescent="0.3">
      <c r="A49" s="222">
        <f t="shared" si="7"/>
        <v>0</v>
      </c>
      <c r="B49" s="223" t="b">
        <f t="shared" si="8"/>
        <v>1</v>
      </c>
      <c r="C49" s="222">
        <f t="shared" si="9"/>
        <v>0</v>
      </c>
      <c r="D49" s="205" t="str">
        <f t="shared" si="6"/>
        <v>$$$$</v>
      </c>
      <c r="E49" s="224"/>
      <c r="F49" s="225"/>
      <c r="G49" s="226"/>
      <c r="H49" s="227"/>
      <c r="I49" s="228"/>
      <c r="J49" s="228"/>
      <c r="K49" s="229"/>
      <c r="L49" s="230"/>
      <c r="M49" s="231"/>
      <c r="N49" s="232"/>
      <c r="O49" s="230"/>
      <c r="P49" s="231"/>
      <c r="Q49" s="232"/>
      <c r="R49" s="233"/>
      <c r="S49" s="234"/>
      <c r="T49" s="235"/>
      <c r="U49" s="233"/>
      <c r="V49" s="236"/>
      <c r="W49" s="234"/>
      <c r="X49" s="235"/>
      <c r="Y49" s="237"/>
      <c r="Z49" s="238"/>
    </row>
    <row r="50" spans="1:26" s="239" customFormat="1" ht="28.5" customHeight="1" x14ac:dyDescent="0.3">
      <c r="A50" s="222">
        <f t="shared" si="7"/>
        <v>0</v>
      </c>
      <c r="B50" s="223" t="b">
        <f t="shared" si="8"/>
        <v>1</v>
      </c>
      <c r="C50" s="222">
        <f t="shared" si="9"/>
        <v>0</v>
      </c>
      <c r="D50" s="205" t="str">
        <f t="shared" si="6"/>
        <v>$$$$</v>
      </c>
      <c r="E50" s="224"/>
      <c r="F50" s="225"/>
      <c r="G50" s="226"/>
      <c r="H50" s="227"/>
      <c r="I50" s="228"/>
      <c r="J50" s="228"/>
      <c r="K50" s="229"/>
      <c r="L50" s="230"/>
      <c r="M50" s="231"/>
      <c r="N50" s="232"/>
      <c r="O50" s="230"/>
      <c r="P50" s="231"/>
      <c r="Q50" s="232"/>
      <c r="R50" s="233"/>
      <c r="S50" s="234"/>
      <c r="T50" s="235"/>
      <c r="U50" s="233"/>
      <c r="V50" s="236"/>
      <c r="W50" s="234"/>
      <c r="X50" s="235"/>
      <c r="Y50" s="237"/>
      <c r="Z50" s="238"/>
    </row>
    <row r="51" spans="1:26" s="239" customFormat="1" ht="28.5" customHeight="1" x14ac:dyDescent="0.3">
      <c r="A51" s="222">
        <f t="shared" si="7"/>
        <v>0</v>
      </c>
      <c r="B51" s="223" t="b">
        <f t="shared" si="8"/>
        <v>1</v>
      </c>
      <c r="C51" s="222">
        <f t="shared" si="9"/>
        <v>0</v>
      </c>
      <c r="D51" s="205" t="str">
        <f t="shared" si="6"/>
        <v>$$$$</v>
      </c>
      <c r="E51" s="224"/>
      <c r="F51" s="225"/>
      <c r="G51" s="226"/>
      <c r="H51" s="227"/>
      <c r="I51" s="228"/>
      <c r="J51" s="228"/>
      <c r="K51" s="229"/>
      <c r="L51" s="230"/>
      <c r="M51" s="231"/>
      <c r="N51" s="232"/>
      <c r="O51" s="230"/>
      <c r="P51" s="231"/>
      <c r="Q51" s="232"/>
      <c r="R51" s="233"/>
      <c r="S51" s="234"/>
      <c r="T51" s="235"/>
      <c r="U51" s="233"/>
      <c r="V51" s="236"/>
      <c r="W51" s="234"/>
      <c r="X51" s="235"/>
      <c r="Y51" s="237"/>
      <c r="Z51" s="238"/>
    </row>
    <row r="52" spans="1:26" s="239" customFormat="1" ht="28.5" customHeight="1" x14ac:dyDescent="0.3">
      <c r="A52" s="222">
        <f t="shared" si="7"/>
        <v>0</v>
      </c>
      <c r="B52" s="223" t="b">
        <f t="shared" si="8"/>
        <v>1</v>
      </c>
      <c r="C52" s="222">
        <f t="shared" si="9"/>
        <v>0</v>
      </c>
      <c r="D52" s="205" t="str">
        <f t="shared" si="6"/>
        <v>$$$$</v>
      </c>
      <c r="E52" s="224"/>
      <c r="F52" s="225"/>
      <c r="G52" s="226"/>
      <c r="H52" s="227"/>
      <c r="I52" s="228"/>
      <c r="J52" s="228"/>
      <c r="K52" s="229"/>
      <c r="L52" s="230"/>
      <c r="M52" s="231"/>
      <c r="N52" s="232"/>
      <c r="O52" s="230"/>
      <c r="P52" s="231"/>
      <c r="Q52" s="232"/>
      <c r="R52" s="233"/>
      <c r="S52" s="234"/>
      <c r="T52" s="235"/>
      <c r="U52" s="233"/>
      <c r="V52" s="236"/>
      <c r="W52" s="234"/>
      <c r="X52" s="235"/>
      <c r="Y52" s="237"/>
      <c r="Z52" s="238"/>
    </row>
    <row r="53" spans="1:26" s="239" customFormat="1" ht="28.5" customHeight="1" x14ac:dyDescent="0.3">
      <c r="A53" s="222">
        <f t="shared" si="7"/>
        <v>0</v>
      </c>
      <c r="B53" s="223" t="b">
        <f t="shared" si="8"/>
        <v>1</v>
      </c>
      <c r="C53" s="222">
        <f t="shared" si="9"/>
        <v>0</v>
      </c>
      <c r="D53" s="205" t="str">
        <f t="shared" si="6"/>
        <v>$$$$</v>
      </c>
      <c r="E53" s="224"/>
      <c r="F53" s="225"/>
      <c r="G53" s="226"/>
      <c r="H53" s="227"/>
      <c r="I53" s="228"/>
      <c r="J53" s="228"/>
      <c r="K53" s="229"/>
      <c r="L53" s="230"/>
      <c r="M53" s="231"/>
      <c r="N53" s="232"/>
      <c r="O53" s="230"/>
      <c r="P53" s="231"/>
      <c r="Q53" s="232"/>
      <c r="R53" s="233"/>
      <c r="S53" s="234"/>
      <c r="T53" s="235"/>
      <c r="U53" s="233"/>
      <c r="V53" s="236"/>
      <c r="W53" s="234"/>
      <c r="X53" s="235"/>
      <c r="Y53" s="237"/>
      <c r="Z53" s="238"/>
    </row>
    <row r="54" spans="1:26" s="239" customFormat="1" ht="28.5" customHeight="1" x14ac:dyDescent="0.3">
      <c r="A54" s="222">
        <f t="shared" si="7"/>
        <v>0</v>
      </c>
      <c r="B54" s="223" t="b">
        <f t="shared" si="8"/>
        <v>1</v>
      </c>
      <c r="C54" s="222">
        <f t="shared" si="9"/>
        <v>0</v>
      </c>
      <c r="D54" s="205" t="str">
        <f t="shared" si="6"/>
        <v>$$$$</v>
      </c>
      <c r="E54" s="224"/>
      <c r="F54" s="225"/>
      <c r="G54" s="226"/>
      <c r="H54" s="227"/>
      <c r="I54" s="228"/>
      <c r="J54" s="228"/>
      <c r="K54" s="229"/>
      <c r="L54" s="230"/>
      <c r="M54" s="231"/>
      <c r="N54" s="232"/>
      <c r="O54" s="230"/>
      <c r="P54" s="231"/>
      <c r="Q54" s="232"/>
      <c r="R54" s="233"/>
      <c r="S54" s="234"/>
      <c r="T54" s="235"/>
      <c r="U54" s="233"/>
      <c r="V54" s="236"/>
      <c r="W54" s="234"/>
      <c r="X54" s="235"/>
      <c r="Y54" s="237"/>
      <c r="Z54" s="238"/>
    </row>
    <row r="55" spans="1:26" s="239" customFormat="1" ht="28.5" customHeight="1" x14ac:dyDescent="0.3">
      <c r="A55" s="222">
        <f t="shared" si="7"/>
        <v>0</v>
      </c>
      <c r="B55" s="223" t="b">
        <f t="shared" si="8"/>
        <v>1</v>
      </c>
      <c r="C55" s="222">
        <f t="shared" si="9"/>
        <v>0</v>
      </c>
      <c r="D55" s="205" t="str">
        <f t="shared" si="6"/>
        <v>$$$$</v>
      </c>
      <c r="E55" s="224"/>
      <c r="F55" s="225"/>
      <c r="G55" s="226"/>
      <c r="H55" s="227"/>
      <c r="I55" s="228"/>
      <c r="J55" s="228"/>
      <c r="K55" s="229"/>
      <c r="L55" s="230"/>
      <c r="M55" s="231"/>
      <c r="N55" s="232"/>
      <c r="O55" s="230"/>
      <c r="P55" s="231"/>
      <c r="Q55" s="232"/>
      <c r="R55" s="233"/>
      <c r="S55" s="234"/>
      <c r="T55" s="235"/>
      <c r="U55" s="233"/>
      <c r="V55" s="236"/>
      <c r="W55" s="234"/>
      <c r="X55" s="235"/>
      <c r="Y55" s="237"/>
      <c r="Z55" s="238"/>
    </row>
    <row r="56" spans="1:26" s="239" customFormat="1" ht="28.5" customHeight="1" x14ac:dyDescent="0.3">
      <c r="A56" s="222">
        <f t="shared" si="7"/>
        <v>0</v>
      </c>
      <c r="B56" s="223" t="b">
        <f t="shared" si="8"/>
        <v>1</v>
      </c>
      <c r="C56" s="222">
        <f t="shared" si="9"/>
        <v>0</v>
      </c>
      <c r="D56" s="205" t="str">
        <f t="shared" si="6"/>
        <v>$$$$</v>
      </c>
      <c r="E56" s="224"/>
      <c r="F56" s="225"/>
      <c r="G56" s="226"/>
      <c r="H56" s="227"/>
      <c r="I56" s="228"/>
      <c r="J56" s="228"/>
      <c r="K56" s="229"/>
      <c r="L56" s="230"/>
      <c r="M56" s="231"/>
      <c r="N56" s="232"/>
      <c r="O56" s="230"/>
      <c r="P56" s="231"/>
      <c r="Q56" s="232"/>
      <c r="R56" s="233"/>
      <c r="S56" s="234"/>
      <c r="T56" s="235"/>
      <c r="U56" s="233"/>
      <c r="V56" s="236"/>
      <c r="W56" s="234"/>
      <c r="X56" s="235"/>
      <c r="Y56" s="237"/>
      <c r="Z56" s="238"/>
    </row>
    <row r="57" spans="1:26" s="239" customFormat="1" ht="28.5" customHeight="1" x14ac:dyDescent="0.3">
      <c r="A57" s="222">
        <f t="shared" si="7"/>
        <v>0</v>
      </c>
      <c r="B57" s="223" t="b">
        <f t="shared" si="8"/>
        <v>1</v>
      </c>
      <c r="C57" s="222">
        <f t="shared" si="9"/>
        <v>0</v>
      </c>
      <c r="D57" s="205" t="str">
        <f t="shared" si="6"/>
        <v>$$$$</v>
      </c>
      <c r="E57" s="224"/>
      <c r="F57" s="225"/>
      <c r="G57" s="226"/>
      <c r="H57" s="227"/>
      <c r="I57" s="228"/>
      <c r="J57" s="228"/>
      <c r="K57" s="229"/>
      <c r="L57" s="230"/>
      <c r="M57" s="231"/>
      <c r="N57" s="232"/>
      <c r="O57" s="230"/>
      <c r="P57" s="231"/>
      <c r="Q57" s="232"/>
      <c r="R57" s="233"/>
      <c r="S57" s="234"/>
      <c r="T57" s="235"/>
      <c r="U57" s="233"/>
      <c r="V57" s="236"/>
      <c r="W57" s="234"/>
      <c r="X57" s="235"/>
      <c r="Y57" s="237"/>
      <c r="Z57" s="238"/>
    </row>
    <row r="58" spans="1:26" s="239" customFormat="1" ht="28.5" customHeight="1" x14ac:dyDescent="0.3">
      <c r="A58" s="222">
        <f t="shared" si="7"/>
        <v>0</v>
      </c>
      <c r="B58" s="223" t="b">
        <f t="shared" si="8"/>
        <v>1</v>
      </c>
      <c r="C58" s="222">
        <f t="shared" si="9"/>
        <v>0</v>
      </c>
      <c r="D58" s="205" t="str">
        <f t="shared" si="6"/>
        <v>$$$$</v>
      </c>
      <c r="E58" s="224"/>
      <c r="F58" s="225"/>
      <c r="G58" s="226"/>
      <c r="H58" s="227"/>
      <c r="I58" s="228"/>
      <c r="J58" s="228"/>
      <c r="K58" s="229"/>
      <c r="L58" s="230"/>
      <c r="M58" s="231"/>
      <c r="N58" s="232"/>
      <c r="O58" s="230"/>
      <c r="P58" s="231"/>
      <c r="Q58" s="232"/>
      <c r="R58" s="233"/>
      <c r="S58" s="234"/>
      <c r="T58" s="235"/>
      <c r="U58" s="233"/>
      <c r="V58" s="236"/>
      <c r="W58" s="234"/>
      <c r="X58" s="235"/>
      <c r="Y58" s="237"/>
      <c r="Z58" s="238"/>
    </row>
    <row r="59" spans="1:26" s="239" customFormat="1" ht="28.5" customHeight="1" x14ac:dyDescent="0.3">
      <c r="A59" s="222">
        <f t="shared" si="7"/>
        <v>0</v>
      </c>
      <c r="B59" s="223" t="b">
        <f t="shared" si="8"/>
        <v>1</v>
      </c>
      <c r="C59" s="222">
        <f t="shared" si="9"/>
        <v>0</v>
      </c>
      <c r="D59" s="205" t="str">
        <f t="shared" si="6"/>
        <v>$$$$</v>
      </c>
      <c r="E59" s="224"/>
      <c r="F59" s="225"/>
      <c r="G59" s="226"/>
      <c r="H59" s="227"/>
      <c r="I59" s="228"/>
      <c r="J59" s="228"/>
      <c r="K59" s="229"/>
      <c r="L59" s="230"/>
      <c r="M59" s="231"/>
      <c r="N59" s="232"/>
      <c r="O59" s="230"/>
      <c r="P59" s="231"/>
      <c r="Q59" s="232"/>
      <c r="R59" s="233"/>
      <c r="S59" s="234"/>
      <c r="T59" s="235"/>
      <c r="U59" s="233"/>
      <c r="V59" s="236"/>
      <c r="W59" s="234"/>
      <c r="X59" s="235"/>
      <c r="Y59" s="237"/>
      <c r="Z59" s="238"/>
    </row>
    <row r="60" spans="1:26" s="239" customFormat="1" ht="28.5" customHeight="1" x14ac:dyDescent="0.3">
      <c r="A60" s="222">
        <f t="shared" si="7"/>
        <v>0</v>
      </c>
      <c r="B60" s="223" t="b">
        <f t="shared" si="8"/>
        <v>1</v>
      </c>
      <c r="C60" s="222">
        <f t="shared" si="9"/>
        <v>0</v>
      </c>
      <c r="D60" s="205" t="str">
        <f t="shared" si="6"/>
        <v>$$$$</v>
      </c>
      <c r="E60" s="224"/>
      <c r="F60" s="225"/>
      <c r="G60" s="226"/>
      <c r="H60" s="227"/>
      <c r="I60" s="228"/>
      <c r="J60" s="228"/>
      <c r="K60" s="229"/>
      <c r="L60" s="230"/>
      <c r="M60" s="231"/>
      <c r="N60" s="232"/>
      <c r="O60" s="230"/>
      <c r="P60" s="231"/>
      <c r="Q60" s="232"/>
      <c r="R60" s="233"/>
      <c r="S60" s="234"/>
      <c r="T60" s="235"/>
      <c r="U60" s="233"/>
      <c r="V60" s="236"/>
      <c r="W60" s="234"/>
      <c r="X60" s="235"/>
      <c r="Y60" s="237"/>
      <c r="Z60" s="238"/>
    </row>
    <row r="61" spans="1:26" s="239" customFormat="1" ht="28.5" customHeight="1" x14ac:dyDescent="0.3">
      <c r="A61" s="222">
        <f t="shared" si="7"/>
        <v>0</v>
      </c>
      <c r="B61" s="223" t="b">
        <f t="shared" si="8"/>
        <v>1</v>
      </c>
      <c r="C61" s="222">
        <f t="shared" si="9"/>
        <v>0</v>
      </c>
      <c r="D61" s="205" t="str">
        <f t="shared" si="6"/>
        <v>$$$$</v>
      </c>
      <c r="E61" s="224"/>
      <c r="F61" s="225"/>
      <c r="G61" s="226"/>
      <c r="H61" s="227"/>
      <c r="I61" s="228"/>
      <c r="J61" s="228"/>
      <c r="K61" s="229"/>
      <c r="L61" s="230"/>
      <c r="M61" s="231"/>
      <c r="N61" s="232"/>
      <c r="O61" s="230"/>
      <c r="P61" s="231"/>
      <c r="Q61" s="232"/>
      <c r="R61" s="233"/>
      <c r="S61" s="234"/>
      <c r="T61" s="235"/>
      <c r="U61" s="233"/>
      <c r="V61" s="236"/>
      <c r="W61" s="234"/>
      <c r="X61" s="235"/>
      <c r="Y61" s="237"/>
      <c r="Z61" s="238"/>
    </row>
    <row r="62" spans="1:26" s="239" customFormat="1" ht="28.5" customHeight="1" x14ac:dyDescent="0.3">
      <c r="A62" s="222">
        <f t="shared" si="7"/>
        <v>0</v>
      </c>
      <c r="B62" s="223" t="b">
        <f t="shared" si="8"/>
        <v>1</v>
      </c>
      <c r="C62" s="222">
        <f t="shared" si="9"/>
        <v>0</v>
      </c>
      <c r="D62" s="205" t="str">
        <f t="shared" si="6"/>
        <v>$$$$</v>
      </c>
      <c r="E62" s="224"/>
      <c r="F62" s="225"/>
      <c r="G62" s="226"/>
      <c r="H62" s="227"/>
      <c r="I62" s="228"/>
      <c r="J62" s="228"/>
      <c r="K62" s="229"/>
      <c r="L62" s="230"/>
      <c r="M62" s="231"/>
      <c r="N62" s="232"/>
      <c r="O62" s="230"/>
      <c r="P62" s="231"/>
      <c r="Q62" s="232"/>
      <c r="R62" s="233"/>
      <c r="S62" s="234"/>
      <c r="T62" s="235"/>
      <c r="U62" s="233"/>
      <c r="V62" s="236"/>
      <c r="W62" s="234"/>
      <c r="X62" s="235"/>
      <c r="Y62" s="237"/>
      <c r="Z62" s="238"/>
    </row>
    <row r="63" spans="1:26" s="239" customFormat="1" ht="28.5" customHeight="1" x14ac:dyDescent="0.3">
      <c r="A63" s="222">
        <f t="shared" si="7"/>
        <v>0</v>
      </c>
      <c r="B63" s="223" t="b">
        <f t="shared" si="8"/>
        <v>1</v>
      </c>
      <c r="C63" s="222">
        <f t="shared" si="9"/>
        <v>0</v>
      </c>
      <c r="D63" s="205" t="str">
        <f t="shared" si="6"/>
        <v>$$$$</v>
      </c>
      <c r="E63" s="224"/>
      <c r="F63" s="225"/>
      <c r="G63" s="226"/>
      <c r="H63" s="227"/>
      <c r="I63" s="228"/>
      <c r="J63" s="228"/>
      <c r="K63" s="229"/>
      <c r="L63" s="230"/>
      <c r="M63" s="231"/>
      <c r="N63" s="232"/>
      <c r="O63" s="230"/>
      <c r="P63" s="231"/>
      <c r="Q63" s="232"/>
      <c r="R63" s="233"/>
      <c r="S63" s="234"/>
      <c r="T63" s="235"/>
      <c r="U63" s="233"/>
      <c r="V63" s="236"/>
      <c r="W63" s="234"/>
      <c r="X63" s="235"/>
      <c r="Y63" s="237"/>
      <c r="Z63" s="238"/>
    </row>
    <row r="64" spans="1:26" s="239" customFormat="1" ht="28.5" customHeight="1" x14ac:dyDescent="0.3">
      <c r="A64" s="222">
        <f t="shared" si="7"/>
        <v>0</v>
      </c>
      <c r="B64" s="223" t="b">
        <f t="shared" si="8"/>
        <v>1</v>
      </c>
      <c r="C64" s="222">
        <f t="shared" si="9"/>
        <v>0</v>
      </c>
      <c r="D64" s="205" t="str">
        <f t="shared" si="6"/>
        <v>$$$$</v>
      </c>
      <c r="E64" s="224"/>
      <c r="F64" s="225"/>
      <c r="G64" s="226"/>
      <c r="H64" s="227"/>
      <c r="I64" s="228"/>
      <c r="J64" s="228"/>
      <c r="K64" s="229"/>
      <c r="L64" s="230"/>
      <c r="M64" s="231"/>
      <c r="N64" s="232"/>
      <c r="O64" s="230"/>
      <c r="P64" s="231"/>
      <c r="Q64" s="232"/>
      <c r="R64" s="233"/>
      <c r="S64" s="234"/>
      <c r="T64" s="235"/>
      <c r="U64" s="233"/>
      <c r="V64" s="236"/>
      <c r="W64" s="234"/>
      <c r="X64" s="235"/>
      <c r="Y64" s="237"/>
      <c r="Z64" s="238"/>
    </row>
    <row r="65" spans="1:26" s="239" customFormat="1" ht="28.5" customHeight="1" x14ac:dyDescent="0.3">
      <c r="A65" s="222">
        <f t="shared" si="7"/>
        <v>0</v>
      </c>
      <c r="B65" s="223" t="b">
        <f t="shared" si="8"/>
        <v>1</v>
      </c>
      <c r="C65" s="222">
        <f t="shared" si="9"/>
        <v>0</v>
      </c>
      <c r="D65" s="205" t="str">
        <f t="shared" si="6"/>
        <v>$$$$</v>
      </c>
      <c r="E65" s="224"/>
      <c r="F65" s="225"/>
      <c r="G65" s="226"/>
      <c r="H65" s="227"/>
      <c r="I65" s="228"/>
      <c r="J65" s="228"/>
      <c r="K65" s="229"/>
      <c r="L65" s="230"/>
      <c r="M65" s="231"/>
      <c r="N65" s="232"/>
      <c r="O65" s="230"/>
      <c r="P65" s="231"/>
      <c r="Q65" s="232"/>
      <c r="R65" s="233"/>
      <c r="S65" s="234"/>
      <c r="T65" s="235"/>
      <c r="U65" s="233"/>
      <c r="V65" s="236"/>
      <c r="W65" s="234"/>
      <c r="X65" s="235"/>
      <c r="Y65" s="237"/>
      <c r="Z65" s="238"/>
    </row>
    <row r="66" spans="1:26" s="239" customFormat="1" ht="28.5" customHeight="1" x14ac:dyDescent="0.3">
      <c r="A66" s="222">
        <f t="shared" si="7"/>
        <v>0</v>
      </c>
      <c r="B66" s="223" t="b">
        <f t="shared" si="8"/>
        <v>1</v>
      </c>
      <c r="C66" s="222">
        <f t="shared" si="9"/>
        <v>0</v>
      </c>
      <c r="D66" s="205" t="str">
        <f t="shared" si="6"/>
        <v>$$$$</v>
      </c>
      <c r="E66" s="224"/>
      <c r="F66" s="225"/>
      <c r="G66" s="226"/>
      <c r="H66" s="227"/>
      <c r="I66" s="228"/>
      <c r="J66" s="228"/>
      <c r="K66" s="229"/>
      <c r="L66" s="230"/>
      <c r="M66" s="231"/>
      <c r="N66" s="232"/>
      <c r="O66" s="230"/>
      <c r="P66" s="231"/>
      <c r="Q66" s="232"/>
      <c r="R66" s="233"/>
      <c r="S66" s="234"/>
      <c r="T66" s="235"/>
      <c r="U66" s="233"/>
      <c r="V66" s="236"/>
      <c r="W66" s="234"/>
      <c r="X66" s="235"/>
      <c r="Y66" s="237"/>
      <c r="Z66" s="238"/>
    </row>
    <row r="67" spans="1:26" s="239" customFormat="1" ht="28.5" customHeight="1" x14ac:dyDescent="0.3">
      <c r="A67" s="222">
        <f t="shared" si="7"/>
        <v>0</v>
      </c>
      <c r="B67" s="223" t="b">
        <f t="shared" si="8"/>
        <v>1</v>
      </c>
      <c r="C67" s="222">
        <f t="shared" si="9"/>
        <v>0</v>
      </c>
      <c r="D67" s="205" t="str">
        <f t="shared" si="6"/>
        <v>$$$$</v>
      </c>
      <c r="E67" s="224"/>
      <c r="F67" s="225"/>
      <c r="G67" s="226"/>
      <c r="H67" s="227"/>
      <c r="I67" s="228"/>
      <c r="J67" s="228"/>
      <c r="K67" s="229"/>
      <c r="L67" s="230"/>
      <c r="M67" s="231"/>
      <c r="N67" s="232"/>
      <c r="O67" s="230"/>
      <c r="P67" s="231"/>
      <c r="Q67" s="232"/>
      <c r="R67" s="233"/>
      <c r="S67" s="234"/>
      <c r="T67" s="235"/>
      <c r="U67" s="233"/>
      <c r="V67" s="236"/>
      <c r="W67" s="234"/>
      <c r="X67" s="235"/>
      <c r="Y67" s="237"/>
      <c r="Z67" s="238"/>
    </row>
    <row r="68" spans="1:26" s="239" customFormat="1" ht="28.5" customHeight="1" x14ac:dyDescent="0.3">
      <c r="A68" s="222">
        <f t="shared" si="7"/>
        <v>0</v>
      </c>
      <c r="B68" s="223" t="b">
        <f t="shared" si="8"/>
        <v>1</v>
      </c>
      <c r="C68" s="222">
        <f t="shared" si="9"/>
        <v>0</v>
      </c>
      <c r="D68" s="205" t="str">
        <f t="shared" si="6"/>
        <v>$$$$</v>
      </c>
      <c r="E68" s="224"/>
      <c r="F68" s="225"/>
      <c r="G68" s="226"/>
      <c r="H68" s="227"/>
      <c r="I68" s="228"/>
      <c r="J68" s="228"/>
      <c r="K68" s="229"/>
      <c r="L68" s="230"/>
      <c r="M68" s="231"/>
      <c r="N68" s="232"/>
      <c r="O68" s="230"/>
      <c r="P68" s="231"/>
      <c r="Q68" s="232"/>
      <c r="R68" s="233"/>
      <c r="S68" s="234"/>
      <c r="T68" s="235"/>
      <c r="U68" s="233"/>
      <c r="V68" s="236"/>
      <c r="W68" s="234"/>
      <c r="X68" s="235"/>
      <c r="Y68" s="237"/>
      <c r="Z68" s="238"/>
    </row>
    <row r="69" spans="1:26" s="239" customFormat="1" ht="28.5" customHeight="1" x14ac:dyDescent="0.3">
      <c r="A69" s="222">
        <f t="shared" si="7"/>
        <v>0</v>
      </c>
      <c r="B69" s="223" t="b">
        <f t="shared" si="8"/>
        <v>1</v>
      </c>
      <c r="C69" s="222">
        <f t="shared" si="9"/>
        <v>0</v>
      </c>
      <c r="D69" s="205" t="str">
        <f t="shared" si="6"/>
        <v>$$$$</v>
      </c>
      <c r="E69" s="224"/>
      <c r="F69" s="225"/>
      <c r="G69" s="226"/>
      <c r="H69" s="227"/>
      <c r="I69" s="228"/>
      <c r="J69" s="228"/>
      <c r="K69" s="229"/>
      <c r="L69" s="230"/>
      <c r="M69" s="231"/>
      <c r="N69" s="232"/>
      <c r="O69" s="230"/>
      <c r="P69" s="231"/>
      <c r="Q69" s="232"/>
      <c r="R69" s="233"/>
      <c r="S69" s="234"/>
      <c r="T69" s="235"/>
      <c r="U69" s="233"/>
      <c r="V69" s="236"/>
      <c r="W69" s="234"/>
      <c r="X69" s="235"/>
      <c r="Y69" s="237"/>
      <c r="Z69" s="238"/>
    </row>
    <row r="70" spans="1:26" s="239" customFormat="1" ht="28.5" customHeight="1" x14ac:dyDescent="0.3">
      <c r="A70" s="222">
        <f t="shared" si="7"/>
        <v>0</v>
      </c>
      <c r="B70" s="223" t="b">
        <f t="shared" si="8"/>
        <v>1</v>
      </c>
      <c r="C70" s="222">
        <f t="shared" si="9"/>
        <v>0</v>
      </c>
      <c r="D70" s="205" t="str">
        <f t="shared" si="6"/>
        <v>$$$$</v>
      </c>
      <c r="E70" s="224"/>
      <c r="F70" s="225"/>
      <c r="G70" s="226"/>
      <c r="H70" s="227"/>
      <c r="I70" s="228"/>
      <c r="J70" s="228"/>
      <c r="K70" s="229"/>
      <c r="L70" s="230"/>
      <c r="M70" s="231"/>
      <c r="N70" s="232"/>
      <c r="O70" s="230"/>
      <c r="P70" s="231"/>
      <c r="Q70" s="232"/>
      <c r="R70" s="233"/>
      <c r="S70" s="234"/>
      <c r="T70" s="235"/>
      <c r="U70" s="233"/>
      <c r="V70" s="236"/>
      <c r="W70" s="234"/>
      <c r="X70" s="235"/>
      <c r="Y70" s="237"/>
      <c r="Z70" s="238"/>
    </row>
    <row r="71" spans="1:26" s="239" customFormat="1" ht="28.5" customHeight="1" x14ac:dyDescent="0.3">
      <c r="A71" s="222">
        <f t="shared" ref="A71:A102" si="10">IF(B71,0,MATCH(H71,ВидыНагр,0))</f>
        <v>0</v>
      </c>
      <c r="B71" s="223" t="b">
        <f t="shared" ref="B71:B102" si="11">(COUNTIF(КлючОсень,D71)&lt;&gt;1)</f>
        <v>1</v>
      </c>
      <c r="C71" s="222">
        <f t="shared" ref="C71:C102" si="12">IF(COUNTA(E71:K71,Z71)&gt;0,1,0)+IF(COUNTA(L71:Y71)&gt;0,2,0)</f>
        <v>0</v>
      </c>
      <c r="D71" s="205" t="str">
        <f t="shared" si="6"/>
        <v>$$$$</v>
      </c>
      <c r="E71" s="224"/>
      <c r="F71" s="225"/>
      <c r="G71" s="226"/>
      <c r="H71" s="227"/>
      <c r="I71" s="228"/>
      <c r="J71" s="228"/>
      <c r="K71" s="229"/>
      <c r="L71" s="230"/>
      <c r="M71" s="231"/>
      <c r="N71" s="232"/>
      <c r="O71" s="230"/>
      <c r="P71" s="231"/>
      <c r="Q71" s="232"/>
      <c r="R71" s="233"/>
      <c r="S71" s="234"/>
      <c r="T71" s="235"/>
      <c r="U71" s="233"/>
      <c r="V71" s="236"/>
      <c r="W71" s="234"/>
      <c r="X71" s="235"/>
      <c r="Y71" s="237"/>
      <c r="Z71" s="238"/>
    </row>
    <row r="72" spans="1:26" s="239" customFormat="1" ht="28.5" customHeight="1" x14ac:dyDescent="0.3">
      <c r="A72" s="222">
        <f t="shared" si="10"/>
        <v>0</v>
      </c>
      <c r="B72" s="223" t="b">
        <f t="shared" si="11"/>
        <v>1</v>
      </c>
      <c r="C72" s="222">
        <f t="shared" si="12"/>
        <v>0</v>
      </c>
      <c r="D72" s="205" t="str">
        <f t="shared" ref="D72:D159" si="13">CONCATENATE("$",TRIM(F72),"$",TRIM(G72),"$",H72,"$")</f>
        <v>$$$$</v>
      </c>
      <c r="E72" s="224"/>
      <c r="F72" s="225"/>
      <c r="G72" s="226"/>
      <c r="H72" s="227"/>
      <c r="I72" s="228"/>
      <c r="J72" s="228"/>
      <c r="K72" s="229"/>
      <c r="L72" s="230"/>
      <c r="M72" s="231"/>
      <c r="N72" s="232"/>
      <c r="O72" s="230"/>
      <c r="P72" s="231"/>
      <c r="Q72" s="232"/>
      <c r="R72" s="233"/>
      <c r="S72" s="234"/>
      <c r="T72" s="235"/>
      <c r="U72" s="233"/>
      <c r="V72" s="236"/>
      <c r="W72" s="234"/>
      <c r="X72" s="235"/>
      <c r="Y72" s="237"/>
      <c r="Z72" s="238"/>
    </row>
    <row r="73" spans="1:26" s="239" customFormat="1" ht="28.5" customHeight="1" x14ac:dyDescent="0.3">
      <c r="A73" s="222">
        <f t="shared" si="10"/>
        <v>0</v>
      </c>
      <c r="B73" s="223" t="b">
        <f t="shared" si="11"/>
        <v>1</v>
      </c>
      <c r="C73" s="222">
        <f t="shared" si="12"/>
        <v>0</v>
      </c>
      <c r="D73" s="205" t="str">
        <f t="shared" si="13"/>
        <v>$$$$</v>
      </c>
      <c r="E73" s="224"/>
      <c r="F73" s="225"/>
      <c r="G73" s="226"/>
      <c r="H73" s="227"/>
      <c r="I73" s="228"/>
      <c r="J73" s="228"/>
      <c r="K73" s="229"/>
      <c r="L73" s="230"/>
      <c r="M73" s="231"/>
      <c r="N73" s="232"/>
      <c r="O73" s="230"/>
      <c r="P73" s="231"/>
      <c r="Q73" s="232"/>
      <c r="R73" s="233"/>
      <c r="S73" s="234"/>
      <c r="T73" s="235"/>
      <c r="U73" s="233"/>
      <c r="V73" s="236"/>
      <c r="W73" s="234"/>
      <c r="X73" s="235"/>
      <c r="Y73" s="237"/>
      <c r="Z73" s="238"/>
    </row>
    <row r="74" spans="1:26" s="239" customFormat="1" ht="28.5" customHeight="1" x14ac:dyDescent="0.3">
      <c r="A74" s="222">
        <f t="shared" si="10"/>
        <v>0</v>
      </c>
      <c r="B74" s="223" t="b">
        <f t="shared" si="11"/>
        <v>1</v>
      </c>
      <c r="C74" s="222">
        <f t="shared" si="12"/>
        <v>0</v>
      </c>
      <c r="D74" s="205" t="str">
        <f t="shared" si="13"/>
        <v>$$$$</v>
      </c>
      <c r="E74" s="224"/>
      <c r="F74" s="225"/>
      <c r="G74" s="226"/>
      <c r="H74" s="227"/>
      <c r="I74" s="228"/>
      <c r="J74" s="228"/>
      <c r="K74" s="229"/>
      <c r="L74" s="230"/>
      <c r="M74" s="231"/>
      <c r="N74" s="232"/>
      <c r="O74" s="230"/>
      <c r="P74" s="231"/>
      <c r="Q74" s="232"/>
      <c r="R74" s="233"/>
      <c r="S74" s="234"/>
      <c r="T74" s="235"/>
      <c r="U74" s="233"/>
      <c r="V74" s="236"/>
      <c r="W74" s="234"/>
      <c r="X74" s="235"/>
      <c r="Y74" s="237"/>
      <c r="Z74" s="238"/>
    </row>
    <row r="75" spans="1:26" s="239" customFormat="1" ht="28.5" customHeight="1" x14ac:dyDescent="0.3">
      <c r="A75" s="222">
        <f t="shared" si="10"/>
        <v>0</v>
      </c>
      <c r="B75" s="223" t="b">
        <f t="shared" si="11"/>
        <v>1</v>
      </c>
      <c r="C75" s="222">
        <f t="shared" si="12"/>
        <v>0</v>
      </c>
      <c r="D75" s="205" t="str">
        <f t="shared" si="13"/>
        <v>$$$$</v>
      </c>
      <c r="E75" s="224"/>
      <c r="F75" s="225"/>
      <c r="G75" s="226"/>
      <c r="H75" s="227"/>
      <c r="I75" s="228"/>
      <c r="J75" s="228"/>
      <c r="K75" s="229"/>
      <c r="L75" s="230"/>
      <c r="M75" s="231"/>
      <c r="N75" s="232"/>
      <c r="O75" s="230"/>
      <c r="P75" s="231"/>
      <c r="Q75" s="232"/>
      <c r="R75" s="233"/>
      <c r="S75" s="234"/>
      <c r="T75" s="235"/>
      <c r="U75" s="233"/>
      <c r="V75" s="236"/>
      <c r="W75" s="234"/>
      <c r="X75" s="235"/>
      <c r="Y75" s="237"/>
      <c r="Z75" s="238"/>
    </row>
    <row r="76" spans="1:26" s="239" customFormat="1" ht="28.5" customHeight="1" x14ac:dyDescent="0.3">
      <c r="A76" s="222">
        <f t="shared" si="10"/>
        <v>0</v>
      </c>
      <c r="B76" s="223" t="b">
        <f t="shared" si="11"/>
        <v>1</v>
      </c>
      <c r="C76" s="222">
        <f t="shared" si="12"/>
        <v>0</v>
      </c>
      <c r="D76" s="205" t="str">
        <f t="shared" si="13"/>
        <v>$$$$</v>
      </c>
      <c r="E76" s="224"/>
      <c r="F76" s="225"/>
      <c r="G76" s="226"/>
      <c r="H76" s="227"/>
      <c r="I76" s="228"/>
      <c r="J76" s="228"/>
      <c r="K76" s="229"/>
      <c r="L76" s="230"/>
      <c r="M76" s="231"/>
      <c r="N76" s="232"/>
      <c r="O76" s="230"/>
      <c r="P76" s="231"/>
      <c r="Q76" s="232"/>
      <c r="R76" s="233"/>
      <c r="S76" s="234"/>
      <c r="T76" s="235"/>
      <c r="U76" s="233"/>
      <c r="V76" s="236"/>
      <c r="W76" s="234"/>
      <c r="X76" s="235"/>
      <c r="Y76" s="237"/>
      <c r="Z76" s="238"/>
    </row>
    <row r="77" spans="1:26" s="239" customFormat="1" ht="28.5" customHeight="1" x14ac:dyDescent="0.3">
      <c r="A77" s="222">
        <f t="shared" si="10"/>
        <v>0</v>
      </c>
      <c r="B77" s="223" t="b">
        <f t="shared" si="11"/>
        <v>1</v>
      </c>
      <c r="C77" s="222">
        <f t="shared" si="12"/>
        <v>0</v>
      </c>
      <c r="D77" s="205" t="str">
        <f t="shared" si="13"/>
        <v>$$$$</v>
      </c>
      <c r="E77" s="224"/>
      <c r="F77" s="225"/>
      <c r="G77" s="226"/>
      <c r="H77" s="227"/>
      <c r="I77" s="228"/>
      <c r="J77" s="228"/>
      <c r="K77" s="229"/>
      <c r="L77" s="230"/>
      <c r="M77" s="231"/>
      <c r="N77" s="232"/>
      <c r="O77" s="230"/>
      <c r="P77" s="231"/>
      <c r="Q77" s="232"/>
      <c r="R77" s="233"/>
      <c r="S77" s="234"/>
      <c r="T77" s="235"/>
      <c r="U77" s="233"/>
      <c r="V77" s="236"/>
      <c r="W77" s="234"/>
      <c r="X77" s="235"/>
      <c r="Y77" s="237"/>
      <c r="Z77" s="238"/>
    </row>
    <row r="78" spans="1:26" s="239" customFormat="1" ht="28.5" customHeight="1" x14ac:dyDescent="0.3">
      <c r="A78" s="222">
        <f t="shared" si="10"/>
        <v>0</v>
      </c>
      <c r="B78" s="223" t="b">
        <f t="shared" si="11"/>
        <v>1</v>
      </c>
      <c r="C78" s="222">
        <f t="shared" si="12"/>
        <v>0</v>
      </c>
      <c r="D78" s="205" t="str">
        <f t="shared" si="13"/>
        <v>$$$$</v>
      </c>
      <c r="E78" s="224"/>
      <c r="F78" s="225"/>
      <c r="G78" s="226"/>
      <c r="H78" s="227"/>
      <c r="I78" s="228"/>
      <c r="J78" s="228"/>
      <c r="K78" s="229"/>
      <c r="L78" s="230"/>
      <c r="M78" s="231"/>
      <c r="N78" s="232"/>
      <c r="O78" s="230"/>
      <c r="P78" s="231"/>
      <c r="Q78" s="232"/>
      <c r="R78" s="233"/>
      <c r="S78" s="234"/>
      <c r="T78" s="235"/>
      <c r="U78" s="233"/>
      <c r="V78" s="236"/>
      <c r="W78" s="234"/>
      <c r="X78" s="235"/>
      <c r="Y78" s="237"/>
      <c r="Z78" s="238"/>
    </row>
    <row r="79" spans="1:26" s="239" customFormat="1" ht="28.5" customHeight="1" x14ac:dyDescent="0.3">
      <c r="A79" s="222">
        <f t="shared" si="10"/>
        <v>0</v>
      </c>
      <c r="B79" s="223" t="b">
        <f t="shared" si="11"/>
        <v>1</v>
      </c>
      <c r="C79" s="222">
        <f t="shared" si="12"/>
        <v>0</v>
      </c>
      <c r="D79" s="205" t="str">
        <f t="shared" si="13"/>
        <v>$$$$</v>
      </c>
      <c r="E79" s="224"/>
      <c r="F79" s="225"/>
      <c r="G79" s="226"/>
      <c r="H79" s="227"/>
      <c r="I79" s="228"/>
      <c r="J79" s="228"/>
      <c r="K79" s="229"/>
      <c r="L79" s="230"/>
      <c r="M79" s="231"/>
      <c r="N79" s="232"/>
      <c r="O79" s="230"/>
      <c r="P79" s="231"/>
      <c r="Q79" s="232"/>
      <c r="R79" s="233"/>
      <c r="S79" s="234"/>
      <c r="T79" s="235"/>
      <c r="U79" s="233"/>
      <c r="V79" s="236"/>
      <c r="W79" s="234"/>
      <c r="X79" s="235"/>
      <c r="Y79" s="237"/>
      <c r="Z79" s="238"/>
    </row>
    <row r="80" spans="1:26" s="239" customFormat="1" ht="28.5" customHeight="1" x14ac:dyDescent="0.3">
      <c r="A80" s="222">
        <f t="shared" si="10"/>
        <v>0</v>
      </c>
      <c r="B80" s="223" t="b">
        <f t="shared" si="11"/>
        <v>1</v>
      </c>
      <c r="C80" s="222">
        <f t="shared" si="12"/>
        <v>0</v>
      </c>
      <c r="D80" s="205" t="str">
        <f t="shared" si="13"/>
        <v>$$$$</v>
      </c>
      <c r="E80" s="224"/>
      <c r="F80" s="225"/>
      <c r="G80" s="226"/>
      <c r="H80" s="227"/>
      <c r="I80" s="228"/>
      <c r="J80" s="228"/>
      <c r="K80" s="229"/>
      <c r="L80" s="230"/>
      <c r="M80" s="231"/>
      <c r="N80" s="232"/>
      <c r="O80" s="230"/>
      <c r="P80" s="231"/>
      <c r="Q80" s="232"/>
      <c r="R80" s="233"/>
      <c r="S80" s="234"/>
      <c r="T80" s="235"/>
      <c r="U80" s="233"/>
      <c r="V80" s="236"/>
      <c r="W80" s="234"/>
      <c r="X80" s="235"/>
      <c r="Y80" s="237"/>
      <c r="Z80" s="238"/>
    </row>
    <row r="81" spans="1:26" s="239" customFormat="1" ht="28.5" customHeight="1" x14ac:dyDescent="0.3">
      <c r="A81" s="222">
        <f t="shared" si="10"/>
        <v>0</v>
      </c>
      <c r="B81" s="223" t="b">
        <f t="shared" si="11"/>
        <v>1</v>
      </c>
      <c r="C81" s="222">
        <f t="shared" si="12"/>
        <v>0</v>
      </c>
      <c r="D81" s="205" t="str">
        <f t="shared" si="13"/>
        <v>$$$$</v>
      </c>
      <c r="E81" s="224"/>
      <c r="F81" s="225"/>
      <c r="G81" s="226"/>
      <c r="H81" s="227"/>
      <c r="I81" s="228"/>
      <c r="J81" s="228"/>
      <c r="K81" s="229"/>
      <c r="L81" s="230"/>
      <c r="M81" s="231"/>
      <c r="N81" s="232"/>
      <c r="O81" s="230"/>
      <c r="P81" s="231"/>
      <c r="Q81" s="232"/>
      <c r="R81" s="233"/>
      <c r="S81" s="234"/>
      <c r="T81" s="235"/>
      <c r="U81" s="233"/>
      <c r="V81" s="236"/>
      <c r="W81" s="234"/>
      <c r="X81" s="235"/>
      <c r="Y81" s="237"/>
      <c r="Z81" s="238"/>
    </row>
    <row r="82" spans="1:26" s="239" customFormat="1" ht="28.5" customHeight="1" x14ac:dyDescent="0.3">
      <c r="A82" s="222">
        <f t="shared" si="10"/>
        <v>0</v>
      </c>
      <c r="B82" s="223" t="b">
        <f t="shared" si="11"/>
        <v>1</v>
      </c>
      <c r="C82" s="222">
        <f t="shared" si="12"/>
        <v>0</v>
      </c>
      <c r="D82" s="205" t="str">
        <f t="shared" si="13"/>
        <v>$$$$</v>
      </c>
      <c r="E82" s="224"/>
      <c r="F82" s="225"/>
      <c r="G82" s="226"/>
      <c r="H82" s="227"/>
      <c r="I82" s="228"/>
      <c r="J82" s="228"/>
      <c r="K82" s="229"/>
      <c r="L82" s="230"/>
      <c r="M82" s="231"/>
      <c r="N82" s="232"/>
      <c r="O82" s="230"/>
      <c r="P82" s="231"/>
      <c r="Q82" s="232"/>
      <c r="R82" s="233"/>
      <c r="S82" s="234"/>
      <c r="T82" s="235"/>
      <c r="U82" s="233"/>
      <c r="V82" s="236"/>
      <c r="W82" s="234"/>
      <c r="X82" s="235"/>
      <c r="Y82" s="237"/>
      <c r="Z82" s="238"/>
    </row>
    <row r="83" spans="1:26" s="239" customFormat="1" ht="28.5" customHeight="1" x14ac:dyDescent="0.3">
      <c r="A83" s="222">
        <f t="shared" si="10"/>
        <v>0</v>
      </c>
      <c r="B83" s="223" t="b">
        <f t="shared" si="11"/>
        <v>1</v>
      </c>
      <c r="C83" s="222">
        <f t="shared" si="12"/>
        <v>0</v>
      </c>
      <c r="D83" s="205" t="str">
        <f t="shared" si="13"/>
        <v>$$$$</v>
      </c>
      <c r="E83" s="224"/>
      <c r="F83" s="225"/>
      <c r="G83" s="226"/>
      <c r="H83" s="227"/>
      <c r="I83" s="228"/>
      <c r="J83" s="228"/>
      <c r="K83" s="229"/>
      <c r="L83" s="230"/>
      <c r="M83" s="231"/>
      <c r="N83" s="232"/>
      <c r="O83" s="230"/>
      <c r="P83" s="231"/>
      <c r="Q83" s="232"/>
      <c r="R83" s="233"/>
      <c r="S83" s="234"/>
      <c r="T83" s="235"/>
      <c r="U83" s="233"/>
      <c r="V83" s="236"/>
      <c r="W83" s="234"/>
      <c r="X83" s="235"/>
      <c r="Y83" s="237"/>
      <c r="Z83" s="238"/>
    </row>
    <row r="84" spans="1:26" s="239" customFormat="1" ht="28.5" customHeight="1" x14ac:dyDescent="0.3">
      <c r="A84" s="222">
        <f t="shared" si="10"/>
        <v>0</v>
      </c>
      <c r="B84" s="223" t="b">
        <f t="shared" si="11"/>
        <v>1</v>
      </c>
      <c r="C84" s="222">
        <f t="shared" si="12"/>
        <v>0</v>
      </c>
      <c r="D84" s="205" t="str">
        <f t="shared" si="13"/>
        <v>$$$$</v>
      </c>
      <c r="E84" s="224"/>
      <c r="F84" s="225"/>
      <c r="G84" s="226"/>
      <c r="H84" s="227"/>
      <c r="I84" s="228"/>
      <c r="J84" s="228"/>
      <c r="K84" s="229"/>
      <c r="L84" s="230"/>
      <c r="M84" s="231"/>
      <c r="N84" s="232"/>
      <c r="O84" s="230"/>
      <c r="P84" s="231"/>
      <c r="Q84" s="232"/>
      <c r="R84" s="233"/>
      <c r="S84" s="234"/>
      <c r="T84" s="235"/>
      <c r="U84" s="233"/>
      <c r="V84" s="236"/>
      <c r="W84" s="234"/>
      <c r="X84" s="235"/>
      <c r="Y84" s="237"/>
      <c r="Z84" s="238"/>
    </row>
    <row r="85" spans="1:26" s="239" customFormat="1" ht="28.5" customHeight="1" x14ac:dyDescent="0.3">
      <c r="A85" s="222">
        <f t="shared" si="10"/>
        <v>0</v>
      </c>
      <c r="B85" s="223" t="b">
        <f t="shared" si="11"/>
        <v>1</v>
      </c>
      <c r="C85" s="222">
        <f t="shared" si="12"/>
        <v>0</v>
      </c>
      <c r="D85" s="205" t="str">
        <f t="shared" si="13"/>
        <v>$$$$</v>
      </c>
      <c r="E85" s="224"/>
      <c r="F85" s="225"/>
      <c r="G85" s="226"/>
      <c r="H85" s="227"/>
      <c r="I85" s="228"/>
      <c r="J85" s="228"/>
      <c r="K85" s="229"/>
      <c r="L85" s="230"/>
      <c r="M85" s="231"/>
      <c r="N85" s="232"/>
      <c r="O85" s="230"/>
      <c r="P85" s="231"/>
      <c r="Q85" s="232"/>
      <c r="R85" s="233"/>
      <c r="S85" s="234"/>
      <c r="T85" s="235"/>
      <c r="U85" s="233"/>
      <c r="V85" s="236"/>
      <c r="W85" s="234"/>
      <c r="X85" s="235"/>
      <c r="Y85" s="237"/>
      <c r="Z85" s="238"/>
    </row>
    <row r="86" spans="1:26" s="239" customFormat="1" ht="28.5" customHeight="1" x14ac:dyDescent="0.3">
      <c r="A86" s="222">
        <f t="shared" si="10"/>
        <v>0</v>
      </c>
      <c r="B86" s="223" t="b">
        <f t="shared" si="11"/>
        <v>1</v>
      </c>
      <c r="C86" s="222">
        <f t="shared" si="12"/>
        <v>0</v>
      </c>
      <c r="D86" s="205" t="str">
        <f t="shared" si="13"/>
        <v>$$$$</v>
      </c>
      <c r="E86" s="224"/>
      <c r="F86" s="225"/>
      <c r="G86" s="226"/>
      <c r="H86" s="227"/>
      <c r="I86" s="228"/>
      <c r="J86" s="228"/>
      <c r="K86" s="229"/>
      <c r="L86" s="230"/>
      <c r="M86" s="231"/>
      <c r="N86" s="232"/>
      <c r="O86" s="230"/>
      <c r="P86" s="231"/>
      <c r="Q86" s="232"/>
      <c r="R86" s="233"/>
      <c r="S86" s="234"/>
      <c r="T86" s="235"/>
      <c r="U86" s="233"/>
      <c r="V86" s="236"/>
      <c r="W86" s="234"/>
      <c r="X86" s="235"/>
      <c r="Y86" s="237"/>
      <c r="Z86" s="238"/>
    </row>
    <row r="87" spans="1:26" s="239" customFormat="1" ht="28.5" customHeight="1" x14ac:dyDescent="0.3">
      <c r="A87" s="222">
        <f t="shared" si="10"/>
        <v>0</v>
      </c>
      <c r="B87" s="223" t="b">
        <f t="shared" si="11"/>
        <v>1</v>
      </c>
      <c r="C87" s="222">
        <f t="shared" si="12"/>
        <v>0</v>
      </c>
      <c r="D87" s="205" t="str">
        <f t="shared" si="13"/>
        <v>$$$$</v>
      </c>
      <c r="E87" s="224"/>
      <c r="F87" s="225"/>
      <c r="G87" s="226"/>
      <c r="H87" s="227"/>
      <c r="I87" s="228"/>
      <c r="J87" s="228"/>
      <c r="K87" s="229"/>
      <c r="L87" s="230"/>
      <c r="M87" s="231"/>
      <c r="N87" s="232"/>
      <c r="O87" s="230"/>
      <c r="P87" s="231"/>
      <c r="Q87" s="232"/>
      <c r="R87" s="233"/>
      <c r="S87" s="234"/>
      <c r="T87" s="235"/>
      <c r="U87" s="233"/>
      <c r="V87" s="236"/>
      <c r="W87" s="234"/>
      <c r="X87" s="235"/>
      <c r="Y87" s="237"/>
      <c r="Z87" s="238"/>
    </row>
    <row r="88" spans="1:26" s="239" customFormat="1" ht="28.5" customHeight="1" x14ac:dyDescent="0.3">
      <c r="A88" s="222">
        <f t="shared" si="10"/>
        <v>0</v>
      </c>
      <c r="B88" s="223" t="b">
        <f t="shared" si="11"/>
        <v>1</v>
      </c>
      <c r="C88" s="222">
        <f t="shared" si="12"/>
        <v>0</v>
      </c>
      <c r="D88" s="205" t="str">
        <f t="shared" si="13"/>
        <v>$$$$</v>
      </c>
      <c r="E88" s="224"/>
      <c r="F88" s="225"/>
      <c r="G88" s="226"/>
      <c r="H88" s="227"/>
      <c r="I88" s="228"/>
      <c r="J88" s="228"/>
      <c r="K88" s="229"/>
      <c r="L88" s="230"/>
      <c r="M88" s="231"/>
      <c r="N88" s="232"/>
      <c r="O88" s="230"/>
      <c r="P88" s="231"/>
      <c r="Q88" s="232"/>
      <c r="R88" s="233"/>
      <c r="S88" s="234"/>
      <c r="T88" s="235"/>
      <c r="U88" s="233"/>
      <c r="V88" s="236"/>
      <c r="W88" s="234"/>
      <c r="X88" s="235"/>
      <c r="Y88" s="237"/>
      <c r="Z88" s="238"/>
    </row>
    <row r="89" spans="1:26" s="239" customFormat="1" ht="28.5" customHeight="1" x14ac:dyDescent="0.3">
      <c r="A89" s="222">
        <f t="shared" si="10"/>
        <v>0</v>
      </c>
      <c r="B89" s="223" t="b">
        <f t="shared" si="11"/>
        <v>1</v>
      </c>
      <c r="C89" s="222">
        <f t="shared" si="12"/>
        <v>0</v>
      </c>
      <c r="D89" s="205" t="str">
        <f t="shared" si="13"/>
        <v>$$$$</v>
      </c>
      <c r="E89" s="224"/>
      <c r="F89" s="225"/>
      <c r="G89" s="226"/>
      <c r="H89" s="227"/>
      <c r="I89" s="228"/>
      <c r="J89" s="228"/>
      <c r="K89" s="229"/>
      <c r="L89" s="230"/>
      <c r="M89" s="231"/>
      <c r="N89" s="232"/>
      <c r="O89" s="230"/>
      <c r="P89" s="231"/>
      <c r="Q89" s="232"/>
      <c r="R89" s="233"/>
      <c r="S89" s="234"/>
      <c r="T89" s="235"/>
      <c r="U89" s="233"/>
      <c r="V89" s="236"/>
      <c r="W89" s="234"/>
      <c r="X89" s="235"/>
      <c r="Y89" s="237"/>
      <c r="Z89" s="238"/>
    </row>
    <row r="90" spans="1:26" s="239" customFormat="1" ht="28.5" customHeight="1" x14ac:dyDescent="0.3">
      <c r="A90" s="222">
        <f t="shared" si="10"/>
        <v>0</v>
      </c>
      <c r="B90" s="223" t="b">
        <f t="shared" si="11"/>
        <v>1</v>
      </c>
      <c r="C90" s="222">
        <f t="shared" si="12"/>
        <v>0</v>
      </c>
      <c r="D90" s="205" t="str">
        <f t="shared" si="13"/>
        <v>$$$$</v>
      </c>
      <c r="E90" s="224"/>
      <c r="F90" s="225"/>
      <c r="G90" s="226"/>
      <c r="H90" s="227"/>
      <c r="I90" s="228"/>
      <c r="J90" s="228"/>
      <c r="K90" s="229"/>
      <c r="L90" s="230"/>
      <c r="M90" s="231"/>
      <c r="N90" s="232"/>
      <c r="O90" s="230"/>
      <c r="P90" s="231"/>
      <c r="Q90" s="232"/>
      <c r="R90" s="233"/>
      <c r="S90" s="234"/>
      <c r="T90" s="235"/>
      <c r="U90" s="233"/>
      <c r="V90" s="236"/>
      <c r="W90" s="234"/>
      <c r="X90" s="235"/>
      <c r="Y90" s="237"/>
      <c r="Z90" s="238"/>
    </row>
    <row r="91" spans="1:26" s="239" customFormat="1" ht="28.5" customHeight="1" x14ac:dyDescent="0.3">
      <c r="A91" s="222">
        <f t="shared" si="10"/>
        <v>0</v>
      </c>
      <c r="B91" s="223" t="b">
        <f t="shared" si="11"/>
        <v>1</v>
      </c>
      <c r="C91" s="222">
        <f t="shared" si="12"/>
        <v>0</v>
      </c>
      <c r="D91" s="205" t="str">
        <f t="shared" si="13"/>
        <v>$$$$</v>
      </c>
      <c r="E91" s="224"/>
      <c r="F91" s="225"/>
      <c r="G91" s="226"/>
      <c r="H91" s="227"/>
      <c r="I91" s="228"/>
      <c r="J91" s="228"/>
      <c r="K91" s="229"/>
      <c r="L91" s="230"/>
      <c r="M91" s="231"/>
      <c r="N91" s="232"/>
      <c r="O91" s="230"/>
      <c r="P91" s="231"/>
      <c r="Q91" s="232"/>
      <c r="R91" s="233"/>
      <c r="S91" s="234"/>
      <c r="T91" s="235"/>
      <c r="U91" s="233"/>
      <c r="V91" s="236"/>
      <c r="W91" s="234"/>
      <c r="X91" s="235"/>
      <c r="Y91" s="237"/>
      <c r="Z91" s="238"/>
    </row>
    <row r="92" spans="1:26" s="239" customFormat="1" ht="28.5" customHeight="1" x14ac:dyDescent="0.3">
      <c r="A92" s="222">
        <f t="shared" si="10"/>
        <v>0</v>
      </c>
      <c r="B92" s="223" t="b">
        <f t="shared" si="11"/>
        <v>1</v>
      </c>
      <c r="C92" s="222">
        <f t="shared" si="12"/>
        <v>0</v>
      </c>
      <c r="D92" s="205" t="str">
        <f t="shared" si="13"/>
        <v>$$$$</v>
      </c>
      <c r="E92" s="224"/>
      <c r="F92" s="225"/>
      <c r="G92" s="226"/>
      <c r="H92" s="227"/>
      <c r="I92" s="228"/>
      <c r="J92" s="228"/>
      <c r="K92" s="229"/>
      <c r="L92" s="230"/>
      <c r="M92" s="231"/>
      <c r="N92" s="232"/>
      <c r="O92" s="230"/>
      <c r="P92" s="231"/>
      <c r="Q92" s="232"/>
      <c r="R92" s="233"/>
      <c r="S92" s="234"/>
      <c r="T92" s="235"/>
      <c r="U92" s="233"/>
      <c r="V92" s="236"/>
      <c r="W92" s="234"/>
      <c r="X92" s="235"/>
      <c r="Y92" s="237"/>
      <c r="Z92" s="238"/>
    </row>
    <row r="93" spans="1:26" s="239" customFormat="1" ht="28.5" customHeight="1" x14ac:dyDescent="0.3">
      <c r="A93" s="222">
        <f t="shared" si="10"/>
        <v>0</v>
      </c>
      <c r="B93" s="223" t="b">
        <f t="shared" si="11"/>
        <v>1</v>
      </c>
      <c r="C93" s="222">
        <f t="shared" si="12"/>
        <v>0</v>
      </c>
      <c r="D93" s="205" t="str">
        <f t="shared" si="13"/>
        <v>$$$$</v>
      </c>
      <c r="E93" s="224"/>
      <c r="F93" s="225"/>
      <c r="G93" s="226"/>
      <c r="H93" s="227"/>
      <c r="I93" s="228"/>
      <c r="J93" s="228"/>
      <c r="K93" s="229"/>
      <c r="L93" s="230"/>
      <c r="M93" s="231"/>
      <c r="N93" s="232"/>
      <c r="O93" s="230"/>
      <c r="P93" s="231"/>
      <c r="Q93" s="232"/>
      <c r="R93" s="233"/>
      <c r="S93" s="234"/>
      <c r="T93" s="235"/>
      <c r="U93" s="233"/>
      <c r="V93" s="236"/>
      <c r="W93" s="234"/>
      <c r="X93" s="235"/>
      <c r="Y93" s="237"/>
      <c r="Z93" s="238"/>
    </row>
    <row r="94" spans="1:26" s="239" customFormat="1" ht="28.5" customHeight="1" x14ac:dyDescent="0.3">
      <c r="A94" s="222">
        <f t="shared" si="10"/>
        <v>0</v>
      </c>
      <c r="B94" s="223" t="b">
        <f t="shared" si="11"/>
        <v>1</v>
      </c>
      <c r="C94" s="222">
        <f t="shared" si="12"/>
        <v>0</v>
      </c>
      <c r="D94" s="205" t="str">
        <f t="shared" si="13"/>
        <v>$$$$</v>
      </c>
      <c r="E94" s="224"/>
      <c r="F94" s="225"/>
      <c r="G94" s="226"/>
      <c r="H94" s="227"/>
      <c r="I94" s="228"/>
      <c r="J94" s="228"/>
      <c r="K94" s="229"/>
      <c r="L94" s="230"/>
      <c r="M94" s="231"/>
      <c r="N94" s="232"/>
      <c r="O94" s="230"/>
      <c r="P94" s="231"/>
      <c r="Q94" s="232"/>
      <c r="R94" s="233"/>
      <c r="S94" s="234"/>
      <c r="T94" s="235"/>
      <c r="U94" s="233"/>
      <c r="V94" s="236"/>
      <c r="W94" s="234"/>
      <c r="X94" s="235"/>
      <c r="Y94" s="237"/>
      <c r="Z94" s="238"/>
    </row>
    <row r="95" spans="1:26" s="239" customFormat="1" ht="28.5" customHeight="1" x14ac:dyDescent="0.3">
      <c r="A95" s="222">
        <f t="shared" si="10"/>
        <v>0</v>
      </c>
      <c r="B95" s="223" t="b">
        <f t="shared" si="11"/>
        <v>1</v>
      </c>
      <c r="C95" s="222">
        <f t="shared" si="12"/>
        <v>0</v>
      </c>
      <c r="D95" s="205" t="str">
        <f t="shared" si="13"/>
        <v>$$$$</v>
      </c>
      <c r="E95" s="224"/>
      <c r="F95" s="225"/>
      <c r="G95" s="226"/>
      <c r="H95" s="227"/>
      <c r="I95" s="228"/>
      <c r="J95" s="228"/>
      <c r="K95" s="229"/>
      <c r="L95" s="230"/>
      <c r="M95" s="231"/>
      <c r="N95" s="232"/>
      <c r="O95" s="230"/>
      <c r="P95" s="231"/>
      <c r="Q95" s="232"/>
      <c r="R95" s="233"/>
      <c r="S95" s="234"/>
      <c r="T95" s="235"/>
      <c r="U95" s="233"/>
      <c r="V95" s="236"/>
      <c r="W95" s="234"/>
      <c r="X95" s="235"/>
      <c r="Y95" s="237"/>
      <c r="Z95" s="238"/>
    </row>
    <row r="96" spans="1:26" s="239" customFormat="1" ht="28.5" customHeight="1" x14ac:dyDescent="0.3">
      <c r="A96" s="222">
        <f t="shared" si="10"/>
        <v>0</v>
      </c>
      <c r="B96" s="223" t="b">
        <f t="shared" si="11"/>
        <v>1</v>
      </c>
      <c r="C96" s="222">
        <f t="shared" si="12"/>
        <v>0</v>
      </c>
      <c r="D96" s="205" t="str">
        <f t="shared" si="13"/>
        <v>$$$$</v>
      </c>
      <c r="E96" s="224"/>
      <c r="F96" s="225"/>
      <c r="G96" s="226"/>
      <c r="H96" s="227"/>
      <c r="I96" s="228"/>
      <c r="J96" s="228"/>
      <c r="K96" s="229"/>
      <c r="L96" s="230"/>
      <c r="M96" s="231"/>
      <c r="N96" s="232"/>
      <c r="O96" s="230"/>
      <c r="P96" s="231"/>
      <c r="Q96" s="232"/>
      <c r="R96" s="233"/>
      <c r="S96" s="234"/>
      <c r="T96" s="235"/>
      <c r="U96" s="233"/>
      <c r="V96" s="236"/>
      <c r="W96" s="234"/>
      <c r="X96" s="235"/>
      <c r="Y96" s="237"/>
      <c r="Z96" s="238"/>
    </row>
    <row r="97" spans="1:26" s="239" customFormat="1" ht="28.5" customHeight="1" x14ac:dyDescent="0.3">
      <c r="A97" s="222">
        <f t="shared" si="10"/>
        <v>0</v>
      </c>
      <c r="B97" s="223" t="b">
        <f t="shared" si="11"/>
        <v>1</v>
      </c>
      <c r="C97" s="222">
        <f t="shared" si="12"/>
        <v>0</v>
      </c>
      <c r="D97" s="205" t="str">
        <f t="shared" si="13"/>
        <v>$$$$</v>
      </c>
      <c r="E97" s="224"/>
      <c r="F97" s="225"/>
      <c r="G97" s="226"/>
      <c r="H97" s="227"/>
      <c r="I97" s="228"/>
      <c r="J97" s="228"/>
      <c r="K97" s="229"/>
      <c r="L97" s="230"/>
      <c r="M97" s="231"/>
      <c r="N97" s="232"/>
      <c r="O97" s="230"/>
      <c r="P97" s="231"/>
      <c r="Q97" s="232"/>
      <c r="R97" s="233"/>
      <c r="S97" s="234"/>
      <c r="T97" s="235"/>
      <c r="U97" s="233"/>
      <c r="V97" s="236"/>
      <c r="W97" s="234"/>
      <c r="X97" s="235"/>
      <c r="Y97" s="237"/>
      <c r="Z97" s="238"/>
    </row>
    <row r="98" spans="1:26" s="239" customFormat="1" ht="28.5" customHeight="1" x14ac:dyDescent="0.3">
      <c r="A98" s="222">
        <f t="shared" si="10"/>
        <v>0</v>
      </c>
      <c r="B98" s="223" t="b">
        <f t="shared" si="11"/>
        <v>1</v>
      </c>
      <c r="C98" s="222">
        <f t="shared" si="12"/>
        <v>0</v>
      </c>
      <c r="D98" s="205" t="str">
        <f t="shared" si="13"/>
        <v>$$$$</v>
      </c>
      <c r="E98" s="224"/>
      <c r="F98" s="225"/>
      <c r="G98" s="226"/>
      <c r="H98" s="227"/>
      <c r="I98" s="228"/>
      <c r="J98" s="228"/>
      <c r="K98" s="229"/>
      <c r="L98" s="230"/>
      <c r="M98" s="231"/>
      <c r="N98" s="232"/>
      <c r="O98" s="230"/>
      <c r="P98" s="231"/>
      <c r="Q98" s="232"/>
      <c r="R98" s="233"/>
      <c r="S98" s="234"/>
      <c r="T98" s="235"/>
      <c r="U98" s="233"/>
      <c r="V98" s="236"/>
      <c r="W98" s="234"/>
      <c r="X98" s="235"/>
      <c r="Y98" s="237"/>
      <c r="Z98" s="238"/>
    </row>
    <row r="99" spans="1:26" s="239" customFormat="1" ht="28.5" customHeight="1" x14ac:dyDescent="0.3">
      <c r="A99" s="222">
        <f t="shared" si="10"/>
        <v>0</v>
      </c>
      <c r="B99" s="223" t="b">
        <f t="shared" si="11"/>
        <v>1</v>
      </c>
      <c r="C99" s="222">
        <f t="shared" si="12"/>
        <v>0</v>
      </c>
      <c r="D99" s="205" t="str">
        <f t="shared" si="13"/>
        <v>$$$$</v>
      </c>
      <c r="E99" s="224"/>
      <c r="F99" s="225"/>
      <c r="G99" s="226"/>
      <c r="H99" s="227"/>
      <c r="I99" s="228"/>
      <c r="J99" s="228"/>
      <c r="K99" s="229"/>
      <c r="L99" s="230"/>
      <c r="M99" s="231"/>
      <c r="N99" s="232"/>
      <c r="O99" s="230"/>
      <c r="P99" s="231"/>
      <c r="Q99" s="232"/>
      <c r="R99" s="233"/>
      <c r="S99" s="234"/>
      <c r="T99" s="235"/>
      <c r="U99" s="233"/>
      <c r="V99" s="236"/>
      <c r="W99" s="234"/>
      <c r="X99" s="235"/>
      <c r="Y99" s="237"/>
      <c r="Z99" s="238"/>
    </row>
    <row r="100" spans="1:26" s="239" customFormat="1" ht="28.5" customHeight="1" x14ac:dyDescent="0.3">
      <c r="A100" s="222">
        <f t="shared" si="10"/>
        <v>0</v>
      </c>
      <c r="B100" s="223" t="b">
        <f t="shared" si="11"/>
        <v>1</v>
      </c>
      <c r="C100" s="222">
        <f t="shared" si="12"/>
        <v>0</v>
      </c>
      <c r="D100" s="205" t="str">
        <f t="shared" si="13"/>
        <v>$$$$</v>
      </c>
      <c r="E100" s="224"/>
      <c r="F100" s="225"/>
      <c r="G100" s="226"/>
      <c r="H100" s="227"/>
      <c r="I100" s="228"/>
      <c r="J100" s="228"/>
      <c r="K100" s="229"/>
      <c r="L100" s="230"/>
      <c r="M100" s="231"/>
      <c r="N100" s="232"/>
      <c r="O100" s="230"/>
      <c r="P100" s="231"/>
      <c r="Q100" s="232"/>
      <c r="R100" s="233"/>
      <c r="S100" s="234"/>
      <c r="T100" s="235"/>
      <c r="U100" s="233"/>
      <c r="V100" s="236"/>
      <c r="W100" s="234"/>
      <c r="X100" s="235"/>
      <c r="Y100" s="237"/>
      <c r="Z100" s="238"/>
    </row>
    <row r="101" spans="1:26" s="239" customFormat="1" ht="28.5" customHeight="1" x14ac:dyDescent="0.3">
      <c r="A101" s="222">
        <f t="shared" si="10"/>
        <v>0</v>
      </c>
      <c r="B101" s="223" t="b">
        <f t="shared" si="11"/>
        <v>1</v>
      </c>
      <c r="C101" s="222">
        <f t="shared" si="12"/>
        <v>0</v>
      </c>
      <c r="D101" s="205" t="str">
        <f t="shared" si="13"/>
        <v>$$$$</v>
      </c>
      <c r="E101" s="224"/>
      <c r="F101" s="225"/>
      <c r="G101" s="226"/>
      <c r="H101" s="227"/>
      <c r="I101" s="228"/>
      <c r="J101" s="228"/>
      <c r="K101" s="229"/>
      <c r="L101" s="230"/>
      <c r="M101" s="231"/>
      <c r="N101" s="232"/>
      <c r="O101" s="230"/>
      <c r="P101" s="231"/>
      <c r="Q101" s="232"/>
      <c r="R101" s="233"/>
      <c r="S101" s="234"/>
      <c r="T101" s="235"/>
      <c r="U101" s="233"/>
      <c r="V101" s="236"/>
      <c r="W101" s="234"/>
      <c r="X101" s="235"/>
      <c r="Y101" s="237"/>
      <c r="Z101" s="238"/>
    </row>
    <row r="102" spans="1:26" s="239" customFormat="1" ht="28.5" customHeight="1" x14ac:dyDescent="0.3">
      <c r="A102" s="222">
        <f t="shared" si="10"/>
        <v>0</v>
      </c>
      <c r="B102" s="223" t="b">
        <f t="shared" si="11"/>
        <v>1</v>
      </c>
      <c r="C102" s="222">
        <f t="shared" si="12"/>
        <v>0</v>
      </c>
      <c r="D102" s="205" t="str">
        <f t="shared" si="13"/>
        <v>$$$$</v>
      </c>
      <c r="E102" s="224"/>
      <c r="F102" s="225"/>
      <c r="G102" s="226"/>
      <c r="H102" s="227"/>
      <c r="I102" s="228"/>
      <c r="J102" s="228"/>
      <c r="K102" s="229"/>
      <c r="L102" s="230"/>
      <c r="M102" s="231"/>
      <c r="N102" s="232"/>
      <c r="O102" s="230"/>
      <c r="P102" s="231"/>
      <c r="Q102" s="232"/>
      <c r="R102" s="233"/>
      <c r="S102" s="234"/>
      <c r="T102" s="235"/>
      <c r="U102" s="233"/>
      <c r="V102" s="236"/>
      <c r="W102" s="234"/>
      <c r="X102" s="235"/>
      <c r="Y102" s="237"/>
      <c r="Z102" s="238"/>
    </row>
    <row r="103" spans="1:26" s="239" customFormat="1" ht="28.5" customHeight="1" x14ac:dyDescent="0.3">
      <c r="A103" s="222">
        <f t="shared" ref="A103:A159" si="14">IF(B103,0,MATCH(H103,ВидыНагр,0))</f>
        <v>0</v>
      </c>
      <c r="B103" s="223" t="b">
        <f t="shared" ref="B103:B159" si="15">(COUNTIF(КлючОсень,D103)&lt;&gt;1)</f>
        <v>1</v>
      </c>
      <c r="C103" s="222">
        <f t="shared" ref="C103:C159" si="16">IF(COUNTA(E103:K103,Z103)&gt;0,1,0)+IF(COUNTA(L103:Y103)&gt;0,2,0)</f>
        <v>0</v>
      </c>
      <c r="D103" s="205" t="str">
        <f t="shared" si="13"/>
        <v>$$$$</v>
      </c>
      <c r="E103" s="224"/>
      <c r="F103" s="225"/>
      <c r="G103" s="226"/>
      <c r="H103" s="227"/>
      <c r="I103" s="228"/>
      <c r="J103" s="228"/>
      <c r="K103" s="229"/>
      <c r="L103" s="230"/>
      <c r="M103" s="231"/>
      <c r="N103" s="232"/>
      <c r="O103" s="230"/>
      <c r="P103" s="231"/>
      <c r="Q103" s="232"/>
      <c r="R103" s="233"/>
      <c r="S103" s="234"/>
      <c r="T103" s="235"/>
      <c r="U103" s="233"/>
      <c r="V103" s="236"/>
      <c r="W103" s="234"/>
      <c r="X103" s="235"/>
      <c r="Y103" s="237"/>
      <c r="Z103" s="238"/>
    </row>
    <row r="104" spans="1:26" s="239" customFormat="1" ht="28.5" customHeight="1" x14ac:dyDescent="0.3">
      <c r="A104" s="222">
        <f t="shared" si="14"/>
        <v>0</v>
      </c>
      <c r="B104" s="223" t="b">
        <f t="shared" si="15"/>
        <v>1</v>
      </c>
      <c r="C104" s="222">
        <f t="shared" si="16"/>
        <v>0</v>
      </c>
      <c r="D104" s="205" t="str">
        <f t="shared" si="13"/>
        <v>$$$$</v>
      </c>
      <c r="E104" s="224"/>
      <c r="F104" s="225"/>
      <c r="G104" s="226"/>
      <c r="H104" s="227"/>
      <c r="I104" s="228"/>
      <c r="J104" s="228"/>
      <c r="K104" s="229"/>
      <c r="L104" s="230"/>
      <c r="M104" s="231"/>
      <c r="N104" s="232"/>
      <c r="O104" s="230"/>
      <c r="P104" s="231"/>
      <c r="Q104" s="232"/>
      <c r="R104" s="233"/>
      <c r="S104" s="234"/>
      <c r="T104" s="235"/>
      <c r="U104" s="233"/>
      <c r="V104" s="236"/>
      <c r="W104" s="234"/>
      <c r="X104" s="235"/>
      <c r="Y104" s="237"/>
      <c r="Z104" s="238"/>
    </row>
    <row r="105" spans="1:26" s="239" customFormat="1" ht="28.5" customHeight="1" x14ac:dyDescent="0.3">
      <c r="A105" s="222">
        <f t="shared" si="14"/>
        <v>0</v>
      </c>
      <c r="B105" s="223" t="b">
        <f t="shared" si="15"/>
        <v>1</v>
      </c>
      <c r="C105" s="222">
        <f t="shared" si="16"/>
        <v>0</v>
      </c>
      <c r="D105" s="205" t="str">
        <f t="shared" si="13"/>
        <v>$$$$</v>
      </c>
      <c r="E105" s="224"/>
      <c r="F105" s="225"/>
      <c r="G105" s="226"/>
      <c r="H105" s="227"/>
      <c r="I105" s="228"/>
      <c r="J105" s="228"/>
      <c r="K105" s="229"/>
      <c r="L105" s="230"/>
      <c r="M105" s="231"/>
      <c r="N105" s="232"/>
      <c r="O105" s="230"/>
      <c r="P105" s="231"/>
      <c r="Q105" s="232"/>
      <c r="R105" s="233"/>
      <c r="S105" s="234"/>
      <c r="T105" s="235"/>
      <c r="U105" s="233"/>
      <c r="V105" s="236"/>
      <c r="W105" s="234"/>
      <c r="X105" s="235"/>
      <c r="Y105" s="237"/>
      <c r="Z105" s="238"/>
    </row>
    <row r="106" spans="1:26" s="239" customFormat="1" ht="28.5" customHeight="1" x14ac:dyDescent="0.3">
      <c r="A106" s="222">
        <f t="shared" si="14"/>
        <v>0</v>
      </c>
      <c r="B106" s="223" t="b">
        <f t="shared" si="15"/>
        <v>1</v>
      </c>
      <c r="C106" s="222">
        <f t="shared" si="16"/>
        <v>0</v>
      </c>
      <c r="D106" s="205" t="str">
        <f t="shared" si="13"/>
        <v>$$$$</v>
      </c>
      <c r="E106" s="224"/>
      <c r="F106" s="225"/>
      <c r="G106" s="226"/>
      <c r="H106" s="227"/>
      <c r="I106" s="228"/>
      <c r="J106" s="228"/>
      <c r="K106" s="229"/>
      <c r="L106" s="230"/>
      <c r="M106" s="231"/>
      <c r="N106" s="232"/>
      <c r="O106" s="230"/>
      <c r="P106" s="231"/>
      <c r="Q106" s="232"/>
      <c r="R106" s="233"/>
      <c r="S106" s="234"/>
      <c r="T106" s="235"/>
      <c r="U106" s="233"/>
      <c r="V106" s="236"/>
      <c r="W106" s="234"/>
      <c r="X106" s="235"/>
      <c r="Y106" s="237"/>
      <c r="Z106" s="238"/>
    </row>
    <row r="107" spans="1:26" s="239" customFormat="1" ht="28.5" customHeight="1" x14ac:dyDescent="0.3">
      <c r="A107" s="222">
        <f>IF(B107,0,MATCH(H107,ВидыНагр,0))</f>
        <v>0</v>
      </c>
      <c r="B107" s="223" t="b">
        <f>(COUNTIF(КлючОсень,D107)&lt;&gt;1)</f>
        <v>1</v>
      </c>
      <c r="C107" s="222">
        <f t="shared" si="16"/>
        <v>0</v>
      </c>
      <c r="D107" s="205" t="str">
        <f>CONCATENATE("$",TRIM(F107),"$",TRIM(G107),"$",H107,"$")</f>
        <v>$$$$</v>
      </c>
      <c r="E107" s="224"/>
      <c r="F107" s="225"/>
      <c r="G107" s="226"/>
      <c r="H107" s="227"/>
      <c r="I107" s="228"/>
      <c r="J107" s="228"/>
      <c r="K107" s="229"/>
      <c r="L107" s="230"/>
      <c r="M107" s="231"/>
      <c r="N107" s="232"/>
      <c r="O107" s="230"/>
      <c r="P107" s="231"/>
      <c r="Q107" s="232"/>
      <c r="R107" s="233"/>
      <c r="S107" s="234"/>
      <c r="T107" s="235"/>
      <c r="U107" s="233"/>
      <c r="V107" s="236"/>
      <c r="W107" s="234"/>
      <c r="X107" s="235"/>
      <c r="Y107" s="237"/>
      <c r="Z107" s="238"/>
    </row>
    <row r="108" spans="1:26" s="239" customFormat="1" ht="28.5" customHeight="1" x14ac:dyDescent="0.3">
      <c r="A108" s="222">
        <f>IF(B108,0,MATCH(H108,ВидыНагр,0))</f>
        <v>0</v>
      </c>
      <c r="B108" s="223" t="b">
        <f>(COUNTIF(КлючОсень,D108)&lt;&gt;1)</f>
        <v>1</v>
      </c>
      <c r="C108" s="222">
        <f t="shared" si="16"/>
        <v>0</v>
      </c>
      <c r="D108" s="205" t="str">
        <f>CONCATENATE("$",TRIM(F108),"$",TRIM(G108),"$",H108,"$")</f>
        <v>$$$$</v>
      </c>
      <c r="E108" s="224"/>
      <c r="F108" s="225"/>
      <c r="G108" s="226"/>
      <c r="H108" s="227"/>
      <c r="I108" s="228"/>
      <c r="J108" s="228"/>
      <c r="K108" s="229"/>
      <c r="L108" s="230"/>
      <c r="M108" s="231"/>
      <c r="N108" s="232"/>
      <c r="O108" s="230"/>
      <c r="P108" s="231"/>
      <c r="Q108" s="232"/>
      <c r="R108" s="233"/>
      <c r="S108" s="234"/>
      <c r="T108" s="235"/>
      <c r="U108" s="233"/>
      <c r="V108" s="236"/>
      <c r="W108" s="234"/>
      <c r="X108" s="235"/>
      <c r="Y108" s="237"/>
      <c r="Z108" s="238"/>
    </row>
    <row r="109" spans="1:26" s="239" customFormat="1" ht="28.5" customHeight="1" x14ac:dyDescent="0.3">
      <c r="A109" s="222">
        <f t="shared" si="14"/>
        <v>0</v>
      </c>
      <c r="B109" s="223" t="b">
        <f t="shared" si="15"/>
        <v>1</v>
      </c>
      <c r="C109" s="222">
        <f t="shared" si="16"/>
        <v>0</v>
      </c>
      <c r="D109" s="205" t="str">
        <f t="shared" si="13"/>
        <v>$$$$</v>
      </c>
      <c r="E109" s="224"/>
      <c r="F109" s="225"/>
      <c r="G109" s="226"/>
      <c r="H109" s="227"/>
      <c r="I109" s="228"/>
      <c r="J109" s="228"/>
      <c r="K109" s="229"/>
      <c r="L109" s="230"/>
      <c r="M109" s="231"/>
      <c r="N109" s="232"/>
      <c r="O109" s="230"/>
      <c r="P109" s="231"/>
      <c r="Q109" s="232"/>
      <c r="R109" s="233"/>
      <c r="S109" s="234"/>
      <c r="T109" s="235"/>
      <c r="U109" s="233"/>
      <c r="V109" s="236"/>
      <c r="W109" s="234"/>
      <c r="X109" s="235"/>
      <c r="Y109" s="237"/>
      <c r="Z109" s="238"/>
    </row>
    <row r="110" spans="1:26" s="239" customFormat="1" ht="28.5" customHeight="1" x14ac:dyDescent="0.3">
      <c r="A110" s="222">
        <f t="shared" si="14"/>
        <v>0</v>
      </c>
      <c r="B110" s="223" t="b">
        <f t="shared" si="15"/>
        <v>1</v>
      </c>
      <c r="C110" s="222">
        <f t="shared" si="16"/>
        <v>0</v>
      </c>
      <c r="D110" s="205" t="str">
        <f t="shared" si="13"/>
        <v>$$$$</v>
      </c>
      <c r="E110" s="224"/>
      <c r="F110" s="225"/>
      <c r="G110" s="226"/>
      <c r="H110" s="227"/>
      <c r="I110" s="228"/>
      <c r="J110" s="228"/>
      <c r="K110" s="229"/>
      <c r="L110" s="230"/>
      <c r="M110" s="231"/>
      <c r="N110" s="232"/>
      <c r="O110" s="230"/>
      <c r="P110" s="231"/>
      <c r="Q110" s="232"/>
      <c r="R110" s="233"/>
      <c r="S110" s="234"/>
      <c r="T110" s="235"/>
      <c r="U110" s="233"/>
      <c r="V110" s="236"/>
      <c r="W110" s="234"/>
      <c r="X110" s="235"/>
      <c r="Y110" s="237"/>
      <c r="Z110" s="238"/>
    </row>
    <row r="111" spans="1:26" s="239" customFormat="1" ht="28.5" customHeight="1" x14ac:dyDescent="0.3">
      <c r="A111" s="222">
        <f t="shared" si="14"/>
        <v>0</v>
      </c>
      <c r="B111" s="223" t="b">
        <f t="shared" si="15"/>
        <v>1</v>
      </c>
      <c r="C111" s="222">
        <f t="shared" si="16"/>
        <v>0</v>
      </c>
      <c r="D111" s="205" t="str">
        <f t="shared" si="13"/>
        <v>$$$$</v>
      </c>
      <c r="E111" s="224"/>
      <c r="F111" s="225"/>
      <c r="G111" s="226"/>
      <c r="H111" s="227"/>
      <c r="I111" s="228"/>
      <c r="J111" s="228"/>
      <c r="K111" s="229"/>
      <c r="L111" s="230"/>
      <c r="M111" s="231"/>
      <c r="N111" s="232"/>
      <c r="O111" s="230"/>
      <c r="P111" s="231"/>
      <c r="Q111" s="232"/>
      <c r="R111" s="233"/>
      <c r="S111" s="234"/>
      <c r="T111" s="235"/>
      <c r="U111" s="233"/>
      <c r="V111" s="236"/>
      <c r="W111" s="234"/>
      <c r="X111" s="235"/>
      <c r="Y111" s="237"/>
      <c r="Z111" s="238"/>
    </row>
    <row r="112" spans="1:26" s="239" customFormat="1" ht="28.5" customHeight="1" x14ac:dyDescent="0.3">
      <c r="A112" s="222">
        <f t="shared" si="14"/>
        <v>0</v>
      </c>
      <c r="B112" s="223" t="b">
        <f t="shared" si="15"/>
        <v>1</v>
      </c>
      <c r="C112" s="222">
        <f t="shared" si="16"/>
        <v>0</v>
      </c>
      <c r="D112" s="205" t="str">
        <f t="shared" si="13"/>
        <v>$$$$</v>
      </c>
      <c r="E112" s="224"/>
      <c r="F112" s="225"/>
      <c r="G112" s="226"/>
      <c r="H112" s="227"/>
      <c r="I112" s="228"/>
      <c r="J112" s="228"/>
      <c r="K112" s="229"/>
      <c r="L112" s="230"/>
      <c r="M112" s="231"/>
      <c r="N112" s="232"/>
      <c r="O112" s="230"/>
      <c r="P112" s="231"/>
      <c r="Q112" s="232"/>
      <c r="R112" s="233"/>
      <c r="S112" s="234"/>
      <c r="T112" s="235"/>
      <c r="U112" s="233"/>
      <c r="V112" s="236"/>
      <c r="W112" s="234"/>
      <c r="X112" s="235"/>
      <c r="Y112" s="237"/>
      <c r="Z112" s="238"/>
    </row>
    <row r="113" spans="1:26" s="239" customFormat="1" ht="28.5" customHeight="1" x14ac:dyDescent="0.3">
      <c r="A113" s="222">
        <f t="shared" si="14"/>
        <v>0</v>
      </c>
      <c r="B113" s="223" t="b">
        <f t="shared" si="15"/>
        <v>1</v>
      </c>
      <c r="C113" s="222">
        <f t="shared" si="16"/>
        <v>0</v>
      </c>
      <c r="D113" s="205" t="str">
        <f t="shared" si="13"/>
        <v>$$$$</v>
      </c>
      <c r="E113" s="224"/>
      <c r="F113" s="225"/>
      <c r="G113" s="226"/>
      <c r="H113" s="227"/>
      <c r="I113" s="228"/>
      <c r="J113" s="228"/>
      <c r="K113" s="229"/>
      <c r="L113" s="230"/>
      <c r="M113" s="231"/>
      <c r="N113" s="232"/>
      <c r="O113" s="230"/>
      <c r="P113" s="231"/>
      <c r="Q113" s="232"/>
      <c r="R113" s="233"/>
      <c r="S113" s="234"/>
      <c r="T113" s="235"/>
      <c r="U113" s="233"/>
      <c r="V113" s="236"/>
      <c r="W113" s="234"/>
      <c r="X113" s="235"/>
      <c r="Y113" s="237"/>
      <c r="Z113" s="238"/>
    </row>
    <row r="114" spans="1:26" s="239" customFormat="1" ht="28.5" customHeight="1" x14ac:dyDescent="0.3">
      <c r="A114" s="222">
        <f t="shared" si="14"/>
        <v>0</v>
      </c>
      <c r="B114" s="223" t="b">
        <f t="shared" si="15"/>
        <v>1</v>
      </c>
      <c r="C114" s="222">
        <f t="shared" si="16"/>
        <v>0</v>
      </c>
      <c r="D114" s="205" t="str">
        <f t="shared" si="13"/>
        <v>$$$$</v>
      </c>
      <c r="E114" s="224"/>
      <c r="F114" s="225"/>
      <c r="G114" s="226"/>
      <c r="H114" s="227"/>
      <c r="I114" s="228"/>
      <c r="J114" s="228"/>
      <c r="K114" s="229"/>
      <c r="L114" s="230"/>
      <c r="M114" s="231"/>
      <c r="N114" s="232"/>
      <c r="O114" s="230"/>
      <c r="P114" s="231"/>
      <c r="Q114" s="232"/>
      <c r="R114" s="233"/>
      <c r="S114" s="234"/>
      <c r="T114" s="235"/>
      <c r="U114" s="233"/>
      <c r="V114" s="236"/>
      <c r="W114" s="234"/>
      <c r="X114" s="235"/>
      <c r="Y114" s="237"/>
      <c r="Z114" s="238"/>
    </row>
    <row r="115" spans="1:26" s="239" customFormat="1" ht="28.5" customHeight="1" x14ac:dyDescent="0.3">
      <c r="A115" s="222">
        <f t="shared" si="14"/>
        <v>0</v>
      </c>
      <c r="B115" s="223" t="b">
        <f t="shared" si="15"/>
        <v>1</v>
      </c>
      <c r="C115" s="222">
        <f t="shared" si="16"/>
        <v>0</v>
      </c>
      <c r="D115" s="205" t="str">
        <f t="shared" si="13"/>
        <v>$$$$</v>
      </c>
      <c r="E115" s="224"/>
      <c r="F115" s="225"/>
      <c r="G115" s="226"/>
      <c r="H115" s="227"/>
      <c r="I115" s="228"/>
      <c r="J115" s="228"/>
      <c r="K115" s="229"/>
      <c r="L115" s="230"/>
      <c r="M115" s="231"/>
      <c r="N115" s="232"/>
      <c r="O115" s="230"/>
      <c r="P115" s="231"/>
      <c r="Q115" s="232"/>
      <c r="R115" s="233"/>
      <c r="S115" s="234"/>
      <c r="T115" s="235"/>
      <c r="U115" s="233"/>
      <c r="V115" s="236"/>
      <c r="W115" s="234"/>
      <c r="X115" s="235"/>
      <c r="Y115" s="237"/>
      <c r="Z115" s="238"/>
    </row>
    <row r="116" spans="1:26" s="239" customFormat="1" ht="28.5" customHeight="1" x14ac:dyDescent="0.3">
      <c r="A116" s="222">
        <f t="shared" si="14"/>
        <v>0</v>
      </c>
      <c r="B116" s="223" t="b">
        <f t="shared" si="15"/>
        <v>1</v>
      </c>
      <c r="C116" s="222">
        <f t="shared" si="16"/>
        <v>0</v>
      </c>
      <c r="D116" s="205" t="str">
        <f t="shared" si="13"/>
        <v>$$$$</v>
      </c>
      <c r="E116" s="224"/>
      <c r="F116" s="225"/>
      <c r="G116" s="226"/>
      <c r="H116" s="227"/>
      <c r="I116" s="228"/>
      <c r="J116" s="228"/>
      <c r="K116" s="229"/>
      <c r="L116" s="230"/>
      <c r="M116" s="231"/>
      <c r="N116" s="232"/>
      <c r="O116" s="230"/>
      <c r="P116" s="231"/>
      <c r="Q116" s="232"/>
      <c r="R116" s="233"/>
      <c r="S116" s="234"/>
      <c r="T116" s="235"/>
      <c r="U116" s="233"/>
      <c r="V116" s="236"/>
      <c r="W116" s="234"/>
      <c r="X116" s="235"/>
      <c r="Y116" s="237"/>
      <c r="Z116" s="238"/>
    </row>
    <row r="117" spans="1:26" s="239" customFormat="1" ht="28.5" customHeight="1" x14ac:dyDescent="0.3">
      <c r="A117" s="222">
        <f t="shared" si="14"/>
        <v>0</v>
      </c>
      <c r="B117" s="223" t="b">
        <f t="shared" si="15"/>
        <v>1</v>
      </c>
      <c r="C117" s="222">
        <f t="shared" si="16"/>
        <v>0</v>
      </c>
      <c r="D117" s="205" t="str">
        <f t="shared" si="13"/>
        <v>$$$$</v>
      </c>
      <c r="E117" s="224"/>
      <c r="F117" s="225"/>
      <c r="G117" s="226"/>
      <c r="H117" s="227"/>
      <c r="I117" s="228"/>
      <c r="J117" s="228"/>
      <c r="K117" s="229"/>
      <c r="L117" s="230"/>
      <c r="M117" s="231"/>
      <c r="N117" s="232"/>
      <c r="O117" s="230"/>
      <c r="P117" s="231"/>
      <c r="Q117" s="232"/>
      <c r="R117" s="233"/>
      <c r="S117" s="234"/>
      <c r="T117" s="235"/>
      <c r="U117" s="233"/>
      <c r="V117" s="236"/>
      <c r="W117" s="234"/>
      <c r="X117" s="235"/>
      <c r="Y117" s="237"/>
      <c r="Z117" s="238"/>
    </row>
    <row r="118" spans="1:26" s="239" customFormat="1" ht="28.5" customHeight="1" x14ac:dyDescent="0.3">
      <c r="A118" s="222">
        <f t="shared" si="14"/>
        <v>0</v>
      </c>
      <c r="B118" s="223" t="b">
        <f t="shared" si="15"/>
        <v>1</v>
      </c>
      <c r="C118" s="222">
        <f t="shared" si="16"/>
        <v>0</v>
      </c>
      <c r="D118" s="205" t="str">
        <f t="shared" si="13"/>
        <v>$$$$</v>
      </c>
      <c r="E118" s="224"/>
      <c r="F118" s="225"/>
      <c r="G118" s="226"/>
      <c r="H118" s="227"/>
      <c r="I118" s="228"/>
      <c r="J118" s="228"/>
      <c r="K118" s="229"/>
      <c r="L118" s="230"/>
      <c r="M118" s="231"/>
      <c r="N118" s="232"/>
      <c r="O118" s="230"/>
      <c r="P118" s="231"/>
      <c r="Q118" s="232"/>
      <c r="R118" s="233"/>
      <c r="S118" s="234"/>
      <c r="T118" s="235"/>
      <c r="U118" s="233"/>
      <c r="V118" s="236"/>
      <c r="W118" s="234"/>
      <c r="X118" s="235"/>
      <c r="Y118" s="237"/>
      <c r="Z118" s="238"/>
    </row>
    <row r="119" spans="1:26" s="239" customFormat="1" ht="28.5" customHeight="1" x14ac:dyDescent="0.3">
      <c r="A119" s="222">
        <f t="shared" si="14"/>
        <v>0</v>
      </c>
      <c r="B119" s="223" t="b">
        <f t="shared" si="15"/>
        <v>1</v>
      </c>
      <c r="C119" s="222">
        <f t="shared" si="16"/>
        <v>0</v>
      </c>
      <c r="D119" s="205" t="str">
        <f t="shared" si="13"/>
        <v>$$$$</v>
      </c>
      <c r="E119" s="224"/>
      <c r="F119" s="225"/>
      <c r="G119" s="226"/>
      <c r="H119" s="227"/>
      <c r="I119" s="228"/>
      <c r="J119" s="228"/>
      <c r="K119" s="229"/>
      <c r="L119" s="230"/>
      <c r="M119" s="231"/>
      <c r="N119" s="232"/>
      <c r="O119" s="230"/>
      <c r="P119" s="231"/>
      <c r="Q119" s="232"/>
      <c r="R119" s="233"/>
      <c r="S119" s="234"/>
      <c r="T119" s="235"/>
      <c r="U119" s="233"/>
      <c r="V119" s="236"/>
      <c r="W119" s="234"/>
      <c r="X119" s="235"/>
      <c r="Y119" s="237"/>
      <c r="Z119" s="238"/>
    </row>
    <row r="120" spans="1:26" s="239" customFormat="1" ht="28.5" customHeight="1" x14ac:dyDescent="0.3">
      <c r="A120" s="222">
        <f t="shared" si="14"/>
        <v>0</v>
      </c>
      <c r="B120" s="223" t="b">
        <f t="shared" si="15"/>
        <v>1</v>
      </c>
      <c r="C120" s="222">
        <f t="shared" si="16"/>
        <v>0</v>
      </c>
      <c r="D120" s="205" t="str">
        <f t="shared" ref="D120:D154" si="17">CONCATENATE("$",TRIM(F120),"$",TRIM(G120),"$",H120,"$")</f>
        <v>$$$$</v>
      </c>
      <c r="E120" s="224"/>
      <c r="F120" s="225"/>
      <c r="G120" s="226"/>
      <c r="H120" s="227"/>
      <c r="I120" s="228"/>
      <c r="J120" s="228"/>
      <c r="K120" s="229"/>
      <c r="L120" s="230"/>
      <c r="M120" s="231"/>
      <c r="N120" s="232"/>
      <c r="O120" s="230"/>
      <c r="P120" s="231"/>
      <c r="Q120" s="232"/>
      <c r="R120" s="233"/>
      <c r="S120" s="234"/>
      <c r="T120" s="235"/>
      <c r="U120" s="233"/>
      <c r="V120" s="236"/>
      <c r="W120" s="234"/>
      <c r="X120" s="235"/>
      <c r="Y120" s="237"/>
      <c r="Z120" s="238"/>
    </row>
    <row r="121" spans="1:26" s="239" customFormat="1" ht="28.5" customHeight="1" x14ac:dyDescent="0.3">
      <c r="A121" s="222">
        <f t="shared" si="14"/>
        <v>0</v>
      </c>
      <c r="B121" s="223" t="b">
        <f t="shared" si="15"/>
        <v>1</v>
      </c>
      <c r="C121" s="222">
        <f t="shared" si="16"/>
        <v>0</v>
      </c>
      <c r="D121" s="205" t="str">
        <f t="shared" si="17"/>
        <v>$$$$</v>
      </c>
      <c r="E121" s="224"/>
      <c r="F121" s="225"/>
      <c r="G121" s="226"/>
      <c r="H121" s="227"/>
      <c r="I121" s="228"/>
      <c r="J121" s="228"/>
      <c r="K121" s="229"/>
      <c r="L121" s="230"/>
      <c r="M121" s="231"/>
      <c r="N121" s="232"/>
      <c r="O121" s="230"/>
      <c r="P121" s="231"/>
      <c r="Q121" s="232"/>
      <c r="R121" s="233"/>
      <c r="S121" s="234"/>
      <c r="T121" s="235"/>
      <c r="U121" s="233"/>
      <c r="V121" s="236"/>
      <c r="W121" s="234"/>
      <c r="X121" s="235"/>
      <c r="Y121" s="237"/>
      <c r="Z121" s="238"/>
    </row>
    <row r="122" spans="1:26" s="239" customFormat="1" ht="28.5" customHeight="1" x14ac:dyDescent="0.3">
      <c r="A122" s="222">
        <f t="shared" si="14"/>
        <v>0</v>
      </c>
      <c r="B122" s="223" t="b">
        <f t="shared" si="15"/>
        <v>1</v>
      </c>
      <c r="C122" s="222">
        <f t="shared" si="16"/>
        <v>0</v>
      </c>
      <c r="D122" s="205" t="str">
        <f t="shared" si="17"/>
        <v>$$$$</v>
      </c>
      <c r="E122" s="224"/>
      <c r="F122" s="225"/>
      <c r="G122" s="226"/>
      <c r="H122" s="227"/>
      <c r="I122" s="228"/>
      <c r="J122" s="228"/>
      <c r="K122" s="229"/>
      <c r="L122" s="230"/>
      <c r="M122" s="231"/>
      <c r="N122" s="232"/>
      <c r="O122" s="230"/>
      <c r="P122" s="231"/>
      <c r="Q122" s="232"/>
      <c r="R122" s="233"/>
      <c r="S122" s="234"/>
      <c r="T122" s="235"/>
      <c r="U122" s="233"/>
      <c r="V122" s="236"/>
      <c r="W122" s="234"/>
      <c r="X122" s="235"/>
      <c r="Y122" s="237"/>
      <c r="Z122" s="238"/>
    </row>
    <row r="123" spans="1:26" s="239" customFormat="1" ht="28.5" customHeight="1" x14ac:dyDescent="0.3">
      <c r="A123" s="222">
        <f t="shared" si="14"/>
        <v>0</v>
      </c>
      <c r="B123" s="223" t="b">
        <f t="shared" si="15"/>
        <v>1</v>
      </c>
      <c r="C123" s="222">
        <f t="shared" si="16"/>
        <v>0</v>
      </c>
      <c r="D123" s="205" t="str">
        <f t="shared" si="17"/>
        <v>$$$$</v>
      </c>
      <c r="E123" s="224"/>
      <c r="F123" s="225"/>
      <c r="G123" s="226"/>
      <c r="H123" s="227"/>
      <c r="I123" s="228"/>
      <c r="J123" s="228"/>
      <c r="K123" s="229"/>
      <c r="L123" s="230"/>
      <c r="M123" s="231"/>
      <c r="N123" s="232"/>
      <c r="O123" s="230"/>
      <c r="P123" s="231"/>
      <c r="Q123" s="232"/>
      <c r="R123" s="233"/>
      <c r="S123" s="234"/>
      <c r="T123" s="235"/>
      <c r="U123" s="233"/>
      <c r="V123" s="236"/>
      <c r="W123" s="234"/>
      <c r="X123" s="235"/>
      <c r="Y123" s="237"/>
      <c r="Z123" s="238"/>
    </row>
    <row r="124" spans="1:26" s="239" customFormat="1" ht="28.5" customHeight="1" x14ac:dyDescent="0.3">
      <c r="A124" s="222">
        <f t="shared" si="14"/>
        <v>0</v>
      </c>
      <c r="B124" s="223" t="b">
        <f t="shared" si="15"/>
        <v>1</v>
      </c>
      <c r="C124" s="222">
        <f t="shared" si="16"/>
        <v>0</v>
      </c>
      <c r="D124" s="205" t="str">
        <f t="shared" si="17"/>
        <v>$$$$</v>
      </c>
      <c r="E124" s="224"/>
      <c r="F124" s="225"/>
      <c r="G124" s="226"/>
      <c r="H124" s="227"/>
      <c r="I124" s="228"/>
      <c r="J124" s="228"/>
      <c r="K124" s="229"/>
      <c r="L124" s="230"/>
      <c r="M124" s="231"/>
      <c r="N124" s="232"/>
      <c r="O124" s="230"/>
      <c r="P124" s="231"/>
      <c r="Q124" s="232"/>
      <c r="R124" s="233"/>
      <c r="S124" s="234"/>
      <c r="T124" s="235"/>
      <c r="U124" s="233"/>
      <c r="V124" s="236"/>
      <c r="W124" s="234"/>
      <c r="X124" s="235"/>
      <c r="Y124" s="237"/>
      <c r="Z124" s="238"/>
    </row>
    <row r="125" spans="1:26" s="239" customFormat="1" ht="28.5" customHeight="1" x14ac:dyDescent="0.3">
      <c r="A125" s="222">
        <f t="shared" si="14"/>
        <v>0</v>
      </c>
      <c r="B125" s="223" t="b">
        <f t="shared" si="15"/>
        <v>1</v>
      </c>
      <c r="C125" s="222">
        <f t="shared" si="16"/>
        <v>0</v>
      </c>
      <c r="D125" s="205" t="str">
        <f t="shared" si="17"/>
        <v>$$$$</v>
      </c>
      <c r="E125" s="224"/>
      <c r="F125" s="225"/>
      <c r="G125" s="226"/>
      <c r="H125" s="227"/>
      <c r="I125" s="228"/>
      <c r="J125" s="228"/>
      <c r="K125" s="229"/>
      <c r="L125" s="230"/>
      <c r="M125" s="231"/>
      <c r="N125" s="232"/>
      <c r="O125" s="230"/>
      <c r="P125" s="231"/>
      <c r="Q125" s="232"/>
      <c r="R125" s="233"/>
      <c r="S125" s="234"/>
      <c r="T125" s="235"/>
      <c r="U125" s="233"/>
      <c r="V125" s="236"/>
      <c r="W125" s="234"/>
      <c r="X125" s="235"/>
      <c r="Y125" s="237"/>
      <c r="Z125" s="238"/>
    </row>
    <row r="126" spans="1:26" s="239" customFormat="1" ht="28.5" customHeight="1" x14ac:dyDescent="0.3">
      <c r="A126" s="222">
        <f t="shared" si="14"/>
        <v>0</v>
      </c>
      <c r="B126" s="223" t="b">
        <f t="shared" si="15"/>
        <v>1</v>
      </c>
      <c r="C126" s="222">
        <f t="shared" si="16"/>
        <v>0</v>
      </c>
      <c r="D126" s="205" t="str">
        <f t="shared" si="17"/>
        <v>$$$$</v>
      </c>
      <c r="E126" s="224"/>
      <c r="F126" s="225"/>
      <c r="G126" s="226"/>
      <c r="H126" s="227"/>
      <c r="I126" s="228"/>
      <c r="J126" s="228"/>
      <c r="K126" s="229"/>
      <c r="L126" s="230"/>
      <c r="M126" s="231"/>
      <c r="N126" s="232"/>
      <c r="O126" s="230"/>
      <c r="P126" s="231"/>
      <c r="Q126" s="232"/>
      <c r="R126" s="233"/>
      <c r="S126" s="234"/>
      <c r="T126" s="235"/>
      <c r="U126" s="233"/>
      <c r="V126" s="236"/>
      <c r="W126" s="234"/>
      <c r="X126" s="235"/>
      <c r="Y126" s="237"/>
      <c r="Z126" s="238"/>
    </row>
    <row r="127" spans="1:26" s="239" customFormat="1" ht="28.5" customHeight="1" x14ac:dyDescent="0.3">
      <c r="A127" s="222">
        <f t="shared" si="14"/>
        <v>0</v>
      </c>
      <c r="B127" s="223" t="b">
        <f t="shared" si="15"/>
        <v>1</v>
      </c>
      <c r="C127" s="222">
        <f t="shared" si="16"/>
        <v>0</v>
      </c>
      <c r="D127" s="205" t="str">
        <f t="shared" si="17"/>
        <v>$$$$</v>
      </c>
      <c r="E127" s="224"/>
      <c r="F127" s="225"/>
      <c r="G127" s="226"/>
      <c r="H127" s="227"/>
      <c r="I127" s="228"/>
      <c r="J127" s="228"/>
      <c r="K127" s="229"/>
      <c r="L127" s="230"/>
      <c r="M127" s="231"/>
      <c r="N127" s="232"/>
      <c r="O127" s="230"/>
      <c r="P127" s="231"/>
      <c r="Q127" s="232"/>
      <c r="R127" s="233"/>
      <c r="S127" s="234"/>
      <c r="T127" s="235"/>
      <c r="U127" s="233"/>
      <c r="V127" s="236"/>
      <c r="W127" s="234"/>
      <c r="X127" s="235"/>
      <c r="Y127" s="237"/>
      <c r="Z127" s="238"/>
    </row>
    <row r="128" spans="1:26" s="239" customFormat="1" ht="28.5" customHeight="1" x14ac:dyDescent="0.3">
      <c r="A128" s="222">
        <f t="shared" si="14"/>
        <v>0</v>
      </c>
      <c r="B128" s="223" t="b">
        <f t="shared" si="15"/>
        <v>1</v>
      </c>
      <c r="C128" s="222">
        <f t="shared" si="16"/>
        <v>0</v>
      </c>
      <c r="D128" s="205" t="str">
        <f t="shared" si="17"/>
        <v>$$$$</v>
      </c>
      <c r="E128" s="224"/>
      <c r="F128" s="225"/>
      <c r="G128" s="226"/>
      <c r="H128" s="227"/>
      <c r="I128" s="228"/>
      <c r="J128" s="228"/>
      <c r="K128" s="229"/>
      <c r="L128" s="230"/>
      <c r="M128" s="231"/>
      <c r="N128" s="232"/>
      <c r="O128" s="230"/>
      <c r="P128" s="231"/>
      <c r="Q128" s="232"/>
      <c r="R128" s="233"/>
      <c r="S128" s="234"/>
      <c r="T128" s="235"/>
      <c r="U128" s="233"/>
      <c r="V128" s="236"/>
      <c r="W128" s="234"/>
      <c r="X128" s="235"/>
      <c r="Y128" s="237"/>
      <c r="Z128" s="238"/>
    </row>
    <row r="129" spans="1:26" s="239" customFormat="1" ht="28.5" customHeight="1" x14ac:dyDescent="0.3">
      <c r="A129" s="222">
        <f t="shared" si="14"/>
        <v>0</v>
      </c>
      <c r="B129" s="223" t="b">
        <f t="shared" si="15"/>
        <v>1</v>
      </c>
      <c r="C129" s="222">
        <f t="shared" si="16"/>
        <v>0</v>
      </c>
      <c r="D129" s="205" t="str">
        <f t="shared" si="17"/>
        <v>$$$$</v>
      </c>
      <c r="E129" s="224"/>
      <c r="F129" s="225"/>
      <c r="G129" s="226"/>
      <c r="H129" s="227"/>
      <c r="I129" s="228"/>
      <c r="J129" s="228"/>
      <c r="K129" s="229"/>
      <c r="L129" s="230"/>
      <c r="M129" s="231"/>
      <c r="N129" s="232"/>
      <c r="O129" s="230"/>
      <c r="P129" s="231"/>
      <c r="Q129" s="232"/>
      <c r="R129" s="233"/>
      <c r="S129" s="234"/>
      <c r="T129" s="235"/>
      <c r="U129" s="233"/>
      <c r="V129" s="236"/>
      <c r="W129" s="234"/>
      <c r="X129" s="235"/>
      <c r="Y129" s="237"/>
      <c r="Z129" s="238"/>
    </row>
    <row r="130" spans="1:26" s="239" customFormat="1" ht="28.5" customHeight="1" x14ac:dyDescent="0.3">
      <c r="A130" s="222">
        <f t="shared" si="14"/>
        <v>0</v>
      </c>
      <c r="B130" s="223" t="b">
        <f t="shared" si="15"/>
        <v>1</v>
      </c>
      <c r="C130" s="222">
        <f t="shared" si="16"/>
        <v>0</v>
      </c>
      <c r="D130" s="205" t="str">
        <f t="shared" si="17"/>
        <v>$$$$</v>
      </c>
      <c r="E130" s="224"/>
      <c r="F130" s="225"/>
      <c r="G130" s="226"/>
      <c r="H130" s="227"/>
      <c r="I130" s="228"/>
      <c r="J130" s="228"/>
      <c r="K130" s="229"/>
      <c r="L130" s="230"/>
      <c r="M130" s="231"/>
      <c r="N130" s="232"/>
      <c r="O130" s="230"/>
      <c r="P130" s="231"/>
      <c r="Q130" s="232"/>
      <c r="R130" s="233"/>
      <c r="S130" s="234"/>
      <c r="T130" s="235"/>
      <c r="U130" s="233"/>
      <c r="V130" s="236"/>
      <c r="W130" s="234"/>
      <c r="X130" s="235"/>
      <c r="Y130" s="237"/>
      <c r="Z130" s="238"/>
    </row>
    <row r="131" spans="1:26" s="239" customFormat="1" ht="28.5" customHeight="1" x14ac:dyDescent="0.3">
      <c r="A131" s="222">
        <f t="shared" si="14"/>
        <v>0</v>
      </c>
      <c r="B131" s="223" t="b">
        <f t="shared" si="15"/>
        <v>1</v>
      </c>
      <c r="C131" s="222">
        <f t="shared" si="16"/>
        <v>0</v>
      </c>
      <c r="D131" s="205" t="str">
        <f t="shared" si="17"/>
        <v>$$$$</v>
      </c>
      <c r="E131" s="224"/>
      <c r="F131" s="225"/>
      <c r="G131" s="226"/>
      <c r="H131" s="227"/>
      <c r="I131" s="228"/>
      <c r="J131" s="228"/>
      <c r="K131" s="229"/>
      <c r="L131" s="230"/>
      <c r="M131" s="231"/>
      <c r="N131" s="232"/>
      <c r="O131" s="230"/>
      <c r="P131" s="231"/>
      <c r="Q131" s="232"/>
      <c r="R131" s="233"/>
      <c r="S131" s="234"/>
      <c r="T131" s="235"/>
      <c r="U131" s="233"/>
      <c r="V131" s="236"/>
      <c r="W131" s="234"/>
      <c r="X131" s="235"/>
      <c r="Y131" s="237"/>
      <c r="Z131" s="238"/>
    </row>
    <row r="132" spans="1:26" s="239" customFormat="1" ht="28.5" customHeight="1" x14ac:dyDescent="0.3">
      <c r="A132" s="222">
        <f t="shared" si="14"/>
        <v>0</v>
      </c>
      <c r="B132" s="223" t="b">
        <f t="shared" si="15"/>
        <v>1</v>
      </c>
      <c r="C132" s="222">
        <f t="shared" si="16"/>
        <v>0</v>
      </c>
      <c r="D132" s="205" t="str">
        <f t="shared" si="17"/>
        <v>$$$$</v>
      </c>
      <c r="E132" s="224"/>
      <c r="F132" s="225"/>
      <c r="G132" s="226"/>
      <c r="H132" s="227"/>
      <c r="I132" s="228"/>
      <c r="J132" s="228"/>
      <c r="K132" s="229"/>
      <c r="L132" s="230"/>
      <c r="M132" s="231"/>
      <c r="N132" s="232"/>
      <c r="O132" s="230"/>
      <c r="P132" s="231"/>
      <c r="Q132" s="232"/>
      <c r="R132" s="233"/>
      <c r="S132" s="234"/>
      <c r="T132" s="235"/>
      <c r="U132" s="233"/>
      <c r="V132" s="236"/>
      <c r="W132" s="234"/>
      <c r="X132" s="235"/>
      <c r="Y132" s="237"/>
      <c r="Z132" s="238"/>
    </row>
    <row r="133" spans="1:26" s="239" customFormat="1" ht="28.5" customHeight="1" x14ac:dyDescent="0.3">
      <c r="A133" s="222">
        <f t="shared" si="14"/>
        <v>0</v>
      </c>
      <c r="B133" s="223" t="b">
        <f t="shared" si="15"/>
        <v>1</v>
      </c>
      <c r="C133" s="222">
        <f t="shared" si="16"/>
        <v>0</v>
      </c>
      <c r="D133" s="205" t="str">
        <f t="shared" si="17"/>
        <v>$$$$</v>
      </c>
      <c r="E133" s="224"/>
      <c r="F133" s="225"/>
      <c r="G133" s="226"/>
      <c r="H133" s="227"/>
      <c r="I133" s="228"/>
      <c r="J133" s="228"/>
      <c r="K133" s="229"/>
      <c r="L133" s="230"/>
      <c r="M133" s="231"/>
      <c r="N133" s="232"/>
      <c r="O133" s="230"/>
      <c r="P133" s="231"/>
      <c r="Q133" s="232"/>
      <c r="R133" s="233"/>
      <c r="S133" s="234"/>
      <c r="T133" s="235"/>
      <c r="U133" s="233"/>
      <c r="V133" s="236"/>
      <c r="W133" s="234"/>
      <c r="X133" s="235"/>
      <c r="Y133" s="237"/>
      <c r="Z133" s="238"/>
    </row>
    <row r="134" spans="1:26" s="239" customFormat="1" ht="28.5" customHeight="1" x14ac:dyDescent="0.3">
      <c r="A134" s="222">
        <f t="shared" si="14"/>
        <v>0</v>
      </c>
      <c r="B134" s="223" t="b">
        <f t="shared" si="15"/>
        <v>1</v>
      </c>
      <c r="C134" s="222">
        <f t="shared" si="16"/>
        <v>0</v>
      </c>
      <c r="D134" s="205" t="str">
        <f t="shared" si="17"/>
        <v>$$$$</v>
      </c>
      <c r="E134" s="224"/>
      <c r="F134" s="225"/>
      <c r="G134" s="226"/>
      <c r="H134" s="227"/>
      <c r="I134" s="228"/>
      <c r="J134" s="228"/>
      <c r="K134" s="229"/>
      <c r="L134" s="230"/>
      <c r="M134" s="231"/>
      <c r="N134" s="232"/>
      <c r="O134" s="230"/>
      <c r="P134" s="231"/>
      <c r="Q134" s="232"/>
      <c r="R134" s="233"/>
      <c r="S134" s="234"/>
      <c r="T134" s="235"/>
      <c r="U134" s="233"/>
      <c r="V134" s="236"/>
      <c r="W134" s="234"/>
      <c r="X134" s="235"/>
      <c r="Y134" s="237"/>
      <c r="Z134" s="238"/>
    </row>
    <row r="135" spans="1:26" s="239" customFormat="1" ht="28.5" customHeight="1" x14ac:dyDescent="0.3">
      <c r="A135" s="222">
        <f t="shared" si="14"/>
        <v>0</v>
      </c>
      <c r="B135" s="223" t="b">
        <f t="shared" si="15"/>
        <v>1</v>
      </c>
      <c r="C135" s="222">
        <f t="shared" si="16"/>
        <v>0</v>
      </c>
      <c r="D135" s="205" t="str">
        <f t="shared" si="17"/>
        <v>$$$$</v>
      </c>
      <c r="E135" s="224"/>
      <c r="F135" s="225"/>
      <c r="G135" s="226"/>
      <c r="H135" s="227"/>
      <c r="I135" s="228"/>
      <c r="J135" s="228"/>
      <c r="K135" s="229"/>
      <c r="L135" s="230"/>
      <c r="M135" s="231"/>
      <c r="N135" s="232"/>
      <c r="O135" s="230"/>
      <c r="P135" s="231"/>
      <c r="Q135" s="232"/>
      <c r="R135" s="233"/>
      <c r="S135" s="234"/>
      <c r="T135" s="235"/>
      <c r="U135" s="233"/>
      <c r="V135" s="236"/>
      <c r="W135" s="234"/>
      <c r="X135" s="235"/>
      <c r="Y135" s="237"/>
      <c r="Z135" s="238"/>
    </row>
    <row r="136" spans="1:26" s="239" customFormat="1" ht="28.5" customHeight="1" x14ac:dyDescent="0.3">
      <c r="A136" s="222">
        <f t="shared" si="14"/>
        <v>0</v>
      </c>
      <c r="B136" s="223" t="b">
        <f t="shared" si="15"/>
        <v>1</v>
      </c>
      <c r="C136" s="222">
        <f t="shared" si="16"/>
        <v>0</v>
      </c>
      <c r="D136" s="205" t="str">
        <f t="shared" si="17"/>
        <v>$$$$</v>
      </c>
      <c r="E136" s="224"/>
      <c r="F136" s="225"/>
      <c r="G136" s="226"/>
      <c r="H136" s="227"/>
      <c r="I136" s="228"/>
      <c r="J136" s="228"/>
      <c r="K136" s="229"/>
      <c r="L136" s="230"/>
      <c r="M136" s="231"/>
      <c r="N136" s="232"/>
      <c r="O136" s="230"/>
      <c r="P136" s="231"/>
      <c r="Q136" s="232"/>
      <c r="R136" s="233"/>
      <c r="S136" s="234"/>
      <c r="T136" s="235"/>
      <c r="U136" s="233"/>
      <c r="V136" s="236"/>
      <c r="W136" s="234"/>
      <c r="X136" s="235"/>
      <c r="Y136" s="237"/>
      <c r="Z136" s="238"/>
    </row>
    <row r="137" spans="1:26" s="239" customFormat="1" ht="28.5" customHeight="1" x14ac:dyDescent="0.3">
      <c r="A137" s="222">
        <f t="shared" si="14"/>
        <v>0</v>
      </c>
      <c r="B137" s="223" t="b">
        <f t="shared" si="15"/>
        <v>1</v>
      </c>
      <c r="C137" s="222">
        <f t="shared" si="16"/>
        <v>0</v>
      </c>
      <c r="D137" s="205" t="str">
        <f t="shared" si="17"/>
        <v>$$$$</v>
      </c>
      <c r="E137" s="224"/>
      <c r="F137" s="225"/>
      <c r="G137" s="226"/>
      <c r="H137" s="227"/>
      <c r="I137" s="228"/>
      <c r="J137" s="228"/>
      <c r="K137" s="229"/>
      <c r="L137" s="230"/>
      <c r="M137" s="231"/>
      <c r="N137" s="232"/>
      <c r="O137" s="230"/>
      <c r="P137" s="231"/>
      <c r="Q137" s="232"/>
      <c r="R137" s="233"/>
      <c r="S137" s="234"/>
      <c r="T137" s="235"/>
      <c r="U137" s="233"/>
      <c r="V137" s="236"/>
      <c r="W137" s="234"/>
      <c r="X137" s="235"/>
      <c r="Y137" s="237"/>
      <c r="Z137" s="238"/>
    </row>
    <row r="138" spans="1:26" s="239" customFormat="1" ht="28.5" customHeight="1" x14ac:dyDescent="0.3">
      <c r="A138" s="222">
        <f t="shared" si="14"/>
        <v>0</v>
      </c>
      <c r="B138" s="223" t="b">
        <f t="shared" si="15"/>
        <v>1</v>
      </c>
      <c r="C138" s="222">
        <f t="shared" si="16"/>
        <v>0</v>
      </c>
      <c r="D138" s="205" t="str">
        <f t="shared" si="17"/>
        <v>$$$$</v>
      </c>
      <c r="E138" s="224"/>
      <c r="F138" s="225"/>
      <c r="G138" s="226"/>
      <c r="H138" s="227"/>
      <c r="I138" s="228"/>
      <c r="J138" s="228"/>
      <c r="K138" s="229"/>
      <c r="L138" s="230"/>
      <c r="M138" s="231"/>
      <c r="N138" s="232"/>
      <c r="O138" s="230"/>
      <c r="P138" s="231"/>
      <c r="Q138" s="232"/>
      <c r="R138" s="233"/>
      <c r="S138" s="234"/>
      <c r="T138" s="235"/>
      <c r="U138" s="233"/>
      <c r="V138" s="236"/>
      <c r="W138" s="234"/>
      <c r="X138" s="235"/>
      <c r="Y138" s="237"/>
      <c r="Z138" s="238"/>
    </row>
    <row r="139" spans="1:26" s="239" customFormat="1" ht="28.5" customHeight="1" x14ac:dyDescent="0.3">
      <c r="A139" s="222">
        <f t="shared" si="14"/>
        <v>0</v>
      </c>
      <c r="B139" s="223" t="b">
        <f t="shared" si="15"/>
        <v>1</v>
      </c>
      <c r="C139" s="222">
        <f t="shared" si="16"/>
        <v>0</v>
      </c>
      <c r="D139" s="205" t="str">
        <f t="shared" si="17"/>
        <v>$$$$</v>
      </c>
      <c r="E139" s="224"/>
      <c r="F139" s="225"/>
      <c r="G139" s="226"/>
      <c r="H139" s="227"/>
      <c r="I139" s="228"/>
      <c r="J139" s="228"/>
      <c r="K139" s="229"/>
      <c r="L139" s="230"/>
      <c r="M139" s="231"/>
      <c r="N139" s="232"/>
      <c r="O139" s="230"/>
      <c r="P139" s="231"/>
      <c r="Q139" s="232"/>
      <c r="R139" s="233"/>
      <c r="S139" s="234"/>
      <c r="T139" s="235"/>
      <c r="U139" s="233"/>
      <c r="V139" s="236"/>
      <c r="W139" s="234"/>
      <c r="X139" s="235"/>
      <c r="Y139" s="237"/>
      <c r="Z139" s="238"/>
    </row>
    <row r="140" spans="1:26" s="239" customFormat="1" ht="28.5" customHeight="1" x14ac:dyDescent="0.3">
      <c r="A140" s="222">
        <f t="shared" si="14"/>
        <v>0</v>
      </c>
      <c r="B140" s="223" t="b">
        <f t="shared" si="15"/>
        <v>1</v>
      </c>
      <c r="C140" s="222">
        <f t="shared" si="16"/>
        <v>0</v>
      </c>
      <c r="D140" s="205" t="str">
        <f t="shared" si="17"/>
        <v>$$$$</v>
      </c>
      <c r="E140" s="224"/>
      <c r="F140" s="225"/>
      <c r="G140" s="226"/>
      <c r="H140" s="227"/>
      <c r="I140" s="228"/>
      <c r="J140" s="228"/>
      <c r="K140" s="229"/>
      <c r="L140" s="230"/>
      <c r="M140" s="231"/>
      <c r="N140" s="232"/>
      <c r="O140" s="230"/>
      <c r="P140" s="231"/>
      <c r="Q140" s="232"/>
      <c r="R140" s="233"/>
      <c r="S140" s="234"/>
      <c r="T140" s="235"/>
      <c r="U140" s="233"/>
      <c r="V140" s="236"/>
      <c r="W140" s="234"/>
      <c r="X140" s="235"/>
      <c r="Y140" s="237"/>
      <c r="Z140" s="238"/>
    </row>
    <row r="141" spans="1:26" s="239" customFormat="1" ht="28.5" customHeight="1" x14ac:dyDescent="0.3">
      <c r="A141" s="222">
        <f t="shared" si="14"/>
        <v>0</v>
      </c>
      <c r="B141" s="223" t="b">
        <f t="shared" si="15"/>
        <v>1</v>
      </c>
      <c r="C141" s="222">
        <f t="shared" si="16"/>
        <v>0</v>
      </c>
      <c r="D141" s="205" t="str">
        <f t="shared" si="17"/>
        <v>$$$$</v>
      </c>
      <c r="E141" s="224"/>
      <c r="F141" s="225"/>
      <c r="G141" s="226"/>
      <c r="H141" s="227"/>
      <c r="I141" s="228"/>
      <c r="J141" s="228"/>
      <c r="K141" s="229"/>
      <c r="L141" s="230"/>
      <c r="M141" s="231"/>
      <c r="N141" s="232"/>
      <c r="O141" s="230"/>
      <c r="P141" s="231"/>
      <c r="Q141" s="232"/>
      <c r="R141" s="233"/>
      <c r="S141" s="234"/>
      <c r="T141" s="235"/>
      <c r="U141" s="233"/>
      <c r="V141" s="236"/>
      <c r="W141" s="234"/>
      <c r="X141" s="235"/>
      <c r="Y141" s="237"/>
      <c r="Z141" s="238"/>
    </row>
    <row r="142" spans="1:26" s="239" customFormat="1" ht="28.5" customHeight="1" x14ac:dyDescent="0.3">
      <c r="A142" s="222">
        <f t="shared" si="14"/>
        <v>0</v>
      </c>
      <c r="B142" s="223" t="b">
        <f t="shared" si="15"/>
        <v>1</v>
      </c>
      <c r="C142" s="222">
        <f t="shared" si="16"/>
        <v>0</v>
      </c>
      <c r="D142" s="205" t="str">
        <f t="shared" si="17"/>
        <v>$$$$</v>
      </c>
      <c r="E142" s="224"/>
      <c r="F142" s="225"/>
      <c r="G142" s="226"/>
      <c r="H142" s="227"/>
      <c r="I142" s="228"/>
      <c r="J142" s="228"/>
      <c r="K142" s="229"/>
      <c r="L142" s="230"/>
      <c r="M142" s="231"/>
      <c r="N142" s="232"/>
      <c r="O142" s="230"/>
      <c r="P142" s="231"/>
      <c r="Q142" s="232"/>
      <c r="R142" s="233"/>
      <c r="S142" s="234"/>
      <c r="T142" s="235"/>
      <c r="U142" s="233"/>
      <c r="V142" s="236"/>
      <c r="W142" s="234"/>
      <c r="X142" s="235"/>
      <c r="Y142" s="237"/>
      <c r="Z142" s="238"/>
    </row>
    <row r="143" spans="1:26" s="239" customFormat="1" ht="28.5" customHeight="1" x14ac:dyDescent="0.3">
      <c r="A143" s="222">
        <f t="shared" si="14"/>
        <v>0</v>
      </c>
      <c r="B143" s="223" t="b">
        <f t="shared" si="15"/>
        <v>1</v>
      </c>
      <c r="C143" s="222">
        <f t="shared" si="16"/>
        <v>0</v>
      </c>
      <c r="D143" s="205" t="str">
        <f t="shared" si="17"/>
        <v>$$$$</v>
      </c>
      <c r="E143" s="224"/>
      <c r="F143" s="225"/>
      <c r="G143" s="226"/>
      <c r="H143" s="227"/>
      <c r="I143" s="228"/>
      <c r="J143" s="228"/>
      <c r="K143" s="229"/>
      <c r="L143" s="230"/>
      <c r="M143" s="231"/>
      <c r="N143" s="232"/>
      <c r="O143" s="230"/>
      <c r="P143" s="231"/>
      <c r="Q143" s="232"/>
      <c r="R143" s="233"/>
      <c r="S143" s="234"/>
      <c r="T143" s="235"/>
      <c r="U143" s="233"/>
      <c r="V143" s="236"/>
      <c r="W143" s="234"/>
      <c r="X143" s="235"/>
      <c r="Y143" s="237"/>
      <c r="Z143" s="238"/>
    </row>
    <row r="144" spans="1:26" s="239" customFormat="1" ht="28.5" customHeight="1" x14ac:dyDescent="0.3">
      <c r="A144" s="222">
        <f t="shared" si="14"/>
        <v>0</v>
      </c>
      <c r="B144" s="223" t="b">
        <f t="shared" si="15"/>
        <v>1</v>
      </c>
      <c r="C144" s="222">
        <f t="shared" si="16"/>
        <v>0</v>
      </c>
      <c r="D144" s="205" t="str">
        <f t="shared" si="17"/>
        <v>$$$$</v>
      </c>
      <c r="E144" s="224"/>
      <c r="F144" s="225"/>
      <c r="G144" s="226"/>
      <c r="H144" s="227"/>
      <c r="I144" s="228"/>
      <c r="J144" s="228"/>
      <c r="K144" s="229"/>
      <c r="L144" s="230"/>
      <c r="M144" s="231"/>
      <c r="N144" s="232"/>
      <c r="O144" s="230"/>
      <c r="P144" s="231"/>
      <c r="Q144" s="232"/>
      <c r="R144" s="233"/>
      <c r="S144" s="234"/>
      <c r="T144" s="235"/>
      <c r="U144" s="233"/>
      <c r="V144" s="236"/>
      <c r="W144" s="234"/>
      <c r="X144" s="235"/>
      <c r="Y144" s="237"/>
      <c r="Z144" s="238"/>
    </row>
    <row r="145" spans="1:26" s="239" customFormat="1" ht="28.5" customHeight="1" x14ac:dyDescent="0.3">
      <c r="A145" s="222">
        <f t="shared" si="14"/>
        <v>0</v>
      </c>
      <c r="B145" s="223" t="b">
        <f t="shared" si="15"/>
        <v>1</v>
      </c>
      <c r="C145" s="222">
        <f t="shared" si="16"/>
        <v>0</v>
      </c>
      <c r="D145" s="205" t="str">
        <f t="shared" si="17"/>
        <v>$$$$</v>
      </c>
      <c r="E145" s="224"/>
      <c r="F145" s="225"/>
      <c r="G145" s="226"/>
      <c r="H145" s="227"/>
      <c r="I145" s="228"/>
      <c r="J145" s="228"/>
      <c r="K145" s="229"/>
      <c r="L145" s="230"/>
      <c r="M145" s="231"/>
      <c r="N145" s="232"/>
      <c r="O145" s="230"/>
      <c r="P145" s="231"/>
      <c r="Q145" s="232"/>
      <c r="R145" s="233"/>
      <c r="S145" s="234"/>
      <c r="T145" s="235"/>
      <c r="U145" s="233"/>
      <c r="V145" s="236"/>
      <c r="W145" s="234"/>
      <c r="X145" s="235"/>
      <c r="Y145" s="237"/>
      <c r="Z145" s="238"/>
    </row>
    <row r="146" spans="1:26" s="239" customFormat="1" ht="28.5" customHeight="1" x14ac:dyDescent="0.3">
      <c r="A146" s="222">
        <f t="shared" si="14"/>
        <v>0</v>
      </c>
      <c r="B146" s="223" t="b">
        <f t="shared" si="15"/>
        <v>1</v>
      </c>
      <c r="C146" s="222">
        <f t="shared" si="16"/>
        <v>0</v>
      </c>
      <c r="D146" s="205" t="str">
        <f t="shared" si="17"/>
        <v>$$$$</v>
      </c>
      <c r="E146" s="224"/>
      <c r="F146" s="225"/>
      <c r="G146" s="226"/>
      <c r="H146" s="227"/>
      <c r="I146" s="228"/>
      <c r="J146" s="228"/>
      <c r="K146" s="229"/>
      <c r="L146" s="230"/>
      <c r="M146" s="231"/>
      <c r="N146" s="232"/>
      <c r="O146" s="230"/>
      <c r="P146" s="231"/>
      <c r="Q146" s="232"/>
      <c r="R146" s="233"/>
      <c r="S146" s="234"/>
      <c r="T146" s="235"/>
      <c r="U146" s="233"/>
      <c r="V146" s="236"/>
      <c r="W146" s="234"/>
      <c r="X146" s="235"/>
      <c r="Y146" s="237"/>
      <c r="Z146" s="238"/>
    </row>
    <row r="147" spans="1:26" s="239" customFormat="1" ht="28.5" customHeight="1" x14ac:dyDescent="0.3">
      <c r="A147" s="222">
        <f t="shared" si="14"/>
        <v>0</v>
      </c>
      <c r="B147" s="223" t="b">
        <f t="shared" si="15"/>
        <v>1</v>
      </c>
      <c r="C147" s="222">
        <f t="shared" si="16"/>
        <v>0</v>
      </c>
      <c r="D147" s="205" t="str">
        <f t="shared" si="17"/>
        <v>$$$$</v>
      </c>
      <c r="E147" s="224"/>
      <c r="F147" s="225"/>
      <c r="G147" s="226"/>
      <c r="H147" s="227"/>
      <c r="I147" s="228"/>
      <c r="J147" s="228"/>
      <c r="K147" s="229"/>
      <c r="L147" s="230"/>
      <c r="M147" s="231"/>
      <c r="N147" s="232"/>
      <c r="O147" s="230"/>
      <c r="P147" s="231"/>
      <c r="Q147" s="232"/>
      <c r="R147" s="233"/>
      <c r="S147" s="234"/>
      <c r="T147" s="235"/>
      <c r="U147" s="233"/>
      <c r="V147" s="236"/>
      <c r="W147" s="234"/>
      <c r="X147" s="235"/>
      <c r="Y147" s="237"/>
      <c r="Z147" s="238"/>
    </row>
    <row r="148" spans="1:26" s="239" customFormat="1" ht="28.5" customHeight="1" x14ac:dyDescent="0.3">
      <c r="A148" s="222">
        <f t="shared" si="14"/>
        <v>0</v>
      </c>
      <c r="B148" s="223" t="b">
        <f t="shared" si="15"/>
        <v>1</v>
      </c>
      <c r="C148" s="222">
        <f t="shared" si="16"/>
        <v>0</v>
      </c>
      <c r="D148" s="205" t="str">
        <f t="shared" si="17"/>
        <v>$$$$</v>
      </c>
      <c r="E148" s="224"/>
      <c r="F148" s="225"/>
      <c r="G148" s="226"/>
      <c r="H148" s="227"/>
      <c r="I148" s="228"/>
      <c r="J148" s="228"/>
      <c r="K148" s="229"/>
      <c r="L148" s="230"/>
      <c r="M148" s="231"/>
      <c r="N148" s="232"/>
      <c r="O148" s="230"/>
      <c r="P148" s="231"/>
      <c r="Q148" s="232"/>
      <c r="R148" s="233"/>
      <c r="S148" s="234"/>
      <c r="T148" s="235"/>
      <c r="U148" s="233"/>
      <c r="V148" s="236"/>
      <c r="W148" s="234"/>
      <c r="X148" s="235"/>
      <c r="Y148" s="237"/>
      <c r="Z148" s="238"/>
    </row>
    <row r="149" spans="1:26" s="239" customFormat="1" ht="28.5" customHeight="1" x14ac:dyDescent="0.3">
      <c r="A149" s="222">
        <f t="shared" si="14"/>
        <v>0</v>
      </c>
      <c r="B149" s="223" t="b">
        <f t="shared" si="15"/>
        <v>1</v>
      </c>
      <c r="C149" s="222">
        <f t="shared" si="16"/>
        <v>0</v>
      </c>
      <c r="D149" s="205" t="str">
        <f t="shared" si="17"/>
        <v>$$$$</v>
      </c>
      <c r="E149" s="224"/>
      <c r="F149" s="225"/>
      <c r="G149" s="226"/>
      <c r="H149" s="227"/>
      <c r="I149" s="228"/>
      <c r="J149" s="228"/>
      <c r="K149" s="229"/>
      <c r="L149" s="230"/>
      <c r="M149" s="231"/>
      <c r="N149" s="232"/>
      <c r="O149" s="230"/>
      <c r="P149" s="231"/>
      <c r="Q149" s="232"/>
      <c r="R149" s="233"/>
      <c r="S149" s="234"/>
      <c r="T149" s="235"/>
      <c r="U149" s="233"/>
      <c r="V149" s="236"/>
      <c r="W149" s="234"/>
      <c r="X149" s="235"/>
      <c r="Y149" s="237"/>
      <c r="Z149" s="238"/>
    </row>
    <row r="150" spans="1:26" s="239" customFormat="1" ht="28.5" customHeight="1" x14ac:dyDescent="0.3">
      <c r="A150" s="222">
        <f t="shared" si="14"/>
        <v>0</v>
      </c>
      <c r="B150" s="223" t="b">
        <f t="shared" si="15"/>
        <v>1</v>
      </c>
      <c r="C150" s="222">
        <f t="shared" si="16"/>
        <v>0</v>
      </c>
      <c r="D150" s="205" t="str">
        <f t="shared" si="17"/>
        <v>$$$$</v>
      </c>
      <c r="E150" s="224"/>
      <c r="F150" s="225"/>
      <c r="G150" s="226"/>
      <c r="H150" s="227"/>
      <c r="I150" s="228"/>
      <c r="J150" s="228"/>
      <c r="K150" s="229"/>
      <c r="L150" s="230"/>
      <c r="M150" s="231"/>
      <c r="N150" s="232"/>
      <c r="O150" s="230"/>
      <c r="P150" s="231"/>
      <c r="Q150" s="232"/>
      <c r="R150" s="233"/>
      <c r="S150" s="234"/>
      <c r="T150" s="235"/>
      <c r="U150" s="233"/>
      <c r="V150" s="236"/>
      <c r="W150" s="234"/>
      <c r="X150" s="235"/>
      <c r="Y150" s="237"/>
      <c r="Z150" s="238"/>
    </row>
    <row r="151" spans="1:26" s="239" customFormat="1" ht="28.5" customHeight="1" x14ac:dyDescent="0.3">
      <c r="A151" s="222">
        <f t="shared" ref="A151:A154" si="18">IF(B151,0,MATCH(H151,ВидыНагр,0))</f>
        <v>0</v>
      </c>
      <c r="B151" s="223" t="b">
        <f t="shared" ref="B151:B154" si="19">(COUNTIF(КлючОсень,D151)&lt;&gt;1)</f>
        <v>1</v>
      </c>
      <c r="C151" s="222">
        <f t="shared" ref="C151:C158" si="20">IF(COUNTA(E151:K151,Z151)&gt;0,1,0)+IF(COUNTA(L151:Y151)&gt;0,2,0)</f>
        <v>0</v>
      </c>
      <c r="D151" s="205" t="str">
        <f t="shared" si="17"/>
        <v>$$$$</v>
      </c>
      <c r="E151" s="224"/>
      <c r="F151" s="225"/>
      <c r="G151" s="226"/>
      <c r="H151" s="227"/>
      <c r="I151" s="228"/>
      <c r="J151" s="228"/>
      <c r="K151" s="229"/>
      <c r="L151" s="230"/>
      <c r="M151" s="231"/>
      <c r="N151" s="232"/>
      <c r="O151" s="230"/>
      <c r="P151" s="231"/>
      <c r="Q151" s="232"/>
      <c r="R151" s="233"/>
      <c r="S151" s="234"/>
      <c r="T151" s="235"/>
      <c r="U151" s="233"/>
      <c r="V151" s="236"/>
      <c r="W151" s="234"/>
      <c r="X151" s="235"/>
      <c r="Y151" s="237"/>
      <c r="Z151" s="238"/>
    </row>
    <row r="152" spans="1:26" s="239" customFormat="1" ht="28.5" customHeight="1" x14ac:dyDescent="0.3">
      <c r="A152" s="222">
        <f t="shared" si="18"/>
        <v>0</v>
      </c>
      <c r="B152" s="223" t="b">
        <f t="shared" si="19"/>
        <v>1</v>
      </c>
      <c r="C152" s="222">
        <f t="shared" si="20"/>
        <v>0</v>
      </c>
      <c r="D152" s="205" t="str">
        <f t="shared" si="17"/>
        <v>$$$$</v>
      </c>
      <c r="E152" s="224"/>
      <c r="F152" s="225"/>
      <c r="G152" s="226"/>
      <c r="H152" s="227"/>
      <c r="I152" s="228"/>
      <c r="J152" s="228"/>
      <c r="K152" s="229"/>
      <c r="L152" s="230"/>
      <c r="M152" s="231"/>
      <c r="N152" s="232"/>
      <c r="O152" s="230"/>
      <c r="P152" s="231"/>
      <c r="Q152" s="232"/>
      <c r="R152" s="233"/>
      <c r="S152" s="234"/>
      <c r="T152" s="235"/>
      <c r="U152" s="233"/>
      <c r="V152" s="236"/>
      <c r="W152" s="234"/>
      <c r="X152" s="235"/>
      <c r="Y152" s="237"/>
      <c r="Z152" s="238"/>
    </row>
    <row r="153" spans="1:26" s="239" customFormat="1" ht="28.5" customHeight="1" x14ac:dyDescent="0.3">
      <c r="A153" s="222">
        <f t="shared" si="18"/>
        <v>0</v>
      </c>
      <c r="B153" s="223" t="b">
        <f t="shared" si="19"/>
        <v>1</v>
      </c>
      <c r="C153" s="222">
        <f t="shared" si="20"/>
        <v>0</v>
      </c>
      <c r="D153" s="205" t="str">
        <f t="shared" si="17"/>
        <v>$$$$</v>
      </c>
      <c r="E153" s="224"/>
      <c r="F153" s="225"/>
      <c r="G153" s="226"/>
      <c r="H153" s="227"/>
      <c r="I153" s="228"/>
      <c r="J153" s="228"/>
      <c r="K153" s="229"/>
      <c r="L153" s="230"/>
      <c r="M153" s="231"/>
      <c r="N153" s="232"/>
      <c r="O153" s="230"/>
      <c r="P153" s="231"/>
      <c r="Q153" s="232"/>
      <c r="R153" s="233"/>
      <c r="S153" s="234"/>
      <c r="T153" s="235"/>
      <c r="U153" s="233"/>
      <c r="V153" s="236"/>
      <c r="W153" s="234"/>
      <c r="X153" s="235"/>
      <c r="Y153" s="237"/>
      <c r="Z153" s="238"/>
    </row>
    <row r="154" spans="1:26" s="239" customFormat="1" ht="28.5" customHeight="1" x14ac:dyDescent="0.3">
      <c r="A154" s="222">
        <f t="shared" si="18"/>
        <v>0</v>
      </c>
      <c r="B154" s="223" t="b">
        <f t="shared" si="19"/>
        <v>1</v>
      </c>
      <c r="C154" s="222">
        <f t="shared" si="20"/>
        <v>0</v>
      </c>
      <c r="D154" s="205" t="str">
        <f t="shared" si="17"/>
        <v>$$$$</v>
      </c>
      <c r="E154" s="224"/>
      <c r="F154" s="225"/>
      <c r="G154" s="226"/>
      <c r="H154" s="227"/>
      <c r="I154" s="228"/>
      <c r="J154" s="228"/>
      <c r="K154" s="229"/>
      <c r="L154" s="230"/>
      <c r="M154" s="231"/>
      <c r="N154" s="232"/>
      <c r="O154" s="230"/>
      <c r="P154" s="231"/>
      <c r="Q154" s="232"/>
      <c r="R154" s="233"/>
      <c r="S154" s="234"/>
      <c r="T154" s="235"/>
      <c r="U154" s="233"/>
      <c r="V154" s="236"/>
      <c r="W154" s="234"/>
      <c r="X154" s="235"/>
      <c r="Y154" s="237"/>
      <c r="Z154" s="238"/>
    </row>
    <row r="155" spans="1:26" s="239" customFormat="1" ht="28.5" customHeight="1" x14ac:dyDescent="0.3">
      <c r="A155" s="222">
        <f>IF(B155,0,MATCH(H155,ВидыНагр,0))</f>
        <v>0</v>
      </c>
      <c r="B155" s="223" t="b">
        <f>(COUNTIF(КлючОсень,D155)&lt;&gt;1)</f>
        <v>1</v>
      </c>
      <c r="C155" s="222">
        <f t="shared" si="20"/>
        <v>0</v>
      </c>
      <c r="D155" s="205" t="str">
        <f>CONCATENATE("$",TRIM(F155),"$",TRIM(G155),"$",H155,"$")</f>
        <v>$$$$</v>
      </c>
      <c r="E155" s="224"/>
      <c r="F155" s="225"/>
      <c r="G155" s="226"/>
      <c r="H155" s="227"/>
      <c r="I155" s="228"/>
      <c r="J155" s="228"/>
      <c r="K155" s="229"/>
      <c r="L155" s="230"/>
      <c r="M155" s="231"/>
      <c r="N155" s="232"/>
      <c r="O155" s="230"/>
      <c r="P155" s="231"/>
      <c r="Q155" s="232"/>
      <c r="R155" s="233"/>
      <c r="S155" s="234"/>
      <c r="T155" s="235"/>
      <c r="U155" s="233"/>
      <c r="V155" s="236"/>
      <c r="W155" s="234"/>
      <c r="X155" s="235"/>
      <c r="Y155" s="237"/>
      <c r="Z155" s="238"/>
    </row>
    <row r="156" spans="1:26" s="239" customFormat="1" ht="28.5" customHeight="1" x14ac:dyDescent="0.3">
      <c r="A156" s="222">
        <f>IF(B156,0,MATCH(H156,ВидыНагр,0))</f>
        <v>0</v>
      </c>
      <c r="B156" s="223" t="b">
        <f>(COUNTIF(КлючОсень,D156)&lt;&gt;1)</f>
        <v>1</v>
      </c>
      <c r="C156" s="222">
        <f t="shared" si="20"/>
        <v>0</v>
      </c>
      <c r="D156" s="205" t="str">
        <f>CONCATENATE("$",TRIM(F156),"$",TRIM(G156),"$",H156,"$")</f>
        <v>$$$$</v>
      </c>
      <c r="E156" s="224"/>
      <c r="F156" s="225"/>
      <c r="G156" s="226"/>
      <c r="H156" s="227"/>
      <c r="I156" s="228"/>
      <c r="J156" s="228"/>
      <c r="K156" s="229"/>
      <c r="L156" s="230"/>
      <c r="M156" s="231"/>
      <c r="N156" s="232"/>
      <c r="O156" s="230"/>
      <c r="P156" s="231"/>
      <c r="Q156" s="232"/>
      <c r="R156" s="233"/>
      <c r="S156" s="234"/>
      <c r="T156" s="235"/>
      <c r="U156" s="233"/>
      <c r="V156" s="236"/>
      <c r="W156" s="234"/>
      <c r="X156" s="235"/>
      <c r="Y156" s="237"/>
      <c r="Z156" s="238"/>
    </row>
    <row r="157" spans="1:26" s="239" customFormat="1" ht="28.5" customHeight="1" x14ac:dyDescent="0.3">
      <c r="A157" s="222">
        <f t="shared" ref="A157:A158" si="21">IF(B157,0,MATCH(H157,ВидыНагр,0))</f>
        <v>0</v>
      </c>
      <c r="B157" s="223" t="b">
        <f t="shared" ref="B157:B158" si="22">(COUNTIF(КлючОсень,D157)&lt;&gt;1)</f>
        <v>1</v>
      </c>
      <c r="C157" s="222">
        <f t="shared" si="20"/>
        <v>0</v>
      </c>
      <c r="D157" s="205" t="str">
        <f t="shared" ref="D157:D158" si="23">CONCATENATE("$",TRIM(F157),"$",TRIM(G157),"$",H157,"$")</f>
        <v>$$$$</v>
      </c>
      <c r="E157" s="224"/>
      <c r="F157" s="225"/>
      <c r="G157" s="226"/>
      <c r="H157" s="227"/>
      <c r="I157" s="228"/>
      <c r="J157" s="228"/>
      <c r="K157" s="229"/>
      <c r="L157" s="230"/>
      <c r="M157" s="231"/>
      <c r="N157" s="232"/>
      <c r="O157" s="230"/>
      <c r="P157" s="231"/>
      <c r="Q157" s="232"/>
      <c r="R157" s="233"/>
      <c r="S157" s="234"/>
      <c r="T157" s="235"/>
      <c r="U157" s="233"/>
      <c r="V157" s="236"/>
      <c r="W157" s="234"/>
      <c r="X157" s="235"/>
      <c r="Y157" s="237"/>
      <c r="Z157" s="238"/>
    </row>
    <row r="158" spans="1:26" s="239" customFormat="1" ht="28.5" customHeight="1" x14ac:dyDescent="0.3">
      <c r="A158" s="222">
        <f t="shared" si="21"/>
        <v>0</v>
      </c>
      <c r="B158" s="223" t="b">
        <f t="shared" si="22"/>
        <v>1</v>
      </c>
      <c r="C158" s="222">
        <f t="shared" si="20"/>
        <v>0</v>
      </c>
      <c r="D158" s="205" t="str">
        <f t="shared" si="23"/>
        <v>$$$$</v>
      </c>
      <c r="E158" s="224"/>
      <c r="F158" s="225"/>
      <c r="G158" s="226"/>
      <c r="H158" s="227"/>
      <c r="I158" s="228"/>
      <c r="J158" s="228"/>
      <c r="K158" s="229"/>
      <c r="L158" s="230"/>
      <c r="M158" s="231"/>
      <c r="N158" s="232"/>
      <c r="O158" s="230"/>
      <c r="P158" s="231"/>
      <c r="Q158" s="232"/>
      <c r="R158" s="233"/>
      <c r="S158" s="234"/>
      <c r="T158" s="235"/>
      <c r="U158" s="233"/>
      <c r="V158" s="236"/>
      <c r="W158" s="234"/>
      <c r="X158" s="235"/>
      <c r="Y158" s="237"/>
      <c r="Z158" s="238"/>
    </row>
    <row r="159" spans="1:26" s="239" customFormat="1" ht="28.5" customHeight="1" x14ac:dyDescent="0.3">
      <c r="A159" s="222">
        <f t="shared" si="14"/>
        <v>0</v>
      </c>
      <c r="B159" s="223" t="b">
        <f t="shared" si="15"/>
        <v>1</v>
      </c>
      <c r="C159" s="222">
        <f t="shared" si="16"/>
        <v>0</v>
      </c>
      <c r="D159" s="205" t="str">
        <f t="shared" si="13"/>
        <v>$$$$</v>
      </c>
      <c r="E159" s="224"/>
      <c r="F159" s="225"/>
      <c r="G159" s="226"/>
      <c r="H159" s="227"/>
      <c r="I159" s="228"/>
      <c r="J159" s="228"/>
      <c r="K159" s="229"/>
      <c r="L159" s="230"/>
      <c r="M159" s="231"/>
      <c r="N159" s="232"/>
      <c r="O159" s="230"/>
      <c r="P159" s="231"/>
      <c r="Q159" s="232"/>
      <c r="R159" s="233"/>
      <c r="S159" s="234"/>
      <c r="T159" s="235"/>
      <c r="U159" s="233"/>
      <c r="V159" s="236"/>
      <c r="W159" s="234"/>
      <c r="X159" s="235"/>
      <c r="Y159" s="237"/>
      <c r="Z159" s="238"/>
    </row>
    <row r="160" spans="1:26" x14ac:dyDescent="0.3">
      <c r="D160" s="1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</row>
  </sheetData>
  <sheetProtection algorithmName="SHA-512" hashValue="min7QjNs2W0d/vOifCyXWSG+sqHTo/tyk10IRxmN5DH1vudK4N1pSuJw6Bn1DgipJ0f+JNN0GoduFNxmdE4W+g==" saltValue="nMlNO8oP+TXBKbCtHlBhEQ==" spinCount="100000" sheet="1" objects="1" scenarios="1"/>
  <mergeCells count="5">
    <mergeCell ref="F2:F5"/>
    <mergeCell ref="G2:G5"/>
    <mergeCell ref="I2:J2"/>
    <mergeCell ref="I3:J3"/>
    <mergeCell ref="I4:J4"/>
  </mergeCells>
  <phoneticPr fontId="0" type="noConversion"/>
  <conditionalFormatting sqref="E7:Z159">
    <cfRule type="expression" dxfId="65" priority="3" stopIfTrue="1">
      <formula>($C7=0)</formula>
    </cfRule>
  </conditionalFormatting>
  <conditionalFormatting sqref="F7:H159">
    <cfRule type="expression" dxfId="64" priority="4" stopIfTrue="1">
      <formula>$B7</formula>
    </cfRule>
  </conditionalFormatting>
  <conditionalFormatting sqref="L6:Y6">
    <cfRule type="cellIs" dxfId="63" priority="1" stopIfTrue="1" operator="notEqual">
      <formula>0</formula>
    </cfRule>
  </conditionalFormatting>
  <conditionalFormatting sqref="F6:H6">
    <cfRule type="expression" dxfId="62" priority="2" stopIfTrue="1">
      <formula>$G$6&lt;&gt;0</formula>
    </cfRule>
  </conditionalFormatting>
  <conditionalFormatting sqref="L7:Y159">
    <cfRule type="expression" dxfId="61" priority="5" stopIfTrue="1">
      <formula>AND(NOT($B7),$C7&lt;2)</formula>
    </cfRule>
    <cfRule type="expression" dxfId="60" priority="6" stopIfTrue="1">
      <formula>AND($B7,L7&lt;&gt;0)</formula>
    </cfRule>
  </conditionalFormatting>
  <dataValidations count="4">
    <dataValidation type="list" allowBlank="1" showInputMessage="1" sqref="F7:F159">
      <formula1>OFFSET(ДисциплиныОсень,0,0,ДисциплиныОсеньКол,1)</formula1>
    </dataValidation>
    <dataValidation type="list" allowBlank="1" showInputMessage="1" sqref="G7:G159">
      <formula1>OFFSET(ГруппыОсень,0,0,ГруппыОсеньКол,1)</formula1>
    </dataValidation>
    <dataValidation type="list" allowBlank="1" showInputMessage="1" sqref="H7:H159">
      <formula1>ВидыНагр</formula1>
    </dataValidation>
    <dataValidation type="whole" allowBlank="1" showInputMessage="1" showErrorMessage="1" sqref="E7:E159">
      <formula1>1</formula1>
      <formula2>31</formula2>
    </dataValidation>
  </dataValidations>
  <printOptions horizontalCentered="1"/>
  <pageMargins left="0.39370078740157483" right="0.39370078740157483" top="1.1811023622047245" bottom="0.59055118110236227" header="0.98425196850393704" footer="0.39370078740157483"/>
  <pageSetup paperSize="9" scale="63" fitToHeight="10" orientation="landscape" r:id="rId1"/>
  <headerFooter>
    <oddHeader>&amp;L&amp;F&amp;C&amp;"Open Sans,полужирный"Месяц &amp;A &amp;"Open Sans,обычный"(с. &amp;P из &amp;N)&amp;R&amp;D  &amp;T</oddHeader>
  </headerFooter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2">
    <tabColor rgb="FFFFFF66"/>
    <outlinePr summaryBelow="0" summaryRight="0"/>
    <pageSetUpPr fitToPage="1"/>
  </sheetPr>
  <dimension ref="A1:Z160"/>
  <sheetViews>
    <sheetView zoomScale="85" zoomScaleNormal="100" workbookViewId="0">
      <pane xSplit="8" ySplit="6" topLeftCell="I7" activePane="bottomRight" state="frozen"/>
      <selection activeCell="E7" sqref="E7"/>
      <selection pane="topRight" activeCell="E7" sqref="E7"/>
      <selection pane="bottomLeft" activeCell="E7" sqref="E7"/>
      <selection pane="bottomRight" activeCell="E7" sqref="E7"/>
    </sheetView>
  </sheetViews>
  <sheetFormatPr defaultRowHeight="14.25" x14ac:dyDescent="0.3"/>
  <cols>
    <col min="1" max="3" width="4.7109375" style="4" hidden="1" customWidth="1"/>
    <col min="4" max="4" width="30.7109375" style="240" hidden="1" customWidth="1"/>
    <col min="5" max="5" width="4.7109375" style="167" customWidth="1"/>
    <col min="6" max="6" width="32.7109375" style="241" customWidth="1"/>
    <col min="7" max="7" width="18.7109375" style="241" customWidth="1"/>
    <col min="8" max="8" width="6.7109375" style="241" customWidth="1"/>
    <col min="9" max="10" width="4.7109375" style="241" customWidth="1"/>
    <col min="11" max="11" width="40.7109375" style="242" customWidth="1"/>
    <col min="12" max="25" width="6.85546875" style="167" customWidth="1"/>
    <col min="26" max="26" width="30.7109375" style="2" customWidth="1"/>
    <col min="27" max="27" width="2.7109375" style="2" customWidth="1"/>
    <col min="28" max="16384" width="9.140625" style="2"/>
  </cols>
  <sheetData>
    <row r="1" spans="1:26" ht="112.5" customHeight="1" x14ac:dyDescent="0.3">
      <c r="A1" s="169" t="s">
        <v>77</v>
      </c>
      <c r="B1" s="169" t="s">
        <v>114</v>
      </c>
      <c r="C1" s="169" t="s">
        <v>113</v>
      </c>
      <c r="D1" s="191" t="s">
        <v>76</v>
      </c>
      <c r="E1" s="192" t="s">
        <v>116</v>
      </c>
      <c r="F1" s="193" t="s">
        <v>69</v>
      </c>
      <c r="G1" s="194" t="s">
        <v>100</v>
      </c>
      <c r="H1" s="195" t="s">
        <v>109</v>
      </c>
      <c r="I1" s="196" t="s">
        <v>102</v>
      </c>
      <c r="J1" s="197" t="s">
        <v>85</v>
      </c>
      <c r="K1" s="198" t="s">
        <v>81</v>
      </c>
      <c r="L1" s="199" t="s">
        <v>0</v>
      </c>
      <c r="M1" s="200" t="s">
        <v>68</v>
      </c>
      <c r="N1" s="195" t="s">
        <v>3</v>
      </c>
      <c r="O1" s="201" t="s">
        <v>1</v>
      </c>
      <c r="P1" s="200" t="s">
        <v>4</v>
      </c>
      <c r="Q1" s="195" t="s">
        <v>62</v>
      </c>
      <c r="R1" s="199" t="s">
        <v>252</v>
      </c>
      <c r="S1" s="202" t="s">
        <v>2</v>
      </c>
      <c r="T1" s="195" t="s">
        <v>205</v>
      </c>
      <c r="U1" s="201" t="s">
        <v>253</v>
      </c>
      <c r="V1" s="199" t="s">
        <v>254</v>
      </c>
      <c r="W1" s="202" t="s">
        <v>70</v>
      </c>
      <c r="X1" s="195" t="s">
        <v>138</v>
      </c>
      <c r="Y1" s="196" t="s">
        <v>5</v>
      </c>
      <c r="Z1" s="203" t="s">
        <v>29</v>
      </c>
    </row>
    <row r="2" spans="1:26" ht="17.100000000000001" customHeight="1" x14ac:dyDescent="0.3">
      <c r="A2" s="204">
        <f>MATCH(H2,ВидыНагр,0)</f>
        <v>1</v>
      </c>
      <c r="B2" s="204"/>
      <c r="C2" s="204"/>
      <c r="D2" s="205"/>
      <c r="E2" s="206"/>
      <c r="F2" s="390" t="s">
        <v>134</v>
      </c>
      <c r="G2" s="393">
        <f>SUM(L5:Y5)</f>
        <v>0</v>
      </c>
      <c r="H2" s="288" t="s">
        <v>111</v>
      </c>
      <c r="I2" s="396">
        <f>SUM(L2:Y2)</f>
        <v>0</v>
      </c>
      <c r="J2" s="397"/>
      <c r="K2" s="289"/>
      <c r="L2" s="58">
        <f t="shared" ref="L2:Y4" si="0">SUMIF($A$7:$A$159,$A2,L$7:L$159)</f>
        <v>0</v>
      </c>
      <c r="M2" s="59">
        <f t="shared" si="0"/>
        <v>0</v>
      </c>
      <c r="N2" s="60">
        <f t="shared" si="0"/>
        <v>0</v>
      </c>
      <c r="O2" s="58">
        <f t="shared" si="0"/>
        <v>0</v>
      </c>
      <c r="P2" s="59">
        <f t="shared" si="0"/>
        <v>0</v>
      </c>
      <c r="Q2" s="60">
        <f t="shared" si="0"/>
        <v>0</v>
      </c>
      <c r="R2" s="58">
        <f t="shared" si="0"/>
        <v>0</v>
      </c>
      <c r="S2" s="62">
        <f t="shared" si="0"/>
        <v>0</v>
      </c>
      <c r="T2" s="60">
        <f t="shared" si="0"/>
        <v>0</v>
      </c>
      <c r="U2" s="58">
        <f t="shared" si="0"/>
        <v>0</v>
      </c>
      <c r="V2" s="61">
        <f t="shared" si="0"/>
        <v>0</v>
      </c>
      <c r="W2" s="62">
        <f t="shared" si="0"/>
        <v>0</v>
      </c>
      <c r="X2" s="60">
        <f t="shared" si="0"/>
        <v>0</v>
      </c>
      <c r="Y2" s="41">
        <f t="shared" si="0"/>
        <v>0</v>
      </c>
      <c r="Z2" s="207"/>
    </row>
    <row r="3" spans="1:26" ht="17.100000000000001" customHeight="1" x14ac:dyDescent="0.3">
      <c r="A3" s="204">
        <f>MATCH(H3,ВидыНагр,0)</f>
        <v>2</v>
      </c>
      <c r="B3" s="204"/>
      <c r="C3" s="204"/>
      <c r="D3" s="205"/>
      <c r="E3" s="208"/>
      <c r="F3" s="391"/>
      <c r="G3" s="394"/>
      <c r="H3" s="290" t="s">
        <v>112</v>
      </c>
      <c r="I3" s="398">
        <f>SUM(L3:Y3)</f>
        <v>0</v>
      </c>
      <c r="J3" s="399"/>
      <c r="K3" s="291"/>
      <c r="L3" s="58">
        <f t="shared" si="0"/>
        <v>0</v>
      </c>
      <c r="M3" s="59">
        <f t="shared" si="0"/>
        <v>0</v>
      </c>
      <c r="N3" s="60">
        <f t="shared" si="0"/>
        <v>0</v>
      </c>
      <c r="O3" s="58">
        <f t="shared" si="0"/>
        <v>0</v>
      </c>
      <c r="P3" s="59">
        <f t="shared" si="0"/>
        <v>0</v>
      </c>
      <c r="Q3" s="60">
        <f t="shared" si="0"/>
        <v>0</v>
      </c>
      <c r="R3" s="58">
        <f t="shared" si="0"/>
        <v>0</v>
      </c>
      <c r="S3" s="62">
        <f t="shared" si="0"/>
        <v>0</v>
      </c>
      <c r="T3" s="60">
        <f t="shared" si="0"/>
        <v>0</v>
      </c>
      <c r="U3" s="58">
        <f t="shared" si="0"/>
        <v>0</v>
      </c>
      <c r="V3" s="61">
        <f t="shared" si="0"/>
        <v>0</v>
      </c>
      <c r="W3" s="62">
        <f t="shared" si="0"/>
        <v>0</v>
      </c>
      <c r="X3" s="60">
        <f t="shared" si="0"/>
        <v>0</v>
      </c>
      <c r="Y3" s="41">
        <f t="shared" si="0"/>
        <v>0</v>
      </c>
      <c r="Z3" s="207"/>
    </row>
    <row r="4" spans="1:26" ht="17.100000000000001" customHeight="1" x14ac:dyDescent="0.3">
      <c r="A4" s="204">
        <f>MATCH(H4,ВидыНагр,0)</f>
        <v>3</v>
      </c>
      <c r="B4" s="204"/>
      <c r="C4" s="204"/>
      <c r="D4" s="205"/>
      <c r="E4" s="208"/>
      <c r="F4" s="391"/>
      <c r="G4" s="394"/>
      <c r="H4" s="292" t="s">
        <v>115</v>
      </c>
      <c r="I4" s="400">
        <f>SUM(L4:Y4)</f>
        <v>0</v>
      </c>
      <c r="J4" s="401"/>
      <c r="K4" s="293"/>
      <c r="L4" s="209">
        <f t="shared" si="0"/>
        <v>0</v>
      </c>
      <c r="M4" s="210">
        <f t="shared" si="0"/>
        <v>0</v>
      </c>
      <c r="N4" s="211">
        <f t="shared" si="0"/>
        <v>0</v>
      </c>
      <c r="O4" s="209">
        <f t="shared" si="0"/>
        <v>0</v>
      </c>
      <c r="P4" s="210">
        <f t="shared" si="0"/>
        <v>0</v>
      </c>
      <c r="Q4" s="211">
        <f t="shared" si="0"/>
        <v>0</v>
      </c>
      <c r="R4" s="209">
        <f t="shared" si="0"/>
        <v>0</v>
      </c>
      <c r="S4" s="212">
        <f t="shared" si="0"/>
        <v>0</v>
      </c>
      <c r="T4" s="211">
        <f t="shared" si="0"/>
        <v>0</v>
      </c>
      <c r="U4" s="209">
        <f t="shared" si="0"/>
        <v>0</v>
      </c>
      <c r="V4" s="213">
        <f t="shared" si="0"/>
        <v>0</v>
      </c>
      <c r="W4" s="212">
        <f t="shared" si="0"/>
        <v>0</v>
      </c>
      <c r="X4" s="211">
        <f t="shared" si="0"/>
        <v>0</v>
      </c>
      <c r="Y4" s="69">
        <f t="shared" si="0"/>
        <v>0</v>
      </c>
      <c r="Z4" s="207"/>
    </row>
    <row r="5" spans="1:26" ht="17.100000000000001" customHeight="1" x14ac:dyDescent="0.3">
      <c r="A5" s="204"/>
      <c r="B5" s="204"/>
      <c r="C5" s="204"/>
      <c r="D5" s="205"/>
      <c r="E5" s="208"/>
      <c r="F5" s="392"/>
      <c r="G5" s="395"/>
      <c r="H5" s="294" t="s">
        <v>6</v>
      </c>
      <c r="I5" s="295"/>
      <c r="J5" s="296"/>
      <c r="K5" s="297"/>
      <c r="L5" s="298">
        <f>SUM(L2:L4)</f>
        <v>0</v>
      </c>
      <c r="M5" s="299">
        <f t="shared" ref="M5:Y5" si="1">SUM(M2:M4)</f>
        <v>0</v>
      </c>
      <c r="N5" s="300">
        <f t="shared" si="1"/>
        <v>0</v>
      </c>
      <c r="O5" s="298">
        <f t="shared" si="1"/>
        <v>0</v>
      </c>
      <c r="P5" s="299">
        <f t="shared" si="1"/>
        <v>0</v>
      </c>
      <c r="Q5" s="300">
        <f t="shared" si="1"/>
        <v>0</v>
      </c>
      <c r="R5" s="298">
        <f t="shared" si="1"/>
        <v>0</v>
      </c>
      <c r="S5" s="301">
        <f t="shared" si="1"/>
        <v>0</v>
      </c>
      <c r="T5" s="300">
        <f t="shared" si="1"/>
        <v>0</v>
      </c>
      <c r="U5" s="298">
        <f t="shared" si="1"/>
        <v>0</v>
      </c>
      <c r="V5" s="302">
        <f t="shared" si="1"/>
        <v>0</v>
      </c>
      <c r="W5" s="301">
        <f t="shared" si="1"/>
        <v>0</v>
      </c>
      <c r="X5" s="300">
        <f t="shared" si="1"/>
        <v>0</v>
      </c>
      <c r="Y5" s="303">
        <f t="shared" si="1"/>
        <v>0</v>
      </c>
      <c r="Z5" s="214">
        <f>Утв_Осень</f>
        <v>0</v>
      </c>
    </row>
    <row r="6" spans="1:26" ht="17.100000000000001" customHeight="1" x14ac:dyDescent="0.3">
      <c r="A6" s="204"/>
      <c r="B6" s="204"/>
      <c r="C6" s="204"/>
      <c r="D6" s="205"/>
      <c r="E6" s="215"/>
      <c r="F6" s="304" t="s">
        <v>82</v>
      </c>
      <c r="G6" s="305">
        <f>SUM(L6:Y6)</f>
        <v>0</v>
      </c>
      <c r="H6" s="306"/>
      <c r="I6" s="307"/>
      <c r="J6" s="308"/>
      <c r="K6" s="297"/>
      <c r="L6" s="216">
        <f t="shared" ref="L6:Y6" si="2">SUM(L7:L159)-L5</f>
        <v>0</v>
      </c>
      <c r="M6" s="217">
        <f t="shared" si="2"/>
        <v>0</v>
      </c>
      <c r="N6" s="218">
        <f t="shared" si="2"/>
        <v>0</v>
      </c>
      <c r="O6" s="216">
        <f t="shared" si="2"/>
        <v>0</v>
      </c>
      <c r="P6" s="217">
        <f t="shared" si="2"/>
        <v>0</v>
      </c>
      <c r="Q6" s="218">
        <f t="shared" si="2"/>
        <v>0</v>
      </c>
      <c r="R6" s="216">
        <f t="shared" si="2"/>
        <v>0</v>
      </c>
      <c r="S6" s="219">
        <f t="shared" si="2"/>
        <v>0</v>
      </c>
      <c r="T6" s="218">
        <f t="shared" si="2"/>
        <v>0</v>
      </c>
      <c r="U6" s="216">
        <f t="shared" si="2"/>
        <v>0</v>
      </c>
      <c r="V6" s="220">
        <f t="shared" si="2"/>
        <v>0</v>
      </c>
      <c r="W6" s="219">
        <f t="shared" si="2"/>
        <v>0</v>
      </c>
      <c r="X6" s="218">
        <f t="shared" si="2"/>
        <v>0</v>
      </c>
      <c r="Y6" s="216">
        <f t="shared" si="2"/>
        <v>0</v>
      </c>
      <c r="Z6" s="221"/>
    </row>
    <row r="7" spans="1:26" s="239" customFormat="1" ht="28.5" customHeight="1" x14ac:dyDescent="0.3">
      <c r="A7" s="222">
        <f t="shared" ref="A7:A38" si="3">IF(B7,0,MATCH(H7,ВидыНагр,0))</f>
        <v>0</v>
      </c>
      <c r="B7" s="223" t="b">
        <f t="shared" ref="B7:B38" si="4">(COUNTIF(КлючОсень,D7)&lt;&gt;1)</f>
        <v>1</v>
      </c>
      <c r="C7" s="222">
        <f t="shared" ref="C7:C38" si="5">IF(COUNTA(E7:K7,Z7)&gt;0,1,0)+IF(COUNTA(L7:Y7)&gt;0,2,0)</f>
        <v>0</v>
      </c>
      <c r="D7" s="205" t="str">
        <f>CONCATENATE("$",TRIM(F7),"$",TRIM(G7),"$",H7,"$")</f>
        <v>$$$$</v>
      </c>
      <c r="E7" s="224"/>
      <c r="F7" s="225"/>
      <c r="G7" s="226"/>
      <c r="H7" s="227"/>
      <c r="I7" s="228"/>
      <c r="J7" s="228"/>
      <c r="K7" s="229"/>
      <c r="L7" s="230"/>
      <c r="M7" s="231"/>
      <c r="N7" s="232"/>
      <c r="O7" s="230"/>
      <c r="P7" s="231"/>
      <c r="Q7" s="232"/>
      <c r="R7" s="233"/>
      <c r="S7" s="234"/>
      <c r="T7" s="235"/>
      <c r="U7" s="233"/>
      <c r="V7" s="236"/>
      <c r="W7" s="234"/>
      <c r="X7" s="235"/>
      <c r="Y7" s="237"/>
      <c r="Z7" s="238"/>
    </row>
    <row r="8" spans="1:26" s="239" customFormat="1" ht="28.5" customHeight="1" x14ac:dyDescent="0.3">
      <c r="A8" s="222">
        <f t="shared" si="3"/>
        <v>0</v>
      </c>
      <c r="B8" s="223" t="b">
        <f t="shared" si="4"/>
        <v>1</v>
      </c>
      <c r="C8" s="222">
        <f t="shared" si="5"/>
        <v>0</v>
      </c>
      <c r="D8" s="205" t="str">
        <f t="shared" ref="D8:D71" si="6">CONCATENATE("$",TRIM(F8),"$",TRIM(G8),"$",H8,"$")</f>
        <v>$$$$</v>
      </c>
      <c r="E8" s="224"/>
      <c r="F8" s="225"/>
      <c r="G8" s="226"/>
      <c r="H8" s="227"/>
      <c r="I8" s="228"/>
      <c r="J8" s="228"/>
      <c r="K8" s="229"/>
      <c r="L8" s="230"/>
      <c r="M8" s="231"/>
      <c r="N8" s="232"/>
      <c r="O8" s="230"/>
      <c r="P8" s="231"/>
      <c r="Q8" s="232"/>
      <c r="R8" s="233"/>
      <c r="S8" s="234"/>
      <c r="T8" s="235"/>
      <c r="U8" s="233"/>
      <c r="V8" s="236"/>
      <c r="W8" s="234"/>
      <c r="X8" s="235"/>
      <c r="Y8" s="237"/>
      <c r="Z8" s="238"/>
    </row>
    <row r="9" spans="1:26" s="239" customFormat="1" ht="28.5" customHeight="1" x14ac:dyDescent="0.3">
      <c r="A9" s="222">
        <f t="shared" si="3"/>
        <v>0</v>
      </c>
      <c r="B9" s="223" t="b">
        <f t="shared" si="4"/>
        <v>1</v>
      </c>
      <c r="C9" s="222">
        <f t="shared" si="5"/>
        <v>0</v>
      </c>
      <c r="D9" s="205" t="str">
        <f t="shared" si="6"/>
        <v>$$$$</v>
      </c>
      <c r="E9" s="224"/>
      <c r="F9" s="225"/>
      <c r="G9" s="226"/>
      <c r="H9" s="227"/>
      <c r="I9" s="228"/>
      <c r="J9" s="228"/>
      <c r="K9" s="229"/>
      <c r="L9" s="230"/>
      <c r="M9" s="231"/>
      <c r="N9" s="232"/>
      <c r="O9" s="230"/>
      <c r="P9" s="231"/>
      <c r="Q9" s="232"/>
      <c r="R9" s="233"/>
      <c r="S9" s="234"/>
      <c r="T9" s="235"/>
      <c r="U9" s="233"/>
      <c r="V9" s="236"/>
      <c r="W9" s="234"/>
      <c r="X9" s="235"/>
      <c r="Y9" s="237"/>
      <c r="Z9" s="238"/>
    </row>
    <row r="10" spans="1:26" s="239" customFormat="1" ht="28.5" customHeight="1" x14ac:dyDescent="0.3">
      <c r="A10" s="222">
        <f t="shared" si="3"/>
        <v>0</v>
      </c>
      <c r="B10" s="223" t="b">
        <f t="shared" si="4"/>
        <v>1</v>
      </c>
      <c r="C10" s="222">
        <f t="shared" si="5"/>
        <v>0</v>
      </c>
      <c r="D10" s="205" t="str">
        <f t="shared" si="6"/>
        <v>$$$$</v>
      </c>
      <c r="E10" s="224"/>
      <c r="F10" s="225"/>
      <c r="G10" s="226"/>
      <c r="H10" s="227"/>
      <c r="I10" s="228"/>
      <c r="J10" s="228"/>
      <c r="K10" s="229"/>
      <c r="L10" s="230"/>
      <c r="M10" s="231"/>
      <c r="N10" s="232"/>
      <c r="O10" s="230"/>
      <c r="P10" s="231"/>
      <c r="Q10" s="232"/>
      <c r="R10" s="233"/>
      <c r="S10" s="234"/>
      <c r="T10" s="235"/>
      <c r="U10" s="233"/>
      <c r="V10" s="236"/>
      <c r="W10" s="234"/>
      <c r="X10" s="235"/>
      <c r="Y10" s="237"/>
      <c r="Z10" s="238"/>
    </row>
    <row r="11" spans="1:26" s="239" customFormat="1" ht="28.5" customHeight="1" x14ac:dyDescent="0.3">
      <c r="A11" s="222">
        <f t="shared" si="3"/>
        <v>0</v>
      </c>
      <c r="B11" s="223" t="b">
        <f t="shared" si="4"/>
        <v>1</v>
      </c>
      <c r="C11" s="222">
        <f t="shared" si="5"/>
        <v>0</v>
      </c>
      <c r="D11" s="205" t="str">
        <f t="shared" si="6"/>
        <v>$$$$</v>
      </c>
      <c r="E11" s="224"/>
      <c r="F11" s="225"/>
      <c r="G11" s="226"/>
      <c r="H11" s="227"/>
      <c r="I11" s="228"/>
      <c r="J11" s="228"/>
      <c r="K11" s="229"/>
      <c r="L11" s="230"/>
      <c r="M11" s="231"/>
      <c r="N11" s="232"/>
      <c r="O11" s="230"/>
      <c r="P11" s="231"/>
      <c r="Q11" s="232"/>
      <c r="R11" s="233"/>
      <c r="S11" s="234"/>
      <c r="T11" s="235"/>
      <c r="U11" s="233"/>
      <c r="V11" s="236"/>
      <c r="W11" s="234"/>
      <c r="X11" s="235"/>
      <c r="Y11" s="237"/>
      <c r="Z11" s="238"/>
    </row>
    <row r="12" spans="1:26" s="239" customFormat="1" ht="28.5" customHeight="1" x14ac:dyDescent="0.3">
      <c r="A12" s="222">
        <f t="shared" si="3"/>
        <v>0</v>
      </c>
      <c r="B12" s="223" t="b">
        <f t="shared" si="4"/>
        <v>1</v>
      </c>
      <c r="C12" s="222">
        <f t="shared" si="5"/>
        <v>0</v>
      </c>
      <c r="D12" s="205" t="str">
        <f t="shared" si="6"/>
        <v>$$$$</v>
      </c>
      <c r="E12" s="224"/>
      <c r="F12" s="225"/>
      <c r="G12" s="226"/>
      <c r="H12" s="227"/>
      <c r="I12" s="228"/>
      <c r="J12" s="228"/>
      <c r="K12" s="229"/>
      <c r="L12" s="230"/>
      <c r="M12" s="231"/>
      <c r="N12" s="232"/>
      <c r="O12" s="230"/>
      <c r="P12" s="231"/>
      <c r="Q12" s="232"/>
      <c r="R12" s="233"/>
      <c r="S12" s="234"/>
      <c r="T12" s="235"/>
      <c r="U12" s="233"/>
      <c r="V12" s="236"/>
      <c r="W12" s="234"/>
      <c r="X12" s="235"/>
      <c r="Y12" s="237"/>
      <c r="Z12" s="238"/>
    </row>
    <row r="13" spans="1:26" s="239" customFormat="1" ht="28.5" customHeight="1" x14ac:dyDescent="0.3">
      <c r="A13" s="222">
        <f t="shared" si="3"/>
        <v>0</v>
      </c>
      <c r="B13" s="223" t="b">
        <f t="shared" si="4"/>
        <v>1</v>
      </c>
      <c r="C13" s="222">
        <f t="shared" si="5"/>
        <v>0</v>
      </c>
      <c r="D13" s="205" t="str">
        <f t="shared" si="6"/>
        <v>$$$$</v>
      </c>
      <c r="E13" s="224"/>
      <c r="F13" s="225"/>
      <c r="G13" s="226"/>
      <c r="H13" s="227"/>
      <c r="I13" s="228"/>
      <c r="J13" s="228"/>
      <c r="K13" s="229"/>
      <c r="L13" s="230"/>
      <c r="M13" s="231"/>
      <c r="N13" s="232"/>
      <c r="O13" s="230"/>
      <c r="P13" s="231"/>
      <c r="Q13" s="232"/>
      <c r="R13" s="233"/>
      <c r="S13" s="234"/>
      <c r="T13" s="235"/>
      <c r="U13" s="233"/>
      <c r="V13" s="236"/>
      <c r="W13" s="234"/>
      <c r="X13" s="235"/>
      <c r="Y13" s="237"/>
      <c r="Z13" s="238"/>
    </row>
    <row r="14" spans="1:26" s="239" customFormat="1" ht="28.5" customHeight="1" x14ac:dyDescent="0.3">
      <c r="A14" s="222">
        <f t="shared" si="3"/>
        <v>0</v>
      </c>
      <c r="B14" s="223" t="b">
        <f t="shared" si="4"/>
        <v>1</v>
      </c>
      <c r="C14" s="222">
        <f t="shared" si="5"/>
        <v>0</v>
      </c>
      <c r="D14" s="205" t="str">
        <f t="shared" si="6"/>
        <v>$$$$</v>
      </c>
      <c r="E14" s="224"/>
      <c r="F14" s="225"/>
      <c r="G14" s="226"/>
      <c r="H14" s="227"/>
      <c r="I14" s="228"/>
      <c r="J14" s="228"/>
      <c r="K14" s="229"/>
      <c r="L14" s="230"/>
      <c r="M14" s="231"/>
      <c r="N14" s="232"/>
      <c r="O14" s="230"/>
      <c r="P14" s="231"/>
      <c r="Q14" s="232"/>
      <c r="R14" s="233"/>
      <c r="S14" s="234"/>
      <c r="T14" s="235"/>
      <c r="U14" s="233"/>
      <c r="V14" s="236"/>
      <c r="W14" s="234"/>
      <c r="X14" s="235"/>
      <c r="Y14" s="237"/>
      <c r="Z14" s="238"/>
    </row>
    <row r="15" spans="1:26" s="239" customFormat="1" ht="28.5" customHeight="1" x14ac:dyDescent="0.3">
      <c r="A15" s="222">
        <f t="shared" si="3"/>
        <v>0</v>
      </c>
      <c r="B15" s="223" t="b">
        <f t="shared" si="4"/>
        <v>1</v>
      </c>
      <c r="C15" s="222">
        <f t="shared" si="5"/>
        <v>0</v>
      </c>
      <c r="D15" s="205" t="str">
        <f t="shared" si="6"/>
        <v>$$$$</v>
      </c>
      <c r="E15" s="224"/>
      <c r="F15" s="225"/>
      <c r="G15" s="226"/>
      <c r="H15" s="227"/>
      <c r="I15" s="228"/>
      <c r="J15" s="228"/>
      <c r="K15" s="229"/>
      <c r="L15" s="230"/>
      <c r="M15" s="231"/>
      <c r="N15" s="232"/>
      <c r="O15" s="230"/>
      <c r="P15" s="231"/>
      <c r="Q15" s="232"/>
      <c r="R15" s="233"/>
      <c r="S15" s="234"/>
      <c r="T15" s="235"/>
      <c r="U15" s="233"/>
      <c r="V15" s="236"/>
      <c r="W15" s="234"/>
      <c r="X15" s="235"/>
      <c r="Y15" s="237"/>
      <c r="Z15" s="238"/>
    </row>
    <row r="16" spans="1:26" s="239" customFormat="1" ht="28.5" customHeight="1" x14ac:dyDescent="0.3">
      <c r="A16" s="222">
        <f t="shared" si="3"/>
        <v>0</v>
      </c>
      <c r="B16" s="223" t="b">
        <f t="shared" si="4"/>
        <v>1</v>
      </c>
      <c r="C16" s="222">
        <f t="shared" si="5"/>
        <v>0</v>
      </c>
      <c r="D16" s="205" t="str">
        <f t="shared" si="6"/>
        <v>$$$$</v>
      </c>
      <c r="E16" s="224"/>
      <c r="F16" s="225"/>
      <c r="G16" s="226"/>
      <c r="H16" s="227"/>
      <c r="I16" s="228"/>
      <c r="J16" s="228"/>
      <c r="K16" s="229"/>
      <c r="L16" s="230"/>
      <c r="M16" s="231"/>
      <c r="N16" s="232"/>
      <c r="O16" s="230"/>
      <c r="P16" s="231"/>
      <c r="Q16" s="232"/>
      <c r="R16" s="233"/>
      <c r="S16" s="234"/>
      <c r="T16" s="235"/>
      <c r="U16" s="233"/>
      <c r="V16" s="236"/>
      <c r="W16" s="234"/>
      <c r="X16" s="235"/>
      <c r="Y16" s="237"/>
      <c r="Z16" s="238"/>
    </row>
    <row r="17" spans="1:26" s="239" customFormat="1" ht="28.5" customHeight="1" x14ac:dyDescent="0.3">
      <c r="A17" s="222">
        <f t="shared" si="3"/>
        <v>0</v>
      </c>
      <c r="B17" s="223" t="b">
        <f t="shared" si="4"/>
        <v>1</v>
      </c>
      <c r="C17" s="222">
        <f t="shared" si="5"/>
        <v>0</v>
      </c>
      <c r="D17" s="205" t="str">
        <f t="shared" si="6"/>
        <v>$$$$</v>
      </c>
      <c r="E17" s="224"/>
      <c r="F17" s="225"/>
      <c r="G17" s="226"/>
      <c r="H17" s="227"/>
      <c r="I17" s="228"/>
      <c r="J17" s="228"/>
      <c r="K17" s="229"/>
      <c r="L17" s="230"/>
      <c r="M17" s="231"/>
      <c r="N17" s="232"/>
      <c r="O17" s="230"/>
      <c r="P17" s="231"/>
      <c r="Q17" s="232"/>
      <c r="R17" s="233"/>
      <c r="S17" s="234"/>
      <c r="T17" s="235"/>
      <c r="U17" s="233"/>
      <c r="V17" s="236"/>
      <c r="W17" s="234"/>
      <c r="X17" s="235"/>
      <c r="Y17" s="237"/>
      <c r="Z17" s="238"/>
    </row>
    <row r="18" spans="1:26" s="239" customFormat="1" ht="28.5" customHeight="1" x14ac:dyDescent="0.3">
      <c r="A18" s="222">
        <f t="shared" si="3"/>
        <v>0</v>
      </c>
      <c r="B18" s="223" t="b">
        <f t="shared" si="4"/>
        <v>1</v>
      </c>
      <c r="C18" s="222">
        <f t="shared" si="5"/>
        <v>0</v>
      </c>
      <c r="D18" s="205" t="str">
        <f t="shared" si="6"/>
        <v>$$$$</v>
      </c>
      <c r="E18" s="224"/>
      <c r="F18" s="225"/>
      <c r="G18" s="226"/>
      <c r="H18" s="227"/>
      <c r="I18" s="228"/>
      <c r="J18" s="228"/>
      <c r="K18" s="229"/>
      <c r="L18" s="230"/>
      <c r="M18" s="231"/>
      <c r="N18" s="232"/>
      <c r="O18" s="230"/>
      <c r="P18" s="231"/>
      <c r="Q18" s="232"/>
      <c r="R18" s="233"/>
      <c r="S18" s="234"/>
      <c r="T18" s="235"/>
      <c r="U18" s="233"/>
      <c r="V18" s="236"/>
      <c r="W18" s="234"/>
      <c r="X18" s="235"/>
      <c r="Y18" s="237"/>
      <c r="Z18" s="238"/>
    </row>
    <row r="19" spans="1:26" s="239" customFormat="1" ht="28.5" customHeight="1" x14ac:dyDescent="0.3">
      <c r="A19" s="222">
        <f t="shared" si="3"/>
        <v>0</v>
      </c>
      <c r="B19" s="223" t="b">
        <f t="shared" si="4"/>
        <v>1</v>
      </c>
      <c r="C19" s="222">
        <f t="shared" si="5"/>
        <v>0</v>
      </c>
      <c r="D19" s="205" t="str">
        <f t="shared" si="6"/>
        <v>$$$$</v>
      </c>
      <c r="E19" s="224"/>
      <c r="F19" s="225"/>
      <c r="G19" s="226"/>
      <c r="H19" s="227"/>
      <c r="I19" s="228"/>
      <c r="J19" s="228"/>
      <c r="K19" s="229"/>
      <c r="L19" s="230"/>
      <c r="M19" s="231"/>
      <c r="N19" s="232"/>
      <c r="O19" s="230"/>
      <c r="P19" s="231"/>
      <c r="Q19" s="232"/>
      <c r="R19" s="233"/>
      <c r="S19" s="234"/>
      <c r="T19" s="235"/>
      <c r="U19" s="233"/>
      <c r="V19" s="236"/>
      <c r="W19" s="234"/>
      <c r="X19" s="235"/>
      <c r="Y19" s="237"/>
      <c r="Z19" s="238"/>
    </row>
    <row r="20" spans="1:26" s="239" customFormat="1" ht="28.5" customHeight="1" x14ac:dyDescent="0.3">
      <c r="A20" s="222">
        <f t="shared" si="3"/>
        <v>0</v>
      </c>
      <c r="B20" s="223" t="b">
        <f t="shared" si="4"/>
        <v>1</v>
      </c>
      <c r="C20" s="222">
        <f t="shared" si="5"/>
        <v>0</v>
      </c>
      <c r="D20" s="205" t="str">
        <f t="shared" si="6"/>
        <v>$$$$</v>
      </c>
      <c r="E20" s="224"/>
      <c r="F20" s="225"/>
      <c r="G20" s="226"/>
      <c r="H20" s="227"/>
      <c r="I20" s="228"/>
      <c r="J20" s="228"/>
      <c r="K20" s="229"/>
      <c r="L20" s="230"/>
      <c r="M20" s="231"/>
      <c r="N20" s="232"/>
      <c r="O20" s="230"/>
      <c r="P20" s="231"/>
      <c r="Q20" s="232"/>
      <c r="R20" s="233"/>
      <c r="S20" s="234"/>
      <c r="T20" s="235"/>
      <c r="U20" s="233"/>
      <c r="V20" s="236"/>
      <c r="W20" s="234"/>
      <c r="X20" s="235"/>
      <c r="Y20" s="237"/>
      <c r="Z20" s="238"/>
    </row>
    <row r="21" spans="1:26" s="239" customFormat="1" ht="28.5" customHeight="1" x14ac:dyDescent="0.3">
      <c r="A21" s="222">
        <f t="shared" si="3"/>
        <v>0</v>
      </c>
      <c r="B21" s="223" t="b">
        <f t="shared" si="4"/>
        <v>1</v>
      </c>
      <c r="C21" s="222">
        <f t="shared" si="5"/>
        <v>0</v>
      </c>
      <c r="D21" s="205" t="str">
        <f t="shared" si="6"/>
        <v>$$$$</v>
      </c>
      <c r="E21" s="224"/>
      <c r="F21" s="225"/>
      <c r="G21" s="226"/>
      <c r="H21" s="227"/>
      <c r="I21" s="228"/>
      <c r="J21" s="228"/>
      <c r="K21" s="229"/>
      <c r="L21" s="230"/>
      <c r="M21" s="231"/>
      <c r="N21" s="232"/>
      <c r="O21" s="230"/>
      <c r="P21" s="231"/>
      <c r="Q21" s="232"/>
      <c r="R21" s="233"/>
      <c r="S21" s="234"/>
      <c r="T21" s="235"/>
      <c r="U21" s="233"/>
      <c r="V21" s="236"/>
      <c r="W21" s="234"/>
      <c r="X21" s="235"/>
      <c r="Y21" s="237"/>
      <c r="Z21" s="238"/>
    </row>
    <row r="22" spans="1:26" s="239" customFormat="1" ht="28.5" customHeight="1" x14ac:dyDescent="0.3">
      <c r="A22" s="222">
        <f t="shared" si="3"/>
        <v>0</v>
      </c>
      <c r="B22" s="223" t="b">
        <f t="shared" si="4"/>
        <v>1</v>
      </c>
      <c r="C22" s="222">
        <f t="shared" si="5"/>
        <v>0</v>
      </c>
      <c r="D22" s="205" t="str">
        <f t="shared" si="6"/>
        <v>$$$$</v>
      </c>
      <c r="E22" s="224"/>
      <c r="F22" s="225"/>
      <c r="G22" s="226"/>
      <c r="H22" s="227"/>
      <c r="I22" s="228"/>
      <c r="J22" s="228"/>
      <c r="K22" s="229"/>
      <c r="L22" s="230"/>
      <c r="M22" s="231"/>
      <c r="N22" s="232"/>
      <c r="O22" s="230"/>
      <c r="P22" s="231"/>
      <c r="Q22" s="232"/>
      <c r="R22" s="233"/>
      <c r="S22" s="234"/>
      <c r="T22" s="235"/>
      <c r="U22" s="233"/>
      <c r="V22" s="236"/>
      <c r="W22" s="234"/>
      <c r="X22" s="235"/>
      <c r="Y22" s="237"/>
      <c r="Z22" s="238"/>
    </row>
    <row r="23" spans="1:26" s="239" customFormat="1" ht="28.5" customHeight="1" x14ac:dyDescent="0.3">
      <c r="A23" s="222">
        <f t="shared" si="3"/>
        <v>0</v>
      </c>
      <c r="B23" s="223" t="b">
        <f t="shared" si="4"/>
        <v>1</v>
      </c>
      <c r="C23" s="222">
        <f t="shared" si="5"/>
        <v>0</v>
      </c>
      <c r="D23" s="205" t="str">
        <f t="shared" si="6"/>
        <v>$$$$</v>
      </c>
      <c r="E23" s="224"/>
      <c r="F23" s="225"/>
      <c r="G23" s="226"/>
      <c r="H23" s="227"/>
      <c r="I23" s="228"/>
      <c r="J23" s="228"/>
      <c r="K23" s="229"/>
      <c r="L23" s="230"/>
      <c r="M23" s="231"/>
      <c r="N23" s="232"/>
      <c r="O23" s="230"/>
      <c r="P23" s="231"/>
      <c r="Q23" s="232"/>
      <c r="R23" s="233"/>
      <c r="S23" s="234"/>
      <c r="T23" s="235"/>
      <c r="U23" s="233"/>
      <c r="V23" s="236"/>
      <c r="W23" s="234"/>
      <c r="X23" s="235"/>
      <c r="Y23" s="237"/>
      <c r="Z23" s="238"/>
    </row>
    <row r="24" spans="1:26" s="239" customFormat="1" ht="28.5" customHeight="1" x14ac:dyDescent="0.3">
      <c r="A24" s="222">
        <f t="shared" si="3"/>
        <v>0</v>
      </c>
      <c r="B24" s="223" t="b">
        <f t="shared" si="4"/>
        <v>1</v>
      </c>
      <c r="C24" s="222">
        <f t="shared" si="5"/>
        <v>0</v>
      </c>
      <c r="D24" s="205" t="str">
        <f t="shared" si="6"/>
        <v>$$$$</v>
      </c>
      <c r="E24" s="224"/>
      <c r="F24" s="225"/>
      <c r="G24" s="226"/>
      <c r="H24" s="227"/>
      <c r="I24" s="228"/>
      <c r="J24" s="228"/>
      <c r="K24" s="229"/>
      <c r="L24" s="230"/>
      <c r="M24" s="231"/>
      <c r="N24" s="232"/>
      <c r="O24" s="230"/>
      <c r="P24" s="231"/>
      <c r="Q24" s="232"/>
      <c r="R24" s="233"/>
      <c r="S24" s="234"/>
      <c r="T24" s="235"/>
      <c r="U24" s="233"/>
      <c r="V24" s="236"/>
      <c r="W24" s="234"/>
      <c r="X24" s="235"/>
      <c r="Y24" s="237"/>
      <c r="Z24" s="238"/>
    </row>
    <row r="25" spans="1:26" s="239" customFormat="1" ht="28.5" customHeight="1" x14ac:dyDescent="0.3">
      <c r="A25" s="222">
        <f t="shared" si="3"/>
        <v>0</v>
      </c>
      <c r="B25" s="223" t="b">
        <f t="shared" si="4"/>
        <v>1</v>
      </c>
      <c r="C25" s="222">
        <f t="shared" si="5"/>
        <v>0</v>
      </c>
      <c r="D25" s="205" t="str">
        <f t="shared" si="6"/>
        <v>$$$$</v>
      </c>
      <c r="E25" s="224"/>
      <c r="F25" s="225"/>
      <c r="G25" s="226"/>
      <c r="H25" s="227"/>
      <c r="I25" s="228"/>
      <c r="J25" s="228"/>
      <c r="K25" s="229"/>
      <c r="L25" s="230"/>
      <c r="M25" s="231"/>
      <c r="N25" s="232"/>
      <c r="O25" s="230"/>
      <c r="P25" s="231"/>
      <c r="Q25" s="232"/>
      <c r="R25" s="233"/>
      <c r="S25" s="234"/>
      <c r="T25" s="235"/>
      <c r="U25" s="233"/>
      <c r="V25" s="236"/>
      <c r="W25" s="234"/>
      <c r="X25" s="235"/>
      <c r="Y25" s="237"/>
      <c r="Z25" s="238"/>
    </row>
    <row r="26" spans="1:26" s="239" customFormat="1" ht="28.5" customHeight="1" x14ac:dyDescent="0.3">
      <c r="A26" s="222">
        <f t="shared" si="3"/>
        <v>0</v>
      </c>
      <c r="B26" s="223" t="b">
        <f t="shared" si="4"/>
        <v>1</v>
      </c>
      <c r="C26" s="222">
        <f t="shared" si="5"/>
        <v>0</v>
      </c>
      <c r="D26" s="205" t="str">
        <f t="shared" si="6"/>
        <v>$$$$</v>
      </c>
      <c r="E26" s="224"/>
      <c r="F26" s="225"/>
      <c r="G26" s="226"/>
      <c r="H26" s="227"/>
      <c r="I26" s="228"/>
      <c r="J26" s="228"/>
      <c r="K26" s="229"/>
      <c r="L26" s="230"/>
      <c r="M26" s="231"/>
      <c r="N26" s="232"/>
      <c r="O26" s="230"/>
      <c r="P26" s="231"/>
      <c r="Q26" s="232"/>
      <c r="R26" s="233"/>
      <c r="S26" s="234"/>
      <c r="T26" s="235"/>
      <c r="U26" s="233"/>
      <c r="V26" s="236"/>
      <c r="W26" s="234"/>
      <c r="X26" s="235"/>
      <c r="Y26" s="237"/>
      <c r="Z26" s="238"/>
    </row>
    <row r="27" spans="1:26" s="239" customFormat="1" ht="28.5" customHeight="1" x14ac:dyDescent="0.3">
      <c r="A27" s="222">
        <f t="shared" si="3"/>
        <v>0</v>
      </c>
      <c r="B27" s="223" t="b">
        <f t="shared" si="4"/>
        <v>1</v>
      </c>
      <c r="C27" s="222">
        <f t="shared" si="5"/>
        <v>0</v>
      </c>
      <c r="D27" s="205" t="str">
        <f t="shared" si="6"/>
        <v>$$$$</v>
      </c>
      <c r="E27" s="224"/>
      <c r="F27" s="225"/>
      <c r="G27" s="226"/>
      <c r="H27" s="227"/>
      <c r="I27" s="228"/>
      <c r="J27" s="228"/>
      <c r="K27" s="229"/>
      <c r="L27" s="230"/>
      <c r="M27" s="231"/>
      <c r="N27" s="232"/>
      <c r="O27" s="230"/>
      <c r="P27" s="231"/>
      <c r="Q27" s="232"/>
      <c r="R27" s="233"/>
      <c r="S27" s="234"/>
      <c r="T27" s="235"/>
      <c r="U27" s="233"/>
      <c r="V27" s="236"/>
      <c r="W27" s="234"/>
      <c r="X27" s="235"/>
      <c r="Y27" s="237"/>
      <c r="Z27" s="238"/>
    </row>
    <row r="28" spans="1:26" s="239" customFormat="1" ht="28.5" customHeight="1" x14ac:dyDescent="0.3">
      <c r="A28" s="222">
        <f t="shared" si="3"/>
        <v>0</v>
      </c>
      <c r="B28" s="223" t="b">
        <f t="shared" si="4"/>
        <v>1</v>
      </c>
      <c r="C28" s="222">
        <f t="shared" si="5"/>
        <v>0</v>
      </c>
      <c r="D28" s="205" t="str">
        <f t="shared" si="6"/>
        <v>$$$$</v>
      </c>
      <c r="E28" s="224"/>
      <c r="F28" s="225"/>
      <c r="G28" s="226"/>
      <c r="H28" s="227"/>
      <c r="I28" s="228"/>
      <c r="J28" s="228"/>
      <c r="K28" s="229"/>
      <c r="L28" s="230"/>
      <c r="M28" s="231"/>
      <c r="N28" s="232"/>
      <c r="O28" s="230"/>
      <c r="P28" s="231"/>
      <c r="Q28" s="232"/>
      <c r="R28" s="233"/>
      <c r="S28" s="234"/>
      <c r="T28" s="235"/>
      <c r="U28" s="233"/>
      <c r="V28" s="236"/>
      <c r="W28" s="234"/>
      <c r="X28" s="235"/>
      <c r="Y28" s="237"/>
      <c r="Z28" s="238"/>
    </row>
    <row r="29" spans="1:26" s="239" customFormat="1" ht="28.5" customHeight="1" x14ac:dyDescent="0.3">
      <c r="A29" s="222">
        <f t="shared" si="3"/>
        <v>0</v>
      </c>
      <c r="B29" s="223" t="b">
        <f t="shared" si="4"/>
        <v>1</v>
      </c>
      <c r="C29" s="222">
        <f t="shared" si="5"/>
        <v>0</v>
      </c>
      <c r="D29" s="205" t="str">
        <f t="shared" si="6"/>
        <v>$$$$</v>
      </c>
      <c r="E29" s="224"/>
      <c r="F29" s="225"/>
      <c r="G29" s="226"/>
      <c r="H29" s="227"/>
      <c r="I29" s="228"/>
      <c r="J29" s="228"/>
      <c r="K29" s="229"/>
      <c r="L29" s="230"/>
      <c r="M29" s="231"/>
      <c r="N29" s="232"/>
      <c r="O29" s="230"/>
      <c r="P29" s="231"/>
      <c r="Q29" s="232"/>
      <c r="R29" s="233"/>
      <c r="S29" s="234"/>
      <c r="T29" s="235"/>
      <c r="U29" s="233"/>
      <c r="V29" s="236"/>
      <c r="W29" s="234"/>
      <c r="X29" s="235"/>
      <c r="Y29" s="237"/>
      <c r="Z29" s="238"/>
    </row>
    <row r="30" spans="1:26" s="239" customFormat="1" ht="28.5" customHeight="1" x14ac:dyDescent="0.3">
      <c r="A30" s="222">
        <f t="shared" si="3"/>
        <v>0</v>
      </c>
      <c r="B30" s="223" t="b">
        <f t="shared" si="4"/>
        <v>1</v>
      </c>
      <c r="C30" s="222">
        <f t="shared" si="5"/>
        <v>0</v>
      </c>
      <c r="D30" s="205" t="str">
        <f t="shared" si="6"/>
        <v>$$$$</v>
      </c>
      <c r="E30" s="224"/>
      <c r="F30" s="225"/>
      <c r="G30" s="226"/>
      <c r="H30" s="227"/>
      <c r="I30" s="228"/>
      <c r="J30" s="228"/>
      <c r="K30" s="229"/>
      <c r="L30" s="230"/>
      <c r="M30" s="231"/>
      <c r="N30" s="232"/>
      <c r="O30" s="230"/>
      <c r="P30" s="231"/>
      <c r="Q30" s="232"/>
      <c r="R30" s="233"/>
      <c r="S30" s="234"/>
      <c r="T30" s="235"/>
      <c r="U30" s="233"/>
      <c r="V30" s="236"/>
      <c r="W30" s="234"/>
      <c r="X30" s="235"/>
      <c r="Y30" s="237"/>
      <c r="Z30" s="238"/>
    </row>
    <row r="31" spans="1:26" s="239" customFormat="1" ht="28.5" customHeight="1" x14ac:dyDescent="0.3">
      <c r="A31" s="222">
        <f t="shared" si="3"/>
        <v>0</v>
      </c>
      <c r="B31" s="223" t="b">
        <f t="shared" si="4"/>
        <v>1</v>
      </c>
      <c r="C31" s="222">
        <f t="shared" si="5"/>
        <v>0</v>
      </c>
      <c r="D31" s="205" t="str">
        <f t="shared" si="6"/>
        <v>$$$$</v>
      </c>
      <c r="E31" s="224"/>
      <c r="F31" s="225"/>
      <c r="G31" s="226"/>
      <c r="H31" s="227"/>
      <c r="I31" s="228"/>
      <c r="J31" s="228"/>
      <c r="K31" s="229"/>
      <c r="L31" s="230"/>
      <c r="M31" s="231"/>
      <c r="N31" s="232"/>
      <c r="O31" s="230"/>
      <c r="P31" s="231"/>
      <c r="Q31" s="232"/>
      <c r="R31" s="233"/>
      <c r="S31" s="234"/>
      <c r="T31" s="235"/>
      <c r="U31" s="233"/>
      <c r="V31" s="236"/>
      <c r="W31" s="234"/>
      <c r="X31" s="235"/>
      <c r="Y31" s="237"/>
      <c r="Z31" s="238"/>
    </row>
    <row r="32" spans="1:26" s="239" customFormat="1" ht="28.5" customHeight="1" x14ac:dyDescent="0.3">
      <c r="A32" s="222">
        <f t="shared" si="3"/>
        <v>0</v>
      </c>
      <c r="B32" s="223" t="b">
        <f t="shared" si="4"/>
        <v>1</v>
      </c>
      <c r="C32" s="222">
        <f t="shared" si="5"/>
        <v>0</v>
      </c>
      <c r="D32" s="205" t="str">
        <f t="shared" si="6"/>
        <v>$$$$</v>
      </c>
      <c r="E32" s="224"/>
      <c r="F32" s="225"/>
      <c r="G32" s="226"/>
      <c r="H32" s="227"/>
      <c r="I32" s="228"/>
      <c r="J32" s="228"/>
      <c r="K32" s="229"/>
      <c r="L32" s="230"/>
      <c r="M32" s="231"/>
      <c r="N32" s="232"/>
      <c r="O32" s="230"/>
      <c r="P32" s="231"/>
      <c r="Q32" s="232"/>
      <c r="R32" s="233"/>
      <c r="S32" s="234"/>
      <c r="T32" s="235"/>
      <c r="U32" s="233"/>
      <c r="V32" s="236"/>
      <c r="W32" s="234"/>
      <c r="X32" s="235"/>
      <c r="Y32" s="237"/>
      <c r="Z32" s="238"/>
    </row>
    <row r="33" spans="1:26" s="239" customFormat="1" ht="28.5" customHeight="1" x14ac:dyDescent="0.3">
      <c r="A33" s="222">
        <f t="shared" si="3"/>
        <v>0</v>
      </c>
      <c r="B33" s="223" t="b">
        <f t="shared" si="4"/>
        <v>1</v>
      </c>
      <c r="C33" s="222">
        <f t="shared" si="5"/>
        <v>0</v>
      </c>
      <c r="D33" s="205" t="str">
        <f t="shared" si="6"/>
        <v>$$$$</v>
      </c>
      <c r="E33" s="224"/>
      <c r="F33" s="225"/>
      <c r="G33" s="226"/>
      <c r="H33" s="227"/>
      <c r="I33" s="228"/>
      <c r="J33" s="228"/>
      <c r="K33" s="229"/>
      <c r="L33" s="230"/>
      <c r="M33" s="231"/>
      <c r="N33" s="232"/>
      <c r="O33" s="230"/>
      <c r="P33" s="231"/>
      <c r="Q33" s="232"/>
      <c r="R33" s="233"/>
      <c r="S33" s="234"/>
      <c r="T33" s="235"/>
      <c r="U33" s="233"/>
      <c r="V33" s="236"/>
      <c r="W33" s="234"/>
      <c r="X33" s="235"/>
      <c r="Y33" s="237"/>
      <c r="Z33" s="238"/>
    </row>
    <row r="34" spans="1:26" s="239" customFormat="1" ht="28.5" customHeight="1" x14ac:dyDescent="0.3">
      <c r="A34" s="222">
        <f t="shared" si="3"/>
        <v>0</v>
      </c>
      <c r="B34" s="223" t="b">
        <f t="shared" si="4"/>
        <v>1</v>
      </c>
      <c r="C34" s="222">
        <f t="shared" si="5"/>
        <v>0</v>
      </c>
      <c r="D34" s="205" t="str">
        <f t="shared" si="6"/>
        <v>$$$$</v>
      </c>
      <c r="E34" s="224"/>
      <c r="F34" s="225"/>
      <c r="G34" s="226"/>
      <c r="H34" s="227"/>
      <c r="I34" s="228"/>
      <c r="J34" s="228"/>
      <c r="K34" s="229"/>
      <c r="L34" s="230"/>
      <c r="M34" s="231"/>
      <c r="N34" s="232"/>
      <c r="O34" s="230"/>
      <c r="P34" s="231"/>
      <c r="Q34" s="232"/>
      <c r="R34" s="233"/>
      <c r="S34" s="234"/>
      <c r="T34" s="235"/>
      <c r="U34" s="233"/>
      <c r="V34" s="236"/>
      <c r="W34" s="234"/>
      <c r="X34" s="235"/>
      <c r="Y34" s="237"/>
      <c r="Z34" s="238"/>
    </row>
    <row r="35" spans="1:26" s="239" customFormat="1" ht="28.5" customHeight="1" x14ac:dyDescent="0.3">
      <c r="A35" s="222">
        <f t="shared" si="3"/>
        <v>0</v>
      </c>
      <c r="B35" s="223" t="b">
        <f t="shared" si="4"/>
        <v>1</v>
      </c>
      <c r="C35" s="222">
        <f t="shared" si="5"/>
        <v>0</v>
      </c>
      <c r="D35" s="205" t="str">
        <f t="shared" si="6"/>
        <v>$$$$</v>
      </c>
      <c r="E35" s="224"/>
      <c r="F35" s="225"/>
      <c r="G35" s="226"/>
      <c r="H35" s="227"/>
      <c r="I35" s="228"/>
      <c r="J35" s="228"/>
      <c r="K35" s="229"/>
      <c r="L35" s="230"/>
      <c r="M35" s="231"/>
      <c r="N35" s="232"/>
      <c r="O35" s="230"/>
      <c r="P35" s="231"/>
      <c r="Q35" s="232"/>
      <c r="R35" s="233"/>
      <c r="S35" s="234"/>
      <c r="T35" s="235"/>
      <c r="U35" s="233"/>
      <c r="V35" s="236"/>
      <c r="W35" s="234"/>
      <c r="X35" s="235"/>
      <c r="Y35" s="237"/>
      <c r="Z35" s="238"/>
    </row>
    <row r="36" spans="1:26" s="239" customFormat="1" ht="28.5" customHeight="1" x14ac:dyDescent="0.3">
      <c r="A36" s="222">
        <f t="shared" si="3"/>
        <v>0</v>
      </c>
      <c r="B36" s="223" t="b">
        <f t="shared" si="4"/>
        <v>1</v>
      </c>
      <c r="C36" s="222">
        <f t="shared" si="5"/>
        <v>0</v>
      </c>
      <c r="D36" s="205" t="str">
        <f t="shared" si="6"/>
        <v>$$$$</v>
      </c>
      <c r="E36" s="224"/>
      <c r="F36" s="225"/>
      <c r="G36" s="226"/>
      <c r="H36" s="227"/>
      <c r="I36" s="228"/>
      <c r="J36" s="228"/>
      <c r="K36" s="229"/>
      <c r="L36" s="230"/>
      <c r="M36" s="231"/>
      <c r="N36" s="232"/>
      <c r="O36" s="230"/>
      <c r="P36" s="231"/>
      <c r="Q36" s="232"/>
      <c r="R36" s="233"/>
      <c r="S36" s="234"/>
      <c r="T36" s="235"/>
      <c r="U36" s="233"/>
      <c r="V36" s="236"/>
      <c r="W36" s="234"/>
      <c r="X36" s="235"/>
      <c r="Y36" s="237"/>
      <c r="Z36" s="238"/>
    </row>
    <row r="37" spans="1:26" s="239" customFormat="1" ht="28.5" customHeight="1" x14ac:dyDescent="0.3">
      <c r="A37" s="222">
        <f t="shared" si="3"/>
        <v>0</v>
      </c>
      <c r="B37" s="223" t="b">
        <f t="shared" si="4"/>
        <v>1</v>
      </c>
      <c r="C37" s="222">
        <f t="shared" si="5"/>
        <v>0</v>
      </c>
      <c r="D37" s="205" t="str">
        <f t="shared" si="6"/>
        <v>$$$$</v>
      </c>
      <c r="E37" s="224"/>
      <c r="F37" s="225"/>
      <c r="G37" s="226"/>
      <c r="H37" s="227"/>
      <c r="I37" s="228"/>
      <c r="J37" s="228"/>
      <c r="K37" s="229"/>
      <c r="L37" s="230"/>
      <c r="M37" s="231"/>
      <c r="N37" s="232"/>
      <c r="O37" s="230"/>
      <c r="P37" s="231"/>
      <c r="Q37" s="232"/>
      <c r="R37" s="233"/>
      <c r="S37" s="234"/>
      <c r="T37" s="235"/>
      <c r="U37" s="233"/>
      <c r="V37" s="236"/>
      <c r="W37" s="234"/>
      <c r="X37" s="235"/>
      <c r="Y37" s="237"/>
      <c r="Z37" s="238"/>
    </row>
    <row r="38" spans="1:26" s="239" customFormat="1" ht="28.5" customHeight="1" x14ac:dyDescent="0.3">
      <c r="A38" s="222">
        <f t="shared" si="3"/>
        <v>0</v>
      </c>
      <c r="B38" s="223" t="b">
        <f t="shared" si="4"/>
        <v>1</v>
      </c>
      <c r="C38" s="222">
        <f t="shared" si="5"/>
        <v>0</v>
      </c>
      <c r="D38" s="205" t="str">
        <f t="shared" si="6"/>
        <v>$$$$</v>
      </c>
      <c r="E38" s="224"/>
      <c r="F38" s="225"/>
      <c r="G38" s="226"/>
      <c r="H38" s="227"/>
      <c r="I38" s="228"/>
      <c r="J38" s="228"/>
      <c r="K38" s="229"/>
      <c r="L38" s="230"/>
      <c r="M38" s="231"/>
      <c r="N38" s="232"/>
      <c r="O38" s="230"/>
      <c r="P38" s="231"/>
      <c r="Q38" s="232"/>
      <c r="R38" s="233"/>
      <c r="S38" s="234"/>
      <c r="T38" s="235"/>
      <c r="U38" s="233"/>
      <c r="V38" s="236"/>
      <c r="W38" s="234"/>
      <c r="X38" s="235"/>
      <c r="Y38" s="237"/>
      <c r="Z38" s="238"/>
    </row>
    <row r="39" spans="1:26" s="239" customFormat="1" ht="28.5" customHeight="1" x14ac:dyDescent="0.3">
      <c r="A39" s="222">
        <f t="shared" ref="A39:A70" si="7">IF(B39,0,MATCH(H39,ВидыНагр,0))</f>
        <v>0</v>
      </c>
      <c r="B39" s="223" t="b">
        <f t="shared" ref="B39:B70" si="8">(COUNTIF(КлючОсень,D39)&lt;&gt;1)</f>
        <v>1</v>
      </c>
      <c r="C39" s="222">
        <f t="shared" ref="C39:C70" si="9">IF(COUNTA(E39:K39,Z39)&gt;0,1,0)+IF(COUNTA(L39:Y39)&gt;0,2,0)</f>
        <v>0</v>
      </c>
      <c r="D39" s="205" t="str">
        <f t="shared" si="6"/>
        <v>$$$$</v>
      </c>
      <c r="E39" s="224"/>
      <c r="F39" s="225"/>
      <c r="G39" s="226"/>
      <c r="H39" s="227"/>
      <c r="I39" s="228"/>
      <c r="J39" s="228"/>
      <c r="K39" s="229"/>
      <c r="L39" s="230"/>
      <c r="M39" s="231"/>
      <c r="N39" s="232"/>
      <c r="O39" s="230"/>
      <c r="P39" s="231"/>
      <c r="Q39" s="232"/>
      <c r="R39" s="233"/>
      <c r="S39" s="234"/>
      <c r="T39" s="235"/>
      <c r="U39" s="233"/>
      <c r="V39" s="236"/>
      <c r="W39" s="234"/>
      <c r="X39" s="235"/>
      <c r="Y39" s="237"/>
      <c r="Z39" s="238"/>
    </row>
    <row r="40" spans="1:26" s="239" customFormat="1" ht="28.5" customHeight="1" x14ac:dyDescent="0.3">
      <c r="A40" s="222">
        <f t="shared" si="7"/>
        <v>0</v>
      </c>
      <c r="B40" s="223" t="b">
        <f t="shared" si="8"/>
        <v>1</v>
      </c>
      <c r="C40" s="222">
        <f t="shared" si="9"/>
        <v>0</v>
      </c>
      <c r="D40" s="205" t="str">
        <f t="shared" si="6"/>
        <v>$$$$</v>
      </c>
      <c r="E40" s="224"/>
      <c r="F40" s="225"/>
      <c r="G40" s="226"/>
      <c r="H40" s="227"/>
      <c r="I40" s="228"/>
      <c r="J40" s="228"/>
      <c r="K40" s="229"/>
      <c r="L40" s="230"/>
      <c r="M40" s="231"/>
      <c r="N40" s="232"/>
      <c r="O40" s="230"/>
      <c r="P40" s="231"/>
      <c r="Q40" s="232"/>
      <c r="R40" s="233"/>
      <c r="S40" s="234"/>
      <c r="T40" s="235"/>
      <c r="U40" s="233"/>
      <c r="V40" s="236"/>
      <c r="W40" s="234"/>
      <c r="X40" s="235"/>
      <c r="Y40" s="237"/>
      <c r="Z40" s="238"/>
    </row>
    <row r="41" spans="1:26" s="239" customFormat="1" ht="28.5" customHeight="1" x14ac:dyDescent="0.3">
      <c r="A41" s="222">
        <f t="shared" si="7"/>
        <v>0</v>
      </c>
      <c r="B41" s="223" t="b">
        <f t="shared" si="8"/>
        <v>1</v>
      </c>
      <c r="C41" s="222">
        <f t="shared" si="9"/>
        <v>0</v>
      </c>
      <c r="D41" s="205" t="str">
        <f t="shared" si="6"/>
        <v>$$$$</v>
      </c>
      <c r="E41" s="224"/>
      <c r="F41" s="225"/>
      <c r="G41" s="226"/>
      <c r="H41" s="227"/>
      <c r="I41" s="228"/>
      <c r="J41" s="228"/>
      <c r="K41" s="229"/>
      <c r="L41" s="230"/>
      <c r="M41" s="231"/>
      <c r="N41" s="232"/>
      <c r="O41" s="230"/>
      <c r="P41" s="231"/>
      <c r="Q41" s="232"/>
      <c r="R41" s="233"/>
      <c r="S41" s="234"/>
      <c r="T41" s="235"/>
      <c r="U41" s="233"/>
      <c r="V41" s="236"/>
      <c r="W41" s="234"/>
      <c r="X41" s="235"/>
      <c r="Y41" s="237"/>
      <c r="Z41" s="238"/>
    </row>
    <row r="42" spans="1:26" s="239" customFormat="1" ht="28.5" customHeight="1" x14ac:dyDescent="0.3">
      <c r="A42" s="222">
        <f t="shared" si="7"/>
        <v>0</v>
      </c>
      <c r="B42" s="223" t="b">
        <f t="shared" si="8"/>
        <v>1</v>
      </c>
      <c r="C42" s="222">
        <f t="shared" si="9"/>
        <v>0</v>
      </c>
      <c r="D42" s="205" t="str">
        <f t="shared" si="6"/>
        <v>$$$$</v>
      </c>
      <c r="E42" s="224"/>
      <c r="F42" s="225"/>
      <c r="G42" s="226"/>
      <c r="H42" s="227"/>
      <c r="I42" s="228"/>
      <c r="J42" s="228"/>
      <c r="K42" s="229"/>
      <c r="L42" s="230"/>
      <c r="M42" s="231"/>
      <c r="N42" s="232"/>
      <c r="O42" s="230"/>
      <c r="P42" s="231"/>
      <c r="Q42" s="232"/>
      <c r="R42" s="233"/>
      <c r="S42" s="234"/>
      <c r="T42" s="235"/>
      <c r="U42" s="233"/>
      <c r="V42" s="236"/>
      <c r="W42" s="234"/>
      <c r="X42" s="235"/>
      <c r="Y42" s="237"/>
      <c r="Z42" s="238"/>
    </row>
    <row r="43" spans="1:26" s="239" customFormat="1" ht="28.5" customHeight="1" x14ac:dyDescent="0.3">
      <c r="A43" s="222">
        <f t="shared" si="7"/>
        <v>0</v>
      </c>
      <c r="B43" s="223" t="b">
        <f t="shared" si="8"/>
        <v>1</v>
      </c>
      <c r="C43" s="222">
        <f t="shared" si="9"/>
        <v>0</v>
      </c>
      <c r="D43" s="205" t="str">
        <f t="shared" si="6"/>
        <v>$$$$</v>
      </c>
      <c r="E43" s="224"/>
      <c r="F43" s="225"/>
      <c r="G43" s="226"/>
      <c r="H43" s="227"/>
      <c r="I43" s="228"/>
      <c r="J43" s="228"/>
      <c r="K43" s="229"/>
      <c r="L43" s="230"/>
      <c r="M43" s="231"/>
      <c r="N43" s="232"/>
      <c r="O43" s="230"/>
      <c r="P43" s="231"/>
      <c r="Q43" s="232"/>
      <c r="R43" s="233"/>
      <c r="S43" s="234"/>
      <c r="T43" s="235"/>
      <c r="U43" s="233"/>
      <c r="V43" s="236"/>
      <c r="W43" s="234"/>
      <c r="X43" s="235"/>
      <c r="Y43" s="237"/>
      <c r="Z43" s="238"/>
    </row>
    <row r="44" spans="1:26" s="239" customFormat="1" ht="28.5" customHeight="1" x14ac:dyDescent="0.3">
      <c r="A44" s="222">
        <f t="shared" si="7"/>
        <v>0</v>
      </c>
      <c r="B44" s="223" t="b">
        <f t="shared" si="8"/>
        <v>1</v>
      </c>
      <c r="C44" s="222">
        <f t="shared" si="9"/>
        <v>0</v>
      </c>
      <c r="D44" s="205" t="str">
        <f t="shared" si="6"/>
        <v>$$$$</v>
      </c>
      <c r="E44" s="224"/>
      <c r="F44" s="225"/>
      <c r="G44" s="226"/>
      <c r="H44" s="227"/>
      <c r="I44" s="228"/>
      <c r="J44" s="228"/>
      <c r="K44" s="229"/>
      <c r="L44" s="230"/>
      <c r="M44" s="231"/>
      <c r="N44" s="232"/>
      <c r="O44" s="230"/>
      <c r="P44" s="231"/>
      <c r="Q44" s="232"/>
      <c r="R44" s="233"/>
      <c r="S44" s="234"/>
      <c r="T44" s="235"/>
      <c r="U44" s="233"/>
      <c r="V44" s="236"/>
      <c r="W44" s="234"/>
      <c r="X44" s="235"/>
      <c r="Y44" s="237"/>
      <c r="Z44" s="238"/>
    </row>
    <row r="45" spans="1:26" s="239" customFormat="1" ht="28.5" customHeight="1" x14ac:dyDescent="0.3">
      <c r="A45" s="222">
        <f t="shared" si="7"/>
        <v>0</v>
      </c>
      <c r="B45" s="223" t="b">
        <f t="shared" si="8"/>
        <v>1</v>
      </c>
      <c r="C45" s="222">
        <f t="shared" si="9"/>
        <v>0</v>
      </c>
      <c r="D45" s="205" t="str">
        <f t="shared" si="6"/>
        <v>$$$$</v>
      </c>
      <c r="E45" s="224"/>
      <c r="F45" s="225"/>
      <c r="G45" s="226"/>
      <c r="H45" s="227"/>
      <c r="I45" s="228"/>
      <c r="J45" s="228"/>
      <c r="K45" s="229"/>
      <c r="L45" s="230"/>
      <c r="M45" s="231"/>
      <c r="N45" s="232"/>
      <c r="O45" s="230"/>
      <c r="P45" s="231"/>
      <c r="Q45" s="232"/>
      <c r="R45" s="233"/>
      <c r="S45" s="234"/>
      <c r="T45" s="235"/>
      <c r="U45" s="233"/>
      <c r="V45" s="236"/>
      <c r="W45" s="234"/>
      <c r="X45" s="235"/>
      <c r="Y45" s="237"/>
      <c r="Z45" s="238"/>
    </row>
    <row r="46" spans="1:26" s="239" customFormat="1" ht="28.5" customHeight="1" x14ac:dyDescent="0.3">
      <c r="A46" s="222">
        <f t="shared" si="7"/>
        <v>0</v>
      </c>
      <c r="B46" s="223" t="b">
        <f t="shared" si="8"/>
        <v>1</v>
      </c>
      <c r="C46" s="222">
        <f t="shared" si="9"/>
        <v>0</v>
      </c>
      <c r="D46" s="205" t="str">
        <f t="shared" si="6"/>
        <v>$$$$</v>
      </c>
      <c r="E46" s="224"/>
      <c r="F46" s="225"/>
      <c r="G46" s="226"/>
      <c r="H46" s="227"/>
      <c r="I46" s="228"/>
      <c r="J46" s="228"/>
      <c r="K46" s="229"/>
      <c r="L46" s="230"/>
      <c r="M46" s="231"/>
      <c r="N46" s="232"/>
      <c r="O46" s="230"/>
      <c r="P46" s="231"/>
      <c r="Q46" s="232"/>
      <c r="R46" s="233"/>
      <c r="S46" s="234"/>
      <c r="T46" s="235"/>
      <c r="U46" s="233"/>
      <c r="V46" s="236"/>
      <c r="W46" s="234"/>
      <c r="X46" s="235"/>
      <c r="Y46" s="237"/>
      <c r="Z46" s="238"/>
    </row>
    <row r="47" spans="1:26" s="239" customFormat="1" ht="28.5" customHeight="1" x14ac:dyDescent="0.3">
      <c r="A47" s="222">
        <f t="shared" si="7"/>
        <v>0</v>
      </c>
      <c r="B47" s="223" t="b">
        <f t="shared" si="8"/>
        <v>1</v>
      </c>
      <c r="C47" s="222">
        <f t="shared" si="9"/>
        <v>0</v>
      </c>
      <c r="D47" s="205" t="str">
        <f t="shared" si="6"/>
        <v>$$$$</v>
      </c>
      <c r="E47" s="224"/>
      <c r="F47" s="225"/>
      <c r="G47" s="226"/>
      <c r="H47" s="227"/>
      <c r="I47" s="228"/>
      <c r="J47" s="228"/>
      <c r="K47" s="229"/>
      <c r="L47" s="230"/>
      <c r="M47" s="231"/>
      <c r="N47" s="232"/>
      <c r="O47" s="230"/>
      <c r="P47" s="231"/>
      <c r="Q47" s="232"/>
      <c r="R47" s="233"/>
      <c r="S47" s="234"/>
      <c r="T47" s="235"/>
      <c r="U47" s="233"/>
      <c r="V47" s="236"/>
      <c r="W47" s="234"/>
      <c r="X47" s="235"/>
      <c r="Y47" s="237"/>
      <c r="Z47" s="238"/>
    </row>
    <row r="48" spans="1:26" s="239" customFormat="1" ht="28.5" customHeight="1" x14ac:dyDescent="0.3">
      <c r="A48" s="222">
        <f t="shared" si="7"/>
        <v>0</v>
      </c>
      <c r="B48" s="223" t="b">
        <f t="shared" si="8"/>
        <v>1</v>
      </c>
      <c r="C48" s="222">
        <f t="shared" si="9"/>
        <v>0</v>
      </c>
      <c r="D48" s="205" t="str">
        <f t="shared" si="6"/>
        <v>$$$$</v>
      </c>
      <c r="E48" s="224"/>
      <c r="F48" s="225"/>
      <c r="G48" s="226"/>
      <c r="H48" s="227"/>
      <c r="I48" s="228"/>
      <c r="J48" s="228"/>
      <c r="K48" s="229"/>
      <c r="L48" s="230"/>
      <c r="M48" s="231"/>
      <c r="N48" s="232"/>
      <c r="O48" s="230"/>
      <c r="P48" s="231"/>
      <c r="Q48" s="232"/>
      <c r="R48" s="233"/>
      <c r="S48" s="234"/>
      <c r="T48" s="235"/>
      <c r="U48" s="233"/>
      <c r="V48" s="236"/>
      <c r="W48" s="234"/>
      <c r="X48" s="235"/>
      <c r="Y48" s="237"/>
      <c r="Z48" s="238"/>
    </row>
    <row r="49" spans="1:26" s="239" customFormat="1" ht="28.5" customHeight="1" x14ac:dyDescent="0.3">
      <c r="A49" s="222">
        <f t="shared" si="7"/>
        <v>0</v>
      </c>
      <c r="B49" s="223" t="b">
        <f t="shared" si="8"/>
        <v>1</v>
      </c>
      <c r="C49" s="222">
        <f t="shared" si="9"/>
        <v>0</v>
      </c>
      <c r="D49" s="205" t="str">
        <f t="shared" si="6"/>
        <v>$$$$</v>
      </c>
      <c r="E49" s="224"/>
      <c r="F49" s="225"/>
      <c r="G49" s="226"/>
      <c r="H49" s="227"/>
      <c r="I49" s="228"/>
      <c r="J49" s="228"/>
      <c r="K49" s="229"/>
      <c r="L49" s="230"/>
      <c r="M49" s="231"/>
      <c r="N49" s="232"/>
      <c r="O49" s="230"/>
      <c r="P49" s="231"/>
      <c r="Q49" s="232"/>
      <c r="R49" s="233"/>
      <c r="S49" s="234"/>
      <c r="T49" s="235"/>
      <c r="U49" s="233"/>
      <c r="V49" s="236"/>
      <c r="W49" s="234"/>
      <c r="X49" s="235"/>
      <c r="Y49" s="237"/>
      <c r="Z49" s="238"/>
    </row>
    <row r="50" spans="1:26" s="239" customFormat="1" ht="28.5" customHeight="1" x14ac:dyDescent="0.3">
      <c r="A50" s="222">
        <f t="shared" si="7"/>
        <v>0</v>
      </c>
      <c r="B50" s="223" t="b">
        <f t="shared" si="8"/>
        <v>1</v>
      </c>
      <c r="C50" s="222">
        <f t="shared" si="9"/>
        <v>0</v>
      </c>
      <c r="D50" s="205" t="str">
        <f t="shared" si="6"/>
        <v>$$$$</v>
      </c>
      <c r="E50" s="224"/>
      <c r="F50" s="225"/>
      <c r="G50" s="226"/>
      <c r="H50" s="227"/>
      <c r="I50" s="228"/>
      <c r="J50" s="228"/>
      <c r="K50" s="229"/>
      <c r="L50" s="230"/>
      <c r="M50" s="231"/>
      <c r="N50" s="232"/>
      <c r="O50" s="230"/>
      <c r="P50" s="231"/>
      <c r="Q50" s="232"/>
      <c r="R50" s="233"/>
      <c r="S50" s="234"/>
      <c r="T50" s="235"/>
      <c r="U50" s="233"/>
      <c r="V50" s="236"/>
      <c r="W50" s="234"/>
      <c r="X50" s="235"/>
      <c r="Y50" s="237"/>
      <c r="Z50" s="238"/>
    </row>
    <row r="51" spans="1:26" s="239" customFormat="1" ht="28.5" customHeight="1" x14ac:dyDescent="0.3">
      <c r="A51" s="222">
        <f t="shared" si="7"/>
        <v>0</v>
      </c>
      <c r="B51" s="223" t="b">
        <f t="shared" si="8"/>
        <v>1</v>
      </c>
      <c r="C51" s="222">
        <f t="shared" si="9"/>
        <v>0</v>
      </c>
      <c r="D51" s="205" t="str">
        <f t="shared" si="6"/>
        <v>$$$$</v>
      </c>
      <c r="E51" s="224"/>
      <c r="F51" s="225"/>
      <c r="G51" s="226"/>
      <c r="H51" s="227"/>
      <c r="I51" s="228"/>
      <c r="J51" s="228"/>
      <c r="K51" s="229"/>
      <c r="L51" s="230"/>
      <c r="M51" s="231"/>
      <c r="N51" s="232"/>
      <c r="O51" s="230"/>
      <c r="P51" s="231"/>
      <c r="Q51" s="232"/>
      <c r="R51" s="233"/>
      <c r="S51" s="234"/>
      <c r="T51" s="235"/>
      <c r="U51" s="233"/>
      <c r="V51" s="236"/>
      <c r="W51" s="234"/>
      <c r="X51" s="235"/>
      <c r="Y51" s="237"/>
      <c r="Z51" s="238"/>
    </row>
    <row r="52" spans="1:26" s="239" customFormat="1" ht="28.5" customHeight="1" x14ac:dyDescent="0.3">
      <c r="A52" s="222">
        <f t="shared" si="7"/>
        <v>0</v>
      </c>
      <c r="B52" s="223" t="b">
        <f t="shared" si="8"/>
        <v>1</v>
      </c>
      <c r="C52" s="222">
        <f t="shared" si="9"/>
        <v>0</v>
      </c>
      <c r="D52" s="205" t="str">
        <f t="shared" si="6"/>
        <v>$$$$</v>
      </c>
      <c r="E52" s="224"/>
      <c r="F52" s="225"/>
      <c r="G52" s="226"/>
      <c r="H52" s="227"/>
      <c r="I52" s="228"/>
      <c r="J52" s="228"/>
      <c r="K52" s="229"/>
      <c r="L52" s="230"/>
      <c r="M52" s="231"/>
      <c r="N52" s="232"/>
      <c r="O52" s="230"/>
      <c r="P52" s="231"/>
      <c r="Q52" s="232"/>
      <c r="R52" s="233"/>
      <c r="S52" s="234"/>
      <c r="T52" s="235"/>
      <c r="U52" s="233"/>
      <c r="V52" s="236"/>
      <c r="W52" s="234"/>
      <c r="X52" s="235"/>
      <c r="Y52" s="237"/>
      <c r="Z52" s="238"/>
    </row>
    <row r="53" spans="1:26" s="239" customFormat="1" ht="28.5" customHeight="1" x14ac:dyDescent="0.3">
      <c r="A53" s="222">
        <f t="shared" si="7"/>
        <v>0</v>
      </c>
      <c r="B53" s="223" t="b">
        <f t="shared" si="8"/>
        <v>1</v>
      </c>
      <c r="C53" s="222">
        <f t="shared" si="9"/>
        <v>0</v>
      </c>
      <c r="D53" s="205" t="str">
        <f t="shared" si="6"/>
        <v>$$$$</v>
      </c>
      <c r="E53" s="224"/>
      <c r="F53" s="225"/>
      <c r="G53" s="226"/>
      <c r="H53" s="227"/>
      <c r="I53" s="228"/>
      <c r="J53" s="228"/>
      <c r="K53" s="229"/>
      <c r="L53" s="230"/>
      <c r="M53" s="231"/>
      <c r="N53" s="232"/>
      <c r="O53" s="230"/>
      <c r="P53" s="231"/>
      <c r="Q53" s="232"/>
      <c r="R53" s="233"/>
      <c r="S53" s="234"/>
      <c r="T53" s="235"/>
      <c r="U53" s="233"/>
      <c r="V53" s="236"/>
      <c r="W53" s="234"/>
      <c r="X53" s="235"/>
      <c r="Y53" s="237"/>
      <c r="Z53" s="238"/>
    </row>
    <row r="54" spans="1:26" s="239" customFormat="1" ht="28.5" customHeight="1" x14ac:dyDescent="0.3">
      <c r="A54" s="222">
        <f t="shared" si="7"/>
        <v>0</v>
      </c>
      <c r="B54" s="223" t="b">
        <f t="shared" si="8"/>
        <v>1</v>
      </c>
      <c r="C54" s="222">
        <f t="shared" si="9"/>
        <v>0</v>
      </c>
      <c r="D54" s="205" t="str">
        <f t="shared" si="6"/>
        <v>$$$$</v>
      </c>
      <c r="E54" s="224"/>
      <c r="F54" s="225"/>
      <c r="G54" s="226"/>
      <c r="H54" s="227"/>
      <c r="I54" s="228"/>
      <c r="J54" s="228"/>
      <c r="K54" s="229"/>
      <c r="L54" s="230"/>
      <c r="M54" s="231"/>
      <c r="N54" s="232"/>
      <c r="O54" s="230"/>
      <c r="P54" s="231"/>
      <c r="Q54" s="232"/>
      <c r="R54" s="233"/>
      <c r="S54" s="234"/>
      <c r="T54" s="235"/>
      <c r="U54" s="233"/>
      <c r="V54" s="236"/>
      <c r="W54" s="234"/>
      <c r="X54" s="235"/>
      <c r="Y54" s="237"/>
      <c r="Z54" s="238"/>
    </row>
    <row r="55" spans="1:26" s="239" customFormat="1" ht="28.5" customHeight="1" x14ac:dyDescent="0.3">
      <c r="A55" s="222">
        <f t="shared" si="7"/>
        <v>0</v>
      </c>
      <c r="B55" s="223" t="b">
        <f t="shared" si="8"/>
        <v>1</v>
      </c>
      <c r="C55" s="222">
        <f t="shared" si="9"/>
        <v>0</v>
      </c>
      <c r="D55" s="205" t="str">
        <f t="shared" si="6"/>
        <v>$$$$</v>
      </c>
      <c r="E55" s="224"/>
      <c r="F55" s="225"/>
      <c r="G55" s="226"/>
      <c r="H55" s="227"/>
      <c r="I55" s="228"/>
      <c r="J55" s="228"/>
      <c r="K55" s="229"/>
      <c r="L55" s="230"/>
      <c r="M55" s="231"/>
      <c r="N55" s="232"/>
      <c r="O55" s="230"/>
      <c r="P55" s="231"/>
      <c r="Q55" s="232"/>
      <c r="R55" s="233"/>
      <c r="S55" s="234"/>
      <c r="T55" s="235"/>
      <c r="U55" s="233"/>
      <c r="V55" s="236"/>
      <c r="W55" s="234"/>
      <c r="X55" s="235"/>
      <c r="Y55" s="237"/>
      <c r="Z55" s="238"/>
    </row>
    <row r="56" spans="1:26" s="239" customFormat="1" ht="28.5" customHeight="1" x14ac:dyDescent="0.3">
      <c r="A56" s="222">
        <f t="shared" si="7"/>
        <v>0</v>
      </c>
      <c r="B56" s="223" t="b">
        <f t="shared" si="8"/>
        <v>1</v>
      </c>
      <c r="C56" s="222">
        <f t="shared" si="9"/>
        <v>0</v>
      </c>
      <c r="D56" s="205" t="str">
        <f t="shared" si="6"/>
        <v>$$$$</v>
      </c>
      <c r="E56" s="224"/>
      <c r="F56" s="225"/>
      <c r="G56" s="226"/>
      <c r="H56" s="227"/>
      <c r="I56" s="228"/>
      <c r="J56" s="228"/>
      <c r="K56" s="229"/>
      <c r="L56" s="230"/>
      <c r="M56" s="231"/>
      <c r="N56" s="232"/>
      <c r="O56" s="230"/>
      <c r="P56" s="231"/>
      <c r="Q56" s="232"/>
      <c r="R56" s="233"/>
      <c r="S56" s="234"/>
      <c r="T56" s="235"/>
      <c r="U56" s="233"/>
      <c r="V56" s="236"/>
      <c r="W56" s="234"/>
      <c r="X56" s="235"/>
      <c r="Y56" s="237"/>
      <c r="Z56" s="238"/>
    </row>
    <row r="57" spans="1:26" s="239" customFormat="1" ht="28.5" customHeight="1" x14ac:dyDescent="0.3">
      <c r="A57" s="222">
        <f t="shared" si="7"/>
        <v>0</v>
      </c>
      <c r="B57" s="223" t="b">
        <f t="shared" si="8"/>
        <v>1</v>
      </c>
      <c r="C57" s="222">
        <f t="shared" si="9"/>
        <v>0</v>
      </c>
      <c r="D57" s="205" t="str">
        <f t="shared" si="6"/>
        <v>$$$$</v>
      </c>
      <c r="E57" s="224"/>
      <c r="F57" s="225"/>
      <c r="G57" s="226"/>
      <c r="H57" s="227"/>
      <c r="I57" s="228"/>
      <c r="J57" s="228"/>
      <c r="K57" s="229"/>
      <c r="L57" s="230"/>
      <c r="M57" s="231"/>
      <c r="N57" s="232"/>
      <c r="O57" s="230"/>
      <c r="P57" s="231"/>
      <c r="Q57" s="232"/>
      <c r="R57" s="233"/>
      <c r="S57" s="234"/>
      <c r="T57" s="235"/>
      <c r="U57" s="233"/>
      <c r="V57" s="236"/>
      <c r="W57" s="234"/>
      <c r="X57" s="235"/>
      <c r="Y57" s="237"/>
      <c r="Z57" s="238"/>
    </row>
    <row r="58" spans="1:26" s="239" customFormat="1" ht="28.5" customHeight="1" x14ac:dyDescent="0.3">
      <c r="A58" s="222">
        <f t="shared" si="7"/>
        <v>0</v>
      </c>
      <c r="B58" s="223" t="b">
        <f t="shared" si="8"/>
        <v>1</v>
      </c>
      <c r="C58" s="222">
        <f t="shared" si="9"/>
        <v>0</v>
      </c>
      <c r="D58" s="205" t="str">
        <f t="shared" si="6"/>
        <v>$$$$</v>
      </c>
      <c r="E58" s="224"/>
      <c r="F58" s="225"/>
      <c r="G58" s="226"/>
      <c r="H58" s="227"/>
      <c r="I58" s="228"/>
      <c r="J58" s="228"/>
      <c r="K58" s="229"/>
      <c r="L58" s="230"/>
      <c r="M58" s="231"/>
      <c r="N58" s="232"/>
      <c r="O58" s="230"/>
      <c r="P58" s="231"/>
      <c r="Q58" s="232"/>
      <c r="R58" s="233"/>
      <c r="S58" s="234"/>
      <c r="T58" s="235"/>
      <c r="U58" s="233"/>
      <c r="V58" s="236"/>
      <c r="W58" s="234"/>
      <c r="X58" s="235"/>
      <c r="Y58" s="237"/>
      <c r="Z58" s="238"/>
    </row>
    <row r="59" spans="1:26" s="239" customFormat="1" ht="28.5" customHeight="1" x14ac:dyDescent="0.3">
      <c r="A59" s="222">
        <f t="shared" si="7"/>
        <v>0</v>
      </c>
      <c r="B59" s="223" t="b">
        <f t="shared" si="8"/>
        <v>1</v>
      </c>
      <c r="C59" s="222">
        <f t="shared" si="9"/>
        <v>0</v>
      </c>
      <c r="D59" s="205" t="str">
        <f t="shared" si="6"/>
        <v>$$$$</v>
      </c>
      <c r="E59" s="224"/>
      <c r="F59" s="225"/>
      <c r="G59" s="226"/>
      <c r="H59" s="227"/>
      <c r="I59" s="228"/>
      <c r="J59" s="228"/>
      <c r="K59" s="229"/>
      <c r="L59" s="230"/>
      <c r="M59" s="231"/>
      <c r="N59" s="232"/>
      <c r="O59" s="230"/>
      <c r="P59" s="231"/>
      <c r="Q59" s="232"/>
      <c r="R59" s="233"/>
      <c r="S59" s="234"/>
      <c r="T59" s="235"/>
      <c r="U59" s="233"/>
      <c r="V59" s="236"/>
      <c r="W59" s="234"/>
      <c r="X59" s="235"/>
      <c r="Y59" s="237"/>
      <c r="Z59" s="238"/>
    </row>
    <row r="60" spans="1:26" s="239" customFormat="1" ht="28.5" customHeight="1" x14ac:dyDescent="0.3">
      <c r="A60" s="222">
        <f t="shared" si="7"/>
        <v>0</v>
      </c>
      <c r="B60" s="223" t="b">
        <f t="shared" si="8"/>
        <v>1</v>
      </c>
      <c r="C60" s="222">
        <f t="shared" si="9"/>
        <v>0</v>
      </c>
      <c r="D60" s="205" t="str">
        <f t="shared" si="6"/>
        <v>$$$$</v>
      </c>
      <c r="E60" s="224"/>
      <c r="F60" s="225"/>
      <c r="G60" s="226"/>
      <c r="H60" s="227"/>
      <c r="I60" s="228"/>
      <c r="J60" s="228"/>
      <c r="K60" s="229"/>
      <c r="L60" s="230"/>
      <c r="M60" s="231"/>
      <c r="N60" s="232"/>
      <c r="O60" s="230"/>
      <c r="P60" s="231"/>
      <c r="Q60" s="232"/>
      <c r="R60" s="233"/>
      <c r="S60" s="234"/>
      <c r="T60" s="235"/>
      <c r="U60" s="233"/>
      <c r="V60" s="236"/>
      <c r="W60" s="234"/>
      <c r="X60" s="235"/>
      <c r="Y60" s="237"/>
      <c r="Z60" s="238"/>
    </row>
    <row r="61" spans="1:26" s="239" customFormat="1" ht="28.5" customHeight="1" x14ac:dyDescent="0.3">
      <c r="A61" s="222">
        <f t="shared" si="7"/>
        <v>0</v>
      </c>
      <c r="B61" s="223" t="b">
        <f t="shared" si="8"/>
        <v>1</v>
      </c>
      <c r="C61" s="222">
        <f t="shared" si="9"/>
        <v>0</v>
      </c>
      <c r="D61" s="205" t="str">
        <f t="shared" si="6"/>
        <v>$$$$</v>
      </c>
      <c r="E61" s="224"/>
      <c r="F61" s="225"/>
      <c r="G61" s="226"/>
      <c r="H61" s="227"/>
      <c r="I61" s="228"/>
      <c r="J61" s="228"/>
      <c r="K61" s="229"/>
      <c r="L61" s="230"/>
      <c r="M61" s="231"/>
      <c r="N61" s="232"/>
      <c r="O61" s="230"/>
      <c r="P61" s="231"/>
      <c r="Q61" s="232"/>
      <c r="R61" s="233"/>
      <c r="S61" s="234"/>
      <c r="T61" s="235"/>
      <c r="U61" s="233"/>
      <c r="V61" s="236"/>
      <c r="W61" s="234"/>
      <c r="X61" s="235"/>
      <c r="Y61" s="237"/>
      <c r="Z61" s="238"/>
    </row>
    <row r="62" spans="1:26" s="239" customFormat="1" ht="28.5" customHeight="1" x14ac:dyDescent="0.3">
      <c r="A62" s="222">
        <f t="shared" si="7"/>
        <v>0</v>
      </c>
      <c r="B62" s="223" t="b">
        <f t="shared" si="8"/>
        <v>1</v>
      </c>
      <c r="C62" s="222">
        <f t="shared" si="9"/>
        <v>0</v>
      </c>
      <c r="D62" s="205" t="str">
        <f t="shared" si="6"/>
        <v>$$$$</v>
      </c>
      <c r="E62" s="224"/>
      <c r="F62" s="225"/>
      <c r="G62" s="226"/>
      <c r="H62" s="227"/>
      <c r="I62" s="228"/>
      <c r="J62" s="228"/>
      <c r="K62" s="229"/>
      <c r="L62" s="230"/>
      <c r="M62" s="231"/>
      <c r="N62" s="232"/>
      <c r="O62" s="230"/>
      <c r="P62" s="231"/>
      <c r="Q62" s="232"/>
      <c r="R62" s="233"/>
      <c r="S62" s="234"/>
      <c r="T62" s="235"/>
      <c r="U62" s="233"/>
      <c r="V62" s="236"/>
      <c r="W62" s="234"/>
      <c r="X62" s="235"/>
      <c r="Y62" s="237"/>
      <c r="Z62" s="238"/>
    </row>
    <row r="63" spans="1:26" s="239" customFormat="1" ht="28.5" customHeight="1" x14ac:dyDescent="0.3">
      <c r="A63" s="222">
        <f t="shared" si="7"/>
        <v>0</v>
      </c>
      <c r="B63" s="223" t="b">
        <f t="shared" si="8"/>
        <v>1</v>
      </c>
      <c r="C63" s="222">
        <f t="shared" si="9"/>
        <v>0</v>
      </c>
      <c r="D63" s="205" t="str">
        <f t="shared" si="6"/>
        <v>$$$$</v>
      </c>
      <c r="E63" s="224"/>
      <c r="F63" s="225"/>
      <c r="G63" s="226"/>
      <c r="H63" s="227"/>
      <c r="I63" s="228"/>
      <c r="J63" s="228"/>
      <c r="K63" s="229"/>
      <c r="L63" s="230"/>
      <c r="M63" s="231"/>
      <c r="N63" s="232"/>
      <c r="O63" s="230"/>
      <c r="P63" s="231"/>
      <c r="Q63" s="232"/>
      <c r="R63" s="233"/>
      <c r="S63" s="234"/>
      <c r="T63" s="235"/>
      <c r="U63" s="233"/>
      <c r="V63" s="236"/>
      <c r="W63" s="234"/>
      <c r="X63" s="235"/>
      <c r="Y63" s="237"/>
      <c r="Z63" s="238"/>
    </row>
    <row r="64" spans="1:26" s="239" customFormat="1" ht="28.5" customHeight="1" x14ac:dyDescent="0.3">
      <c r="A64" s="222">
        <f t="shared" si="7"/>
        <v>0</v>
      </c>
      <c r="B64" s="223" t="b">
        <f t="shared" si="8"/>
        <v>1</v>
      </c>
      <c r="C64" s="222">
        <f t="shared" si="9"/>
        <v>0</v>
      </c>
      <c r="D64" s="205" t="str">
        <f t="shared" si="6"/>
        <v>$$$$</v>
      </c>
      <c r="E64" s="224"/>
      <c r="F64" s="225"/>
      <c r="G64" s="226"/>
      <c r="H64" s="227"/>
      <c r="I64" s="228"/>
      <c r="J64" s="228"/>
      <c r="K64" s="229"/>
      <c r="L64" s="230"/>
      <c r="M64" s="231"/>
      <c r="N64" s="232"/>
      <c r="O64" s="230"/>
      <c r="P64" s="231"/>
      <c r="Q64" s="232"/>
      <c r="R64" s="233"/>
      <c r="S64" s="234"/>
      <c r="T64" s="235"/>
      <c r="U64" s="233"/>
      <c r="V64" s="236"/>
      <c r="W64" s="234"/>
      <c r="X64" s="235"/>
      <c r="Y64" s="237"/>
      <c r="Z64" s="238"/>
    </row>
    <row r="65" spans="1:26" s="239" customFormat="1" ht="28.5" customHeight="1" x14ac:dyDescent="0.3">
      <c r="A65" s="222">
        <f t="shared" si="7"/>
        <v>0</v>
      </c>
      <c r="B65" s="223" t="b">
        <f t="shared" si="8"/>
        <v>1</v>
      </c>
      <c r="C65" s="222">
        <f t="shared" si="9"/>
        <v>0</v>
      </c>
      <c r="D65" s="205" t="str">
        <f t="shared" si="6"/>
        <v>$$$$</v>
      </c>
      <c r="E65" s="224"/>
      <c r="F65" s="225"/>
      <c r="G65" s="226"/>
      <c r="H65" s="227"/>
      <c r="I65" s="228"/>
      <c r="J65" s="228"/>
      <c r="K65" s="229"/>
      <c r="L65" s="230"/>
      <c r="M65" s="231"/>
      <c r="N65" s="232"/>
      <c r="O65" s="230"/>
      <c r="P65" s="231"/>
      <c r="Q65" s="232"/>
      <c r="R65" s="233"/>
      <c r="S65" s="234"/>
      <c r="T65" s="235"/>
      <c r="U65" s="233"/>
      <c r="V65" s="236"/>
      <c r="W65" s="234"/>
      <c r="X65" s="235"/>
      <c r="Y65" s="237"/>
      <c r="Z65" s="238"/>
    </row>
    <row r="66" spans="1:26" s="239" customFormat="1" ht="28.5" customHeight="1" x14ac:dyDescent="0.3">
      <c r="A66" s="222">
        <f t="shared" si="7"/>
        <v>0</v>
      </c>
      <c r="B66" s="223" t="b">
        <f t="shared" si="8"/>
        <v>1</v>
      </c>
      <c r="C66" s="222">
        <f t="shared" si="9"/>
        <v>0</v>
      </c>
      <c r="D66" s="205" t="str">
        <f t="shared" si="6"/>
        <v>$$$$</v>
      </c>
      <c r="E66" s="224"/>
      <c r="F66" s="225"/>
      <c r="G66" s="226"/>
      <c r="H66" s="227"/>
      <c r="I66" s="228"/>
      <c r="J66" s="228"/>
      <c r="K66" s="229"/>
      <c r="L66" s="230"/>
      <c r="M66" s="231"/>
      <c r="N66" s="232"/>
      <c r="O66" s="230"/>
      <c r="P66" s="231"/>
      <c r="Q66" s="232"/>
      <c r="R66" s="233"/>
      <c r="S66" s="234"/>
      <c r="T66" s="235"/>
      <c r="U66" s="233"/>
      <c r="V66" s="236"/>
      <c r="W66" s="234"/>
      <c r="X66" s="235"/>
      <c r="Y66" s="237"/>
      <c r="Z66" s="238"/>
    </row>
    <row r="67" spans="1:26" s="239" customFormat="1" ht="28.5" customHeight="1" x14ac:dyDescent="0.3">
      <c r="A67" s="222">
        <f t="shared" si="7"/>
        <v>0</v>
      </c>
      <c r="B67" s="223" t="b">
        <f t="shared" si="8"/>
        <v>1</v>
      </c>
      <c r="C67" s="222">
        <f t="shared" si="9"/>
        <v>0</v>
      </c>
      <c r="D67" s="205" t="str">
        <f t="shared" si="6"/>
        <v>$$$$</v>
      </c>
      <c r="E67" s="224"/>
      <c r="F67" s="225"/>
      <c r="G67" s="226"/>
      <c r="H67" s="227"/>
      <c r="I67" s="228"/>
      <c r="J67" s="228"/>
      <c r="K67" s="229"/>
      <c r="L67" s="230"/>
      <c r="M67" s="231"/>
      <c r="N67" s="232"/>
      <c r="O67" s="230"/>
      <c r="P67" s="231"/>
      <c r="Q67" s="232"/>
      <c r="R67" s="233"/>
      <c r="S67" s="234"/>
      <c r="T67" s="235"/>
      <c r="U67" s="233"/>
      <c r="V67" s="236"/>
      <c r="W67" s="234"/>
      <c r="X67" s="235"/>
      <c r="Y67" s="237"/>
      <c r="Z67" s="238"/>
    </row>
    <row r="68" spans="1:26" s="239" customFormat="1" ht="28.5" customHeight="1" x14ac:dyDescent="0.3">
      <c r="A68" s="222">
        <f t="shared" si="7"/>
        <v>0</v>
      </c>
      <c r="B68" s="223" t="b">
        <f t="shared" si="8"/>
        <v>1</v>
      </c>
      <c r="C68" s="222">
        <f t="shared" si="9"/>
        <v>0</v>
      </c>
      <c r="D68" s="205" t="str">
        <f t="shared" si="6"/>
        <v>$$$$</v>
      </c>
      <c r="E68" s="224"/>
      <c r="F68" s="225"/>
      <c r="G68" s="226"/>
      <c r="H68" s="227"/>
      <c r="I68" s="228"/>
      <c r="J68" s="228"/>
      <c r="K68" s="229"/>
      <c r="L68" s="230"/>
      <c r="M68" s="231"/>
      <c r="N68" s="232"/>
      <c r="O68" s="230"/>
      <c r="P68" s="231"/>
      <c r="Q68" s="232"/>
      <c r="R68" s="233"/>
      <c r="S68" s="234"/>
      <c r="T68" s="235"/>
      <c r="U68" s="233"/>
      <c r="V68" s="236"/>
      <c r="W68" s="234"/>
      <c r="X68" s="235"/>
      <c r="Y68" s="237"/>
      <c r="Z68" s="238"/>
    </row>
    <row r="69" spans="1:26" s="239" customFormat="1" ht="28.5" customHeight="1" x14ac:dyDescent="0.3">
      <c r="A69" s="222">
        <f t="shared" si="7"/>
        <v>0</v>
      </c>
      <c r="B69" s="223" t="b">
        <f t="shared" si="8"/>
        <v>1</v>
      </c>
      <c r="C69" s="222">
        <f t="shared" si="9"/>
        <v>0</v>
      </c>
      <c r="D69" s="205" t="str">
        <f t="shared" si="6"/>
        <v>$$$$</v>
      </c>
      <c r="E69" s="224"/>
      <c r="F69" s="225"/>
      <c r="G69" s="226"/>
      <c r="H69" s="227"/>
      <c r="I69" s="228"/>
      <c r="J69" s="228"/>
      <c r="K69" s="229"/>
      <c r="L69" s="230"/>
      <c r="M69" s="231"/>
      <c r="N69" s="232"/>
      <c r="O69" s="230"/>
      <c r="P69" s="231"/>
      <c r="Q69" s="232"/>
      <c r="R69" s="233"/>
      <c r="S69" s="234"/>
      <c r="T69" s="235"/>
      <c r="U69" s="233"/>
      <c r="V69" s="236"/>
      <c r="W69" s="234"/>
      <c r="X69" s="235"/>
      <c r="Y69" s="237"/>
      <c r="Z69" s="238"/>
    </row>
    <row r="70" spans="1:26" s="239" customFormat="1" ht="28.5" customHeight="1" x14ac:dyDescent="0.3">
      <c r="A70" s="222">
        <f t="shared" si="7"/>
        <v>0</v>
      </c>
      <c r="B70" s="223" t="b">
        <f t="shared" si="8"/>
        <v>1</v>
      </c>
      <c r="C70" s="222">
        <f t="shared" si="9"/>
        <v>0</v>
      </c>
      <c r="D70" s="205" t="str">
        <f t="shared" si="6"/>
        <v>$$$$</v>
      </c>
      <c r="E70" s="224"/>
      <c r="F70" s="225"/>
      <c r="G70" s="226"/>
      <c r="H70" s="227"/>
      <c r="I70" s="228"/>
      <c r="J70" s="228"/>
      <c r="K70" s="229"/>
      <c r="L70" s="230"/>
      <c r="M70" s="231"/>
      <c r="N70" s="232"/>
      <c r="O70" s="230"/>
      <c r="P70" s="231"/>
      <c r="Q70" s="232"/>
      <c r="R70" s="233"/>
      <c r="S70" s="234"/>
      <c r="T70" s="235"/>
      <c r="U70" s="233"/>
      <c r="V70" s="236"/>
      <c r="W70" s="234"/>
      <c r="X70" s="235"/>
      <c r="Y70" s="237"/>
      <c r="Z70" s="238"/>
    </row>
    <row r="71" spans="1:26" s="239" customFormat="1" ht="28.5" customHeight="1" x14ac:dyDescent="0.3">
      <c r="A71" s="222">
        <f t="shared" ref="A71:A102" si="10">IF(B71,0,MATCH(H71,ВидыНагр,0))</f>
        <v>0</v>
      </c>
      <c r="B71" s="223" t="b">
        <f t="shared" ref="B71:B102" si="11">(COUNTIF(КлючОсень,D71)&lt;&gt;1)</f>
        <v>1</v>
      </c>
      <c r="C71" s="222">
        <f t="shared" ref="C71:C102" si="12">IF(COUNTA(E71:K71,Z71)&gt;0,1,0)+IF(COUNTA(L71:Y71)&gt;0,2,0)</f>
        <v>0</v>
      </c>
      <c r="D71" s="205" t="str">
        <f t="shared" si="6"/>
        <v>$$$$</v>
      </c>
      <c r="E71" s="224"/>
      <c r="F71" s="225"/>
      <c r="G71" s="226"/>
      <c r="H71" s="227"/>
      <c r="I71" s="228"/>
      <c r="J71" s="228"/>
      <c r="K71" s="229"/>
      <c r="L71" s="230"/>
      <c r="M71" s="231"/>
      <c r="N71" s="232"/>
      <c r="O71" s="230"/>
      <c r="P71" s="231"/>
      <c r="Q71" s="232"/>
      <c r="R71" s="233"/>
      <c r="S71" s="234"/>
      <c r="T71" s="235"/>
      <c r="U71" s="233"/>
      <c r="V71" s="236"/>
      <c r="W71" s="234"/>
      <c r="X71" s="235"/>
      <c r="Y71" s="237"/>
      <c r="Z71" s="238"/>
    </row>
    <row r="72" spans="1:26" s="239" customFormat="1" ht="28.5" customHeight="1" x14ac:dyDescent="0.3">
      <c r="A72" s="222">
        <f t="shared" si="10"/>
        <v>0</v>
      </c>
      <c r="B72" s="223" t="b">
        <f t="shared" si="11"/>
        <v>1</v>
      </c>
      <c r="C72" s="222">
        <f t="shared" si="12"/>
        <v>0</v>
      </c>
      <c r="D72" s="205" t="str">
        <f t="shared" ref="D72:D159" si="13">CONCATENATE("$",TRIM(F72),"$",TRIM(G72),"$",H72,"$")</f>
        <v>$$$$</v>
      </c>
      <c r="E72" s="224"/>
      <c r="F72" s="225"/>
      <c r="G72" s="226"/>
      <c r="H72" s="227"/>
      <c r="I72" s="228"/>
      <c r="J72" s="228"/>
      <c r="K72" s="229"/>
      <c r="L72" s="230"/>
      <c r="M72" s="231"/>
      <c r="N72" s="232"/>
      <c r="O72" s="230"/>
      <c r="P72" s="231"/>
      <c r="Q72" s="232"/>
      <c r="R72" s="233"/>
      <c r="S72" s="234"/>
      <c r="T72" s="235"/>
      <c r="U72" s="233"/>
      <c r="V72" s="236"/>
      <c r="W72" s="234"/>
      <c r="X72" s="235"/>
      <c r="Y72" s="237"/>
      <c r="Z72" s="238"/>
    </row>
    <row r="73" spans="1:26" s="239" customFormat="1" ht="28.5" customHeight="1" x14ac:dyDescent="0.3">
      <c r="A73" s="222">
        <f t="shared" si="10"/>
        <v>0</v>
      </c>
      <c r="B73" s="223" t="b">
        <f t="shared" si="11"/>
        <v>1</v>
      </c>
      <c r="C73" s="222">
        <f t="shared" si="12"/>
        <v>0</v>
      </c>
      <c r="D73" s="205" t="str">
        <f t="shared" si="13"/>
        <v>$$$$</v>
      </c>
      <c r="E73" s="224"/>
      <c r="F73" s="225"/>
      <c r="G73" s="226"/>
      <c r="H73" s="227"/>
      <c r="I73" s="228"/>
      <c r="J73" s="228"/>
      <c r="K73" s="229"/>
      <c r="L73" s="230"/>
      <c r="M73" s="231"/>
      <c r="N73" s="232"/>
      <c r="O73" s="230"/>
      <c r="P73" s="231"/>
      <c r="Q73" s="232"/>
      <c r="R73" s="233"/>
      <c r="S73" s="234"/>
      <c r="T73" s="235"/>
      <c r="U73" s="233"/>
      <c r="V73" s="236"/>
      <c r="W73" s="234"/>
      <c r="X73" s="235"/>
      <c r="Y73" s="237"/>
      <c r="Z73" s="238"/>
    </row>
    <row r="74" spans="1:26" s="239" customFormat="1" ht="28.5" customHeight="1" x14ac:dyDescent="0.3">
      <c r="A74" s="222">
        <f t="shared" si="10"/>
        <v>0</v>
      </c>
      <c r="B74" s="223" t="b">
        <f t="shared" si="11"/>
        <v>1</v>
      </c>
      <c r="C74" s="222">
        <f t="shared" si="12"/>
        <v>0</v>
      </c>
      <c r="D74" s="205" t="str">
        <f t="shared" si="13"/>
        <v>$$$$</v>
      </c>
      <c r="E74" s="224"/>
      <c r="F74" s="225"/>
      <c r="G74" s="226"/>
      <c r="H74" s="227"/>
      <c r="I74" s="228"/>
      <c r="J74" s="228"/>
      <c r="K74" s="229"/>
      <c r="L74" s="230"/>
      <c r="M74" s="231"/>
      <c r="N74" s="232"/>
      <c r="O74" s="230"/>
      <c r="P74" s="231"/>
      <c r="Q74" s="232"/>
      <c r="R74" s="233"/>
      <c r="S74" s="234"/>
      <c r="T74" s="235"/>
      <c r="U74" s="233"/>
      <c r="V74" s="236"/>
      <c r="W74" s="234"/>
      <c r="X74" s="235"/>
      <c r="Y74" s="237"/>
      <c r="Z74" s="238"/>
    </row>
    <row r="75" spans="1:26" s="239" customFormat="1" ht="28.5" customHeight="1" x14ac:dyDescent="0.3">
      <c r="A75" s="222">
        <f t="shared" si="10"/>
        <v>0</v>
      </c>
      <c r="B75" s="223" t="b">
        <f t="shared" si="11"/>
        <v>1</v>
      </c>
      <c r="C75" s="222">
        <f t="shared" si="12"/>
        <v>0</v>
      </c>
      <c r="D75" s="205" t="str">
        <f t="shared" si="13"/>
        <v>$$$$</v>
      </c>
      <c r="E75" s="224"/>
      <c r="F75" s="225"/>
      <c r="G75" s="226"/>
      <c r="H75" s="227"/>
      <c r="I75" s="228"/>
      <c r="J75" s="228"/>
      <c r="K75" s="229"/>
      <c r="L75" s="230"/>
      <c r="M75" s="231"/>
      <c r="N75" s="232"/>
      <c r="O75" s="230"/>
      <c r="P75" s="231"/>
      <c r="Q75" s="232"/>
      <c r="R75" s="233"/>
      <c r="S75" s="234"/>
      <c r="T75" s="235"/>
      <c r="U75" s="233"/>
      <c r="V75" s="236"/>
      <c r="W75" s="234"/>
      <c r="X75" s="235"/>
      <c r="Y75" s="237"/>
      <c r="Z75" s="238"/>
    </row>
    <row r="76" spans="1:26" s="239" customFormat="1" ht="28.5" customHeight="1" x14ac:dyDescent="0.3">
      <c r="A76" s="222">
        <f t="shared" si="10"/>
        <v>0</v>
      </c>
      <c r="B76" s="223" t="b">
        <f t="shared" si="11"/>
        <v>1</v>
      </c>
      <c r="C76" s="222">
        <f t="shared" si="12"/>
        <v>0</v>
      </c>
      <c r="D76" s="205" t="str">
        <f t="shared" si="13"/>
        <v>$$$$</v>
      </c>
      <c r="E76" s="224"/>
      <c r="F76" s="225"/>
      <c r="G76" s="226"/>
      <c r="H76" s="227"/>
      <c r="I76" s="228"/>
      <c r="J76" s="228"/>
      <c r="K76" s="229"/>
      <c r="L76" s="230"/>
      <c r="M76" s="231"/>
      <c r="N76" s="232"/>
      <c r="O76" s="230"/>
      <c r="P76" s="231"/>
      <c r="Q76" s="232"/>
      <c r="R76" s="233"/>
      <c r="S76" s="234"/>
      <c r="T76" s="235"/>
      <c r="U76" s="233"/>
      <c r="V76" s="236"/>
      <c r="W76" s="234"/>
      <c r="X76" s="235"/>
      <c r="Y76" s="237"/>
      <c r="Z76" s="238"/>
    </row>
    <row r="77" spans="1:26" s="239" customFormat="1" ht="28.5" customHeight="1" x14ac:dyDescent="0.3">
      <c r="A77" s="222">
        <f t="shared" si="10"/>
        <v>0</v>
      </c>
      <c r="B77" s="223" t="b">
        <f t="shared" si="11"/>
        <v>1</v>
      </c>
      <c r="C77" s="222">
        <f t="shared" si="12"/>
        <v>0</v>
      </c>
      <c r="D77" s="205" t="str">
        <f t="shared" si="13"/>
        <v>$$$$</v>
      </c>
      <c r="E77" s="224"/>
      <c r="F77" s="225"/>
      <c r="G77" s="226"/>
      <c r="H77" s="227"/>
      <c r="I77" s="228"/>
      <c r="J77" s="228"/>
      <c r="K77" s="229"/>
      <c r="L77" s="230"/>
      <c r="M77" s="231"/>
      <c r="N77" s="232"/>
      <c r="O77" s="230"/>
      <c r="P77" s="231"/>
      <c r="Q77" s="232"/>
      <c r="R77" s="233"/>
      <c r="S77" s="234"/>
      <c r="T77" s="235"/>
      <c r="U77" s="233"/>
      <c r="V77" s="236"/>
      <c r="W77" s="234"/>
      <c r="X77" s="235"/>
      <c r="Y77" s="237"/>
      <c r="Z77" s="238"/>
    </row>
    <row r="78" spans="1:26" s="239" customFormat="1" ht="28.5" customHeight="1" x14ac:dyDescent="0.3">
      <c r="A78" s="222">
        <f t="shared" si="10"/>
        <v>0</v>
      </c>
      <c r="B78" s="223" t="b">
        <f t="shared" si="11"/>
        <v>1</v>
      </c>
      <c r="C78" s="222">
        <f t="shared" si="12"/>
        <v>0</v>
      </c>
      <c r="D78" s="205" t="str">
        <f t="shared" si="13"/>
        <v>$$$$</v>
      </c>
      <c r="E78" s="224"/>
      <c r="F78" s="225"/>
      <c r="G78" s="226"/>
      <c r="H78" s="227"/>
      <c r="I78" s="228"/>
      <c r="J78" s="228"/>
      <c r="K78" s="229"/>
      <c r="L78" s="230"/>
      <c r="M78" s="231"/>
      <c r="N78" s="232"/>
      <c r="O78" s="230"/>
      <c r="P78" s="231"/>
      <c r="Q78" s="232"/>
      <c r="R78" s="233"/>
      <c r="S78" s="234"/>
      <c r="T78" s="235"/>
      <c r="U78" s="233"/>
      <c r="V78" s="236"/>
      <c r="W78" s="234"/>
      <c r="X78" s="235"/>
      <c r="Y78" s="237"/>
      <c r="Z78" s="238"/>
    </row>
    <row r="79" spans="1:26" s="239" customFormat="1" ht="28.5" customHeight="1" x14ac:dyDescent="0.3">
      <c r="A79" s="222">
        <f t="shared" si="10"/>
        <v>0</v>
      </c>
      <c r="B79" s="223" t="b">
        <f t="shared" si="11"/>
        <v>1</v>
      </c>
      <c r="C79" s="222">
        <f t="shared" si="12"/>
        <v>0</v>
      </c>
      <c r="D79" s="205" t="str">
        <f t="shared" si="13"/>
        <v>$$$$</v>
      </c>
      <c r="E79" s="224"/>
      <c r="F79" s="225"/>
      <c r="G79" s="226"/>
      <c r="H79" s="227"/>
      <c r="I79" s="228"/>
      <c r="J79" s="228"/>
      <c r="K79" s="229"/>
      <c r="L79" s="230"/>
      <c r="M79" s="231"/>
      <c r="N79" s="232"/>
      <c r="O79" s="230"/>
      <c r="P79" s="231"/>
      <c r="Q79" s="232"/>
      <c r="R79" s="233"/>
      <c r="S79" s="234"/>
      <c r="T79" s="235"/>
      <c r="U79" s="233"/>
      <c r="V79" s="236"/>
      <c r="W79" s="234"/>
      <c r="X79" s="235"/>
      <c r="Y79" s="237"/>
      <c r="Z79" s="238"/>
    </row>
    <row r="80" spans="1:26" s="239" customFormat="1" ht="28.5" customHeight="1" x14ac:dyDescent="0.3">
      <c r="A80" s="222">
        <f t="shared" si="10"/>
        <v>0</v>
      </c>
      <c r="B80" s="223" t="b">
        <f t="shared" si="11"/>
        <v>1</v>
      </c>
      <c r="C80" s="222">
        <f t="shared" si="12"/>
        <v>0</v>
      </c>
      <c r="D80" s="205" t="str">
        <f t="shared" si="13"/>
        <v>$$$$</v>
      </c>
      <c r="E80" s="224"/>
      <c r="F80" s="225"/>
      <c r="G80" s="226"/>
      <c r="H80" s="227"/>
      <c r="I80" s="228"/>
      <c r="J80" s="228"/>
      <c r="K80" s="229"/>
      <c r="L80" s="230"/>
      <c r="M80" s="231"/>
      <c r="N80" s="232"/>
      <c r="O80" s="230"/>
      <c r="P80" s="231"/>
      <c r="Q80" s="232"/>
      <c r="R80" s="233"/>
      <c r="S80" s="234"/>
      <c r="T80" s="235"/>
      <c r="U80" s="233"/>
      <c r="V80" s="236"/>
      <c r="W80" s="234"/>
      <c r="X80" s="235"/>
      <c r="Y80" s="237"/>
      <c r="Z80" s="238"/>
    </row>
    <row r="81" spans="1:26" s="239" customFormat="1" ht="28.5" customHeight="1" x14ac:dyDescent="0.3">
      <c r="A81" s="222">
        <f t="shared" si="10"/>
        <v>0</v>
      </c>
      <c r="B81" s="223" t="b">
        <f t="shared" si="11"/>
        <v>1</v>
      </c>
      <c r="C81" s="222">
        <f t="shared" si="12"/>
        <v>0</v>
      </c>
      <c r="D81" s="205" t="str">
        <f t="shared" si="13"/>
        <v>$$$$</v>
      </c>
      <c r="E81" s="224"/>
      <c r="F81" s="225"/>
      <c r="G81" s="226"/>
      <c r="H81" s="227"/>
      <c r="I81" s="228"/>
      <c r="J81" s="228"/>
      <c r="K81" s="229"/>
      <c r="L81" s="230"/>
      <c r="M81" s="231"/>
      <c r="N81" s="232"/>
      <c r="O81" s="230"/>
      <c r="P81" s="231"/>
      <c r="Q81" s="232"/>
      <c r="R81" s="233"/>
      <c r="S81" s="234"/>
      <c r="T81" s="235"/>
      <c r="U81" s="233"/>
      <c r="V81" s="236"/>
      <c r="W81" s="234"/>
      <c r="X81" s="235"/>
      <c r="Y81" s="237"/>
      <c r="Z81" s="238"/>
    </row>
    <row r="82" spans="1:26" s="239" customFormat="1" ht="28.5" customHeight="1" x14ac:dyDescent="0.3">
      <c r="A82" s="222">
        <f t="shared" si="10"/>
        <v>0</v>
      </c>
      <c r="B82" s="223" t="b">
        <f t="shared" si="11"/>
        <v>1</v>
      </c>
      <c r="C82" s="222">
        <f t="shared" si="12"/>
        <v>0</v>
      </c>
      <c r="D82" s="205" t="str">
        <f t="shared" si="13"/>
        <v>$$$$</v>
      </c>
      <c r="E82" s="224"/>
      <c r="F82" s="225"/>
      <c r="G82" s="226"/>
      <c r="H82" s="227"/>
      <c r="I82" s="228"/>
      <c r="J82" s="228"/>
      <c r="K82" s="229"/>
      <c r="L82" s="230"/>
      <c r="M82" s="231"/>
      <c r="N82" s="232"/>
      <c r="O82" s="230"/>
      <c r="P82" s="231"/>
      <c r="Q82" s="232"/>
      <c r="R82" s="233"/>
      <c r="S82" s="234"/>
      <c r="T82" s="235"/>
      <c r="U82" s="233"/>
      <c r="V82" s="236"/>
      <c r="W82" s="234"/>
      <c r="X82" s="235"/>
      <c r="Y82" s="237"/>
      <c r="Z82" s="238"/>
    </row>
    <row r="83" spans="1:26" s="239" customFormat="1" ht="28.5" customHeight="1" x14ac:dyDescent="0.3">
      <c r="A83" s="222">
        <f t="shared" si="10"/>
        <v>0</v>
      </c>
      <c r="B83" s="223" t="b">
        <f t="shared" si="11"/>
        <v>1</v>
      </c>
      <c r="C83" s="222">
        <f t="shared" si="12"/>
        <v>0</v>
      </c>
      <c r="D83" s="205" t="str">
        <f t="shared" si="13"/>
        <v>$$$$</v>
      </c>
      <c r="E83" s="224"/>
      <c r="F83" s="225"/>
      <c r="G83" s="226"/>
      <c r="H83" s="227"/>
      <c r="I83" s="228"/>
      <c r="J83" s="228"/>
      <c r="K83" s="229"/>
      <c r="L83" s="230"/>
      <c r="M83" s="231"/>
      <c r="N83" s="232"/>
      <c r="O83" s="230"/>
      <c r="P83" s="231"/>
      <c r="Q83" s="232"/>
      <c r="R83" s="233"/>
      <c r="S83" s="234"/>
      <c r="T83" s="235"/>
      <c r="U83" s="233"/>
      <c r="V83" s="236"/>
      <c r="W83" s="234"/>
      <c r="X83" s="235"/>
      <c r="Y83" s="237"/>
      <c r="Z83" s="238"/>
    </row>
    <row r="84" spans="1:26" s="239" customFormat="1" ht="28.5" customHeight="1" x14ac:dyDescent="0.3">
      <c r="A84" s="222">
        <f t="shared" si="10"/>
        <v>0</v>
      </c>
      <c r="B84" s="223" t="b">
        <f t="shared" si="11"/>
        <v>1</v>
      </c>
      <c r="C84" s="222">
        <f t="shared" si="12"/>
        <v>0</v>
      </c>
      <c r="D84" s="205" t="str">
        <f t="shared" si="13"/>
        <v>$$$$</v>
      </c>
      <c r="E84" s="224"/>
      <c r="F84" s="225"/>
      <c r="G84" s="226"/>
      <c r="H84" s="227"/>
      <c r="I84" s="228"/>
      <c r="J84" s="228"/>
      <c r="K84" s="229"/>
      <c r="L84" s="230"/>
      <c r="M84" s="231"/>
      <c r="N84" s="232"/>
      <c r="O84" s="230"/>
      <c r="P84" s="231"/>
      <c r="Q84" s="232"/>
      <c r="R84" s="233"/>
      <c r="S84" s="234"/>
      <c r="T84" s="235"/>
      <c r="U84" s="233"/>
      <c r="V84" s="236"/>
      <c r="W84" s="234"/>
      <c r="X84" s="235"/>
      <c r="Y84" s="237"/>
      <c r="Z84" s="238"/>
    </row>
    <row r="85" spans="1:26" s="239" customFormat="1" ht="28.5" customHeight="1" x14ac:dyDescent="0.3">
      <c r="A85" s="222">
        <f t="shared" si="10"/>
        <v>0</v>
      </c>
      <c r="B85" s="223" t="b">
        <f t="shared" si="11"/>
        <v>1</v>
      </c>
      <c r="C85" s="222">
        <f t="shared" si="12"/>
        <v>0</v>
      </c>
      <c r="D85" s="205" t="str">
        <f t="shared" si="13"/>
        <v>$$$$</v>
      </c>
      <c r="E85" s="224"/>
      <c r="F85" s="225"/>
      <c r="G85" s="226"/>
      <c r="H85" s="227"/>
      <c r="I85" s="228"/>
      <c r="J85" s="228"/>
      <c r="K85" s="229"/>
      <c r="L85" s="230"/>
      <c r="M85" s="231"/>
      <c r="N85" s="232"/>
      <c r="O85" s="230"/>
      <c r="P85" s="231"/>
      <c r="Q85" s="232"/>
      <c r="R85" s="233"/>
      <c r="S85" s="234"/>
      <c r="T85" s="235"/>
      <c r="U85" s="233"/>
      <c r="V85" s="236"/>
      <c r="W85" s="234"/>
      <c r="X85" s="235"/>
      <c r="Y85" s="237"/>
      <c r="Z85" s="238"/>
    </row>
    <row r="86" spans="1:26" s="239" customFormat="1" ht="28.5" customHeight="1" x14ac:dyDescent="0.3">
      <c r="A86" s="222">
        <f t="shared" si="10"/>
        <v>0</v>
      </c>
      <c r="B86" s="223" t="b">
        <f t="shared" si="11"/>
        <v>1</v>
      </c>
      <c r="C86" s="222">
        <f t="shared" si="12"/>
        <v>0</v>
      </c>
      <c r="D86" s="205" t="str">
        <f t="shared" si="13"/>
        <v>$$$$</v>
      </c>
      <c r="E86" s="224"/>
      <c r="F86" s="225"/>
      <c r="G86" s="226"/>
      <c r="H86" s="227"/>
      <c r="I86" s="228"/>
      <c r="J86" s="228"/>
      <c r="K86" s="229"/>
      <c r="L86" s="230"/>
      <c r="M86" s="231"/>
      <c r="N86" s="232"/>
      <c r="O86" s="230"/>
      <c r="P86" s="231"/>
      <c r="Q86" s="232"/>
      <c r="R86" s="233"/>
      <c r="S86" s="234"/>
      <c r="T86" s="235"/>
      <c r="U86" s="233"/>
      <c r="V86" s="236"/>
      <c r="W86" s="234"/>
      <c r="X86" s="235"/>
      <c r="Y86" s="237"/>
      <c r="Z86" s="238"/>
    </row>
    <row r="87" spans="1:26" s="239" customFormat="1" ht="28.5" customHeight="1" x14ac:dyDescent="0.3">
      <c r="A87" s="222">
        <f t="shared" si="10"/>
        <v>0</v>
      </c>
      <c r="B87" s="223" t="b">
        <f t="shared" si="11"/>
        <v>1</v>
      </c>
      <c r="C87" s="222">
        <f t="shared" si="12"/>
        <v>0</v>
      </c>
      <c r="D87" s="205" t="str">
        <f t="shared" si="13"/>
        <v>$$$$</v>
      </c>
      <c r="E87" s="224"/>
      <c r="F87" s="225"/>
      <c r="G87" s="226"/>
      <c r="H87" s="227"/>
      <c r="I87" s="228"/>
      <c r="J87" s="228"/>
      <c r="K87" s="229"/>
      <c r="L87" s="230"/>
      <c r="M87" s="231"/>
      <c r="N87" s="232"/>
      <c r="O87" s="230"/>
      <c r="P87" s="231"/>
      <c r="Q87" s="232"/>
      <c r="R87" s="233"/>
      <c r="S87" s="234"/>
      <c r="T87" s="235"/>
      <c r="U87" s="233"/>
      <c r="V87" s="236"/>
      <c r="W87" s="234"/>
      <c r="X87" s="235"/>
      <c r="Y87" s="237"/>
      <c r="Z87" s="238"/>
    </row>
    <row r="88" spans="1:26" s="239" customFormat="1" ht="28.5" customHeight="1" x14ac:dyDescent="0.3">
      <c r="A88" s="222">
        <f t="shared" si="10"/>
        <v>0</v>
      </c>
      <c r="B88" s="223" t="b">
        <f t="shared" si="11"/>
        <v>1</v>
      </c>
      <c r="C88" s="222">
        <f t="shared" si="12"/>
        <v>0</v>
      </c>
      <c r="D88" s="205" t="str">
        <f t="shared" si="13"/>
        <v>$$$$</v>
      </c>
      <c r="E88" s="224"/>
      <c r="F88" s="225"/>
      <c r="G88" s="226"/>
      <c r="H88" s="227"/>
      <c r="I88" s="228"/>
      <c r="J88" s="228"/>
      <c r="K88" s="229"/>
      <c r="L88" s="230"/>
      <c r="M88" s="231"/>
      <c r="N88" s="232"/>
      <c r="O88" s="230"/>
      <c r="P88" s="231"/>
      <c r="Q88" s="232"/>
      <c r="R88" s="233"/>
      <c r="S88" s="234"/>
      <c r="T88" s="235"/>
      <c r="U88" s="233"/>
      <c r="V88" s="236"/>
      <c r="W88" s="234"/>
      <c r="X88" s="235"/>
      <c r="Y88" s="237"/>
      <c r="Z88" s="238"/>
    </row>
    <row r="89" spans="1:26" s="239" customFormat="1" ht="28.5" customHeight="1" x14ac:dyDescent="0.3">
      <c r="A89" s="222">
        <f t="shared" si="10"/>
        <v>0</v>
      </c>
      <c r="B89" s="223" t="b">
        <f t="shared" si="11"/>
        <v>1</v>
      </c>
      <c r="C89" s="222">
        <f t="shared" si="12"/>
        <v>0</v>
      </c>
      <c r="D89" s="205" t="str">
        <f t="shared" si="13"/>
        <v>$$$$</v>
      </c>
      <c r="E89" s="224"/>
      <c r="F89" s="225"/>
      <c r="G89" s="226"/>
      <c r="H89" s="227"/>
      <c r="I89" s="228"/>
      <c r="J89" s="228"/>
      <c r="K89" s="229"/>
      <c r="L89" s="230"/>
      <c r="M89" s="231"/>
      <c r="N89" s="232"/>
      <c r="O89" s="230"/>
      <c r="P89" s="231"/>
      <c r="Q89" s="232"/>
      <c r="R89" s="233"/>
      <c r="S89" s="234"/>
      <c r="T89" s="235"/>
      <c r="U89" s="233"/>
      <c r="V89" s="236"/>
      <c r="W89" s="234"/>
      <c r="X89" s="235"/>
      <c r="Y89" s="237"/>
      <c r="Z89" s="238"/>
    </row>
    <row r="90" spans="1:26" s="239" customFormat="1" ht="28.5" customHeight="1" x14ac:dyDescent="0.3">
      <c r="A90" s="222">
        <f t="shared" si="10"/>
        <v>0</v>
      </c>
      <c r="B90" s="223" t="b">
        <f t="shared" si="11"/>
        <v>1</v>
      </c>
      <c r="C90" s="222">
        <f t="shared" si="12"/>
        <v>0</v>
      </c>
      <c r="D90" s="205" t="str">
        <f t="shared" si="13"/>
        <v>$$$$</v>
      </c>
      <c r="E90" s="224"/>
      <c r="F90" s="225"/>
      <c r="G90" s="226"/>
      <c r="H90" s="227"/>
      <c r="I90" s="228"/>
      <c r="J90" s="228"/>
      <c r="K90" s="229"/>
      <c r="L90" s="230"/>
      <c r="M90" s="231"/>
      <c r="N90" s="232"/>
      <c r="O90" s="230"/>
      <c r="P90" s="231"/>
      <c r="Q90" s="232"/>
      <c r="R90" s="233"/>
      <c r="S90" s="234"/>
      <c r="T90" s="235"/>
      <c r="U90" s="233"/>
      <c r="V90" s="236"/>
      <c r="W90" s="234"/>
      <c r="X90" s="235"/>
      <c r="Y90" s="237"/>
      <c r="Z90" s="238"/>
    </row>
    <row r="91" spans="1:26" s="239" customFormat="1" ht="28.5" customHeight="1" x14ac:dyDescent="0.3">
      <c r="A91" s="222">
        <f t="shared" si="10"/>
        <v>0</v>
      </c>
      <c r="B91" s="223" t="b">
        <f t="shared" si="11"/>
        <v>1</v>
      </c>
      <c r="C91" s="222">
        <f t="shared" si="12"/>
        <v>0</v>
      </c>
      <c r="D91" s="205" t="str">
        <f t="shared" si="13"/>
        <v>$$$$</v>
      </c>
      <c r="E91" s="224"/>
      <c r="F91" s="225"/>
      <c r="G91" s="226"/>
      <c r="H91" s="227"/>
      <c r="I91" s="228"/>
      <c r="J91" s="228"/>
      <c r="K91" s="229"/>
      <c r="L91" s="230"/>
      <c r="M91" s="231"/>
      <c r="N91" s="232"/>
      <c r="O91" s="230"/>
      <c r="P91" s="231"/>
      <c r="Q91" s="232"/>
      <c r="R91" s="233"/>
      <c r="S91" s="234"/>
      <c r="T91" s="235"/>
      <c r="U91" s="233"/>
      <c r="V91" s="236"/>
      <c r="W91" s="234"/>
      <c r="X91" s="235"/>
      <c r="Y91" s="237"/>
      <c r="Z91" s="238"/>
    </row>
    <row r="92" spans="1:26" s="239" customFormat="1" ht="28.5" customHeight="1" x14ac:dyDescent="0.3">
      <c r="A92" s="222">
        <f t="shared" si="10"/>
        <v>0</v>
      </c>
      <c r="B92" s="223" t="b">
        <f t="shared" si="11"/>
        <v>1</v>
      </c>
      <c r="C92" s="222">
        <f t="shared" si="12"/>
        <v>0</v>
      </c>
      <c r="D92" s="205" t="str">
        <f t="shared" si="13"/>
        <v>$$$$</v>
      </c>
      <c r="E92" s="224"/>
      <c r="F92" s="225"/>
      <c r="G92" s="226"/>
      <c r="H92" s="227"/>
      <c r="I92" s="228"/>
      <c r="J92" s="228"/>
      <c r="K92" s="229"/>
      <c r="L92" s="230"/>
      <c r="M92" s="231"/>
      <c r="N92" s="232"/>
      <c r="O92" s="230"/>
      <c r="P92" s="231"/>
      <c r="Q92" s="232"/>
      <c r="R92" s="233"/>
      <c r="S92" s="234"/>
      <c r="T92" s="235"/>
      <c r="U92" s="233"/>
      <c r="V92" s="236"/>
      <c r="W92" s="234"/>
      <c r="X92" s="235"/>
      <c r="Y92" s="237"/>
      <c r="Z92" s="238"/>
    </row>
    <row r="93" spans="1:26" s="239" customFormat="1" ht="28.5" customHeight="1" x14ac:dyDescent="0.3">
      <c r="A93" s="222">
        <f t="shared" si="10"/>
        <v>0</v>
      </c>
      <c r="B93" s="223" t="b">
        <f t="shared" si="11"/>
        <v>1</v>
      </c>
      <c r="C93" s="222">
        <f t="shared" si="12"/>
        <v>0</v>
      </c>
      <c r="D93" s="205" t="str">
        <f t="shared" si="13"/>
        <v>$$$$</v>
      </c>
      <c r="E93" s="224"/>
      <c r="F93" s="225"/>
      <c r="G93" s="226"/>
      <c r="H93" s="227"/>
      <c r="I93" s="228"/>
      <c r="J93" s="228"/>
      <c r="K93" s="229"/>
      <c r="L93" s="230"/>
      <c r="M93" s="231"/>
      <c r="N93" s="232"/>
      <c r="O93" s="230"/>
      <c r="P93" s="231"/>
      <c r="Q93" s="232"/>
      <c r="R93" s="233"/>
      <c r="S93" s="234"/>
      <c r="T93" s="235"/>
      <c r="U93" s="233"/>
      <c r="V93" s="236"/>
      <c r="W93" s="234"/>
      <c r="X93" s="235"/>
      <c r="Y93" s="237"/>
      <c r="Z93" s="238"/>
    </row>
    <row r="94" spans="1:26" s="239" customFormat="1" ht="28.5" customHeight="1" x14ac:dyDescent="0.3">
      <c r="A94" s="222">
        <f t="shared" si="10"/>
        <v>0</v>
      </c>
      <c r="B94" s="223" t="b">
        <f t="shared" si="11"/>
        <v>1</v>
      </c>
      <c r="C94" s="222">
        <f t="shared" si="12"/>
        <v>0</v>
      </c>
      <c r="D94" s="205" t="str">
        <f t="shared" si="13"/>
        <v>$$$$</v>
      </c>
      <c r="E94" s="224"/>
      <c r="F94" s="225"/>
      <c r="G94" s="226"/>
      <c r="H94" s="227"/>
      <c r="I94" s="228"/>
      <c r="J94" s="228"/>
      <c r="K94" s="229"/>
      <c r="L94" s="230"/>
      <c r="M94" s="231"/>
      <c r="N94" s="232"/>
      <c r="O94" s="230"/>
      <c r="P94" s="231"/>
      <c r="Q94" s="232"/>
      <c r="R94" s="233"/>
      <c r="S94" s="234"/>
      <c r="T94" s="235"/>
      <c r="U94" s="233"/>
      <c r="V94" s="236"/>
      <c r="W94" s="234"/>
      <c r="X94" s="235"/>
      <c r="Y94" s="237"/>
      <c r="Z94" s="238"/>
    </row>
    <row r="95" spans="1:26" s="239" customFormat="1" ht="28.5" customHeight="1" x14ac:dyDescent="0.3">
      <c r="A95" s="222">
        <f t="shared" si="10"/>
        <v>0</v>
      </c>
      <c r="B95" s="223" t="b">
        <f t="shared" si="11"/>
        <v>1</v>
      </c>
      <c r="C95" s="222">
        <f t="shared" si="12"/>
        <v>0</v>
      </c>
      <c r="D95" s="205" t="str">
        <f t="shared" si="13"/>
        <v>$$$$</v>
      </c>
      <c r="E95" s="224"/>
      <c r="F95" s="225"/>
      <c r="G95" s="226"/>
      <c r="H95" s="227"/>
      <c r="I95" s="228"/>
      <c r="J95" s="228"/>
      <c r="K95" s="229"/>
      <c r="L95" s="230"/>
      <c r="M95" s="231"/>
      <c r="N95" s="232"/>
      <c r="O95" s="230"/>
      <c r="P95" s="231"/>
      <c r="Q95" s="232"/>
      <c r="R95" s="233"/>
      <c r="S95" s="234"/>
      <c r="T95" s="235"/>
      <c r="U95" s="233"/>
      <c r="V95" s="236"/>
      <c r="W95" s="234"/>
      <c r="X95" s="235"/>
      <c r="Y95" s="237"/>
      <c r="Z95" s="238"/>
    </row>
    <row r="96" spans="1:26" s="239" customFormat="1" ht="28.5" customHeight="1" x14ac:dyDescent="0.3">
      <c r="A96" s="222">
        <f t="shared" si="10"/>
        <v>0</v>
      </c>
      <c r="B96" s="223" t="b">
        <f t="shared" si="11"/>
        <v>1</v>
      </c>
      <c r="C96" s="222">
        <f t="shared" si="12"/>
        <v>0</v>
      </c>
      <c r="D96" s="205" t="str">
        <f t="shared" si="13"/>
        <v>$$$$</v>
      </c>
      <c r="E96" s="224"/>
      <c r="F96" s="225"/>
      <c r="G96" s="226"/>
      <c r="H96" s="227"/>
      <c r="I96" s="228"/>
      <c r="J96" s="228"/>
      <c r="K96" s="229"/>
      <c r="L96" s="230"/>
      <c r="M96" s="231"/>
      <c r="N96" s="232"/>
      <c r="O96" s="230"/>
      <c r="P96" s="231"/>
      <c r="Q96" s="232"/>
      <c r="R96" s="233"/>
      <c r="S96" s="234"/>
      <c r="T96" s="235"/>
      <c r="U96" s="233"/>
      <c r="V96" s="236"/>
      <c r="W96" s="234"/>
      <c r="X96" s="235"/>
      <c r="Y96" s="237"/>
      <c r="Z96" s="238"/>
    </row>
    <row r="97" spans="1:26" s="239" customFormat="1" ht="28.5" customHeight="1" x14ac:dyDescent="0.3">
      <c r="A97" s="222">
        <f t="shared" si="10"/>
        <v>0</v>
      </c>
      <c r="B97" s="223" t="b">
        <f t="shared" si="11"/>
        <v>1</v>
      </c>
      <c r="C97" s="222">
        <f t="shared" si="12"/>
        <v>0</v>
      </c>
      <c r="D97" s="205" t="str">
        <f t="shared" si="13"/>
        <v>$$$$</v>
      </c>
      <c r="E97" s="224"/>
      <c r="F97" s="225"/>
      <c r="G97" s="226"/>
      <c r="H97" s="227"/>
      <c r="I97" s="228"/>
      <c r="J97" s="228"/>
      <c r="K97" s="229"/>
      <c r="L97" s="230"/>
      <c r="M97" s="231"/>
      <c r="N97" s="232"/>
      <c r="O97" s="230"/>
      <c r="P97" s="231"/>
      <c r="Q97" s="232"/>
      <c r="R97" s="233"/>
      <c r="S97" s="234"/>
      <c r="T97" s="235"/>
      <c r="U97" s="233"/>
      <c r="V97" s="236"/>
      <c r="W97" s="234"/>
      <c r="X97" s="235"/>
      <c r="Y97" s="237"/>
      <c r="Z97" s="238"/>
    </row>
    <row r="98" spans="1:26" s="239" customFormat="1" ht="28.5" customHeight="1" x14ac:dyDescent="0.3">
      <c r="A98" s="222">
        <f t="shared" si="10"/>
        <v>0</v>
      </c>
      <c r="B98" s="223" t="b">
        <f t="shared" si="11"/>
        <v>1</v>
      </c>
      <c r="C98" s="222">
        <f t="shared" si="12"/>
        <v>0</v>
      </c>
      <c r="D98" s="205" t="str">
        <f t="shared" si="13"/>
        <v>$$$$</v>
      </c>
      <c r="E98" s="224"/>
      <c r="F98" s="225"/>
      <c r="G98" s="226"/>
      <c r="H98" s="227"/>
      <c r="I98" s="228"/>
      <c r="J98" s="228"/>
      <c r="K98" s="229"/>
      <c r="L98" s="230"/>
      <c r="M98" s="231"/>
      <c r="N98" s="232"/>
      <c r="O98" s="230"/>
      <c r="P98" s="231"/>
      <c r="Q98" s="232"/>
      <c r="R98" s="233"/>
      <c r="S98" s="234"/>
      <c r="T98" s="235"/>
      <c r="U98" s="233"/>
      <c r="V98" s="236"/>
      <c r="W98" s="234"/>
      <c r="X98" s="235"/>
      <c r="Y98" s="237"/>
      <c r="Z98" s="238"/>
    </row>
    <row r="99" spans="1:26" s="239" customFormat="1" ht="28.5" customHeight="1" x14ac:dyDescent="0.3">
      <c r="A99" s="222">
        <f t="shared" si="10"/>
        <v>0</v>
      </c>
      <c r="B99" s="223" t="b">
        <f t="shared" si="11"/>
        <v>1</v>
      </c>
      <c r="C99" s="222">
        <f t="shared" si="12"/>
        <v>0</v>
      </c>
      <c r="D99" s="205" t="str">
        <f t="shared" si="13"/>
        <v>$$$$</v>
      </c>
      <c r="E99" s="224"/>
      <c r="F99" s="225"/>
      <c r="G99" s="226"/>
      <c r="H99" s="227"/>
      <c r="I99" s="228"/>
      <c r="J99" s="228"/>
      <c r="K99" s="229"/>
      <c r="L99" s="230"/>
      <c r="M99" s="231"/>
      <c r="N99" s="232"/>
      <c r="O99" s="230"/>
      <c r="P99" s="231"/>
      <c r="Q99" s="232"/>
      <c r="R99" s="233"/>
      <c r="S99" s="234"/>
      <c r="T99" s="235"/>
      <c r="U99" s="233"/>
      <c r="V99" s="236"/>
      <c r="W99" s="234"/>
      <c r="X99" s="235"/>
      <c r="Y99" s="237"/>
      <c r="Z99" s="238"/>
    </row>
    <row r="100" spans="1:26" s="239" customFormat="1" ht="28.5" customHeight="1" x14ac:dyDescent="0.3">
      <c r="A100" s="222">
        <f t="shared" si="10"/>
        <v>0</v>
      </c>
      <c r="B100" s="223" t="b">
        <f t="shared" si="11"/>
        <v>1</v>
      </c>
      <c r="C100" s="222">
        <f t="shared" si="12"/>
        <v>0</v>
      </c>
      <c r="D100" s="205" t="str">
        <f t="shared" si="13"/>
        <v>$$$$</v>
      </c>
      <c r="E100" s="224"/>
      <c r="F100" s="225"/>
      <c r="G100" s="226"/>
      <c r="H100" s="227"/>
      <c r="I100" s="228"/>
      <c r="J100" s="228"/>
      <c r="K100" s="229"/>
      <c r="L100" s="230"/>
      <c r="M100" s="231"/>
      <c r="N100" s="232"/>
      <c r="O100" s="230"/>
      <c r="P100" s="231"/>
      <c r="Q100" s="232"/>
      <c r="R100" s="233"/>
      <c r="S100" s="234"/>
      <c r="T100" s="235"/>
      <c r="U100" s="233"/>
      <c r="V100" s="236"/>
      <c r="W100" s="234"/>
      <c r="X100" s="235"/>
      <c r="Y100" s="237"/>
      <c r="Z100" s="238"/>
    </row>
    <row r="101" spans="1:26" s="239" customFormat="1" ht="28.5" customHeight="1" x14ac:dyDescent="0.3">
      <c r="A101" s="222">
        <f t="shared" si="10"/>
        <v>0</v>
      </c>
      <c r="B101" s="223" t="b">
        <f t="shared" si="11"/>
        <v>1</v>
      </c>
      <c r="C101" s="222">
        <f t="shared" si="12"/>
        <v>0</v>
      </c>
      <c r="D101" s="205" t="str">
        <f t="shared" si="13"/>
        <v>$$$$</v>
      </c>
      <c r="E101" s="224"/>
      <c r="F101" s="225"/>
      <c r="G101" s="226"/>
      <c r="H101" s="227"/>
      <c r="I101" s="228"/>
      <c r="J101" s="228"/>
      <c r="K101" s="229"/>
      <c r="L101" s="230"/>
      <c r="M101" s="231"/>
      <c r="N101" s="232"/>
      <c r="O101" s="230"/>
      <c r="P101" s="231"/>
      <c r="Q101" s="232"/>
      <c r="R101" s="233"/>
      <c r="S101" s="234"/>
      <c r="T101" s="235"/>
      <c r="U101" s="233"/>
      <c r="V101" s="236"/>
      <c r="W101" s="234"/>
      <c r="X101" s="235"/>
      <c r="Y101" s="237"/>
      <c r="Z101" s="238"/>
    </row>
    <row r="102" spans="1:26" s="239" customFormat="1" ht="28.5" customHeight="1" x14ac:dyDescent="0.3">
      <c r="A102" s="222">
        <f t="shared" si="10"/>
        <v>0</v>
      </c>
      <c r="B102" s="223" t="b">
        <f t="shared" si="11"/>
        <v>1</v>
      </c>
      <c r="C102" s="222">
        <f t="shared" si="12"/>
        <v>0</v>
      </c>
      <c r="D102" s="205" t="str">
        <f t="shared" si="13"/>
        <v>$$$$</v>
      </c>
      <c r="E102" s="224"/>
      <c r="F102" s="225"/>
      <c r="G102" s="226"/>
      <c r="H102" s="227"/>
      <c r="I102" s="228"/>
      <c r="J102" s="228"/>
      <c r="K102" s="229"/>
      <c r="L102" s="230"/>
      <c r="M102" s="231"/>
      <c r="N102" s="232"/>
      <c r="O102" s="230"/>
      <c r="P102" s="231"/>
      <c r="Q102" s="232"/>
      <c r="R102" s="233"/>
      <c r="S102" s="234"/>
      <c r="T102" s="235"/>
      <c r="U102" s="233"/>
      <c r="V102" s="236"/>
      <c r="W102" s="234"/>
      <c r="X102" s="235"/>
      <c r="Y102" s="237"/>
      <c r="Z102" s="238"/>
    </row>
    <row r="103" spans="1:26" s="239" customFormat="1" ht="28.5" customHeight="1" x14ac:dyDescent="0.3">
      <c r="A103" s="222">
        <f t="shared" ref="A103:A159" si="14">IF(B103,0,MATCH(H103,ВидыНагр,0))</f>
        <v>0</v>
      </c>
      <c r="B103" s="223" t="b">
        <f t="shared" ref="B103:B159" si="15">(COUNTIF(КлючОсень,D103)&lt;&gt;1)</f>
        <v>1</v>
      </c>
      <c r="C103" s="222">
        <f t="shared" ref="C103:C159" si="16">IF(COUNTA(E103:K103,Z103)&gt;0,1,0)+IF(COUNTA(L103:Y103)&gt;0,2,0)</f>
        <v>0</v>
      </c>
      <c r="D103" s="205" t="str">
        <f t="shared" si="13"/>
        <v>$$$$</v>
      </c>
      <c r="E103" s="224"/>
      <c r="F103" s="225"/>
      <c r="G103" s="226"/>
      <c r="H103" s="227"/>
      <c r="I103" s="228"/>
      <c r="J103" s="228"/>
      <c r="K103" s="229"/>
      <c r="L103" s="230"/>
      <c r="M103" s="231"/>
      <c r="N103" s="232"/>
      <c r="O103" s="230"/>
      <c r="P103" s="231"/>
      <c r="Q103" s="232"/>
      <c r="R103" s="233"/>
      <c r="S103" s="234"/>
      <c r="T103" s="235"/>
      <c r="U103" s="233"/>
      <c r="V103" s="236"/>
      <c r="W103" s="234"/>
      <c r="X103" s="235"/>
      <c r="Y103" s="237"/>
      <c r="Z103" s="238"/>
    </row>
    <row r="104" spans="1:26" s="239" customFormat="1" ht="28.5" customHeight="1" x14ac:dyDescent="0.3">
      <c r="A104" s="222">
        <f t="shared" si="14"/>
        <v>0</v>
      </c>
      <c r="B104" s="223" t="b">
        <f t="shared" si="15"/>
        <v>1</v>
      </c>
      <c r="C104" s="222">
        <f t="shared" si="16"/>
        <v>0</v>
      </c>
      <c r="D104" s="205" t="str">
        <f t="shared" si="13"/>
        <v>$$$$</v>
      </c>
      <c r="E104" s="224"/>
      <c r="F104" s="225"/>
      <c r="G104" s="226"/>
      <c r="H104" s="227"/>
      <c r="I104" s="228"/>
      <c r="J104" s="228"/>
      <c r="K104" s="229"/>
      <c r="L104" s="230"/>
      <c r="M104" s="231"/>
      <c r="N104" s="232"/>
      <c r="O104" s="230"/>
      <c r="P104" s="231"/>
      <c r="Q104" s="232"/>
      <c r="R104" s="233"/>
      <c r="S104" s="234"/>
      <c r="T104" s="235"/>
      <c r="U104" s="233"/>
      <c r="V104" s="236"/>
      <c r="W104" s="234"/>
      <c r="X104" s="235"/>
      <c r="Y104" s="237"/>
      <c r="Z104" s="238"/>
    </row>
    <row r="105" spans="1:26" s="239" customFormat="1" ht="28.5" customHeight="1" x14ac:dyDescent="0.3">
      <c r="A105" s="222">
        <f t="shared" si="14"/>
        <v>0</v>
      </c>
      <c r="B105" s="223" t="b">
        <f t="shared" si="15"/>
        <v>1</v>
      </c>
      <c r="C105" s="222">
        <f t="shared" si="16"/>
        <v>0</v>
      </c>
      <c r="D105" s="205" t="str">
        <f t="shared" si="13"/>
        <v>$$$$</v>
      </c>
      <c r="E105" s="224"/>
      <c r="F105" s="225"/>
      <c r="G105" s="226"/>
      <c r="H105" s="227"/>
      <c r="I105" s="228"/>
      <c r="J105" s="228"/>
      <c r="K105" s="229"/>
      <c r="L105" s="230"/>
      <c r="M105" s="231"/>
      <c r="N105" s="232"/>
      <c r="O105" s="230"/>
      <c r="P105" s="231"/>
      <c r="Q105" s="232"/>
      <c r="R105" s="233"/>
      <c r="S105" s="234"/>
      <c r="T105" s="235"/>
      <c r="U105" s="233"/>
      <c r="V105" s="236"/>
      <c r="W105" s="234"/>
      <c r="X105" s="235"/>
      <c r="Y105" s="237"/>
      <c r="Z105" s="238"/>
    </row>
    <row r="106" spans="1:26" s="239" customFormat="1" ht="28.5" customHeight="1" x14ac:dyDescent="0.3">
      <c r="A106" s="222">
        <f t="shared" si="14"/>
        <v>0</v>
      </c>
      <c r="B106" s="223" t="b">
        <f t="shared" si="15"/>
        <v>1</v>
      </c>
      <c r="C106" s="222">
        <f t="shared" si="16"/>
        <v>0</v>
      </c>
      <c r="D106" s="205" t="str">
        <f t="shared" si="13"/>
        <v>$$$$</v>
      </c>
      <c r="E106" s="224"/>
      <c r="F106" s="225"/>
      <c r="G106" s="226"/>
      <c r="H106" s="227"/>
      <c r="I106" s="228"/>
      <c r="J106" s="228"/>
      <c r="K106" s="229"/>
      <c r="L106" s="230"/>
      <c r="M106" s="231"/>
      <c r="N106" s="232"/>
      <c r="O106" s="230"/>
      <c r="P106" s="231"/>
      <c r="Q106" s="232"/>
      <c r="R106" s="233"/>
      <c r="S106" s="234"/>
      <c r="T106" s="235"/>
      <c r="U106" s="233"/>
      <c r="V106" s="236"/>
      <c r="W106" s="234"/>
      <c r="X106" s="235"/>
      <c r="Y106" s="237"/>
      <c r="Z106" s="238"/>
    </row>
    <row r="107" spans="1:26" s="239" customFormat="1" ht="28.5" customHeight="1" x14ac:dyDescent="0.3">
      <c r="A107" s="222">
        <f>IF(B107,0,MATCH(H107,ВидыНагр,0))</f>
        <v>0</v>
      </c>
      <c r="B107" s="223" t="b">
        <f>(COUNTIF(КлючОсень,D107)&lt;&gt;1)</f>
        <v>1</v>
      </c>
      <c r="C107" s="222">
        <f t="shared" si="16"/>
        <v>0</v>
      </c>
      <c r="D107" s="205" t="str">
        <f>CONCATENATE("$",TRIM(F107),"$",TRIM(G107),"$",H107,"$")</f>
        <v>$$$$</v>
      </c>
      <c r="E107" s="224"/>
      <c r="F107" s="225"/>
      <c r="G107" s="226"/>
      <c r="H107" s="227"/>
      <c r="I107" s="228"/>
      <c r="J107" s="228"/>
      <c r="K107" s="229"/>
      <c r="L107" s="230"/>
      <c r="M107" s="231"/>
      <c r="N107" s="232"/>
      <c r="O107" s="230"/>
      <c r="P107" s="231"/>
      <c r="Q107" s="232"/>
      <c r="R107" s="233"/>
      <c r="S107" s="234"/>
      <c r="T107" s="235"/>
      <c r="U107" s="233"/>
      <c r="V107" s="236"/>
      <c r="W107" s="234"/>
      <c r="X107" s="235"/>
      <c r="Y107" s="237"/>
      <c r="Z107" s="238"/>
    </row>
    <row r="108" spans="1:26" s="239" customFormat="1" ht="28.5" customHeight="1" x14ac:dyDescent="0.3">
      <c r="A108" s="222">
        <f>IF(B108,0,MATCH(H108,ВидыНагр,0))</f>
        <v>0</v>
      </c>
      <c r="B108" s="223" t="b">
        <f>(COUNTIF(КлючОсень,D108)&lt;&gt;1)</f>
        <v>1</v>
      </c>
      <c r="C108" s="222">
        <f t="shared" si="16"/>
        <v>0</v>
      </c>
      <c r="D108" s="205" t="str">
        <f>CONCATENATE("$",TRIM(F108),"$",TRIM(G108),"$",H108,"$")</f>
        <v>$$$$</v>
      </c>
      <c r="E108" s="224"/>
      <c r="F108" s="225"/>
      <c r="G108" s="226"/>
      <c r="H108" s="227"/>
      <c r="I108" s="228"/>
      <c r="J108" s="228"/>
      <c r="K108" s="229"/>
      <c r="L108" s="230"/>
      <c r="M108" s="231"/>
      <c r="N108" s="232"/>
      <c r="O108" s="230"/>
      <c r="P108" s="231"/>
      <c r="Q108" s="232"/>
      <c r="R108" s="233"/>
      <c r="S108" s="234"/>
      <c r="T108" s="235"/>
      <c r="U108" s="233"/>
      <c r="V108" s="236"/>
      <c r="W108" s="234"/>
      <c r="X108" s="235"/>
      <c r="Y108" s="237"/>
      <c r="Z108" s="238"/>
    </row>
    <row r="109" spans="1:26" s="239" customFormat="1" ht="28.5" customHeight="1" x14ac:dyDescent="0.3">
      <c r="A109" s="222">
        <f t="shared" si="14"/>
        <v>0</v>
      </c>
      <c r="B109" s="223" t="b">
        <f t="shared" si="15"/>
        <v>1</v>
      </c>
      <c r="C109" s="222">
        <f t="shared" si="16"/>
        <v>0</v>
      </c>
      <c r="D109" s="205" t="str">
        <f t="shared" si="13"/>
        <v>$$$$</v>
      </c>
      <c r="E109" s="224"/>
      <c r="F109" s="225"/>
      <c r="G109" s="226"/>
      <c r="H109" s="227"/>
      <c r="I109" s="228"/>
      <c r="J109" s="228"/>
      <c r="K109" s="229"/>
      <c r="L109" s="230"/>
      <c r="M109" s="231"/>
      <c r="N109" s="232"/>
      <c r="O109" s="230"/>
      <c r="P109" s="231"/>
      <c r="Q109" s="232"/>
      <c r="R109" s="233"/>
      <c r="S109" s="234"/>
      <c r="T109" s="235"/>
      <c r="U109" s="233"/>
      <c r="V109" s="236"/>
      <c r="W109" s="234"/>
      <c r="X109" s="235"/>
      <c r="Y109" s="237"/>
      <c r="Z109" s="238"/>
    </row>
    <row r="110" spans="1:26" s="239" customFormat="1" ht="28.5" customHeight="1" x14ac:dyDescent="0.3">
      <c r="A110" s="222">
        <f t="shared" si="14"/>
        <v>0</v>
      </c>
      <c r="B110" s="223" t="b">
        <f t="shared" si="15"/>
        <v>1</v>
      </c>
      <c r="C110" s="222">
        <f t="shared" si="16"/>
        <v>0</v>
      </c>
      <c r="D110" s="205" t="str">
        <f t="shared" si="13"/>
        <v>$$$$</v>
      </c>
      <c r="E110" s="224"/>
      <c r="F110" s="225"/>
      <c r="G110" s="226"/>
      <c r="H110" s="227"/>
      <c r="I110" s="228"/>
      <c r="J110" s="228"/>
      <c r="K110" s="229"/>
      <c r="L110" s="230"/>
      <c r="M110" s="231"/>
      <c r="N110" s="232"/>
      <c r="O110" s="230"/>
      <c r="P110" s="231"/>
      <c r="Q110" s="232"/>
      <c r="R110" s="233"/>
      <c r="S110" s="234"/>
      <c r="T110" s="235"/>
      <c r="U110" s="233"/>
      <c r="V110" s="236"/>
      <c r="W110" s="234"/>
      <c r="X110" s="235"/>
      <c r="Y110" s="237"/>
      <c r="Z110" s="238"/>
    </row>
    <row r="111" spans="1:26" s="239" customFormat="1" ht="28.5" customHeight="1" x14ac:dyDescent="0.3">
      <c r="A111" s="222">
        <f t="shared" si="14"/>
        <v>0</v>
      </c>
      <c r="B111" s="223" t="b">
        <f t="shared" si="15"/>
        <v>1</v>
      </c>
      <c r="C111" s="222">
        <f t="shared" si="16"/>
        <v>0</v>
      </c>
      <c r="D111" s="205" t="str">
        <f t="shared" si="13"/>
        <v>$$$$</v>
      </c>
      <c r="E111" s="224"/>
      <c r="F111" s="225"/>
      <c r="G111" s="226"/>
      <c r="H111" s="227"/>
      <c r="I111" s="228"/>
      <c r="J111" s="228"/>
      <c r="K111" s="229"/>
      <c r="L111" s="230"/>
      <c r="M111" s="231"/>
      <c r="N111" s="232"/>
      <c r="O111" s="230"/>
      <c r="P111" s="231"/>
      <c r="Q111" s="232"/>
      <c r="R111" s="233"/>
      <c r="S111" s="234"/>
      <c r="T111" s="235"/>
      <c r="U111" s="233"/>
      <c r="V111" s="236"/>
      <c r="W111" s="234"/>
      <c r="X111" s="235"/>
      <c r="Y111" s="237"/>
      <c r="Z111" s="238"/>
    </row>
    <row r="112" spans="1:26" s="239" customFormat="1" ht="28.5" customHeight="1" x14ac:dyDescent="0.3">
      <c r="A112" s="222">
        <f t="shared" si="14"/>
        <v>0</v>
      </c>
      <c r="B112" s="223" t="b">
        <f t="shared" si="15"/>
        <v>1</v>
      </c>
      <c r="C112" s="222">
        <f t="shared" si="16"/>
        <v>0</v>
      </c>
      <c r="D112" s="205" t="str">
        <f t="shared" si="13"/>
        <v>$$$$</v>
      </c>
      <c r="E112" s="224"/>
      <c r="F112" s="225"/>
      <c r="G112" s="226"/>
      <c r="H112" s="227"/>
      <c r="I112" s="228"/>
      <c r="J112" s="228"/>
      <c r="K112" s="229"/>
      <c r="L112" s="230"/>
      <c r="M112" s="231"/>
      <c r="N112" s="232"/>
      <c r="O112" s="230"/>
      <c r="P112" s="231"/>
      <c r="Q112" s="232"/>
      <c r="R112" s="233"/>
      <c r="S112" s="234"/>
      <c r="T112" s="235"/>
      <c r="U112" s="233"/>
      <c r="V112" s="236"/>
      <c r="W112" s="234"/>
      <c r="X112" s="235"/>
      <c r="Y112" s="237"/>
      <c r="Z112" s="238"/>
    </row>
    <row r="113" spans="1:26" s="239" customFormat="1" ht="28.5" customHeight="1" x14ac:dyDescent="0.3">
      <c r="A113" s="222">
        <f t="shared" si="14"/>
        <v>0</v>
      </c>
      <c r="B113" s="223" t="b">
        <f t="shared" si="15"/>
        <v>1</v>
      </c>
      <c r="C113" s="222">
        <f t="shared" si="16"/>
        <v>0</v>
      </c>
      <c r="D113" s="205" t="str">
        <f t="shared" si="13"/>
        <v>$$$$</v>
      </c>
      <c r="E113" s="224"/>
      <c r="F113" s="225"/>
      <c r="G113" s="226"/>
      <c r="H113" s="227"/>
      <c r="I113" s="228"/>
      <c r="J113" s="228"/>
      <c r="K113" s="229"/>
      <c r="L113" s="230"/>
      <c r="M113" s="231"/>
      <c r="N113" s="232"/>
      <c r="O113" s="230"/>
      <c r="P113" s="231"/>
      <c r="Q113" s="232"/>
      <c r="R113" s="233"/>
      <c r="S113" s="234"/>
      <c r="T113" s="235"/>
      <c r="U113" s="233"/>
      <c r="V113" s="236"/>
      <c r="W113" s="234"/>
      <c r="X113" s="235"/>
      <c r="Y113" s="237"/>
      <c r="Z113" s="238"/>
    </row>
    <row r="114" spans="1:26" s="239" customFormat="1" ht="28.5" customHeight="1" x14ac:dyDescent="0.3">
      <c r="A114" s="222">
        <f t="shared" si="14"/>
        <v>0</v>
      </c>
      <c r="B114" s="223" t="b">
        <f t="shared" si="15"/>
        <v>1</v>
      </c>
      <c r="C114" s="222">
        <f t="shared" si="16"/>
        <v>0</v>
      </c>
      <c r="D114" s="205" t="str">
        <f t="shared" si="13"/>
        <v>$$$$</v>
      </c>
      <c r="E114" s="224"/>
      <c r="F114" s="225"/>
      <c r="G114" s="226"/>
      <c r="H114" s="227"/>
      <c r="I114" s="228"/>
      <c r="J114" s="228"/>
      <c r="K114" s="229"/>
      <c r="L114" s="230"/>
      <c r="M114" s="231"/>
      <c r="N114" s="232"/>
      <c r="O114" s="230"/>
      <c r="P114" s="231"/>
      <c r="Q114" s="232"/>
      <c r="R114" s="233"/>
      <c r="S114" s="234"/>
      <c r="T114" s="235"/>
      <c r="U114" s="233"/>
      <c r="V114" s="236"/>
      <c r="W114" s="234"/>
      <c r="X114" s="235"/>
      <c r="Y114" s="237"/>
      <c r="Z114" s="238"/>
    </row>
    <row r="115" spans="1:26" s="239" customFormat="1" ht="28.5" customHeight="1" x14ac:dyDescent="0.3">
      <c r="A115" s="222">
        <f t="shared" si="14"/>
        <v>0</v>
      </c>
      <c r="B115" s="223" t="b">
        <f t="shared" si="15"/>
        <v>1</v>
      </c>
      <c r="C115" s="222">
        <f t="shared" si="16"/>
        <v>0</v>
      </c>
      <c r="D115" s="205" t="str">
        <f t="shared" si="13"/>
        <v>$$$$</v>
      </c>
      <c r="E115" s="224"/>
      <c r="F115" s="225"/>
      <c r="G115" s="226"/>
      <c r="H115" s="227"/>
      <c r="I115" s="228"/>
      <c r="J115" s="228"/>
      <c r="K115" s="229"/>
      <c r="L115" s="230"/>
      <c r="M115" s="231"/>
      <c r="N115" s="232"/>
      <c r="O115" s="230"/>
      <c r="P115" s="231"/>
      <c r="Q115" s="232"/>
      <c r="R115" s="233"/>
      <c r="S115" s="234"/>
      <c r="T115" s="235"/>
      <c r="U115" s="233"/>
      <c r="V115" s="236"/>
      <c r="W115" s="234"/>
      <c r="X115" s="235"/>
      <c r="Y115" s="237"/>
      <c r="Z115" s="238"/>
    </row>
    <row r="116" spans="1:26" s="239" customFormat="1" ht="28.5" customHeight="1" x14ac:dyDescent="0.3">
      <c r="A116" s="222">
        <f t="shared" si="14"/>
        <v>0</v>
      </c>
      <c r="B116" s="223" t="b">
        <f t="shared" si="15"/>
        <v>1</v>
      </c>
      <c r="C116" s="222">
        <f t="shared" si="16"/>
        <v>0</v>
      </c>
      <c r="D116" s="205" t="str">
        <f t="shared" si="13"/>
        <v>$$$$</v>
      </c>
      <c r="E116" s="224"/>
      <c r="F116" s="225"/>
      <c r="G116" s="226"/>
      <c r="H116" s="227"/>
      <c r="I116" s="228"/>
      <c r="J116" s="228"/>
      <c r="K116" s="229"/>
      <c r="L116" s="230"/>
      <c r="M116" s="231"/>
      <c r="N116" s="232"/>
      <c r="O116" s="230"/>
      <c r="P116" s="231"/>
      <c r="Q116" s="232"/>
      <c r="R116" s="233"/>
      <c r="S116" s="234"/>
      <c r="T116" s="235"/>
      <c r="U116" s="233"/>
      <c r="V116" s="236"/>
      <c r="W116" s="234"/>
      <c r="X116" s="235"/>
      <c r="Y116" s="237"/>
      <c r="Z116" s="238"/>
    </row>
    <row r="117" spans="1:26" s="239" customFormat="1" ht="28.5" customHeight="1" x14ac:dyDescent="0.3">
      <c r="A117" s="222">
        <f t="shared" si="14"/>
        <v>0</v>
      </c>
      <c r="B117" s="223" t="b">
        <f t="shared" si="15"/>
        <v>1</v>
      </c>
      <c r="C117" s="222">
        <f t="shared" si="16"/>
        <v>0</v>
      </c>
      <c r="D117" s="205" t="str">
        <f t="shared" si="13"/>
        <v>$$$$</v>
      </c>
      <c r="E117" s="224"/>
      <c r="F117" s="225"/>
      <c r="G117" s="226"/>
      <c r="H117" s="227"/>
      <c r="I117" s="228"/>
      <c r="J117" s="228"/>
      <c r="K117" s="229"/>
      <c r="L117" s="230"/>
      <c r="M117" s="231"/>
      <c r="N117" s="232"/>
      <c r="O117" s="230"/>
      <c r="P117" s="231"/>
      <c r="Q117" s="232"/>
      <c r="R117" s="233"/>
      <c r="S117" s="234"/>
      <c r="T117" s="235"/>
      <c r="U117" s="233"/>
      <c r="V117" s="236"/>
      <c r="W117" s="234"/>
      <c r="X117" s="235"/>
      <c r="Y117" s="237"/>
      <c r="Z117" s="238"/>
    </row>
    <row r="118" spans="1:26" s="239" customFormat="1" ht="28.5" customHeight="1" x14ac:dyDescent="0.3">
      <c r="A118" s="222">
        <f t="shared" si="14"/>
        <v>0</v>
      </c>
      <c r="B118" s="223" t="b">
        <f t="shared" si="15"/>
        <v>1</v>
      </c>
      <c r="C118" s="222">
        <f t="shared" si="16"/>
        <v>0</v>
      </c>
      <c r="D118" s="205" t="str">
        <f t="shared" si="13"/>
        <v>$$$$</v>
      </c>
      <c r="E118" s="224"/>
      <c r="F118" s="225"/>
      <c r="G118" s="226"/>
      <c r="H118" s="227"/>
      <c r="I118" s="228"/>
      <c r="J118" s="228"/>
      <c r="K118" s="229"/>
      <c r="L118" s="230"/>
      <c r="M118" s="231"/>
      <c r="N118" s="232"/>
      <c r="O118" s="230"/>
      <c r="P118" s="231"/>
      <c r="Q118" s="232"/>
      <c r="R118" s="233"/>
      <c r="S118" s="234"/>
      <c r="T118" s="235"/>
      <c r="U118" s="233"/>
      <c r="V118" s="236"/>
      <c r="W118" s="234"/>
      <c r="X118" s="235"/>
      <c r="Y118" s="237"/>
      <c r="Z118" s="238"/>
    </row>
    <row r="119" spans="1:26" s="239" customFormat="1" ht="28.5" customHeight="1" x14ac:dyDescent="0.3">
      <c r="A119" s="222">
        <f t="shared" si="14"/>
        <v>0</v>
      </c>
      <c r="B119" s="223" t="b">
        <f t="shared" si="15"/>
        <v>1</v>
      </c>
      <c r="C119" s="222">
        <f t="shared" si="16"/>
        <v>0</v>
      </c>
      <c r="D119" s="205" t="str">
        <f t="shared" si="13"/>
        <v>$$$$</v>
      </c>
      <c r="E119" s="224"/>
      <c r="F119" s="225"/>
      <c r="G119" s="226"/>
      <c r="H119" s="227"/>
      <c r="I119" s="228"/>
      <c r="J119" s="228"/>
      <c r="K119" s="229"/>
      <c r="L119" s="230"/>
      <c r="M119" s="231"/>
      <c r="N119" s="232"/>
      <c r="O119" s="230"/>
      <c r="P119" s="231"/>
      <c r="Q119" s="232"/>
      <c r="R119" s="233"/>
      <c r="S119" s="234"/>
      <c r="T119" s="235"/>
      <c r="U119" s="233"/>
      <c r="V119" s="236"/>
      <c r="W119" s="234"/>
      <c r="X119" s="235"/>
      <c r="Y119" s="237"/>
      <c r="Z119" s="238"/>
    </row>
    <row r="120" spans="1:26" s="239" customFormat="1" ht="28.5" customHeight="1" x14ac:dyDescent="0.3">
      <c r="A120" s="222">
        <f t="shared" si="14"/>
        <v>0</v>
      </c>
      <c r="B120" s="223" t="b">
        <f t="shared" si="15"/>
        <v>1</v>
      </c>
      <c r="C120" s="222">
        <f t="shared" si="16"/>
        <v>0</v>
      </c>
      <c r="D120" s="205" t="str">
        <f t="shared" ref="D120:D154" si="17">CONCATENATE("$",TRIM(F120),"$",TRIM(G120),"$",H120,"$")</f>
        <v>$$$$</v>
      </c>
      <c r="E120" s="224"/>
      <c r="F120" s="225"/>
      <c r="G120" s="226"/>
      <c r="H120" s="227"/>
      <c r="I120" s="228"/>
      <c r="J120" s="228"/>
      <c r="K120" s="229"/>
      <c r="L120" s="230"/>
      <c r="M120" s="231"/>
      <c r="N120" s="232"/>
      <c r="O120" s="230"/>
      <c r="P120" s="231"/>
      <c r="Q120" s="232"/>
      <c r="R120" s="233"/>
      <c r="S120" s="234"/>
      <c r="T120" s="235"/>
      <c r="U120" s="233"/>
      <c r="V120" s="236"/>
      <c r="W120" s="234"/>
      <c r="X120" s="235"/>
      <c r="Y120" s="237"/>
      <c r="Z120" s="238"/>
    </row>
    <row r="121" spans="1:26" s="239" customFormat="1" ht="28.5" customHeight="1" x14ac:dyDescent="0.3">
      <c r="A121" s="222">
        <f t="shared" si="14"/>
        <v>0</v>
      </c>
      <c r="B121" s="223" t="b">
        <f t="shared" si="15"/>
        <v>1</v>
      </c>
      <c r="C121" s="222">
        <f t="shared" si="16"/>
        <v>0</v>
      </c>
      <c r="D121" s="205" t="str">
        <f t="shared" si="17"/>
        <v>$$$$</v>
      </c>
      <c r="E121" s="224"/>
      <c r="F121" s="225"/>
      <c r="G121" s="226"/>
      <c r="H121" s="227"/>
      <c r="I121" s="228"/>
      <c r="J121" s="228"/>
      <c r="K121" s="229"/>
      <c r="L121" s="230"/>
      <c r="M121" s="231"/>
      <c r="N121" s="232"/>
      <c r="O121" s="230"/>
      <c r="P121" s="231"/>
      <c r="Q121" s="232"/>
      <c r="R121" s="233"/>
      <c r="S121" s="234"/>
      <c r="T121" s="235"/>
      <c r="U121" s="233"/>
      <c r="V121" s="236"/>
      <c r="W121" s="234"/>
      <c r="X121" s="235"/>
      <c r="Y121" s="237"/>
      <c r="Z121" s="238"/>
    </row>
    <row r="122" spans="1:26" s="239" customFormat="1" ht="28.5" customHeight="1" x14ac:dyDescent="0.3">
      <c r="A122" s="222">
        <f t="shared" si="14"/>
        <v>0</v>
      </c>
      <c r="B122" s="223" t="b">
        <f t="shared" si="15"/>
        <v>1</v>
      </c>
      <c r="C122" s="222">
        <f t="shared" si="16"/>
        <v>0</v>
      </c>
      <c r="D122" s="205" t="str">
        <f t="shared" si="17"/>
        <v>$$$$</v>
      </c>
      <c r="E122" s="224"/>
      <c r="F122" s="225"/>
      <c r="G122" s="226"/>
      <c r="H122" s="227"/>
      <c r="I122" s="228"/>
      <c r="J122" s="228"/>
      <c r="K122" s="229"/>
      <c r="L122" s="230"/>
      <c r="M122" s="231"/>
      <c r="N122" s="232"/>
      <c r="O122" s="230"/>
      <c r="P122" s="231"/>
      <c r="Q122" s="232"/>
      <c r="R122" s="233"/>
      <c r="S122" s="234"/>
      <c r="T122" s="235"/>
      <c r="U122" s="233"/>
      <c r="V122" s="236"/>
      <c r="W122" s="234"/>
      <c r="X122" s="235"/>
      <c r="Y122" s="237"/>
      <c r="Z122" s="238"/>
    </row>
    <row r="123" spans="1:26" s="239" customFormat="1" ht="28.5" customHeight="1" x14ac:dyDescent="0.3">
      <c r="A123" s="222">
        <f t="shared" si="14"/>
        <v>0</v>
      </c>
      <c r="B123" s="223" t="b">
        <f t="shared" si="15"/>
        <v>1</v>
      </c>
      <c r="C123" s="222">
        <f t="shared" si="16"/>
        <v>0</v>
      </c>
      <c r="D123" s="205" t="str">
        <f t="shared" si="17"/>
        <v>$$$$</v>
      </c>
      <c r="E123" s="224"/>
      <c r="F123" s="225"/>
      <c r="G123" s="226"/>
      <c r="H123" s="227"/>
      <c r="I123" s="228"/>
      <c r="J123" s="228"/>
      <c r="K123" s="229"/>
      <c r="L123" s="230"/>
      <c r="M123" s="231"/>
      <c r="N123" s="232"/>
      <c r="O123" s="230"/>
      <c r="P123" s="231"/>
      <c r="Q123" s="232"/>
      <c r="R123" s="233"/>
      <c r="S123" s="234"/>
      <c r="T123" s="235"/>
      <c r="U123" s="233"/>
      <c r="V123" s="236"/>
      <c r="W123" s="234"/>
      <c r="X123" s="235"/>
      <c r="Y123" s="237"/>
      <c r="Z123" s="238"/>
    </row>
    <row r="124" spans="1:26" s="239" customFormat="1" ht="28.5" customHeight="1" x14ac:dyDescent="0.3">
      <c r="A124" s="222">
        <f t="shared" si="14"/>
        <v>0</v>
      </c>
      <c r="B124" s="223" t="b">
        <f t="shared" si="15"/>
        <v>1</v>
      </c>
      <c r="C124" s="222">
        <f t="shared" si="16"/>
        <v>0</v>
      </c>
      <c r="D124" s="205" t="str">
        <f t="shared" si="17"/>
        <v>$$$$</v>
      </c>
      <c r="E124" s="224"/>
      <c r="F124" s="225"/>
      <c r="G124" s="226"/>
      <c r="H124" s="227"/>
      <c r="I124" s="228"/>
      <c r="J124" s="228"/>
      <c r="K124" s="229"/>
      <c r="L124" s="230"/>
      <c r="M124" s="231"/>
      <c r="N124" s="232"/>
      <c r="O124" s="230"/>
      <c r="P124" s="231"/>
      <c r="Q124" s="232"/>
      <c r="R124" s="233"/>
      <c r="S124" s="234"/>
      <c r="T124" s="235"/>
      <c r="U124" s="233"/>
      <c r="V124" s="236"/>
      <c r="W124" s="234"/>
      <c r="X124" s="235"/>
      <c r="Y124" s="237"/>
      <c r="Z124" s="238"/>
    </row>
    <row r="125" spans="1:26" s="239" customFormat="1" ht="28.5" customHeight="1" x14ac:dyDescent="0.3">
      <c r="A125" s="222">
        <f t="shared" si="14"/>
        <v>0</v>
      </c>
      <c r="B125" s="223" t="b">
        <f t="shared" si="15"/>
        <v>1</v>
      </c>
      <c r="C125" s="222">
        <f t="shared" si="16"/>
        <v>0</v>
      </c>
      <c r="D125" s="205" t="str">
        <f t="shared" si="17"/>
        <v>$$$$</v>
      </c>
      <c r="E125" s="224"/>
      <c r="F125" s="225"/>
      <c r="G125" s="226"/>
      <c r="H125" s="227"/>
      <c r="I125" s="228"/>
      <c r="J125" s="228"/>
      <c r="K125" s="229"/>
      <c r="L125" s="230"/>
      <c r="M125" s="231"/>
      <c r="N125" s="232"/>
      <c r="O125" s="230"/>
      <c r="P125" s="231"/>
      <c r="Q125" s="232"/>
      <c r="R125" s="233"/>
      <c r="S125" s="234"/>
      <c r="T125" s="235"/>
      <c r="U125" s="233"/>
      <c r="V125" s="236"/>
      <c r="W125" s="234"/>
      <c r="X125" s="235"/>
      <c r="Y125" s="237"/>
      <c r="Z125" s="238"/>
    </row>
    <row r="126" spans="1:26" s="239" customFormat="1" ht="28.5" customHeight="1" x14ac:dyDescent="0.3">
      <c r="A126" s="222">
        <f t="shared" si="14"/>
        <v>0</v>
      </c>
      <c r="B126" s="223" t="b">
        <f t="shared" si="15"/>
        <v>1</v>
      </c>
      <c r="C126" s="222">
        <f t="shared" si="16"/>
        <v>0</v>
      </c>
      <c r="D126" s="205" t="str">
        <f t="shared" si="17"/>
        <v>$$$$</v>
      </c>
      <c r="E126" s="224"/>
      <c r="F126" s="225"/>
      <c r="G126" s="226"/>
      <c r="H126" s="227"/>
      <c r="I126" s="228"/>
      <c r="J126" s="228"/>
      <c r="K126" s="229"/>
      <c r="L126" s="230"/>
      <c r="M126" s="231"/>
      <c r="N126" s="232"/>
      <c r="O126" s="230"/>
      <c r="P126" s="231"/>
      <c r="Q126" s="232"/>
      <c r="R126" s="233"/>
      <c r="S126" s="234"/>
      <c r="T126" s="235"/>
      <c r="U126" s="233"/>
      <c r="V126" s="236"/>
      <c r="W126" s="234"/>
      <c r="X126" s="235"/>
      <c r="Y126" s="237"/>
      <c r="Z126" s="238"/>
    </row>
    <row r="127" spans="1:26" s="239" customFormat="1" ht="28.5" customHeight="1" x14ac:dyDescent="0.3">
      <c r="A127" s="222">
        <f t="shared" si="14"/>
        <v>0</v>
      </c>
      <c r="B127" s="223" t="b">
        <f t="shared" si="15"/>
        <v>1</v>
      </c>
      <c r="C127" s="222">
        <f t="shared" si="16"/>
        <v>0</v>
      </c>
      <c r="D127" s="205" t="str">
        <f t="shared" si="17"/>
        <v>$$$$</v>
      </c>
      <c r="E127" s="224"/>
      <c r="F127" s="225"/>
      <c r="G127" s="226"/>
      <c r="H127" s="227"/>
      <c r="I127" s="228"/>
      <c r="J127" s="228"/>
      <c r="K127" s="229"/>
      <c r="L127" s="230"/>
      <c r="M127" s="231"/>
      <c r="N127" s="232"/>
      <c r="O127" s="230"/>
      <c r="P127" s="231"/>
      <c r="Q127" s="232"/>
      <c r="R127" s="233"/>
      <c r="S127" s="234"/>
      <c r="T127" s="235"/>
      <c r="U127" s="233"/>
      <c r="V127" s="236"/>
      <c r="W127" s="234"/>
      <c r="X127" s="235"/>
      <c r="Y127" s="237"/>
      <c r="Z127" s="238"/>
    </row>
    <row r="128" spans="1:26" s="239" customFormat="1" ht="28.5" customHeight="1" x14ac:dyDescent="0.3">
      <c r="A128" s="222">
        <f t="shared" si="14"/>
        <v>0</v>
      </c>
      <c r="B128" s="223" t="b">
        <f t="shared" si="15"/>
        <v>1</v>
      </c>
      <c r="C128" s="222">
        <f t="shared" si="16"/>
        <v>0</v>
      </c>
      <c r="D128" s="205" t="str">
        <f t="shared" si="17"/>
        <v>$$$$</v>
      </c>
      <c r="E128" s="224"/>
      <c r="F128" s="225"/>
      <c r="G128" s="226"/>
      <c r="H128" s="227"/>
      <c r="I128" s="228"/>
      <c r="J128" s="228"/>
      <c r="K128" s="229"/>
      <c r="L128" s="230"/>
      <c r="M128" s="231"/>
      <c r="N128" s="232"/>
      <c r="O128" s="230"/>
      <c r="P128" s="231"/>
      <c r="Q128" s="232"/>
      <c r="R128" s="233"/>
      <c r="S128" s="234"/>
      <c r="T128" s="235"/>
      <c r="U128" s="233"/>
      <c r="V128" s="236"/>
      <c r="W128" s="234"/>
      <c r="X128" s="235"/>
      <c r="Y128" s="237"/>
      <c r="Z128" s="238"/>
    </row>
    <row r="129" spans="1:26" s="239" customFormat="1" ht="28.5" customHeight="1" x14ac:dyDescent="0.3">
      <c r="A129" s="222">
        <f t="shared" si="14"/>
        <v>0</v>
      </c>
      <c r="B129" s="223" t="b">
        <f t="shared" si="15"/>
        <v>1</v>
      </c>
      <c r="C129" s="222">
        <f t="shared" si="16"/>
        <v>0</v>
      </c>
      <c r="D129" s="205" t="str">
        <f t="shared" si="17"/>
        <v>$$$$</v>
      </c>
      <c r="E129" s="224"/>
      <c r="F129" s="225"/>
      <c r="G129" s="226"/>
      <c r="H129" s="227"/>
      <c r="I129" s="228"/>
      <c r="J129" s="228"/>
      <c r="K129" s="229"/>
      <c r="L129" s="230"/>
      <c r="M129" s="231"/>
      <c r="N129" s="232"/>
      <c r="O129" s="230"/>
      <c r="P129" s="231"/>
      <c r="Q129" s="232"/>
      <c r="R129" s="233"/>
      <c r="S129" s="234"/>
      <c r="T129" s="235"/>
      <c r="U129" s="233"/>
      <c r="V129" s="236"/>
      <c r="W129" s="234"/>
      <c r="X129" s="235"/>
      <c r="Y129" s="237"/>
      <c r="Z129" s="238"/>
    </row>
    <row r="130" spans="1:26" s="239" customFormat="1" ht="28.5" customHeight="1" x14ac:dyDescent="0.3">
      <c r="A130" s="222">
        <f t="shared" si="14"/>
        <v>0</v>
      </c>
      <c r="B130" s="223" t="b">
        <f t="shared" si="15"/>
        <v>1</v>
      </c>
      <c r="C130" s="222">
        <f t="shared" si="16"/>
        <v>0</v>
      </c>
      <c r="D130" s="205" t="str">
        <f t="shared" si="17"/>
        <v>$$$$</v>
      </c>
      <c r="E130" s="224"/>
      <c r="F130" s="225"/>
      <c r="G130" s="226"/>
      <c r="H130" s="227"/>
      <c r="I130" s="228"/>
      <c r="J130" s="228"/>
      <c r="K130" s="229"/>
      <c r="L130" s="230"/>
      <c r="M130" s="231"/>
      <c r="N130" s="232"/>
      <c r="O130" s="230"/>
      <c r="P130" s="231"/>
      <c r="Q130" s="232"/>
      <c r="R130" s="233"/>
      <c r="S130" s="234"/>
      <c r="T130" s="235"/>
      <c r="U130" s="233"/>
      <c r="V130" s="236"/>
      <c r="W130" s="234"/>
      <c r="X130" s="235"/>
      <c r="Y130" s="237"/>
      <c r="Z130" s="238"/>
    </row>
    <row r="131" spans="1:26" s="239" customFormat="1" ht="28.5" customHeight="1" x14ac:dyDescent="0.3">
      <c r="A131" s="222">
        <f t="shared" si="14"/>
        <v>0</v>
      </c>
      <c r="B131" s="223" t="b">
        <f t="shared" si="15"/>
        <v>1</v>
      </c>
      <c r="C131" s="222">
        <f t="shared" si="16"/>
        <v>0</v>
      </c>
      <c r="D131" s="205" t="str">
        <f t="shared" si="17"/>
        <v>$$$$</v>
      </c>
      <c r="E131" s="224"/>
      <c r="F131" s="225"/>
      <c r="G131" s="226"/>
      <c r="H131" s="227"/>
      <c r="I131" s="228"/>
      <c r="J131" s="228"/>
      <c r="K131" s="229"/>
      <c r="L131" s="230"/>
      <c r="M131" s="231"/>
      <c r="N131" s="232"/>
      <c r="O131" s="230"/>
      <c r="P131" s="231"/>
      <c r="Q131" s="232"/>
      <c r="R131" s="233"/>
      <c r="S131" s="234"/>
      <c r="T131" s="235"/>
      <c r="U131" s="233"/>
      <c r="V131" s="236"/>
      <c r="W131" s="234"/>
      <c r="X131" s="235"/>
      <c r="Y131" s="237"/>
      <c r="Z131" s="238"/>
    </row>
    <row r="132" spans="1:26" s="239" customFormat="1" ht="28.5" customHeight="1" x14ac:dyDescent="0.3">
      <c r="A132" s="222">
        <f t="shared" si="14"/>
        <v>0</v>
      </c>
      <c r="B132" s="223" t="b">
        <f t="shared" si="15"/>
        <v>1</v>
      </c>
      <c r="C132" s="222">
        <f t="shared" si="16"/>
        <v>0</v>
      </c>
      <c r="D132" s="205" t="str">
        <f t="shared" si="17"/>
        <v>$$$$</v>
      </c>
      <c r="E132" s="224"/>
      <c r="F132" s="225"/>
      <c r="G132" s="226"/>
      <c r="H132" s="227"/>
      <c r="I132" s="228"/>
      <c r="J132" s="228"/>
      <c r="K132" s="229"/>
      <c r="L132" s="230"/>
      <c r="M132" s="231"/>
      <c r="N132" s="232"/>
      <c r="O132" s="230"/>
      <c r="P132" s="231"/>
      <c r="Q132" s="232"/>
      <c r="R132" s="233"/>
      <c r="S132" s="234"/>
      <c r="T132" s="235"/>
      <c r="U132" s="233"/>
      <c r="V132" s="236"/>
      <c r="W132" s="234"/>
      <c r="X132" s="235"/>
      <c r="Y132" s="237"/>
      <c r="Z132" s="238"/>
    </row>
    <row r="133" spans="1:26" s="239" customFormat="1" ht="28.5" customHeight="1" x14ac:dyDescent="0.3">
      <c r="A133" s="222">
        <f t="shared" si="14"/>
        <v>0</v>
      </c>
      <c r="B133" s="223" t="b">
        <f t="shared" si="15"/>
        <v>1</v>
      </c>
      <c r="C133" s="222">
        <f t="shared" si="16"/>
        <v>0</v>
      </c>
      <c r="D133" s="205" t="str">
        <f t="shared" si="17"/>
        <v>$$$$</v>
      </c>
      <c r="E133" s="224"/>
      <c r="F133" s="225"/>
      <c r="G133" s="226"/>
      <c r="H133" s="227"/>
      <c r="I133" s="228"/>
      <c r="J133" s="228"/>
      <c r="K133" s="229"/>
      <c r="L133" s="230"/>
      <c r="M133" s="231"/>
      <c r="N133" s="232"/>
      <c r="O133" s="230"/>
      <c r="P133" s="231"/>
      <c r="Q133" s="232"/>
      <c r="R133" s="233"/>
      <c r="S133" s="234"/>
      <c r="T133" s="235"/>
      <c r="U133" s="233"/>
      <c r="V133" s="236"/>
      <c r="W133" s="234"/>
      <c r="X133" s="235"/>
      <c r="Y133" s="237"/>
      <c r="Z133" s="238"/>
    </row>
    <row r="134" spans="1:26" s="239" customFormat="1" ht="28.5" customHeight="1" x14ac:dyDescent="0.3">
      <c r="A134" s="222">
        <f t="shared" si="14"/>
        <v>0</v>
      </c>
      <c r="B134" s="223" t="b">
        <f t="shared" si="15"/>
        <v>1</v>
      </c>
      <c r="C134" s="222">
        <f t="shared" si="16"/>
        <v>0</v>
      </c>
      <c r="D134" s="205" t="str">
        <f t="shared" si="17"/>
        <v>$$$$</v>
      </c>
      <c r="E134" s="224"/>
      <c r="F134" s="225"/>
      <c r="G134" s="226"/>
      <c r="H134" s="227"/>
      <c r="I134" s="228"/>
      <c r="J134" s="228"/>
      <c r="K134" s="229"/>
      <c r="L134" s="230"/>
      <c r="M134" s="231"/>
      <c r="N134" s="232"/>
      <c r="O134" s="230"/>
      <c r="P134" s="231"/>
      <c r="Q134" s="232"/>
      <c r="R134" s="233"/>
      <c r="S134" s="234"/>
      <c r="T134" s="235"/>
      <c r="U134" s="233"/>
      <c r="V134" s="236"/>
      <c r="W134" s="234"/>
      <c r="X134" s="235"/>
      <c r="Y134" s="237"/>
      <c r="Z134" s="238"/>
    </row>
    <row r="135" spans="1:26" s="239" customFormat="1" ht="28.5" customHeight="1" x14ac:dyDescent="0.3">
      <c r="A135" s="222">
        <f t="shared" si="14"/>
        <v>0</v>
      </c>
      <c r="B135" s="223" t="b">
        <f t="shared" si="15"/>
        <v>1</v>
      </c>
      <c r="C135" s="222">
        <f t="shared" si="16"/>
        <v>0</v>
      </c>
      <c r="D135" s="205" t="str">
        <f t="shared" si="17"/>
        <v>$$$$</v>
      </c>
      <c r="E135" s="224"/>
      <c r="F135" s="225"/>
      <c r="G135" s="226"/>
      <c r="H135" s="227"/>
      <c r="I135" s="228"/>
      <c r="J135" s="228"/>
      <c r="K135" s="229"/>
      <c r="L135" s="230"/>
      <c r="M135" s="231"/>
      <c r="N135" s="232"/>
      <c r="O135" s="230"/>
      <c r="P135" s="231"/>
      <c r="Q135" s="232"/>
      <c r="R135" s="233"/>
      <c r="S135" s="234"/>
      <c r="T135" s="235"/>
      <c r="U135" s="233"/>
      <c r="V135" s="236"/>
      <c r="W135" s="234"/>
      <c r="X135" s="235"/>
      <c r="Y135" s="237"/>
      <c r="Z135" s="238"/>
    </row>
    <row r="136" spans="1:26" s="239" customFormat="1" ht="28.5" customHeight="1" x14ac:dyDescent="0.3">
      <c r="A136" s="222">
        <f t="shared" si="14"/>
        <v>0</v>
      </c>
      <c r="B136" s="223" t="b">
        <f t="shared" si="15"/>
        <v>1</v>
      </c>
      <c r="C136" s="222">
        <f t="shared" si="16"/>
        <v>0</v>
      </c>
      <c r="D136" s="205" t="str">
        <f t="shared" si="17"/>
        <v>$$$$</v>
      </c>
      <c r="E136" s="224"/>
      <c r="F136" s="225"/>
      <c r="G136" s="226"/>
      <c r="H136" s="227"/>
      <c r="I136" s="228"/>
      <c r="J136" s="228"/>
      <c r="K136" s="229"/>
      <c r="L136" s="230"/>
      <c r="M136" s="231"/>
      <c r="N136" s="232"/>
      <c r="O136" s="230"/>
      <c r="P136" s="231"/>
      <c r="Q136" s="232"/>
      <c r="R136" s="233"/>
      <c r="S136" s="234"/>
      <c r="T136" s="235"/>
      <c r="U136" s="233"/>
      <c r="V136" s="236"/>
      <c r="W136" s="234"/>
      <c r="X136" s="235"/>
      <c r="Y136" s="237"/>
      <c r="Z136" s="238"/>
    </row>
    <row r="137" spans="1:26" s="239" customFormat="1" ht="28.5" customHeight="1" x14ac:dyDescent="0.3">
      <c r="A137" s="222">
        <f t="shared" si="14"/>
        <v>0</v>
      </c>
      <c r="B137" s="223" t="b">
        <f t="shared" si="15"/>
        <v>1</v>
      </c>
      <c r="C137" s="222">
        <f t="shared" si="16"/>
        <v>0</v>
      </c>
      <c r="D137" s="205" t="str">
        <f t="shared" si="17"/>
        <v>$$$$</v>
      </c>
      <c r="E137" s="224"/>
      <c r="F137" s="225"/>
      <c r="G137" s="226"/>
      <c r="H137" s="227"/>
      <c r="I137" s="228"/>
      <c r="J137" s="228"/>
      <c r="K137" s="229"/>
      <c r="L137" s="230"/>
      <c r="M137" s="231"/>
      <c r="N137" s="232"/>
      <c r="O137" s="230"/>
      <c r="P137" s="231"/>
      <c r="Q137" s="232"/>
      <c r="R137" s="233"/>
      <c r="S137" s="234"/>
      <c r="T137" s="235"/>
      <c r="U137" s="233"/>
      <c r="V137" s="236"/>
      <c r="W137" s="234"/>
      <c r="X137" s="235"/>
      <c r="Y137" s="237"/>
      <c r="Z137" s="238"/>
    </row>
    <row r="138" spans="1:26" s="239" customFormat="1" ht="28.5" customHeight="1" x14ac:dyDescent="0.3">
      <c r="A138" s="222">
        <f t="shared" si="14"/>
        <v>0</v>
      </c>
      <c r="B138" s="223" t="b">
        <f t="shared" si="15"/>
        <v>1</v>
      </c>
      <c r="C138" s="222">
        <f t="shared" si="16"/>
        <v>0</v>
      </c>
      <c r="D138" s="205" t="str">
        <f t="shared" si="17"/>
        <v>$$$$</v>
      </c>
      <c r="E138" s="224"/>
      <c r="F138" s="225"/>
      <c r="G138" s="226"/>
      <c r="H138" s="227"/>
      <c r="I138" s="228"/>
      <c r="J138" s="228"/>
      <c r="K138" s="229"/>
      <c r="L138" s="230"/>
      <c r="M138" s="231"/>
      <c r="N138" s="232"/>
      <c r="O138" s="230"/>
      <c r="P138" s="231"/>
      <c r="Q138" s="232"/>
      <c r="R138" s="233"/>
      <c r="S138" s="234"/>
      <c r="T138" s="235"/>
      <c r="U138" s="233"/>
      <c r="V138" s="236"/>
      <c r="W138" s="234"/>
      <c r="X138" s="235"/>
      <c r="Y138" s="237"/>
      <c r="Z138" s="238"/>
    </row>
    <row r="139" spans="1:26" s="239" customFormat="1" ht="28.5" customHeight="1" x14ac:dyDescent="0.3">
      <c r="A139" s="222">
        <f t="shared" si="14"/>
        <v>0</v>
      </c>
      <c r="B139" s="223" t="b">
        <f t="shared" si="15"/>
        <v>1</v>
      </c>
      <c r="C139" s="222">
        <f t="shared" si="16"/>
        <v>0</v>
      </c>
      <c r="D139" s="205" t="str">
        <f t="shared" si="17"/>
        <v>$$$$</v>
      </c>
      <c r="E139" s="224"/>
      <c r="F139" s="225"/>
      <c r="G139" s="226"/>
      <c r="H139" s="227"/>
      <c r="I139" s="228"/>
      <c r="J139" s="228"/>
      <c r="K139" s="229"/>
      <c r="L139" s="230"/>
      <c r="M139" s="231"/>
      <c r="N139" s="232"/>
      <c r="O139" s="230"/>
      <c r="P139" s="231"/>
      <c r="Q139" s="232"/>
      <c r="R139" s="233"/>
      <c r="S139" s="234"/>
      <c r="T139" s="235"/>
      <c r="U139" s="233"/>
      <c r="V139" s="236"/>
      <c r="W139" s="234"/>
      <c r="X139" s="235"/>
      <c r="Y139" s="237"/>
      <c r="Z139" s="238"/>
    </row>
    <row r="140" spans="1:26" s="239" customFormat="1" ht="28.5" customHeight="1" x14ac:dyDescent="0.3">
      <c r="A140" s="222">
        <f t="shared" si="14"/>
        <v>0</v>
      </c>
      <c r="B140" s="223" t="b">
        <f t="shared" si="15"/>
        <v>1</v>
      </c>
      <c r="C140" s="222">
        <f t="shared" si="16"/>
        <v>0</v>
      </c>
      <c r="D140" s="205" t="str">
        <f t="shared" si="17"/>
        <v>$$$$</v>
      </c>
      <c r="E140" s="224"/>
      <c r="F140" s="225"/>
      <c r="G140" s="226"/>
      <c r="H140" s="227"/>
      <c r="I140" s="228"/>
      <c r="J140" s="228"/>
      <c r="K140" s="229"/>
      <c r="L140" s="230"/>
      <c r="M140" s="231"/>
      <c r="N140" s="232"/>
      <c r="O140" s="230"/>
      <c r="P140" s="231"/>
      <c r="Q140" s="232"/>
      <c r="R140" s="233"/>
      <c r="S140" s="234"/>
      <c r="T140" s="235"/>
      <c r="U140" s="233"/>
      <c r="V140" s="236"/>
      <c r="W140" s="234"/>
      <c r="X140" s="235"/>
      <c r="Y140" s="237"/>
      <c r="Z140" s="238"/>
    </row>
    <row r="141" spans="1:26" s="239" customFormat="1" ht="28.5" customHeight="1" x14ac:dyDescent="0.3">
      <c r="A141" s="222">
        <f t="shared" si="14"/>
        <v>0</v>
      </c>
      <c r="B141" s="223" t="b">
        <f t="shared" si="15"/>
        <v>1</v>
      </c>
      <c r="C141" s="222">
        <f t="shared" si="16"/>
        <v>0</v>
      </c>
      <c r="D141" s="205" t="str">
        <f t="shared" si="17"/>
        <v>$$$$</v>
      </c>
      <c r="E141" s="224"/>
      <c r="F141" s="225"/>
      <c r="G141" s="226"/>
      <c r="H141" s="227"/>
      <c r="I141" s="228"/>
      <c r="J141" s="228"/>
      <c r="K141" s="229"/>
      <c r="L141" s="230"/>
      <c r="M141" s="231"/>
      <c r="N141" s="232"/>
      <c r="O141" s="230"/>
      <c r="P141" s="231"/>
      <c r="Q141" s="232"/>
      <c r="R141" s="233"/>
      <c r="S141" s="234"/>
      <c r="T141" s="235"/>
      <c r="U141" s="233"/>
      <c r="V141" s="236"/>
      <c r="W141" s="234"/>
      <c r="X141" s="235"/>
      <c r="Y141" s="237"/>
      <c r="Z141" s="238"/>
    </row>
    <row r="142" spans="1:26" s="239" customFormat="1" ht="28.5" customHeight="1" x14ac:dyDescent="0.3">
      <c r="A142" s="222">
        <f t="shared" si="14"/>
        <v>0</v>
      </c>
      <c r="B142" s="223" t="b">
        <f t="shared" si="15"/>
        <v>1</v>
      </c>
      <c r="C142" s="222">
        <f t="shared" si="16"/>
        <v>0</v>
      </c>
      <c r="D142" s="205" t="str">
        <f t="shared" si="17"/>
        <v>$$$$</v>
      </c>
      <c r="E142" s="224"/>
      <c r="F142" s="225"/>
      <c r="G142" s="226"/>
      <c r="H142" s="227"/>
      <c r="I142" s="228"/>
      <c r="J142" s="228"/>
      <c r="K142" s="229"/>
      <c r="L142" s="230"/>
      <c r="M142" s="231"/>
      <c r="N142" s="232"/>
      <c r="O142" s="230"/>
      <c r="P142" s="231"/>
      <c r="Q142" s="232"/>
      <c r="R142" s="233"/>
      <c r="S142" s="234"/>
      <c r="T142" s="235"/>
      <c r="U142" s="233"/>
      <c r="V142" s="236"/>
      <c r="W142" s="234"/>
      <c r="X142" s="235"/>
      <c r="Y142" s="237"/>
      <c r="Z142" s="238"/>
    </row>
    <row r="143" spans="1:26" s="239" customFormat="1" ht="28.5" customHeight="1" x14ac:dyDescent="0.3">
      <c r="A143" s="222">
        <f t="shared" si="14"/>
        <v>0</v>
      </c>
      <c r="B143" s="223" t="b">
        <f t="shared" si="15"/>
        <v>1</v>
      </c>
      <c r="C143" s="222">
        <f t="shared" si="16"/>
        <v>0</v>
      </c>
      <c r="D143" s="205" t="str">
        <f t="shared" si="17"/>
        <v>$$$$</v>
      </c>
      <c r="E143" s="224"/>
      <c r="F143" s="225"/>
      <c r="G143" s="226"/>
      <c r="H143" s="227"/>
      <c r="I143" s="228"/>
      <c r="J143" s="228"/>
      <c r="K143" s="229"/>
      <c r="L143" s="230"/>
      <c r="M143" s="231"/>
      <c r="N143" s="232"/>
      <c r="O143" s="230"/>
      <c r="P143" s="231"/>
      <c r="Q143" s="232"/>
      <c r="R143" s="233"/>
      <c r="S143" s="234"/>
      <c r="T143" s="235"/>
      <c r="U143" s="233"/>
      <c r="V143" s="236"/>
      <c r="W143" s="234"/>
      <c r="X143" s="235"/>
      <c r="Y143" s="237"/>
      <c r="Z143" s="238"/>
    </row>
    <row r="144" spans="1:26" s="239" customFormat="1" ht="28.5" customHeight="1" x14ac:dyDescent="0.3">
      <c r="A144" s="222">
        <f t="shared" si="14"/>
        <v>0</v>
      </c>
      <c r="B144" s="223" t="b">
        <f t="shared" si="15"/>
        <v>1</v>
      </c>
      <c r="C144" s="222">
        <f t="shared" si="16"/>
        <v>0</v>
      </c>
      <c r="D144" s="205" t="str">
        <f t="shared" si="17"/>
        <v>$$$$</v>
      </c>
      <c r="E144" s="224"/>
      <c r="F144" s="225"/>
      <c r="G144" s="226"/>
      <c r="H144" s="227"/>
      <c r="I144" s="228"/>
      <c r="J144" s="228"/>
      <c r="K144" s="229"/>
      <c r="L144" s="230"/>
      <c r="M144" s="231"/>
      <c r="N144" s="232"/>
      <c r="O144" s="230"/>
      <c r="P144" s="231"/>
      <c r="Q144" s="232"/>
      <c r="R144" s="233"/>
      <c r="S144" s="234"/>
      <c r="T144" s="235"/>
      <c r="U144" s="233"/>
      <c r="V144" s="236"/>
      <c r="W144" s="234"/>
      <c r="X144" s="235"/>
      <c r="Y144" s="237"/>
      <c r="Z144" s="238"/>
    </row>
    <row r="145" spans="1:26" s="239" customFormat="1" ht="28.5" customHeight="1" x14ac:dyDescent="0.3">
      <c r="A145" s="222">
        <f t="shared" si="14"/>
        <v>0</v>
      </c>
      <c r="B145" s="223" t="b">
        <f t="shared" si="15"/>
        <v>1</v>
      </c>
      <c r="C145" s="222">
        <f t="shared" si="16"/>
        <v>0</v>
      </c>
      <c r="D145" s="205" t="str">
        <f t="shared" si="17"/>
        <v>$$$$</v>
      </c>
      <c r="E145" s="224"/>
      <c r="F145" s="225"/>
      <c r="G145" s="226"/>
      <c r="H145" s="227"/>
      <c r="I145" s="228"/>
      <c r="J145" s="228"/>
      <c r="K145" s="229"/>
      <c r="L145" s="230"/>
      <c r="M145" s="231"/>
      <c r="N145" s="232"/>
      <c r="O145" s="230"/>
      <c r="P145" s="231"/>
      <c r="Q145" s="232"/>
      <c r="R145" s="233"/>
      <c r="S145" s="234"/>
      <c r="T145" s="235"/>
      <c r="U145" s="233"/>
      <c r="V145" s="236"/>
      <c r="W145" s="234"/>
      <c r="X145" s="235"/>
      <c r="Y145" s="237"/>
      <c r="Z145" s="238"/>
    </row>
    <row r="146" spans="1:26" s="239" customFormat="1" ht="28.5" customHeight="1" x14ac:dyDescent="0.3">
      <c r="A146" s="222">
        <f t="shared" si="14"/>
        <v>0</v>
      </c>
      <c r="B146" s="223" t="b">
        <f t="shared" si="15"/>
        <v>1</v>
      </c>
      <c r="C146" s="222">
        <f t="shared" si="16"/>
        <v>0</v>
      </c>
      <c r="D146" s="205" t="str">
        <f t="shared" si="17"/>
        <v>$$$$</v>
      </c>
      <c r="E146" s="224"/>
      <c r="F146" s="225"/>
      <c r="G146" s="226"/>
      <c r="H146" s="227"/>
      <c r="I146" s="228"/>
      <c r="J146" s="228"/>
      <c r="K146" s="229"/>
      <c r="L146" s="230"/>
      <c r="M146" s="231"/>
      <c r="N146" s="232"/>
      <c r="O146" s="230"/>
      <c r="P146" s="231"/>
      <c r="Q146" s="232"/>
      <c r="R146" s="233"/>
      <c r="S146" s="234"/>
      <c r="T146" s="235"/>
      <c r="U146" s="233"/>
      <c r="V146" s="236"/>
      <c r="W146" s="234"/>
      <c r="X146" s="235"/>
      <c r="Y146" s="237"/>
      <c r="Z146" s="238"/>
    </row>
    <row r="147" spans="1:26" s="239" customFormat="1" ht="28.5" customHeight="1" x14ac:dyDescent="0.3">
      <c r="A147" s="222">
        <f t="shared" si="14"/>
        <v>0</v>
      </c>
      <c r="B147" s="223" t="b">
        <f t="shared" si="15"/>
        <v>1</v>
      </c>
      <c r="C147" s="222">
        <f t="shared" si="16"/>
        <v>0</v>
      </c>
      <c r="D147" s="205" t="str">
        <f t="shared" si="17"/>
        <v>$$$$</v>
      </c>
      <c r="E147" s="224"/>
      <c r="F147" s="225"/>
      <c r="G147" s="226"/>
      <c r="H147" s="227"/>
      <c r="I147" s="228"/>
      <c r="J147" s="228"/>
      <c r="K147" s="229"/>
      <c r="L147" s="230"/>
      <c r="M147" s="231"/>
      <c r="N147" s="232"/>
      <c r="O147" s="230"/>
      <c r="P147" s="231"/>
      <c r="Q147" s="232"/>
      <c r="R147" s="233"/>
      <c r="S147" s="234"/>
      <c r="T147" s="235"/>
      <c r="U147" s="233"/>
      <c r="V147" s="236"/>
      <c r="W147" s="234"/>
      <c r="X147" s="235"/>
      <c r="Y147" s="237"/>
      <c r="Z147" s="238"/>
    </row>
    <row r="148" spans="1:26" s="239" customFormat="1" ht="28.5" customHeight="1" x14ac:dyDescent="0.3">
      <c r="A148" s="222">
        <f t="shared" si="14"/>
        <v>0</v>
      </c>
      <c r="B148" s="223" t="b">
        <f t="shared" si="15"/>
        <v>1</v>
      </c>
      <c r="C148" s="222">
        <f t="shared" si="16"/>
        <v>0</v>
      </c>
      <c r="D148" s="205" t="str">
        <f t="shared" si="17"/>
        <v>$$$$</v>
      </c>
      <c r="E148" s="224"/>
      <c r="F148" s="225"/>
      <c r="G148" s="226"/>
      <c r="H148" s="227"/>
      <c r="I148" s="228"/>
      <c r="J148" s="228"/>
      <c r="K148" s="229"/>
      <c r="L148" s="230"/>
      <c r="M148" s="231"/>
      <c r="N148" s="232"/>
      <c r="O148" s="230"/>
      <c r="P148" s="231"/>
      <c r="Q148" s="232"/>
      <c r="R148" s="233"/>
      <c r="S148" s="234"/>
      <c r="T148" s="235"/>
      <c r="U148" s="233"/>
      <c r="V148" s="236"/>
      <c r="W148" s="234"/>
      <c r="X148" s="235"/>
      <c r="Y148" s="237"/>
      <c r="Z148" s="238"/>
    </row>
    <row r="149" spans="1:26" s="239" customFormat="1" ht="28.5" customHeight="1" x14ac:dyDescent="0.3">
      <c r="A149" s="222">
        <f t="shared" si="14"/>
        <v>0</v>
      </c>
      <c r="B149" s="223" t="b">
        <f t="shared" si="15"/>
        <v>1</v>
      </c>
      <c r="C149" s="222">
        <f t="shared" si="16"/>
        <v>0</v>
      </c>
      <c r="D149" s="205" t="str">
        <f t="shared" si="17"/>
        <v>$$$$</v>
      </c>
      <c r="E149" s="224"/>
      <c r="F149" s="225"/>
      <c r="G149" s="226"/>
      <c r="H149" s="227"/>
      <c r="I149" s="228"/>
      <c r="J149" s="228"/>
      <c r="K149" s="229"/>
      <c r="L149" s="230"/>
      <c r="M149" s="231"/>
      <c r="N149" s="232"/>
      <c r="O149" s="230"/>
      <c r="P149" s="231"/>
      <c r="Q149" s="232"/>
      <c r="R149" s="233"/>
      <c r="S149" s="234"/>
      <c r="T149" s="235"/>
      <c r="U149" s="233"/>
      <c r="V149" s="236"/>
      <c r="W149" s="234"/>
      <c r="X149" s="235"/>
      <c r="Y149" s="237"/>
      <c r="Z149" s="238"/>
    </row>
    <row r="150" spans="1:26" s="239" customFormat="1" ht="28.5" customHeight="1" x14ac:dyDescent="0.3">
      <c r="A150" s="222">
        <f t="shared" si="14"/>
        <v>0</v>
      </c>
      <c r="B150" s="223" t="b">
        <f t="shared" si="15"/>
        <v>1</v>
      </c>
      <c r="C150" s="222">
        <f t="shared" si="16"/>
        <v>0</v>
      </c>
      <c r="D150" s="205" t="str">
        <f t="shared" si="17"/>
        <v>$$$$</v>
      </c>
      <c r="E150" s="224"/>
      <c r="F150" s="225"/>
      <c r="G150" s="226"/>
      <c r="H150" s="227"/>
      <c r="I150" s="228"/>
      <c r="J150" s="228"/>
      <c r="K150" s="229"/>
      <c r="L150" s="230"/>
      <c r="M150" s="231"/>
      <c r="N150" s="232"/>
      <c r="O150" s="230"/>
      <c r="P150" s="231"/>
      <c r="Q150" s="232"/>
      <c r="R150" s="233"/>
      <c r="S150" s="234"/>
      <c r="T150" s="235"/>
      <c r="U150" s="233"/>
      <c r="V150" s="236"/>
      <c r="W150" s="234"/>
      <c r="X150" s="235"/>
      <c r="Y150" s="237"/>
      <c r="Z150" s="238"/>
    </row>
    <row r="151" spans="1:26" s="239" customFormat="1" ht="28.5" customHeight="1" x14ac:dyDescent="0.3">
      <c r="A151" s="222">
        <f t="shared" ref="A151:A154" si="18">IF(B151,0,MATCH(H151,ВидыНагр,0))</f>
        <v>0</v>
      </c>
      <c r="B151" s="223" t="b">
        <f t="shared" ref="B151:B154" si="19">(COUNTIF(КлючОсень,D151)&lt;&gt;1)</f>
        <v>1</v>
      </c>
      <c r="C151" s="222">
        <f t="shared" ref="C151:C158" si="20">IF(COUNTA(E151:K151,Z151)&gt;0,1,0)+IF(COUNTA(L151:Y151)&gt;0,2,0)</f>
        <v>0</v>
      </c>
      <c r="D151" s="205" t="str">
        <f t="shared" si="17"/>
        <v>$$$$</v>
      </c>
      <c r="E151" s="224"/>
      <c r="F151" s="225"/>
      <c r="G151" s="226"/>
      <c r="H151" s="227"/>
      <c r="I151" s="228"/>
      <c r="J151" s="228"/>
      <c r="K151" s="229"/>
      <c r="L151" s="230"/>
      <c r="M151" s="231"/>
      <c r="N151" s="232"/>
      <c r="O151" s="230"/>
      <c r="P151" s="231"/>
      <c r="Q151" s="232"/>
      <c r="R151" s="233"/>
      <c r="S151" s="234"/>
      <c r="T151" s="235"/>
      <c r="U151" s="233"/>
      <c r="V151" s="236"/>
      <c r="W151" s="234"/>
      <c r="X151" s="235"/>
      <c r="Y151" s="237"/>
      <c r="Z151" s="238"/>
    </row>
    <row r="152" spans="1:26" s="239" customFormat="1" ht="28.5" customHeight="1" x14ac:dyDescent="0.3">
      <c r="A152" s="222">
        <f t="shared" si="18"/>
        <v>0</v>
      </c>
      <c r="B152" s="223" t="b">
        <f t="shared" si="19"/>
        <v>1</v>
      </c>
      <c r="C152" s="222">
        <f t="shared" si="20"/>
        <v>0</v>
      </c>
      <c r="D152" s="205" t="str">
        <f t="shared" si="17"/>
        <v>$$$$</v>
      </c>
      <c r="E152" s="224"/>
      <c r="F152" s="225"/>
      <c r="G152" s="226"/>
      <c r="H152" s="227"/>
      <c r="I152" s="228"/>
      <c r="J152" s="228"/>
      <c r="K152" s="229"/>
      <c r="L152" s="230"/>
      <c r="M152" s="231"/>
      <c r="N152" s="232"/>
      <c r="O152" s="230"/>
      <c r="P152" s="231"/>
      <c r="Q152" s="232"/>
      <c r="R152" s="233"/>
      <c r="S152" s="234"/>
      <c r="T152" s="235"/>
      <c r="U152" s="233"/>
      <c r="V152" s="236"/>
      <c r="W152" s="234"/>
      <c r="X152" s="235"/>
      <c r="Y152" s="237"/>
      <c r="Z152" s="238"/>
    </row>
    <row r="153" spans="1:26" s="239" customFormat="1" ht="28.5" customHeight="1" x14ac:dyDescent="0.3">
      <c r="A153" s="222">
        <f t="shared" si="18"/>
        <v>0</v>
      </c>
      <c r="B153" s="223" t="b">
        <f t="shared" si="19"/>
        <v>1</v>
      </c>
      <c r="C153" s="222">
        <f t="shared" si="20"/>
        <v>0</v>
      </c>
      <c r="D153" s="205" t="str">
        <f t="shared" si="17"/>
        <v>$$$$</v>
      </c>
      <c r="E153" s="224"/>
      <c r="F153" s="225"/>
      <c r="G153" s="226"/>
      <c r="H153" s="227"/>
      <c r="I153" s="228"/>
      <c r="J153" s="228"/>
      <c r="K153" s="229"/>
      <c r="L153" s="230"/>
      <c r="M153" s="231"/>
      <c r="N153" s="232"/>
      <c r="O153" s="230"/>
      <c r="P153" s="231"/>
      <c r="Q153" s="232"/>
      <c r="R153" s="233"/>
      <c r="S153" s="234"/>
      <c r="T153" s="235"/>
      <c r="U153" s="233"/>
      <c r="V153" s="236"/>
      <c r="W153" s="234"/>
      <c r="X153" s="235"/>
      <c r="Y153" s="237"/>
      <c r="Z153" s="238"/>
    </row>
    <row r="154" spans="1:26" s="239" customFormat="1" ht="28.5" customHeight="1" x14ac:dyDescent="0.3">
      <c r="A154" s="222">
        <f t="shared" si="18"/>
        <v>0</v>
      </c>
      <c r="B154" s="223" t="b">
        <f t="shared" si="19"/>
        <v>1</v>
      </c>
      <c r="C154" s="222">
        <f t="shared" si="20"/>
        <v>0</v>
      </c>
      <c r="D154" s="205" t="str">
        <f t="shared" si="17"/>
        <v>$$$$</v>
      </c>
      <c r="E154" s="224"/>
      <c r="F154" s="225"/>
      <c r="G154" s="226"/>
      <c r="H154" s="227"/>
      <c r="I154" s="228"/>
      <c r="J154" s="228"/>
      <c r="K154" s="229"/>
      <c r="L154" s="230"/>
      <c r="M154" s="231"/>
      <c r="N154" s="232"/>
      <c r="O154" s="230"/>
      <c r="P154" s="231"/>
      <c r="Q154" s="232"/>
      <c r="R154" s="233"/>
      <c r="S154" s="234"/>
      <c r="T154" s="235"/>
      <c r="U154" s="233"/>
      <c r="V154" s="236"/>
      <c r="W154" s="234"/>
      <c r="X154" s="235"/>
      <c r="Y154" s="237"/>
      <c r="Z154" s="238"/>
    </row>
    <row r="155" spans="1:26" s="239" customFormat="1" ht="28.5" customHeight="1" x14ac:dyDescent="0.3">
      <c r="A155" s="222">
        <f>IF(B155,0,MATCH(H155,ВидыНагр,0))</f>
        <v>0</v>
      </c>
      <c r="B155" s="223" t="b">
        <f>(COUNTIF(КлючОсень,D155)&lt;&gt;1)</f>
        <v>1</v>
      </c>
      <c r="C155" s="222">
        <f t="shared" si="20"/>
        <v>0</v>
      </c>
      <c r="D155" s="205" t="str">
        <f>CONCATENATE("$",TRIM(F155),"$",TRIM(G155),"$",H155,"$")</f>
        <v>$$$$</v>
      </c>
      <c r="E155" s="224"/>
      <c r="F155" s="225"/>
      <c r="G155" s="226"/>
      <c r="H155" s="227"/>
      <c r="I155" s="228"/>
      <c r="J155" s="228"/>
      <c r="K155" s="229"/>
      <c r="L155" s="230"/>
      <c r="M155" s="231"/>
      <c r="N155" s="232"/>
      <c r="O155" s="230"/>
      <c r="P155" s="231"/>
      <c r="Q155" s="232"/>
      <c r="R155" s="233"/>
      <c r="S155" s="234"/>
      <c r="T155" s="235"/>
      <c r="U155" s="233"/>
      <c r="V155" s="236"/>
      <c r="W155" s="234"/>
      <c r="X155" s="235"/>
      <c r="Y155" s="237"/>
      <c r="Z155" s="238"/>
    </row>
    <row r="156" spans="1:26" s="239" customFormat="1" ht="28.5" customHeight="1" x14ac:dyDescent="0.3">
      <c r="A156" s="222">
        <f>IF(B156,0,MATCH(H156,ВидыНагр,0))</f>
        <v>0</v>
      </c>
      <c r="B156" s="223" t="b">
        <f>(COUNTIF(КлючОсень,D156)&lt;&gt;1)</f>
        <v>1</v>
      </c>
      <c r="C156" s="222">
        <f t="shared" si="20"/>
        <v>0</v>
      </c>
      <c r="D156" s="205" t="str">
        <f>CONCATENATE("$",TRIM(F156),"$",TRIM(G156),"$",H156,"$")</f>
        <v>$$$$</v>
      </c>
      <c r="E156" s="224"/>
      <c r="F156" s="225"/>
      <c r="G156" s="226"/>
      <c r="H156" s="227"/>
      <c r="I156" s="228"/>
      <c r="J156" s="228"/>
      <c r="K156" s="229"/>
      <c r="L156" s="230"/>
      <c r="M156" s="231"/>
      <c r="N156" s="232"/>
      <c r="O156" s="230"/>
      <c r="P156" s="231"/>
      <c r="Q156" s="232"/>
      <c r="R156" s="233"/>
      <c r="S156" s="234"/>
      <c r="T156" s="235"/>
      <c r="U156" s="233"/>
      <c r="V156" s="236"/>
      <c r="W156" s="234"/>
      <c r="X156" s="235"/>
      <c r="Y156" s="237"/>
      <c r="Z156" s="238"/>
    </row>
    <row r="157" spans="1:26" s="239" customFormat="1" ht="28.5" customHeight="1" x14ac:dyDescent="0.3">
      <c r="A157" s="222">
        <f t="shared" ref="A157:A158" si="21">IF(B157,0,MATCH(H157,ВидыНагр,0))</f>
        <v>0</v>
      </c>
      <c r="B157" s="223" t="b">
        <f t="shared" ref="B157:B158" si="22">(COUNTIF(КлючОсень,D157)&lt;&gt;1)</f>
        <v>1</v>
      </c>
      <c r="C157" s="222">
        <f t="shared" si="20"/>
        <v>0</v>
      </c>
      <c r="D157" s="205" t="str">
        <f t="shared" ref="D157:D158" si="23">CONCATENATE("$",TRIM(F157),"$",TRIM(G157),"$",H157,"$")</f>
        <v>$$$$</v>
      </c>
      <c r="E157" s="224"/>
      <c r="F157" s="225"/>
      <c r="G157" s="226"/>
      <c r="H157" s="227"/>
      <c r="I157" s="228"/>
      <c r="J157" s="228"/>
      <c r="K157" s="229"/>
      <c r="L157" s="230"/>
      <c r="M157" s="231"/>
      <c r="N157" s="232"/>
      <c r="O157" s="230"/>
      <c r="P157" s="231"/>
      <c r="Q157" s="232"/>
      <c r="R157" s="233"/>
      <c r="S157" s="234"/>
      <c r="T157" s="235"/>
      <c r="U157" s="233"/>
      <c r="V157" s="236"/>
      <c r="W157" s="234"/>
      <c r="X157" s="235"/>
      <c r="Y157" s="237"/>
      <c r="Z157" s="238"/>
    </row>
    <row r="158" spans="1:26" s="239" customFormat="1" ht="28.5" customHeight="1" x14ac:dyDescent="0.3">
      <c r="A158" s="222">
        <f t="shared" si="21"/>
        <v>0</v>
      </c>
      <c r="B158" s="223" t="b">
        <f t="shared" si="22"/>
        <v>1</v>
      </c>
      <c r="C158" s="222">
        <f t="shared" si="20"/>
        <v>0</v>
      </c>
      <c r="D158" s="205" t="str">
        <f t="shared" si="23"/>
        <v>$$$$</v>
      </c>
      <c r="E158" s="224"/>
      <c r="F158" s="225"/>
      <c r="G158" s="226"/>
      <c r="H158" s="227"/>
      <c r="I158" s="228"/>
      <c r="J158" s="228"/>
      <c r="K158" s="229"/>
      <c r="L158" s="230"/>
      <c r="M158" s="231"/>
      <c r="N158" s="232"/>
      <c r="O158" s="230"/>
      <c r="P158" s="231"/>
      <c r="Q158" s="232"/>
      <c r="R158" s="233"/>
      <c r="S158" s="234"/>
      <c r="T158" s="235"/>
      <c r="U158" s="233"/>
      <c r="V158" s="236"/>
      <c r="W158" s="234"/>
      <c r="X158" s="235"/>
      <c r="Y158" s="237"/>
      <c r="Z158" s="238"/>
    </row>
    <row r="159" spans="1:26" s="239" customFormat="1" ht="28.5" customHeight="1" x14ac:dyDescent="0.3">
      <c r="A159" s="222">
        <f t="shared" si="14"/>
        <v>0</v>
      </c>
      <c r="B159" s="223" t="b">
        <f t="shared" si="15"/>
        <v>1</v>
      </c>
      <c r="C159" s="222">
        <f t="shared" si="16"/>
        <v>0</v>
      </c>
      <c r="D159" s="205" t="str">
        <f t="shared" si="13"/>
        <v>$$$$</v>
      </c>
      <c r="E159" s="224"/>
      <c r="F159" s="225"/>
      <c r="G159" s="226"/>
      <c r="H159" s="227"/>
      <c r="I159" s="228"/>
      <c r="J159" s="228"/>
      <c r="K159" s="229"/>
      <c r="L159" s="230"/>
      <c r="M159" s="231"/>
      <c r="N159" s="232"/>
      <c r="O159" s="230"/>
      <c r="P159" s="231"/>
      <c r="Q159" s="232"/>
      <c r="R159" s="233"/>
      <c r="S159" s="234"/>
      <c r="T159" s="235"/>
      <c r="U159" s="233"/>
      <c r="V159" s="236"/>
      <c r="W159" s="234"/>
      <c r="X159" s="235"/>
      <c r="Y159" s="237"/>
      <c r="Z159" s="238"/>
    </row>
    <row r="160" spans="1:26" x14ac:dyDescent="0.3">
      <c r="D160" s="1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</row>
  </sheetData>
  <sheetProtection algorithmName="SHA-512" hashValue="TZLUT7NpBopfx+trbPn4XduWsdSo92zsVMjokx879kOUids7Sovxq/CueIC6x5x9ItjgM8qOa/J+ON3we4U+PA==" saltValue="tIf18VN/zC5u0zuZw0UW8Q==" spinCount="100000" sheet="1" objects="1" scenarios="1"/>
  <mergeCells count="5">
    <mergeCell ref="F2:F5"/>
    <mergeCell ref="G2:G5"/>
    <mergeCell ref="I2:J2"/>
    <mergeCell ref="I3:J3"/>
    <mergeCell ref="I4:J4"/>
  </mergeCells>
  <phoneticPr fontId="0" type="noConversion"/>
  <conditionalFormatting sqref="E7:Z159">
    <cfRule type="expression" dxfId="59" priority="3" stopIfTrue="1">
      <formula>($C7=0)</formula>
    </cfRule>
  </conditionalFormatting>
  <conditionalFormatting sqref="F7:H159">
    <cfRule type="expression" dxfId="58" priority="4" stopIfTrue="1">
      <formula>$B7</formula>
    </cfRule>
  </conditionalFormatting>
  <conditionalFormatting sqref="L6:Y6">
    <cfRule type="cellIs" dxfId="57" priority="1" stopIfTrue="1" operator="notEqual">
      <formula>0</formula>
    </cfRule>
  </conditionalFormatting>
  <conditionalFormatting sqref="F6:H6">
    <cfRule type="expression" dxfId="56" priority="2" stopIfTrue="1">
      <formula>$G$6&lt;&gt;0</formula>
    </cfRule>
  </conditionalFormatting>
  <conditionalFormatting sqref="L7:Y159">
    <cfRule type="expression" dxfId="55" priority="5" stopIfTrue="1">
      <formula>AND(NOT($B7),$C7&lt;2)</formula>
    </cfRule>
    <cfRule type="expression" dxfId="54" priority="6" stopIfTrue="1">
      <formula>AND($B7,L7&lt;&gt;0)</formula>
    </cfRule>
  </conditionalFormatting>
  <dataValidations count="4">
    <dataValidation type="whole" allowBlank="1" showInputMessage="1" showErrorMessage="1" sqref="E7:E159">
      <formula1>1</formula1>
      <formula2>30</formula2>
    </dataValidation>
    <dataValidation type="list" allowBlank="1" showInputMessage="1" sqref="F7:F159">
      <formula1>OFFSET(ДисциплиныОсень,0,0,ДисциплиныОсеньКол,1)</formula1>
    </dataValidation>
    <dataValidation type="list" allowBlank="1" showInputMessage="1" sqref="G7:G159">
      <formula1>OFFSET(ГруппыОсень,0,0,ГруппыОсеньКол,1)</formula1>
    </dataValidation>
    <dataValidation type="list" allowBlank="1" showInputMessage="1" sqref="H7:H159">
      <formula1>ВидыНагр</formula1>
    </dataValidation>
  </dataValidations>
  <printOptions horizontalCentered="1"/>
  <pageMargins left="0.39370078740157483" right="0.39370078740157483" top="1.1811023622047245" bottom="0.59055118110236227" header="0.98425196850393704" footer="0.39370078740157483"/>
  <pageSetup paperSize="9" scale="63" fitToHeight="10" orientation="landscape" r:id="rId1"/>
  <headerFooter>
    <oddHeader>&amp;L&amp;F&amp;C&amp;"Open Sans,полужирный"Месяц &amp;A &amp;"Open Sans,обычный"(с. &amp;P из &amp;N)&amp;R&amp;D  &amp;T</oddHeader>
  </headerFooter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3">
    <tabColor rgb="FFFFFF66"/>
    <outlinePr summaryBelow="0" summaryRight="0"/>
    <pageSetUpPr fitToPage="1"/>
  </sheetPr>
  <dimension ref="A1:Z160"/>
  <sheetViews>
    <sheetView zoomScale="85" zoomScaleNormal="100" workbookViewId="0">
      <pane xSplit="8" ySplit="6" topLeftCell="I7" activePane="bottomRight" state="frozen"/>
      <selection activeCell="E7" sqref="E7"/>
      <selection pane="topRight" activeCell="E7" sqref="E7"/>
      <selection pane="bottomLeft" activeCell="E7" sqref="E7"/>
      <selection pane="bottomRight" activeCell="E7" sqref="E7"/>
    </sheetView>
  </sheetViews>
  <sheetFormatPr defaultRowHeight="14.25" x14ac:dyDescent="0.3"/>
  <cols>
    <col min="1" max="3" width="4.7109375" style="4" hidden="1" customWidth="1"/>
    <col min="4" max="4" width="30.7109375" style="240" hidden="1" customWidth="1"/>
    <col min="5" max="5" width="4.7109375" style="167" customWidth="1"/>
    <col min="6" max="6" width="32.7109375" style="241" customWidth="1"/>
    <col min="7" max="7" width="18.7109375" style="241" customWidth="1"/>
    <col min="8" max="8" width="6.7109375" style="241" customWidth="1"/>
    <col min="9" max="10" width="4.7109375" style="241" customWidth="1"/>
    <col min="11" max="11" width="40.7109375" style="242" customWidth="1"/>
    <col min="12" max="25" width="6.85546875" style="167" customWidth="1"/>
    <col min="26" max="26" width="30.7109375" style="2" customWidth="1"/>
    <col min="27" max="27" width="2.7109375" style="2" customWidth="1"/>
    <col min="28" max="16384" width="9.140625" style="2"/>
  </cols>
  <sheetData>
    <row r="1" spans="1:26" ht="112.5" customHeight="1" x14ac:dyDescent="0.3">
      <c r="A1" s="169" t="s">
        <v>77</v>
      </c>
      <c r="B1" s="169" t="s">
        <v>114</v>
      </c>
      <c r="C1" s="169" t="s">
        <v>113</v>
      </c>
      <c r="D1" s="191" t="s">
        <v>76</v>
      </c>
      <c r="E1" s="192" t="s">
        <v>116</v>
      </c>
      <c r="F1" s="193" t="s">
        <v>69</v>
      </c>
      <c r="G1" s="194" t="s">
        <v>100</v>
      </c>
      <c r="H1" s="195" t="s">
        <v>109</v>
      </c>
      <c r="I1" s="196" t="s">
        <v>102</v>
      </c>
      <c r="J1" s="197" t="s">
        <v>85</v>
      </c>
      <c r="K1" s="198" t="s">
        <v>81</v>
      </c>
      <c r="L1" s="199" t="s">
        <v>0</v>
      </c>
      <c r="M1" s="200" t="s">
        <v>68</v>
      </c>
      <c r="N1" s="195" t="s">
        <v>3</v>
      </c>
      <c r="O1" s="201" t="s">
        <v>1</v>
      </c>
      <c r="P1" s="200" t="s">
        <v>4</v>
      </c>
      <c r="Q1" s="195" t="s">
        <v>62</v>
      </c>
      <c r="R1" s="199" t="s">
        <v>252</v>
      </c>
      <c r="S1" s="202" t="s">
        <v>2</v>
      </c>
      <c r="T1" s="195" t="s">
        <v>205</v>
      </c>
      <c r="U1" s="201" t="s">
        <v>253</v>
      </c>
      <c r="V1" s="199" t="s">
        <v>254</v>
      </c>
      <c r="W1" s="202" t="s">
        <v>70</v>
      </c>
      <c r="X1" s="195" t="s">
        <v>138</v>
      </c>
      <c r="Y1" s="196" t="s">
        <v>5</v>
      </c>
      <c r="Z1" s="203" t="s">
        <v>29</v>
      </c>
    </row>
    <row r="2" spans="1:26" ht="17.100000000000001" customHeight="1" x14ac:dyDescent="0.3">
      <c r="A2" s="204">
        <f>MATCH(H2,ВидыНагр,0)</f>
        <v>1</v>
      </c>
      <c r="B2" s="204"/>
      <c r="C2" s="204"/>
      <c r="D2" s="205"/>
      <c r="E2" s="206"/>
      <c r="F2" s="390" t="s">
        <v>134</v>
      </c>
      <c r="G2" s="393">
        <f>SUM(L5:Y5)</f>
        <v>0</v>
      </c>
      <c r="H2" s="288" t="s">
        <v>111</v>
      </c>
      <c r="I2" s="396">
        <f>SUM(L2:Y2)</f>
        <v>0</v>
      </c>
      <c r="J2" s="397"/>
      <c r="K2" s="289"/>
      <c r="L2" s="58">
        <f t="shared" ref="L2:Y4" si="0">SUMIF($A$7:$A$159,$A2,L$7:L$159)</f>
        <v>0</v>
      </c>
      <c r="M2" s="59">
        <f t="shared" si="0"/>
        <v>0</v>
      </c>
      <c r="N2" s="60">
        <f t="shared" si="0"/>
        <v>0</v>
      </c>
      <c r="O2" s="58">
        <f t="shared" si="0"/>
        <v>0</v>
      </c>
      <c r="P2" s="59">
        <f t="shared" si="0"/>
        <v>0</v>
      </c>
      <c r="Q2" s="60">
        <f t="shared" si="0"/>
        <v>0</v>
      </c>
      <c r="R2" s="58">
        <f t="shared" si="0"/>
        <v>0</v>
      </c>
      <c r="S2" s="62">
        <f t="shared" si="0"/>
        <v>0</v>
      </c>
      <c r="T2" s="60">
        <f t="shared" si="0"/>
        <v>0</v>
      </c>
      <c r="U2" s="58">
        <f t="shared" si="0"/>
        <v>0</v>
      </c>
      <c r="V2" s="61">
        <f t="shared" si="0"/>
        <v>0</v>
      </c>
      <c r="W2" s="62">
        <f t="shared" si="0"/>
        <v>0</v>
      </c>
      <c r="X2" s="60">
        <f t="shared" si="0"/>
        <v>0</v>
      </c>
      <c r="Y2" s="41">
        <f t="shared" si="0"/>
        <v>0</v>
      </c>
      <c r="Z2" s="207"/>
    </row>
    <row r="3" spans="1:26" ht="17.100000000000001" customHeight="1" x14ac:dyDescent="0.3">
      <c r="A3" s="204">
        <f>MATCH(H3,ВидыНагр,0)</f>
        <v>2</v>
      </c>
      <c r="B3" s="204"/>
      <c r="C3" s="204"/>
      <c r="D3" s="205"/>
      <c r="E3" s="208"/>
      <c r="F3" s="391"/>
      <c r="G3" s="394"/>
      <c r="H3" s="290" t="s">
        <v>112</v>
      </c>
      <c r="I3" s="398">
        <f>SUM(L3:Y3)</f>
        <v>0</v>
      </c>
      <c r="J3" s="399"/>
      <c r="K3" s="291"/>
      <c r="L3" s="58">
        <f t="shared" si="0"/>
        <v>0</v>
      </c>
      <c r="M3" s="59">
        <f t="shared" si="0"/>
        <v>0</v>
      </c>
      <c r="N3" s="60">
        <f t="shared" si="0"/>
        <v>0</v>
      </c>
      <c r="O3" s="58">
        <f t="shared" si="0"/>
        <v>0</v>
      </c>
      <c r="P3" s="59">
        <f t="shared" si="0"/>
        <v>0</v>
      </c>
      <c r="Q3" s="60">
        <f t="shared" si="0"/>
        <v>0</v>
      </c>
      <c r="R3" s="58">
        <f t="shared" si="0"/>
        <v>0</v>
      </c>
      <c r="S3" s="62">
        <f t="shared" si="0"/>
        <v>0</v>
      </c>
      <c r="T3" s="60">
        <f t="shared" si="0"/>
        <v>0</v>
      </c>
      <c r="U3" s="58">
        <f t="shared" si="0"/>
        <v>0</v>
      </c>
      <c r="V3" s="61">
        <f t="shared" si="0"/>
        <v>0</v>
      </c>
      <c r="W3" s="62">
        <f t="shared" si="0"/>
        <v>0</v>
      </c>
      <c r="X3" s="60">
        <f t="shared" si="0"/>
        <v>0</v>
      </c>
      <c r="Y3" s="41">
        <f t="shared" si="0"/>
        <v>0</v>
      </c>
      <c r="Z3" s="207"/>
    </row>
    <row r="4" spans="1:26" ht="17.100000000000001" customHeight="1" x14ac:dyDescent="0.3">
      <c r="A4" s="204">
        <f>MATCH(H4,ВидыНагр,0)</f>
        <v>3</v>
      </c>
      <c r="B4" s="204"/>
      <c r="C4" s="204"/>
      <c r="D4" s="205"/>
      <c r="E4" s="208"/>
      <c r="F4" s="391"/>
      <c r="G4" s="394"/>
      <c r="H4" s="292" t="s">
        <v>115</v>
      </c>
      <c r="I4" s="400">
        <f>SUM(L4:Y4)</f>
        <v>0</v>
      </c>
      <c r="J4" s="401"/>
      <c r="K4" s="293"/>
      <c r="L4" s="209">
        <f t="shared" si="0"/>
        <v>0</v>
      </c>
      <c r="M4" s="210">
        <f t="shared" si="0"/>
        <v>0</v>
      </c>
      <c r="N4" s="211">
        <f t="shared" si="0"/>
        <v>0</v>
      </c>
      <c r="O4" s="209">
        <f t="shared" si="0"/>
        <v>0</v>
      </c>
      <c r="P4" s="210">
        <f t="shared" si="0"/>
        <v>0</v>
      </c>
      <c r="Q4" s="211">
        <f t="shared" si="0"/>
        <v>0</v>
      </c>
      <c r="R4" s="209">
        <f t="shared" si="0"/>
        <v>0</v>
      </c>
      <c r="S4" s="212">
        <f t="shared" si="0"/>
        <v>0</v>
      </c>
      <c r="T4" s="211">
        <f t="shared" si="0"/>
        <v>0</v>
      </c>
      <c r="U4" s="209">
        <f t="shared" si="0"/>
        <v>0</v>
      </c>
      <c r="V4" s="213">
        <f t="shared" si="0"/>
        <v>0</v>
      </c>
      <c r="W4" s="212">
        <f t="shared" si="0"/>
        <v>0</v>
      </c>
      <c r="X4" s="211">
        <f t="shared" si="0"/>
        <v>0</v>
      </c>
      <c r="Y4" s="69">
        <f t="shared" si="0"/>
        <v>0</v>
      </c>
      <c r="Z4" s="207"/>
    </row>
    <row r="5" spans="1:26" ht="17.100000000000001" customHeight="1" x14ac:dyDescent="0.3">
      <c r="A5" s="204"/>
      <c r="B5" s="204"/>
      <c r="C5" s="204"/>
      <c r="D5" s="205"/>
      <c r="E5" s="208"/>
      <c r="F5" s="392"/>
      <c r="G5" s="395"/>
      <c r="H5" s="294" t="s">
        <v>6</v>
      </c>
      <c r="I5" s="295"/>
      <c r="J5" s="296"/>
      <c r="K5" s="297"/>
      <c r="L5" s="298">
        <f>SUM(L2:L4)</f>
        <v>0</v>
      </c>
      <c r="M5" s="299">
        <f t="shared" ref="M5:Y5" si="1">SUM(M2:M4)</f>
        <v>0</v>
      </c>
      <c r="N5" s="300">
        <f t="shared" si="1"/>
        <v>0</v>
      </c>
      <c r="O5" s="298">
        <f t="shared" si="1"/>
        <v>0</v>
      </c>
      <c r="P5" s="299">
        <f t="shared" si="1"/>
        <v>0</v>
      </c>
      <c r="Q5" s="300">
        <f t="shared" si="1"/>
        <v>0</v>
      </c>
      <c r="R5" s="298">
        <f t="shared" si="1"/>
        <v>0</v>
      </c>
      <c r="S5" s="301">
        <f t="shared" si="1"/>
        <v>0</v>
      </c>
      <c r="T5" s="300">
        <f t="shared" si="1"/>
        <v>0</v>
      </c>
      <c r="U5" s="298">
        <f t="shared" si="1"/>
        <v>0</v>
      </c>
      <c r="V5" s="302">
        <f t="shared" si="1"/>
        <v>0</v>
      </c>
      <c r="W5" s="301">
        <f t="shared" si="1"/>
        <v>0</v>
      </c>
      <c r="X5" s="300">
        <f t="shared" si="1"/>
        <v>0</v>
      </c>
      <c r="Y5" s="303">
        <f t="shared" si="1"/>
        <v>0</v>
      </c>
      <c r="Z5" s="214">
        <f>Утв_Осень</f>
        <v>0</v>
      </c>
    </row>
    <row r="6" spans="1:26" ht="17.100000000000001" customHeight="1" x14ac:dyDescent="0.3">
      <c r="A6" s="204"/>
      <c r="B6" s="204"/>
      <c r="C6" s="204"/>
      <c r="D6" s="205"/>
      <c r="E6" s="215"/>
      <c r="F6" s="304" t="s">
        <v>82</v>
      </c>
      <c r="G6" s="305">
        <f>SUM(L6:Y6)</f>
        <v>0</v>
      </c>
      <c r="H6" s="306"/>
      <c r="I6" s="307"/>
      <c r="J6" s="308"/>
      <c r="K6" s="297"/>
      <c r="L6" s="216">
        <f t="shared" ref="L6:Y6" si="2">SUM(L7:L159)-L5</f>
        <v>0</v>
      </c>
      <c r="M6" s="217">
        <f t="shared" si="2"/>
        <v>0</v>
      </c>
      <c r="N6" s="218">
        <f t="shared" si="2"/>
        <v>0</v>
      </c>
      <c r="O6" s="216">
        <f t="shared" si="2"/>
        <v>0</v>
      </c>
      <c r="P6" s="217">
        <f t="shared" si="2"/>
        <v>0</v>
      </c>
      <c r="Q6" s="218">
        <f t="shared" si="2"/>
        <v>0</v>
      </c>
      <c r="R6" s="216">
        <f t="shared" si="2"/>
        <v>0</v>
      </c>
      <c r="S6" s="219">
        <f t="shared" si="2"/>
        <v>0</v>
      </c>
      <c r="T6" s="218">
        <f t="shared" si="2"/>
        <v>0</v>
      </c>
      <c r="U6" s="216">
        <f t="shared" si="2"/>
        <v>0</v>
      </c>
      <c r="V6" s="220">
        <f t="shared" si="2"/>
        <v>0</v>
      </c>
      <c r="W6" s="219">
        <f t="shared" si="2"/>
        <v>0</v>
      </c>
      <c r="X6" s="218">
        <f t="shared" si="2"/>
        <v>0</v>
      </c>
      <c r="Y6" s="216">
        <f t="shared" si="2"/>
        <v>0</v>
      </c>
      <c r="Z6" s="221"/>
    </row>
    <row r="7" spans="1:26" s="239" customFormat="1" ht="28.5" customHeight="1" x14ac:dyDescent="0.3">
      <c r="A7" s="222">
        <f t="shared" ref="A7:A38" si="3">IF(B7,0,MATCH(H7,ВидыНагр,0))</f>
        <v>0</v>
      </c>
      <c r="B7" s="223" t="b">
        <f t="shared" ref="B7:B38" si="4">(COUNTIF(КлючОсень,D7)&lt;&gt;1)</f>
        <v>1</v>
      </c>
      <c r="C7" s="222">
        <f t="shared" ref="C7:C38" si="5">IF(COUNTA(E7:K7,Z7)&gt;0,1,0)+IF(COUNTA(L7:Y7)&gt;0,2,0)</f>
        <v>0</v>
      </c>
      <c r="D7" s="205" t="str">
        <f>CONCATENATE("$",TRIM(F7),"$",TRIM(G7),"$",H7,"$")</f>
        <v>$$$$</v>
      </c>
      <c r="E7" s="224"/>
      <c r="F7" s="225"/>
      <c r="G7" s="226"/>
      <c r="H7" s="227"/>
      <c r="I7" s="228"/>
      <c r="J7" s="228"/>
      <c r="K7" s="229"/>
      <c r="L7" s="230"/>
      <c r="M7" s="231"/>
      <c r="N7" s="232"/>
      <c r="O7" s="230"/>
      <c r="P7" s="231"/>
      <c r="Q7" s="232"/>
      <c r="R7" s="233"/>
      <c r="S7" s="234"/>
      <c r="T7" s="235"/>
      <c r="U7" s="233"/>
      <c r="V7" s="236"/>
      <c r="W7" s="234"/>
      <c r="X7" s="235"/>
      <c r="Y7" s="237"/>
      <c r="Z7" s="238"/>
    </row>
    <row r="8" spans="1:26" s="239" customFormat="1" ht="28.5" customHeight="1" x14ac:dyDescent="0.3">
      <c r="A8" s="222">
        <f t="shared" si="3"/>
        <v>0</v>
      </c>
      <c r="B8" s="223" t="b">
        <f t="shared" si="4"/>
        <v>1</v>
      </c>
      <c r="C8" s="222">
        <f t="shared" si="5"/>
        <v>0</v>
      </c>
      <c r="D8" s="205" t="str">
        <f t="shared" ref="D8:D71" si="6">CONCATENATE("$",TRIM(F8),"$",TRIM(G8),"$",H8,"$")</f>
        <v>$$$$</v>
      </c>
      <c r="E8" s="224"/>
      <c r="F8" s="225"/>
      <c r="G8" s="226"/>
      <c r="H8" s="227"/>
      <c r="I8" s="228"/>
      <c r="J8" s="228"/>
      <c r="K8" s="229"/>
      <c r="L8" s="230"/>
      <c r="M8" s="231"/>
      <c r="N8" s="232"/>
      <c r="O8" s="230"/>
      <c r="P8" s="231"/>
      <c r="Q8" s="232"/>
      <c r="R8" s="233"/>
      <c r="S8" s="234"/>
      <c r="T8" s="235"/>
      <c r="U8" s="233"/>
      <c r="V8" s="236"/>
      <c r="W8" s="234"/>
      <c r="X8" s="235"/>
      <c r="Y8" s="237"/>
      <c r="Z8" s="238"/>
    </row>
    <row r="9" spans="1:26" s="239" customFormat="1" ht="28.5" customHeight="1" x14ac:dyDescent="0.3">
      <c r="A9" s="222">
        <f t="shared" si="3"/>
        <v>0</v>
      </c>
      <c r="B9" s="223" t="b">
        <f t="shared" si="4"/>
        <v>1</v>
      </c>
      <c r="C9" s="222">
        <f t="shared" si="5"/>
        <v>0</v>
      </c>
      <c r="D9" s="205" t="str">
        <f t="shared" si="6"/>
        <v>$$$$</v>
      </c>
      <c r="E9" s="224"/>
      <c r="F9" s="225"/>
      <c r="G9" s="226"/>
      <c r="H9" s="227"/>
      <c r="I9" s="228"/>
      <c r="J9" s="228"/>
      <c r="K9" s="229"/>
      <c r="L9" s="230"/>
      <c r="M9" s="231"/>
      <c r="N9" s="232"/>
      <c r="O9" s="230"/>
      <c r="P9" s="231"/>
      <c r="Q9" s="232"/>
      <c r="R9" s="233"/>
      <c r="S9" s="234"/>
      <c r="T9" s="235"/>
      <c r="U9" s="233"/>
      <c r="V9" s="236"/>
      <c r="W9" s="234"/>
      <c r="X9" s="235"/>
      <c r="Y9" s="237"/>
      <c r="Z9" s="238"/>
    </row>
    <row r="10" spans="1:26" s="239" customFormat="1" ht="28.5" customHeight="1" x14ac:dyDescent="0.3">
      <c r="A10" s="222">
        <f t="shared" si="3"/>
        <v>0</v>
      </c>
      <c r="B10" s="223" t="b">
        <f t="shared" si="4"/>
        <v>1</v>
      </c>
      <c r="C10" s="222">
        <f t="shared" si="5"/>
        <v>0</v>
      </c>
      <c r="D10" s="205" t="str">
        <f t="shared" si="6"/>
        <v>$$$$</v>
      </c>
      <c r="E10" s="224"/>
      <c r="F10" s="225"/>
      <c r="G10" s="226"/>
      <c r="H10" s="227"/>
      <c r="I10" s="228"/>
      <c r="J10" s="228"/>
      <c r="K10" s="229"/>
      <c r="L10" s="230"/>
      <c r="M10" s="231"/>
      <c r="N10" s="232"/>
      <c r="O10" s="230"/>
      <c r="P10" s="231"/>
      <c r="Q10" s="232"/>
      <c r="R10" s="233"/>
      <c r="S10" s="234"/>
      <c r="T10" s="235"/>
      <c r="U10" s="233"/>
      <c r="V10" s="236"/>
      <c r="W10" s="234"/>
      <c r="X10" s="235"/>
      <c r="Y10" s="237"/>
      <c r="Z10" s="238"/>
    </row>
    <row r="11" spans="1:26" s="239" customFormat="1" ht="28.5" customHeight="1" x14ac:dyDescent="0.3">
      <c r="A11" s="222">
        <f t="shared" si="3"/>
        <v>0</v>
      </c>
      <c r="B11" s="223" t="b">
        <f t="shared" si="4"/>
        <v>1</v>
      </c>
      <c r="C11" s="222">
        <f t="shared" si="5"/>
        <v>0</v>
      </c>
      <c r="D11" s="205" t="str">
        <f t="shared" si="6"/>
        <v>$$$$</v>
      </c>
      <c r="E11" s="224"/>
      <c r="F11" s="225"/>
      <c r="G11" s="226"/>
      <c r="H11" s="227"/>
      <c r="I11" s="228"/>
      <c r="J11" s="228"/>
      <c r="K11" s="229"/>
      <c r="L11" s="230"/>
      <c r="M11" s="231"/>
      <c r="N11" s="232"/>
      <c r="O11" s="230"/>
      <c r="P11" s="231"/>
      <c r="Q11" s="232"/>
      <c r="R11" s="233"/>
      <c r="S11" s="234"/>
      <c r="T11" s="235"/>
      <c r="U11" s="233"/>
      <c r="V11" s="236"/>
      <c r="W11" s="234"/>
      <c r="X11" s="235"/>
      <c r="Y11" s="237"/>
      <c r="Z11" s="238"/>
    </row>
    <row r="12" spans="1:26" s="239" customFormat="1" ht="28.5" customHeight="1" x14ac:dyDescent="0.3">
      <c r="A12" s="222">
        <f t="shared" si="3"/>
        <v>0</v>
      </c>
      <c r="B12" s="223" t="b">
        <f t="shared" si="4"/>
        <v>1</v>
      </c>
      <c r="C12" s="222">
        <f t="shared" si="5"/>
        <v>0</v>
      </c>
      <c r="D12" s="205" t="str">
        <f t="shared" si="6"/>
        <v>$$$$</v>
      </c>
      <c r="E12" s="224"/>
      <c r="F12" s="225"/>
      <c r="G12" s="226"/>
      <c r="H12" s="227"/>
      <c r="I12" s="228"/>
      <c r="J12" s="228"/>
      <c r="K12" s="229"/>
      <c r="L12" s="230"/>
      <c r="M12" s="231"/>
      <c r="N12" s="232"/>
      <c r="O12" s="230"/>
      <c r="P12" s="231"/>
      <c r="Q12" s="232"/>
      <c r="R12" s="233"/>
      <c r="S12" s="234"/>
      <c r="T12" s="235"/>
      <c r="U12" s="233"/>
      <c r="V12" s="236"/>
      <c r="W12" s="234"/>
      <c r="X12" s="235"/>
      <c r="Y12" s="237"/>
      <c r="Z12" s="238"/>
    </row>
    <row r="13" spans="1:26" s="239" customFormat="1" ht="28.5" customHeight="1" x14ac:dyDescent="0.3">
      <c r="A13" s="222">
        <f t="shared" si="3"/>
        <v>0</v>
      </c>
      <c r="B13" s="223" t="b">
        <f t="shared" si="4"/>
        <v>1</v>
      </c>
      <c r="C13" s="222">
        <f t="shared" si="5"/>
        <v>0</v>
      </c>
      <c r="D13" s="205" t="str">
        <f t="shared" si="6"/>
        <v>$$$$</v>
      </c>
      <c r="E13" s="224"/>
      <c r="F13" s="225"/>
      <c r="G13" s="226"/>
      <c r="H13" s="227"/>
      <c r="I13" s="228"/>
      <c r="J13" s="228"/>
      <c r="K13" s="229"/>
      <c r="L13" s="230"/>
      <c r="M13" s="231"/>
      <c r="N13" s="232"/>
      <c r="O13" s="230"/>
      <c r="P13" s="231"/>
      <c r="Q13" s="232"/>
      <c r="R13" s="233"/>
      <c r="S13" s="234"/>
      <c r="T13" s="235"/>
      <c r="U13" s="233"/>
      <c r="V13" s="236"/>
      <c r="W13" s="234"/>
      <c r="X13" s="235"/>
      <c r="Y13" s="237"/>
      <c r="Z13" s="238"/>
    </row>
    <row r="14" spans="1:26" s="239" customFormat="1" ht="28.5" customHeight="1" x14ac:dyDescent="0.3">
      <c r="A14" s="222">
        <f t="shared" si="3"/>
        <v>0</v>
      </c>
      <c r="B14" s="223" t="b">
        <f t="shared" si="4"/>
        <v>1</v>
      </c>
      <c r="C14" s="222">
        <f t="shared" si="5"/>
        <v>0</v>
      </c>
      <c r="D14" s="205" t="str">
        <f t="shared" si="6"/>
        <v>$$$$</v>
      </c>
      <c r="E14" s="224"/>
      <c r="F14" s="225"/>
      <c r="G14" s="226"/>
      <c r="H14" s="227"/>
      <c r="I14" s="228"/>
      <c r="J14" s="228"/>
      <c r="K14" s="229"/>
      <c r="L14" s="230"/>
      <c r="M14" s="231"/>
      <c r="N14" s="232"/>
      <c r="O14" s="230"/>
      <c r="P14" s="231"/>
      <c r="Q14" s="232"/>
      <c r="R14" s="233"/>
      <c r="S14" s="234"/>
      <c r="T14" s="235"/>
      <c r="U14" s="233"/>
      <c r="V14" s="236"/>
      <c r="W14" s="234"/>
      <c r="X14" s="235"/>
      <c r="Y14" s="237"/>
      <c r="Z14" s="238"/>
    </row>
    <row r="15" spans="1:26" s="239" customFormat="1" ht="28.5" customHeight="1" x14ac:dyDescent="0.3">
      <c r="A15" s="222">
        <f t="shared" si="3"/>
        <v>0</v>
      </c>
      <c r="B15" s="223" t="b">
        <f t="shared" si="4"/>
        <v>1</v>
      </c>
      <c r="C15" s="222">
        <f t="shared" si="5"/>
        <v>0</v>
      </c>
      <c r="D15" s="205" t="str">
        <f t="shared" si="6"/>
        <v>$$$$</v>
      </c>
      <c r="E15" s="224"/>
      <c r="F15" s="225"/>
      <c r="G15" s="226"/>
      <c r="H15" s="227"/>
      <c r="I15" s="228"/>
      <c r="J15" s="228"/>
      <c r="K15" s="229"/>
      <c r="L15" s="230"/>
      <c r="M15" s="231"/>
      <c r="N15" s="232"/>
      <c r="O15" s="230"/>
      <c r="P15" s="231"/>
      <c r="Q15" s="232"/>
      <c r="R15" s="233"/>
      <c r="S15" s="234"/>
      <c r="T15" s="235"/>
      <c r="U15" s="233"/>
      <c r="V15" s="236"/>
      <c r="W15" s="234"/>
      <c r="X15" s="235"/>
      <c r="Y15" s="237"/>
      <c r="Z15" s="238"/>
    </row>
    <row r="16" spans="1:26" s="239" customFormat="1" ht="28.5" customHeight="1" x14ac:dyDescent="0.3">
      <c r="A16" s="222">
        <f t="shared" si="3"/>
        <v>0</v>
      </c>
      <c r="B16" s="223" t="b">
        <f t="shared" si="4"/>
        <v>1</v>
      </c>
      <c r="C16" s="222">
        <f t="shared" si="5"/>
        <v>0</v>
      </c>
      <c r="D16" s="205" t="str">
        <f t="shared" si="6"/>
        <v>$$$$</v>
      </c>
      <c r="E16" s="224"/>
      <c r="F16" s="225"/>
      <c r="G16" s="226"/>
      <c r="H16" s="227"/>
      <c r="I16" s="228"/>
      <c r="J16" s="228"/>
      <c r="K16" s="229"/>
      <c r="L16" s="230"/>
      <c r="M16" s="231"/>
      <c r="N16" s="232"/>
      <c r="O16" s="230"/>
      <c r="P16" s="231"/>
      <c r="Q16" s="232"/>
      <c r="R16" s="233"/>
      <c r="S16" s="234"/>
      <c r="T16" s="235"/>
      <c r="U16" s="233"/>
      <c r="V16" s="236"/>
      <c r="W16" s="234"/>
      <c r="X16" s="235"/>
      <c r="Y16" s="237"/>
      <c r="Z16" s="238"/>
    </row>
    <row r="17" spans="1:26" s="239" customFormat="1" ht="28.5" customHeight="1" x14ac:dyDescent="0.3">
      <c r="A17" s="222">
        <f t="shared" si="3"/>
        <v>0</v>
      </c>
      <c r="B17" s="223" t="b">
        <f t="shared" si="4"/>
        <v>1</v>
      </c>
      <c r="C17" s="222">
        <f t="shared" si="5"/>
        <v>0</v>
      </c>
      <c r="D17" s="205" t="str">
        <f t="shared" si="6"/>
        <v>$$$$</v>
      </c>
      <c r="E17" s="224"/>
      <c r="F17" s="225"/>
      <c r="G17" s="226"/>
      <c r="H17" s="227"/>
      <c r="I17" s="228"/>
      <c r="J17" s="228"/>
      <c r="K17" s="229"/>
      <c r="L17" s="230"/>
      <c r="M17" s="231"/>
      <c r="N17" s="232"/>
      <c r="O17" s="230"/>
      <c r="P17" s="231"/>
      <c r="Q17" s="232"/>
      <c r="R17" s="233"/>
      <c r="S17" s="234"/>
      <c r="T17" s="235"/>
      <c r="U17" s="233"/>
      <c r="V17" s="236"/>
      <c r="W17" s="234"/>
      <c r="X17" s="235"/>
      <c r="Y17" s="237"/>
      <c r="Z17" s="238"/>
    </row>
    <row r="18" spans="1:26" s="239" customFormat="1" ht="28.5" customHeight="1" x14ac:dyDescent="0.3">
      <c r="A18" s="222">
        <f t="shared" si="3"/>
        <v>0</v>
      </c>
      <c r="B18" s="223" t="b">
        <f t="shared" si="4"/>
        <v>1</v>
      </c>
      <c r="C18" s="222">
        <f t="shared" si="5"/>
        <v>0</v>
      </c>
      <c r="D18" s="205" t="str">
        <f t="shared" si="6"/>
        <v>$$$$</v>
      </c>
      <c r="E18" s="224"/>
      <c r="F18" s="225"/>
      <c r="G18" s="226"/>
      <c r="H18" s="227"/>
      <c r="I18" s="228"/>
      <c r="J18" s="228"/>
      <c r="K18" s="229"/>
      <c r="L18" s="230"/>
      <c r="M18" s="231"/>
      <c r="N18" s="232"/>
      <c r="O18" s="230"/>
      <c r="P18" s="231"/>
      <c r="Q18" s="232"/>
      <c r="R18" s="233"/>
      <c r="S18" s="234"/>
      <c r="T18" s="235"/>
      <c r="U18" s="233"/>
      <c r="V18" s="236"/>
      <c r="W18" s="234"/>
      <c r="X18" s="235"/>
      <c r="Y18" s="237"/>
      <c r="Z18" s="238"/>
    </row>
    <row r="19" spans="1:26" s="239" customFormat="1" ht="28.5" customHeight="1" x14ac:dyDescent="0.3">
      <c r="A19" s="222">
        <f t="shared" si="3"/>
        <v>0</v>
      </c>
      <c r="B19" s="223" t="b">
        <f t="shared" si="4"/>
        <v>1</v>
      </c>
      <c r="C19" s="222">
        <f t="shared" si="5"/>
        <v>0</v>
      </c>
      <c r="D19" s="205" t="str">
        <f t="shared" si="6"/>
        <v>$$$$</v>
      </c>
      <c r="E19" s="224"/>
      <c r="F19" s="225"/>
      <c r="G19" s="226"/>
      <c r="H19" s="227"/>
      <c r="I19" s="228"/>
      <c r="J19" s="228"/>
      <c r="K19" s="229"/>
      <c r="L19" s="230"/>
      <c r="M19" s="231"/>
      <c r="N19" s="232"/>
      <c r="O19" s="230"/>
      <c r="P19" s="231"/>
      <c r="Q19" s="232"/>
      <c r="R19" s="233"/>
      <c r="S19" s="234"/>
      <c r="T19" s="235"/>
      <c r="U19" s="233"/>
      <c r="V19" s="236"/>
      <c r="W19" s="234"/>
      <c r="X19" s="235"/>
      <c r="Y19" s="237"/>
      <c r="Z19" s="238"/>
    </row>
    <row r="20" spans="1:26" s="239" customFormat="1" ht="28.5" customHeight="1" x14ac:dyDescent="0.3">
      <c r="A20" s="222">
        <f t="shared" si="3"/>
        <v>0</v>
      </c>
      <c r="B20" s="223" t="b">
        <f t="shared" si="4"/>
        <v>1</v>
      </c>
      <c r="C20" s="222">
        <f t="shared" si="5"/>
        <v>0</v>
      </c>
      <c r="D20" s="205" t="str">
        <f t="shared" si="6"/>
        <v>$$$$</v>
      </c>
      <c r="E20" s="224"/>
      <c r="F20" s="225"/>
      <c r="G20" s="226"/>
      <c r="H20" s="227"/>
      <c r="I20" s="228"/>
      <c r="J20" s="228"/>
      <c r="K20" s="229"/>
      <c r="L20" s="230"/>
      <c r="M20" s="231"/>
      <c r="N20" s="232"/>
      <c r="O20" s="230"/>
      <c r="P20" s="231"/>
      <c r="Q20" s="232"/>
      <c r="R20" s="233"/>
      <c r="S20" s="234"/>
      <c r="T20" s="235"/>
      <c r="U20" s="233"/>
      <c r="V20" s="236"/>
      <c r="W20" s="234"/>
      <c r="X20" s="235"/>
      <c r="Y20" s="237"/>
      <c r="Z20" s="238"/>
    </row>
    <row r="21" spans="1:26" s="239" customFormat="1" ht="28.5" customHeight="1" x14ac:dyDescent="0.3">
      <c r="A21" s="222">
        <f t="shared" si="3"/>
        <v>0</v>
      </c>
      <c r="B21" s="223" t="b">
        <f t="shared" si="4"/>
        <v>1</v>
      </c>
      <c r="C21" s="222">
        <f t="shared" si="5"/>
        <v>0</v>
      </c>
      <c r="D21" s="205" t="str">
        <f t="shared" si="6"/>
        <v>$$$$</v>
      </c>
      <c r="E21" s="224"/>
      <c r="F21" s="225"/>
      <c r="G21" s="226"/>
      <c r="H21" s="227"/>
      <c r="I21" s="228"/>
      <c r="J21" s="228"/>
      <c r="K21" s="229"/>
      <c r="L21" s="230"/>
      <c r="M21" s="231"/>
      <c r="N21" s="232"/>
      <c r="O21" s="230"/>
      <c r="P21" s="231"/>
      <c r="Q21" s="232"/>
      <c r="R21" s="233"/>
      <c r="S21" s="234"/>
      <c r="T21" s="235"/>
      <c r="U21" s="233"/>
      <c r="V21" s="236"/>
      <c r="W21" s="234"/>
      <c r="X21" s="235"/>
      <c r="Y21" s="237"/>
      <c r="Z21" s="238"/>
    </row>
    <row r="22" spans="1:26" s="239" customFormat="1" ht="28.5" customHeight="1" x14ac:dyDescent="0.3">
      <c r="A22" s="222">
        <f t="shared" si="3"/>
        <v>0</v>
      </c>
      <c r="B22" s="223" t="b">
        <f t="shared" si="4"/>
        <v>1</v>
      </c>
      <c r="C22" s="222">
        <f t="shared" si="5"/>
        <v>0</v>
      </c>
      <c r="D22" s="205" t="str">
        <f t="shared" si="6"/>
        <v>$$$$</v>
      </c>
      <c r="E22" s="224"/>
      <c r="F22" s="225"/>
      <c r="G22" s="226"/>
      <c r="H22" s="227"/>
      <c r="I22" s="228"/>
      <c r="J22" s="228"/>
      <c r="K22" s="229"/>
      <c r="L22" s="230"/>
      <c r="M22" s="231"/>
      <c r="N22" s="232"/>
      <c r="O22" s="230"/>
      <c r="P22" s="231"/>
      <c r="Q22" s="232"/>
      <c r="R22" s="233"/>
      <c r="S22" s="234"/>
      <c r="T22" s="235"/>
      <c r="U22" s="233"/>
      <c r="V22" s="236"/>
      <c r="W22" s="234"/>
      <c r="X22" s="235"/>
      <c r="Y22" s="237"/>
      <c r="Z22" s="238"/>
    </row>
    <row r="23" spans="1:26" s="239" customFormat="1" ht="28.5" customHeight="1" x14ac:dyDescent="0.3">
      <c r="A23" s="222">
        <f t="shared" si="3"/>
        <v>0</v>
      </c>
      <c r="B23" s="223" t="b">
        <f t="shared" si="4"/>
        <v>1</v>
      </c>
      <c r="C23" s="222">
        <f t="shared" si="5"/>
        <v>0</v>
      </c>
      <c r="D23" s="205" t="str">
        <f t="shared" si="6"/>
        <v>$$$$</v>
      </c>
      <c r="E23" s="224"/>
      <c r="F23" s="225"/>
      <c r="G23" s="226"/>
      <c r="H23" s="227"/>
      <c r="I23" s="228"/>
      <c r="J23" s="228"/>
      <c r="K23" s="229"/>
      <c r="L23" s="230"/>
      <c r="M23" s="231"/>
      <c r="N23" s="232"/>
      <c r="O23" s="230"/>
      <c r="P23" s="231"/>
      <c r="Q23" s="232"/>
      <c r="R23" s="233"/>
      <c r="S23" s="234"/>
      <c r="T23" s="235"/>
      <c r="U23" s="233"/>
      <c r="V23" s="236"/>
      <c r="W23" s="234"/>
      <c r="X23" s="235"/>
      <c r="Y23" s="237"/>
      <c r="Z23" s="238"/>
    </row>
    <row r="24" spans="1:26" s="239" customFormat="1" ht="28.5" customHeight="1" x14ac:dyDescent="0.3">
      <c r="A24" s="222">
        <f t="shared" si="3"/>
        <v>0</v>
      </c>
      <c r="B24" s="223" t="b">
        <f t="shared" si="4"/>
        <v>1</v>
      </c>
      <c r="C24" s="222">
        <f t="shared" si="5"/>
        <v>0</v>
      </c>
      <c r="D24" s="205" t="str">
        <f t="shared" si="6"/>
        <v>$$$$</v>
      </c>
      <c r="E24" s="224"/>
      <c r="F24" s="225"/>
      <c r="G24" s="226"/>
      <c r="H24" s="227"/>
      <c r="I24" s="228"/>
      <c r="J24" s="228"/>
      <c r="K24" s="229"/>
      <c r="L24" s="230"/>
      <c r="M24" s="231"/>
      <c r="N24" s="232"/>
      <c r="O24" s="230"/>
      <c r="P24" s="231"/>
      <c r="Q24" s="232"/>
      <c r="R24" s="233"/>
      <c r="S24" s="234"/>
      <c r="T24" s="235"/>
      <c r="U24" s="233"/>
      <c r="V24" s="236"/>
      <c r="W24" s="234"/>
      <c r="X24" s="235"/>
      <c r="Y24" s="237"/>
      <c r="Z24" s="238"/>
    </row>
    <row r="25" spans="1:26" s="239" customFormat="1" ht="28.5" customHeight="1" x14ac:dyDescent="0.3">
      <c r="A25" s="222">
        <f t="shared" si="3"/>
        <v>0</v>
      </c>
      <c r="B25" s="223" t="b">
        <f t="shared" si="4"/>
        <v>1</v>
      </c>
      <c r="C25" s="222">
        <f t="shared" si="5"/>
        <v>0</v>
      </c>
      <c r="D25" s="205" t="str">
        <f t="shared" si="6"/>
        <v>$$$$</v>
      </c>
      <c r="E25" s="224"/>
      <c r="F25" s="225"/>
      <c r="G25" s="226"/>
      <c r="H25" s="227"/>
      <c r="I25" s="228"/>
      <c r="J25" s="228"/>
      <c r="K25" s="229"/>
      <c r="L25" s="230"/>
      <c r="M25" s="231"/>
      <c r="N25" s="232"/>
      <c r="O25" s="230"/>
      <c r="P25" s="231"/>
      <c r="Q25" s="232"/>
      <c r="R25" s="233"/>
      <c r="S25" s="234"/>
      <c r="T25" s="235"/>
      <c r="U25" s="233"/>
      <c r="V25" s="236"/>
      <c r="W25" s="234"/>
      <c r="X25" s="235"/>
      <c r="Y25" s="237"/>
      <c r="Z25" s="238"/>
    </row>
    <row r="26" spans="1:26" s="239" customFormat="1" ht="28.5" customHeight="1" x14ac:dyDescent="0.3">
      <c r="A26" s="222">
        <f t="shared" si="3"/>
        <v>0</v>
      </c>
      <c r="B26" s="223" t="b">
        <f t="shared" si="4"/>
        <v>1</v>
      </c>
      <c r="C26" s="222">
        <f t="shared" si="5"/>
        <v>0</v>
      </c>
      <c r="D26" s="205" t="str">
        <f t="shared" si="6"/>
        <v>$$$$</v>
      </c>
      <c r="E26" s="224"/>
      <c r="F26" s="225"/>
      <c r="G26" s="226"/>
      <c r="H26" s="227"/>
      <c r="I26" s="228"/>
      <c r="J26" s="228"/>
      <c r="K26" s="229"/>
      <c r="L26" s="230"/>
      <c r="M26" s="231"/>
      <c r="N26" s="232"/>
      <c r="O26" s="230"/>
      <c r="P26" s="231"/>
      <c r="Q26" s="232"/>
      <c r="R26" s="233"/>
      <c r="S26" s="234"/>
      <c r="T26" s="235"/>
      <c r="U26" s="233"/>
      <c r="V26" s="236"/>
      <c r="W26" s="234"/>
      <c r="X26" s="235"/>
      <c r="Y26" s="237"/>
      <c r="Z26" s="238"/>
    </row>
    <row r="27" spans="1:26" s="239" customFormat="1" ht="28.5" customHeight="1" x14ac:dyDescent="0.3">
      <c r="A27" s="222">
        <f t="shared" si="3"/>
        <v>0</v>
      </c>
      <c r="B27" s="223" t="b">
        <f t="shared" si="4"/>
        <v>1</v>
      </c>
      <c r="C27" s="222">
        <f t="shared" si="5"/>
        <v>0</v>
      </c>
      <c r="D27" s="205" t="str">
        <f t="shared" si="6"/>
        <v>$$$$</v>
      </c>
      <c r="E27" s="224"/>
      <c r="F27" s="225"/>
      <c r="G27" s="226"/>
      <c r="H27" s="227"/>
      <c r="I27" s="228"/>
      <c r="J27" s="228"/>
      <c r="K27" s="229"/>
      <c r="L27" s="230"/>
      <c r="M27" s="231"/>
      <c r="N27" s="232"/>
      <c r="O27" s="230"/>
      <c r="P27" s="231"/>
      <c r="Q27" s="232"/>
      <c r="R27" s="233"/>
      <c r="S27" s="234"/>
      <c r="T27" s="235"/>
      <c r="U27" s="233"/>
      <c r="V27" s="236"/>
      <c r="W27" s="234"/>
      <c r="X27" s="235"/>
      <c r="Y27" s="237"/>
      <c r="Z27" s="238"/>
    </row>
    <row r="28" spans="1:26" s="239" customFormat="1" ht="28.5" customHeight="1" x14ac:dyDescent="0.3">
      <c r="A28" s="222">
        <f t="shared" si="3"/>
        <v>0</v>
      </c>
      <c r="B28" s="223" t="b">
        <f t="shared" si="4"/>
        <v>1</v>
      </c>
      <c r="C28" s="222">
        <f t="shared" si="5"/>
        <v>0</v>
      </c>
      <c r="D28" s="205" t="str">
        <f t="shared" si="6"/>
        <v>$$$$</v>
      </c>
      <c r="E28" s="224"/>
      <c r="F28" s="225"/>
      <c r="G28" s="226"/>
      <c r="H28" s="227"/>
      <c r="I28" s="228"/>
      <c r="J28" s="228"/>
      <c r="K28" s="229"/>
      <c r="L28" s="230"/>
      <c r="M28" s="231"/>
      <c r="N28" s="232"/>
      <c r="O28" s="230"/>
      <c r="P28" s="231"/>
      <c r="Q28" s="232"/>
      <c r="R28" s="233"/>
      <c r="S28" s="234"/>
      <c r="T28" s="235"/>
      <c r="U28" s="233"/>
      <c r="V28" s="236"/>
      <c r="W28" s="234"/>
      <c r="X28" s="235"/>
      <c r="Y28" s="237"/>
      <c r="Z28" s="238"/>
    </row>
    <row r="29" spans="1:26" s="239" customFormat="1" ht="28.5" customHeight="1" x14ac:dyDescent="0.3">
      <c r="A29" s="222">
        <f t="shared" si="3"/>
        <v>0</v>
      </c>
      <c r="B29" s="223" t="b">
        <f t="shared" si="4"/>
        <v>1</v>
      </c>
      <c r="C29" s="222">
        <f t="shared" si="5"/>
        <v>0</v>
      </c>
      <c r="D29" s="205" t="str">
        <f t="shared" si="6"/>
        <v>$$$$</v>
      </c>
      <c r="E29" s="224"/>
      <c r="F29" s="225"/>
      <c r="G29" s="226"/>
      <c r="H29" s="227"/>
      <c r="I29" s="228"/>
      <c r="J29" s="228"/>
      <c r="K29" s="229"/>
      <c r="L29" s="230"/>
      <c r="M29" s="231"/>
      <c r="N29" s="232"/>
      <c r="O29" s="230"/>
      <c r="P29" s="231"/>
      <c r="Q29" s="232"/>
      <c r="R29" s="233"/>
      <c r="S29" s="234"/>
      <c r="T29" s="235"/>
      <c r="U29" s="233"/>
      <c r="V29" s="236"/>
      <c r="W29" s="234"/>
      <c r="X29" s="235"/>
      <c r="Y29" s="237"/>
      <c r="Z29" s="238"/>
    </row>
    <row r="30" spans="1:26" s="239" customFormat="1" ht="28.5" customHeight="1" x14ac:dyDescent="0.3">
      <c r="A30" s="222">
        <f t="shared" si="3"/>
        <v>0</v>
      </c>
      <c r="B30" s="223" t="b">
        <f t="shared" si="4"/>
        <v>1</v>
      </c>
      <c r="C30" s="222">
        <f t="shared" si="5"/>
        <v>0</v>
      </c>
      <c r="D30" s="205" t="str">
        <f t="shared" si="6"/>
        <v>$$$$</v>
      </c>
      <c r="E30" s="224"/>
      <c r="F30" s="225"/>
      <c r="G30" s="226"/>
      <c r="H30" s="227"/>
      <c r="I30" s="228"/>
      <c r="J30" s="228"/>
      <c r="K30" s="229"/>
      <c r="L30" s="230"/>
      <c r="M30" s="231"/>
      <c r="N30" s="232"/>
      <c r="O30" s="230"/>
      <c r="P30" s="231"/>
      <c r="Q30" s="232"/>
      <c r="R30" s="233"/>
      <c r="S30" s="234"/>
      <c r="T30" s="235"/>
      <c r="U30" s="233"/>
      <c r="V30" s="236"/>
      <c r="W30" s="234"/>
      <c r="X30" s="235"/>
      <c r="Y30" s="237"/>
      <c r="Z30" s="238"/>
    </row>
    <row r="31" spans="1:26" s="239" customFormat="1" ht="28.5" customHeight="1" x14ac:dyDescent="0.3">
      <c r="A31" s="222">
        <f t="shared" si="3"/>
        <v>0</v>
      </c>
      <c r="B31" s="223" t="b">
        <f t="shared" si="4"/>
        <v>1</v>
      </c>
      <c r="C31" s="222">
        <f t="shared" si="5"/>
        <v>0</v>
      </c>
      <c r="D31" s="205" t="str">
        <f t="shared" si="6"/>
        <v>$$$$</v>
      </c>
      <c r="E31" s="224"/>
      <c r="F31" s="225"/>
      <c r="G31" s="226"/>
      <c r="H31" s="227"/>
      <c r="I31" s="228"/>
      <c r="J31" s="228"/>
      <c r="K31" s="229"/>
      <c r="L31" s="230"/>
      <c r="M31" s="231"/>
      <c r="N31" s="232"/>
      <c r="O31" s="230"/>
      <c r="P31" s="231"/>
      <c r="Q31" s="232"/>
      <c r="R31" s="233"/>
      <c r="S31" s="234"/>
      <c r="T31" s="235"/>
      <c r="U31" s="233"/>
      <c r="V31" s="236"/>
      <c r="W31" s="234"/>
      <c r="X31" s="235"/>
      <c r="Y31" s="237"/>
      <c r="Z31" s="238"/>
    </row>
    <row r="32" spans="1:26" s="239" customFormat="1" ht="28.5" customHeight="1" x14ac:dyDescent="0.3">
      <c r="A32" s="222">
        <f t="shared" si="3"/>
        <v>0</v>
      </c>
      <c r="B32" s="223" t="b">
        <f t="shared" si="4"/>
        <v>1</v>
      </c>
      <c r="C32" s="222">
        <f t="shared" si="5"/>
        <v>0</v>
      </c>
      <c r="D32" s="205" t="str">
        <f t="shared" si="6"/>
        <v>$$$$</v>
      </c>
      <c r="E32" s="224"/>
      <c r="F32" s="225"/>
      <c r="G32" s="226"/>
      <c r="H32" s="227"/>
      <c r="I32" s="228"/>
      <c r="J32" s="228"/>
      <c r="K32" s="229"/>
      <c r="L32" s="230"/>
      <c r="M32" s="231"/>
      <c r="N32" s="232"/>
      <c r="O32" s="230"/>
      <c r="P32" s="231"/>
      <c r="Q32" s="232"/>
      <c r="R32" s="233"/>
      <c r="S32" s="234"/>
      <c r="T32" s="235"/>
      <c r="U32" s="233"/>
      <c r="V32" s="236"/>
      <c r="W32" s="234"/>
      <c r="X32" s="235"/>
      <c r="Y32" s="237"/>
      <c r="Z32" s="238"/>
    </row>
    <row r="33" spans="1:26" s="239" customFormat="1" ht="28.5" customHeight="1" x14ac:dyDescent="0.3">
      <c r="A33" s="222">
        <f t="shared" si="3"/>
        <v>0</v>
      </c>
      <c r="B33" s="223" t="b">
        <f t="shared" si="4"/>
        <v>1</v>
      </c>
      <c r="C33" s="222">
        <f t="shared" si="5"/>
        <v>0</v>
      </c>
      <c r="D33" s="205" t="str">
        <f t="shared" si="6"/>
        <v>$$$$</v>
      </c>
      <c r="E33" s="224"/>
      <c r="F33" s="225"/>
      <c r="G33" s="226"/>
      <c r="H33" s="227"/>
      <c r="I33" s="228"/>
      <c r="J33" s="228"/>
      <c r="K33" s="229"/>
      <c r="L33" s="230"/>
      <c r="M33" s="231"/>
      <c r="N33" s="232"/>
      <c r="O33" s="230"/>
      <c r="P33" s="231"/>
      <c r="Q33" s="232"/>
      <c r="R33" s="233"/>
      <c r="S33" s="234"/>
      <c r="T33" s="235"/>
      <c r="U33" s="233"/>
      <c r="V33" s="236"/>
      <c r="W33" s="234"/>
      <c r="X33" s="235"/>
      <c r="Y33" s="237"/>
      <c r="Z33" s="238"/>
    </row>
    <row r="34" spans="1:26" s="239" customFormat="1" ht="28.5" customHeight="1" x14ac:dyDescent="0.3">
      <c r="A34" s="222">
        <f t="shared" si="3"/>
        <v>0</v>
      </c>
      <c r="B34" s="223" t="b">
        <f t="shared" si="4"/>
        <v>1</v>
      </c>
      <c r="C34" s="222">
        <f t="shared" si="5"/>
        <v>0</v>
      </c>
      <c r="D34" s="205" t="str">
        <f t="shared" si="6"/>
        <v>$$$$</v>
      </c>
      <c r="E34" s="224"/>
      <c r="F34" s="225"/>
      <c r="G34" s="226"/>
      <c r="H34" s="227"/>
      <c r="I34" s="228"/>
      <c r="J34" s="228"/>
      <c r="K34" s="229"/>
      <c r="L34" s="230"/>
      <c r="M34" s="231"/>
      <c r="N34" s="232"/>
      <c r="O34" s="230"/>
      <c r="P34" s="231"/>
      <c r="Q34" s="232"/>
      <c r="R34" s="233"/>
      <c r="S34" s="234"/>
      <c r="T34" s="235"/>
      <c r="U34" s="233"/>
      <c r="V34" s="236"/>
      <c r="W34" s="234"/>
      <c r="X34" s="235"/>
      <c r="Y34" s="237"/>
      <c r="Z34" s="238"/>
    </row>
    <row r="35" spans="1:26" s="239" customFormat="1" ht="28.5" customHeight="1" x14ac:dyDescent="0.3">
      <c r="A35" s="222">
        <f t="shared" si="3"/>
        <v>0</v>
      </c>
      <c r="B35" s="223" t="b">
        <f t="shared" si="4"/>
        <v>1</v>
      </c>
      <c r="C35" s="222">
        <f t="shared" si="5"/>
        <v>0</v>
      </c>
      <c r="D35" s="205" t="str">
        <f t="shared" si="6"/>
        <v>$$$$</v>
      </c>
      <c r="E35" s="224"/>
      <c r="F35" s="225"/>
      <c r="G35" s="226"/>
      <c r="H35" s="227"/>
      <c r="I35" s="228"/>
      <c r="J35" s="228"/>
      <c r="K35" s="229"/>
      <c r="L35" s="230"/>
      <c r="M35" s="231"/>
      <c r="N35" s="232"/>
      <c r="O35" s="230"/>
      <c r="P35" s="231"/>
      <c r="Q35" s="232"/>
      <c r="R35" s="233"/>
      <c r="S35" s="234"/>
      <c r="T35" s="235"/>
      <c r="U35" s="233"/>
      <c r="V35" s="236"/>
      <c r="W35" s="234"/>
      <c r="X35" s="235"/>
      <c r="Y35" s="237"/>
      <c r="Z35" s="238"/>
    </row>
    <row r="36" spans="1:26" s="239" customFormat="1" ht="28.5" customHeight="1" x14ac:dyDescent="0.3">
      <c r="A36" s="222">
        <f t="shared" si="3"/>
        <v>0</v>
      </c>
      <c r="B36" s="223" t="b">
        <f t="shared" si="4"/>
        <v>1</v>
      </c>
      <c r="C36" s="222">
        <f t="shared" si="5"/>
        <v>0</v>
      </c>
      <c r="D36" s="205" t="str">
        <f t="shared" si="6"/>
        <v>$$$$</v>
      </c>
      <c r="E36" s="224"/>
      <c r="F36" s="225"/>
      <c r="G36" s="226"/>
      <c r="H36" s="227"/>
      <c r="I36" s="228"/>
      <c r="J36" s="228"/>
      <c r="K36" s="229"/>
      <c r="L36" s="230"/>
      <c r="M36" s="231"/>
      <c r="N36" s="232"/>
      <c r="O36" s="230"/>
      <c r="P36" s="231"/>
      <c r="Q36" s="232"/>
      <c r="R36" s="233"/>
      <c r="S36" s="234"/>
      <c r="T36" s="235"/>
      <c r="U36" s="233"/>
      <c r="V36" s="236"/>
      <c r="W36" s="234"/>
      <c r="X36" s="235"/>
      <c r="Y36" s="237"/>
      <c r="Z36" s="238"/>
    </row>
    <row r="37" spans="1:26" s="239" customFormat="1" ht="28.5" customHeight="1" x14ac:dyDescent="0.3">
      <c r="A37" s="222">
        <f t="shared" si="3"/>
        <v>0</v>
      </c>
      <c r="B37" s="223" t="b">
        <f t="shared" si="4"/>
        <v>1</v>
      </c>
      <c r="C37" s="222">
        <f t="shared" si="5"/>
        <v>0</v>
      </c>
      <c r="D37" s="205" t="str">
        <f t="shared" si="6"/>
        <v>$$$$</v>
      </c>
      <c r="E37" s="224"/>
      <c r="F37" s="225"/>
      <c r="G37" s="226"/>
      <c r="H37" s="227"/>
      <c r="I37" s="228"/>
      <c r="J37" s="228"/>
      <c r="K37" s="229"/>
      <c r="L37" s="230"/>
      <c r="M37" s="231"/>
      <c r="N37" s="232"/>
      <c r="O37" s="230"/>
      <c r="P37" s="231"/>
      <c r="Q37" s="232"/>
      <c r="R37" s="233"/>
      <c r="S37" s="234"/>
      <c r="T37" s="235"/>
      <c r="U37" s="233"/>
      <c r="V37" s="236"/>
      <c r="W37" s="234"/>
      <c r="X37" s="235"/>
      <c r="Y37" s="237"/>
      <c r="Z37" s="238"/>
    </row>
    <row r="38" spans="1:26" s="239" customFormat="1" ht="28.5" customHeight="1" x14ac:dyDescent="0.3">
      <c r="A38" s="222">
        <f t="shared" si="3"/>
        <v>0</v>
      </c>
      <c r="B38" s="223" t="b">
        <f t="shared" si="4"/>
        <v>1</v>
      </c>
      <c r="C38" s="222">
        <f t="shared" si="5"/>
        <v>0</v>
      </c>
      <c r="D38" s="205" t="str">
        <f t="shared" si="6"/>
        <v>$$$$</v>
      </c>
      <c r="E38" s="224"/>
      <c r="F38" s="225"/>
      <c r="G38" s="226"/>
      <c r="H38" s="227"/>
      <c r="I38" s="228"/>
      <c r="J38" s="228"/>
      <c r="K38" s="229"/>
      <c r="L38" s="230"/>
      <c r="M38" s="231"/>
      <c r="N38" s="232"/>
      <c r="O38" s="230"/>
      <c r="P38" s="231"/>
      <c r="Q38" s="232"/>
      <c r="R38" s="233"/>
      <c r="S38" s="234"/>
      <c r="T38" s="235"/>
      <c r="U38" s="233"/>
      <c r="V38" s="236"/>
      <c r="W38" s="234"/>
      <c r="X38" s="235"/>
      <c r="Y38" s="237"/>
      <c r="Z38" s="238"/>
    </row>
    <row r="39" spans="1:26" s="239" customFormat="1" ht="28.5" customHeight="1" x14ac:dyDescent="0.3">
      <c r="A39" s="222">
        <f t="shared" ref="A39:A70" si="7">IF(B39,0,MATCH(H39,ВидыНагр,0))</f>
        <v>0</v>
      </c>
      <c r="B39" s="223" t="b">
        <f t="shared" ref="B39:B70" si="8">(COUNTIF(КлючОсень,D39)&lt;&gt;1)</f>
        <v>1</v>
      </c>
      <c r="C39" s="222">
        <f t="shared" ref="C39:C70" si="9">IF(COUNTA(E39:K39,Z39)&gt;0,1,0)+IF(COUNTA(L39:Y39)&gt;0,2,0)</f>
        <v>0</v>
      </c>
      <c r="D39" s="205" t="str">
        <f t="shared" si="6"/>
        <v>$$$$</v>
      </c>
      <c r="E39" s="224"/>
      <c r="F39" s="225"/>
      <c r="G39" s="226"/>
      <c r="H39" s="227"/>
      <c r="I39" s="228"/>
      <c r="J39" s="228"/>
      <c r="K39" s="229"/>
      <c r="L39" s="230"/>
      <c r="M39" s="231"/>
      <c r="N39" s="232"/>
      <c r="O39" s="230"/>
      <c r="P39" s="231"/>
      <c r="Q39" s="232"/>
      <c r="R39" s="233"/>
      <c r="S39" s="234"/>
      <c r="T39" s="235"/>
      <c r="U39" s="233"/>
      <c r="V39" s="236"/>
      <c r="W39" s="234"/>
      <c r="X39" s="235"/>
      <c r="Y39" s="237"/>
      <c r="Z39" s="238"/>
    </row>
    <row r="40" spans="1:26" s="239" customFormat="1" ht="28.5" customHeight="1" x14ac:dyDescent="0.3">
      <c r="A40" s="222">
        <f t="shared" si="7"/>
        <v>0</v>
      </c>
      <c r="B40" s="223" t="b">
        <f t="shared" si="8"/>
        <v>1</v>
      </c>
      <c r="C40" s="222">
        <f t="shared" si="9"/>
        <v>0</v>
      </c>
      <c r="D40" s="205" t="str">
        <f t="shared" si="6"/>
        <v>$$$$</v>
      </c>
      <c r="E40" s="224"/>
      <c r="F40" s="225"/>
      <c r="G40" s="226"/>
      <c r="H40" s="227"/>
      <c r="I40" s="228"/>
      <c r="J40" s="228"/>
      <c r="K40" s="229"/>
      <c r="L40" s="230"/>
      <c r="M40" s="231"/>
      <c r="N40" s="232"/>
      <c r="O40" s="230"/>
      <c r="P40" s="231"/>
      <c r="Q40" s="232"/>
      <c r="R40" s="233"/>
      <c r="S40" s="234"/>
      <c r="T40" s="235"/>
      <c r="U40" s="233"/>
      <c r="V40" s="236"/>
      <c r="W40" s="234"/>
      <c r="X40" s="235"/>
      <c r="Y40" s="237"/>
      <c r="Z40" s="238"/>
    </row>
    <row r="41" spans="1:26" s="239" customFormat="1" ht="28.5" customHeight="1" x14ac:dyDescent="0.3">
      <c r="A41" s="222">
        <f t="shared" si="7"/>
        <v>0</v>
      </c>
      <c r="B41" s="223" t="b">
        <f t="shared" si="8"/>
        <v>1</v>
      </c>
      <c r="C41" s="222">
        <f t="shared" si="9"/>
        <v>0</v>
      </c>
      <c r="D41" s="205" t="str">
        <f t="shared" si="6"/>
        <v>$$$$</v>
      </c>
      <c r="E41" s="224"/>
      <c r="F41" s="225"/>
      <c r="G41" s="226"/>
      <c r="H41" s="227"/>
      <c r="I41" s="228"/>
      <c r="J41" s="228"/>
      <c r="K41" s="229"/>
      <c r="L41" s="230"/>
      <c r="M41" s="231"/>
      <c r="N41" s="232"/>
      <c r="O41" s="230"/>
      <c r="P41" s="231"/>
      <c r="Q41" s="232"/>
      <c r="R41" s="233"/>
      <c r="S41" s="234"/>
      <c r="T41" s="235"/>
      <c r="U41" s="233"/>
      <c r="V41" s="236"/>
      <c r="W41" s="234"/>
      <c r="X41" s="235"/>
      <c r="Y41" s="237"/>
      <c r="Z41" s="238"/>
    </row>
    <row r="42" spans="1:26" s="239" customFormat="1" ht="28.5" customHeight="1" x14ac:dyDescent="0.3">
      <c r="A42" s="222">
        <f t="shared" si="7"/>
        <v>0</v>
      </c>
      <c r="B42" s="223" t="b">
        <f t="shared" si="8"/>
        <v>1</v>
      </c>
      <c r="C42" s="222">
        <f t="shared" si="9"/>
        <v>0</v>
      </c>
      <c r="D42" s="205" t="str">
        <f t="shared" si="6"/>
        <v>$$$$</v>
      </c>
      <c r="E42" s="224"/>
      <c r="F42" s="225"/>
      <c r="G42" s="226"/>
      <c r="H42" s="227"/>
      <c r="I42" s="228"/>
      <c r="J42" s="228"/>
      <c r="K42" s="229"/>
      <c r="L42" s="230"/>
      <c r="M42" s="231"/>
      <c r="N42" s="232"/>
      <c r="O42" s="230"/>
      <c r="P42" s="231"/>
      <c r="Q42" s="232"/>
      <c r="R42" s="233"/>
      <c r="S42" s="234"/>
      <c r="T42" s="235"/>
      <c r="U42" s="233"/>
      <c r="V42" s="236"/>
      <c r="W42" s="234"/>
      <c r="X42" s="235"/>
      <c r="Y42" s="237"/>
      <c r="Z42" s="238"/>
    </row>
    <row r="43" spans="1:26" s="239" customFormat="1" ht="28.5" customHeight="1" x14ac:dyDescent="0.3">
      <c r="A43" s="222">
        <f t="shared" si="7"/>
        <v>0</v>
      </c>
      <c r="B43" s="223" t="b">
        <f t="shared" si="8"/>
        <v>1</v>
      </c>
      <c r="C43" s="222">
        <f t="shared" si="9"/>
        <v>0</v>
      </c>
      <c r="D43" s="205" t="str">
        <f t="shared" si="6"/>
        <v>$$$$</v>
      </c>
      <c r="E43" s="224"/>
      <c r="F43" s="225"/>
      <c r="G43" s="226"/>
      <c r="H43" s="227"/>
      <c r="I43" s="228"/>
      <c r="J43" s="228"/>
      <c r="K43" s="229"/>
      <c r="L43" s="230"/>
      <c r="M43" s="231"/>
      <c r="N43" s="232"/>
      <c r="O43" s="230"/>
      <c r="P43" s="231"/>
      <c r="Q43" s="232"/>
      <c r="R43" s="233"/>
      <c r="S43" s="234"/>
      <c r="T43" s="235"/>
      <c r="U43" s="233"/>
      <c r="V43" s="236"/>
      <c r="W43" s="234"/>
      <c r="X43" s="235"/>
      <c r="Y43" s="237"/>
      <c r="Z43" s="238"/>
    </row>
    <row r="44" spans="1:26" s="239" customFormat="1" ht="28.5" customHeight="1" x14ac:dyDescent="0.3">
      <c r="A44" s="222">
        <f t="shared" si="7"/>
        <v>0</v>
      </c>
      <c r="B44" s="223" t="b">
        <f t="shared" si="8"/>
        <v>1</v>
      </c>
      <c r="C44" s="222">
        <f t="shared" si="9"/>
        <v>0</v>
      </c>
      <c r="D44" s="205" t="str">
        <f t="shared" si="6"/>
        <v>$$$$</v>
      </c>
      <c r="E44" s="224"/>
      <c r="F44" s="225"/>
      <c r="G44" s="226"/>
      <c r="H44" s="227"/>
      <c r="I44" s="228"/>
      <c r="J44" s="228"/>
      <c r="K44" s="229"/>
      <c r="L44" s="230"/>
      <c r="M44" s="231"/>
      <c r="N44" s="232"/>
      <c r="O44" s="230"/>
      <c r="P44" s="231"/>
      <c r="Q44" s="232"/>
      <c r="R44" s="233"/>
      <c r="S44" s="234"/>
      <c r="T44" s="235"/>
      <c r="U44" s="233"/>
      <c r="V44" s="236"/>
      <c r="W44" s="234"/>
      <c r="X44" s="235"/>
      <c r="Y44" s="237"/>
      <c r="Z44" s="238"/>
    </row>
    <row r="45" spans="1:26" s="239" customFormat="1" ht="28.5" customHeight="1" x14ac:dyDescent="0.3">
      <c r="A45" s="222">
        <f t="shared" si="7"/>
        <v>0</v>
      </c>
      <c r="B45" s="223" t="b">
        <f t="shared" si="8"/>
        <v>1</v>
      </c>
      <c r="C45" s="222">
        <f t="shared" si="9"/>
        <v>0</v>
      </c>
      <c r="D45" s="205" t="str">
        <f t="shared" si="6"/>
        <v>$$$$</v>
      </c>
      <c r="E45" s="224"/>
      <c r="F45" s="225"/>
      <c r="G45" s="226"/>
      <c r="H45" s="227"/>
      <c r="I45" s="228"/>
      <c r="J45" s="228"/>
      <c r="K45" s="229"/>
      <c r="L45" s="230"/>
      <c r="M45" s="231"/>
      <c r="N45" s="232"/>
      <c r="O45" s="230"/>
      <c r="P45" s="231"/>
      <c r="Q45" s="232"/>
      <c r="R45" s="233"/>
      <c r="S45" s="234"/>
      <c r="T45" s="235"/>
      <c r="U45" s="233"/>
      <c r="V45" s="236"/>
      <c r="W45" s="234"/>
      <c r="X45" s="235"/>
      <c r="Y45" s="237"/>
      <c r="Z45" s="238"/>
    </row>
    <row r="46" spans="1:26" s="239" customFormat="1" ht="28.5" customHeight="1" x14ac:dyDescent="0.3">
      <c r="A46" s="222">
        <f t="shared" si="7"/>
        <v>0</v>
      </c>
      <c r="B46" s="223" t="b">
        <f t="shared" si="8"/>
        <v>1</v>
      </c>
      <c r="C46" s="222">
        <f t="shared" si="9"/>
        <v>0</v>
      </c>
      <c r="D46" s="205" t="str">
        <f t="shared" si="6"/>
        <v>$$$$</v>
      </c>
      <c r="E46" s="224"/>
      <c r="F46" s="225"/>
      <c r="G46" s="226"/>
      <c r="H46" s="227"/>
      <c r="I46" s="228"/>
      <c r="J46" s="228"/>
      <c r="K46" s="229"/>
      <c r="L46" s="230"/>
      <c r="M46" s="231"/>
      <c r="N46" s="232"/>
      <c r="O46" s="230"/>
      <c r="P46" s="231"/>
      <c r="Q46" s="232"/>
      <c r="R46" s="233"/>
      <c r="S46" s="234"/>
      <c r="T46" s="235"/>
      <c r="U46" s="233"/>
      <c r="V46" s="236"/>
      <c r="W46" s="234"/>
      <c r="X46" s="235"/>
      <c r="Y46" s="237"/>
      <c r="Z46" s="238"/>
    </row>
    <row r="47" spans="1:26" s="239" customFormat="1" ht="28.5" customHeight="1" x14ac:dyDescent="0.3">
      <c r="A47" s="222">
        <f t="shared" si="7"/>
        <v>0</v>
      </c>
      <c r="B47" s="223" t="b">
        <f t="shared" si="8"/>
        <v>1</v>
      </c>
      <c r="C47" s="222">
        <f t="shared" si="9"/>
        <v>0</v>
      </c>
      <c r="D47" s="205" t="str">
        <f t="shared" si="6"/>
        <v>$$$$</v>
      </c>
      <c r="E47" s="224"/>
      <c r="F47" s="225"/>
      <c r="G47" s="226"/>
      <c r="H47" s="227"/>
      <c r="I47" s="228"/>
      <c r="J47" s="228"/>
      <c r="K47" s="229"/>
      <c r="L47" s="230"/>
      <c r="M47" s="231"/>
      <c r="N47" s="232"/>
      <c r="O47" s="230"/>
      <c r="P47" s="231"/>
      <c r="Q47" s="232"/>
      <c r="R47" s="233"/>
      <c r="S47" s="234"/>
      <c r="T47" s="235"/>
      <c r="U47" s="233"/>
      <c r="V47" s="236"/>
      <c r="W47" s="234"/>
      <c r="X47" s="235"/>
      <c r="Y47" s="237"/>
      <c r="Z47" s="238"/>
    </row>
    <row r="48" spans="1:26" s="239" customFormat="1" ht="28.5" customHeight="1" x14ac:dyDescent="0.3">
      <c r="A48" s="222">
        <f t="shared" si="7"/>
        <v>0</v>
      </c>
      <c r="B48" s="223" t="b">
        <f t="shared" si="8"/>
        <v>1</v>
      </c>
      <c r="C48" s="222">
        <f t="shared" si="9"/>
        <v>0</v>
      </c>
      <c r="D48" s="205" t="str">
        <f t="shared" si="6"/>
        <v>$$$$</v>
      </c>
      <c r="E48" s="224"/>
      <c r="F48" s="225"/>
      <c r="G48" s="226"/>
      <c r="H48" s="227"/>
      <c r="I48" s="228"/>
      <c r="J48" s="228"/>
      <c r="K48" s="229"/>
      <c r="L48" s="230"/>
      <c r="M48" s="231"/>
      <c r="N48" s="232"/>
      <c r="O48" s="230"/>
      <c r="P48" s="231"/>
      <c r="Q48" s="232"/>
      <c r="R48" s="233"/>
      <c r="S48" s="234"/>
      <c r="T48" s="235"/>
      <c r="U48" s="233"/>
      <c r="V48" s="236"/>
      <c r="W48" s="234"/>
      <c r="X48" s="235"/>
      <c r="Y48" s="237"/>
      <c r="Z48" s="238"/>
    </row>
    <row r="49" spans="1:26" s="239" customFormat="1" ht="28.5" customHeight="1" x14ac:dyDescent="0.3">
      <c r="A49" s="222">
        <f t="shared" si="7"/>
        <v>0</v>
      </c>
      <c r="B49" s="223" t="b">
        <f t="shared" si="8"/>
        <v>1</v>
      </c>
      <c r="C49" s="222">
        <f t="shared" si="9"/>
        <v>0</v>
      </c>
      <c r="D49" s="205" t="str">
        <f t="shared" si="6"/>
        <v>$$$$</v>
      </c>
      <c r="E49" s="224"/>
      <c r="F49" s="225"/>
      <c r="G49" s="226"/>
      <c r="H49" s="227"/>
      <c r="I49" s="228"/>
      <c r="J49" s="228"/>
      <c r="K49" s="229"/>
      <c r="L49" s="230"/>
      <c r="M49" s="231"/>
      <c r="N49" s="232"/>
      <c r="O49" s="230"/>
      <c r="P49" s="231"/>
      <c r="Q49" s="232"/>
      <c r="R49" s="233"/>
      <c r="S49" s="234"/>
      <c r="T49" s="235"/>
      <c r="U49" s="233"/>
      <c r="V49" s="236"/>
      <c r="W49" s="234"/>
      <c r="X49" s="235"/>
      <c r="Y49" s="237"/>
      <c r="Z49" s="238"/>
    </row>
    <row r="50" spans="1:26" s="239" customFormat="1" ht="28.5" customHeight="1" x14ac:dyDescent="0.3">
      <c r="A50" s="222">
        <f t="shared" si="7"/>
        <v>0</v>
      </c>
      <c r="B50" s="223" t="b">
        <f t="shared" si="8"/>
        <v>1</v>
      </c>
      <c r="C50" s="222">
        <f t="shared" si="9"/>
        <v>0</v>
      </c>
      <c r="D50" s="205" t="str">
        <f t="shared" si="6"/>
        <v>$$$$</v>
      </c>
      <c r="E50" s="224"/>
      <c r="F50" s="225"/>
      <c r="G50" s="226"/>
      <c r="H50" s="227"/>
      <c r="I50" s="228"/>
      <c r="J50" s="228"/>
      <c r="K50" s="229"/>
      <c r="L50" s="230"/>
      <c r="M50" s="231"/>
      <c r="N50" s="232"/>
      <c r="O50" s="230"/>
      <c r="P50" s="231"/>
      <c r="Q50" s="232"/>
      <c r="R50" s="233"/>
      <c r="S50" s="234"/>
      <c r="T50" s="235"/>
      <c r="U50" s="233"/>
      <c r="V50" s="236"/>
      <c r="W50" s="234"/>
      <c r="X50" s="235"/>
      <c r="Y50" s="237"/>
      <c r="Z50" s="238"/>
    </row>
    <row r="51" spans="1:26" s="239" customFormat="1" ht="28.5" customHeight="1" x14ac:dyDescent="0.3">
      <c r="A51" s="222">
        <f t="shared" si="7"/>
        <v>0</v>
      </c>
      <c r="B51" s="223" t="b">
        <f t="shared" si="8"/>
        <v>1</v>
      </c>
      <c r="C51" s="222">
        <f t="shared" si="9"/>
        <v>0</v>
      </c>
      <c r="D51" s="205" t="str">
        <f t="shared" si="6"/>
        <v>$$$$</v>
      </c>
      <c r="E51" s="224"/>
      <c r="F51" s="225"/>
      <c r="G51" s="226"/>
      <c r="H51" s="227"/>
      <c r="I51" s="228"/>
      <c r="J51" s="228"/>
      <c r="K51" s="229"/>
      <c r="L51" s="230"/>
      <c r="M51" s="231"/>
      <c r="N51" s="232"/>
      <c r="O51" s="230"/>
      <c r="P51" s="231"/>
      <c r="Q51" s="232"/>
      <c r="R51" s="233"/>
      <c r="S51" s="234"/>
      <c r="T51" s="235"/>
      <c r="U51" s="233"/>
      <c r="V51" s="236"/>
      <c r="W51" s="234"/>
      <c r="X51" s="235"/>
      <c r="Y51" s="237"/>
      <c r="Z51" s="238"/>
    </row>
    <row r="52" spans="1:26" s="239" customFormat="1" ht="28.5" customHeight="1" x14ac:dyDescent="0.3">
      <c r="A52" s="222">
        <f t="shared" si="7"/>
        <v>0</v>
      </c>
      <c r="B52" s="223" t="b">
        <f t="shared" si="8"/>
        <v>1</v>
      </c>
      <c r="C52" s="222">
        <f t="shared" si="9"/>
        <v>0</v>
      </c>
      <c r="D52" s="205" t="str">
        <f t="shared" si="6"/>
        <v>$$$$</v>
      </c>
      <c r="E52" s="224"/>
      <c r="F52" s="225"/>
      <c r="G52" s="226"/>
      <c r="H52" s="227"/>
      <c r="I52" s="228"/>
      <c r="J52" s="228"/>
      <c r="K52" s="229"/>
      <c r="L52" s="230"/>
      <c r="M52" s="231"/>
      <c r="N52" s="232"/>
      <c r="O52" s="230"/>
      <c r="P52" s="231"/>
      <c r="Q52" s="232"/>
      <c r="R52" s="233"/>
      <c r="S52" s="234"/>
      <c r="T52" s="235"/>
      <c r="U52" s="233"/>
      <c r="V52" s="236"/>
      <c r="W52" s="234"/>
      <c r="X52" s="235"/>
      <c r="Y52" s="237"/>
      <c r="Z52" s="238"/>
    </row>
    <row r="53" spans="1:26" s="239" customFormat="1" ht="28.5" customHeight="1" x14ac:dyDescent="0.3">
      <c r="A53" s="222">
        <f t="shared" si="7"/>
        <v>0</v>
      </c>
      <c r="B53" s="223" t="b">
        <f t="shared" si="8"/>
        <v>1</v>
      </c>
      <c r="C53" s="222">
        <f t="shared" si="9"/>
        <v>0</v>
      </c>
      <c r="D53" s="205" t="str">
        <f t="shared" si="6"/>
        <v>$$$$</v>
      </c>
      <c r="E53" s="224"/>
      <c r="F53" s="225"/>
      <c r="G53" s="226"/>
      <c r="H53" s="227"/>
      <c r="I53" s="228"/>
      <c r="J53" s="228"/>
      <c r="K53" s="229"/>
      <c r="L53" s="230"/>
      <c r="M53" s="231"/>
      <c r="N53" s="232"/>
      <c r="O53" s="230"/>
      <c r="P53" s="231"/>
      <c r="Q53" s="232"/>
      <c r="R53" s="233"/>
      <c r="S53" s="234"/>
      <c r="T53" s="235"/>
      <c r="U53" s="233"/>
      <c r="V53" s="236"/>
      <c r="W53" s="234"/>
      <c r="X53" s="235"/>
      <c r="Y53" s="237"/>
      <c r="Z53" s="238"/>
    </row>
    <row r="54" spans="1:26" s="239" customFormat="1" ht="28.5" customHeight="1" x14ac:dyDescent="0.3">
      <c r="A54" s="222">
        <f t="shared" si="7"/>
        <v>0</v>
      </c>
      <c r="B54" s="223" t="b">
        <f t="shared" si="8"/>
        <v>1</v>
      </c>
      <c r="C54" s="222">
        <f t="shared" si="9"/>
        <v>0</v>
      </c>
      <c r="D54" s="205" t="str">
        <f t="shared" si="6"/>
        <v>$$$$</v>
      </c>
      <c r="E54" s="224"/>
      <c r="F54" s="225"/>
      <c r="G54" s="226"/>
      <c r="H54" s="227"/>
      <c r="I54" s="228"/>
      <c r="J54" s="228"/>
      <c r="K54" s="229"/>
      <c r="L54" s="230"/>
      <c r="M54" s="231"/>
      <c r="N54" s="232"/>
      <c r="O54" s="230"/>
      <c r="P54" s="231"/>
      <c r="Q54" s="232"/>
      <c r="R54" s="233"/>
      <c r="S54" s="234"/>
      <c r="T54" s="235"/>
      <c r="U54" s="233"/>
      <c r="V54" s="236"/>
      <c r="W54" s="234"/>
      <c r="X54" s="235"/>
      <c r="Y54" s="237"/>
      <c r="Z54" s="238"/>
    </row>
    <row r="55" spans="1:26" s="239" customFormat="1" ht="28.5" customHeight="1" x14ac:dyDescent="0.3">
      <c r="A55" s="222">
        <f t="shared" si="7"/>
        <v>0</v>
      </c>
      <c r="B55" s="223" t="b">
        <f t="shared" si="8"/>
        <v>1</v>
      </c>
      <c r="C55" s="222">
        <f t="shared" si="9"/>
        <v>0</v>
      </c>
      <c r="D55" s="205" t="str">
        <f t="shared" si="6"/>
        <v>$$$$</v>
      </c>
      <c r="E55" s="224"/>
      <c r="F55" s="225"/>
      <c r="G55" s="226"/>
      <c r="H55" s="227"/>
      <c r="I55" s="228"/>
      <c r="J55" s="228"/>
      <c r="K55" s="229"/>
      <c r="L55" s="230"/>
      <c r="M55" s="231"/>
      <c r="N55" s="232"/>
      <c r="O55" s="230"/>
      <c r="P55" s="231"/>
      <c r="Q55" s="232"/>
      <c r="R55" s="233"/>
      <c r="S55" s="234"/>
      <c r="T55" s="235"/>
      <c r="U55" s="233"/>
      <c r="V55" s="236"/>
      <c r="W55" s="234"/>
      <c r="X55" s="235"/>
      <c r="Y55" s="237"/>
      <c r="Z55" s="238"/>
    </row>
    <row r="56" spans="1:26" s="239" customFormat="1" ht="28.5" customHeight="1" x14ac:dyDescent="0.3">
      <c r="A56" s="222">
        <f t="shared" si="7"/>
        <v>0</v>
      </c>
      <c r="B56" s="223" t="b">
        <f t="shared" si="8"/>
        <v>1</v>
      </c>
      <c r="C56" s="222">
        <f t="shared" si="9"/>
        <v>0</v>
      </c>
      <c r="D56" s="205" t="str">
        <f t="shared" si="6"/>
        <v>$$$$</v>
      </c>
      <c r="E56" s="224"/>
      <c r="F56" s="225"/>
      <c r="G56" s="226"/>
      <c r="H56" s="227"/>
      <c r="I56" s="228"/>
      <c r="J56" s="228"/>
      <c r="K56" s="229"/>
      <c r="L56" s="230"/>
      <c r="M56" s="231"/>
      <c r="N56" s="232"/>
      <c r="O56" s="230"/>
      <c r="P56" s="231"/>
      <c r="Q56" s="232"/>
      <c r="R56" s="233"/>
      <c r="S56" s="234"/>
      <c r="T56" s="235"/>
      <c r="U56" s="233"/>
      <c r="V56" s="236"/>
      <c r="W56" s="234"/>
      <c r="X56" s="235"/>
      <c r="Y56" s="237"/>
      <c r="Z56" s="238"/>
    </row>
    <row r="57" spans="1:26" s="239" customFormat="1" ht="28.5" customHeight="1" x14ac:dyDescent="0.3">
      <c r="A57" s="222">
        <f t="shared" si="7"/>
        <v>0</v>
      </c>
      <c r="B57" s="223" t="b">
        <f t="shared" si="8"/>
        <v>1</v>
      </c>
      <c r="C57" s="222">
        <f t="shared" si="9"/>
        <v>0</v>
      </c>
      <c r="D57" s="205" t="str">
        <f t="shared" si="6"/>
        <v>$$$$</v>
      </c>
      <c r="E57" s="224"/>
      <c r="F57" s="225"/>
      <c r="G57" s="226"/>
      <c r="H57" s="227"/>
      <c r="I57" s="228"/>
      <c r="J57" s="228"/>
      <c r="K57" s="229"/>
      <c r="L57" s="230"/>
      <c r="M57" s="231"/>
      <c r="N57" s="232"/>
      <c r="O57" s="230"/>
      <c r="P57" s="231"/>
      <c r="Q57" s="232"/>
      <c r="R57" s="233"/>
      <c r="S57" s="234"/>
      <c r="T57" s="235"/>
      <c r="U57" s="233"/>
      <c r="V57" s="236"/>
      <c r="W57" s="234"/>
      <c r="X57" s="235"/>
      <c r="Y57" s="237"/>
      <c r="Z57" s="238"/>
    </row>
    <row r="58" spans="1:26" s="239" customFormat="1" ht="28.5" customHeight="1" x14ac:dyDescent="0.3">
      <c r="A58" s="222">
        <f t="shared" si="7"/>
        <v>0</v>
      </c>
      <c r="B58" s="223" t="b">
        <f t="shared" si="8"/>
        <v>1</v>
      </c>
      <c r="C58" s="222">
        <f t="shared" si="9"/>
        <v>0</v>
      </c>
      <c r="D58" s="205" t="str">
        <f t="shared" si="6"/>
        <v>$$$$</v>
      </c>
      <c r="E58" s="224"/>
      <c r="F58" s="225"/>
      <c r="G58" s="226"/>
      <c r="H58" s="227"/>
      <c r="I58" s="228"/>
      <c r="J58" s="228"/>
      <c r="K58" s="229"/>
      <c r="L58" s="230"/>
      <c r="M58" s="231"/>
      <c r="N58" s="232"/>
      <c r="O58" s="230"/>
      <c r="P58" s="231"/>
      <c r="Q58" s="232"/>
      <c r="R58" s="233"/>
      <c r="S58" s="234"/>
      <c r="T58" s="235"/>
      <c r="U58" s="233"/>
      <c r="V58" s="236"/>
      <c r="W58" s="234"/>
      <c r="X58" s="235"/>
      <c r="Y58" s="237"/>
      <c r="Z58" s="238"/>
    </row>
    <row r="59" spans="1:26" s="239" customFormat="1" ht="28.5" customHeight="1" x14ac:dyDescent="0.3">
      <c r="A59" s="222">
        <f t="shared" si="7"/>
        <v>0</v>
      </c>
      <c r="B59" s="223" t="b">
        <f t="shared" si="8"/>
        <v>1</v>
      </c>
      <c r="C59" s="222">
        <f t="shared" si="9"/>
        <v>0</v>
      </c>
      <c r="D59" s="205" t="str">
        <f t="shared" si="6"/>
        <v>$$$$</v>
      </c>
      <c r="E59" s="224"/>
      <c r="F59" s="225"/>
      <c r="G59" s="226"/>
      <c r="H59" s="227"/>
      <c r="I59" s="228"/>
      <c r="J59" s="228"/>
      <c r="K59" s="229"/>
      <c r="L59" s="230"/>
      <c r="M59" s="231"/>
      <c r="N59" s="232"/>
      <c r="O59" s="230"/>
      <c r="P59" s="231"/>
      <c r="Q59" s="232"/>
      <c r="R59" s="233"/>
      <c r="S59" s="234"/>
      <c r="T59" s="235"/>
      <c r="U59" s="233"/>
      <c r="V59" s="236"/>
      <c r="W59" s="234"/>
      <c r="X59" s="235"/>
      <c r="Y59" s="237"/>
      <c r="Z59" s="238"/>
    </row>
    <row r="60" spans="1:26" s="239" customFormat="1" ht="28.5" customHeight="1" x14ac:dyDescent="0.3">
      <c r="A60" s="222">
        <f t="shared" si="7"/>
        <v>0</v>
      </c>
      <c r="B60" s="223" t="b">
        <f t="shared" si="8"/>
        <v>1</v>
      </c>
      <c r="C60" s="222">
        <f t="shared" si="9"/>
        <v>0</v>
      </c>
      <c r="D60" s="205" t="str">
        <f t="shared" si="6"/>
        <v>$$$$</v>
      </c>
      <c r="E60" s="224"/>
      <c r="F60" s="225"/>
      <c r="G60" s="226"/>
      <c r="H60" s="227"/>
      <c r="I60" s="228"/>
      <c r="J60" s="228"/>
      <c r="K60" s="229"/>
      <c r="L60" s="230"/>
      <c r="M60" s="231"/>
      <c r="N60" s="232"/>
      <c r="O60" s="230"/>
      <c r="P60" s="231"/>
      <c r="Q60" s="232"/>
      <c r="R60" s="233"/>
      <c r="S60" s="234"/>
      <c r="T60" s="235"/>
      <c r="U60" s="233"/>
      <c r="V60" s="236"/>
      <c r="W60" s="234"/>
      <c r="X60" s="235"/>
      <c r="Y60" s="237"/>
      <c r="Z60" s="238"/>
    </row>
    <row r="61" spans="1:26" s="239" customFormat="1" ht="28.5" customHeight="1" x14ac:dyDescent="0.3">
      <c r="A61" s="222">
        <f t="shared" si="7"/>
        <v>0</v>
      </c>
      <c r="B61" s="223" t="b">
        <f t="shared" si="8"/>
        <v>1</v>
      </c>
      <c r="C61" s="222">
        <f t="shared" si="9"/>
        <v>0</v>
      </c>
      <c r="D61" s="205" t="str">
        <f t="shared" si="6"/>
        <v>$$$$</v>
      </c>
      <c r="E61" s="224"/>
      <c r="F61" s="225"/>
      <c r="G61" s="226"/>
      <c r="H61" s="227"/>
      <c r="I61" s="228"/>
      <c r="J61" s="228"/>
      <c r="K61" s="229"/>
      <c r="L61" s="230"/>
      <c r="M61" s="231"/>
      <c r="N61" s="232"/>
      <c r="O61" s="230"/>
      <c r="P61" s="231"/>
      <c r="Q61" s="232"/>
      <c r="R61" s="233"/>
      <c r="S61" s="234"/>
      <c r="T61" s="235"/>
      <c r="U61" s="233"/>
      <c r="V61" s="236"/>
      <c r="W61" s="234"/>
      <c r="X61" s="235"/>
      <c r="Y61" s="237"/>
      <c r="Z61" s="238"/>
    </row>
    <row r="62" spans="1:26" s="239" customFormat="1" ht="28.5" customHeight="1" x14ac:dyDescent="0.3">
      <c r="A62" s="222">
        <f t="shared" si="7"/>
        <v>0</v>
      </c>
      <c r="B62" s="223" t="b">
        <f t="shared" si="8"/>
        <v>1</v>
      </c>
      <c r="C62" s="222">
        <f t="shared" si="9"/>
        <v>0</v>
      </c>
      <c r="D62" s="205" t="str">
        <f t="shared" si="6"/>
        <v>$$$$</v>
      </c>
      <c r="E62" s="224"/>
      <c r="F62" s="225"/>
      <c r="G62" s="226"/>
      <c r="H62" s="227"/>
      <c r="I62" s="228"/>
      <c r="J62" s="228"/>
      <c r="K62" s="229"/>
      <c r="L62" s="230"/>
      <c r="M62" s="231"/>
      <c r="N62" s="232"/>
      <c r="O62" s="230"/>
      <c r="P62" s="231"/>
      <c r="Q62" s="232"/>
      <c r="R62" s="233"/>
      <c r="S62" s="234"/>
      <c r="T62" s="235"/>
      <c r="U62" s="233"/>
      <c r="V62" s="236"/>
      <c r="W62" s="234"/>
      <c r="X62" s="235"/>
      <c r="Y62" s="237"/>
      <c r="Z62" s="238"/>
    </row>
    <row r="63" spans="1:26" s="239" customFormat="1" ht="28.5" customHeight="1" x14ac:dyDescent="0.3">
      <c r="A63" s="222">
        <f t="shared" si="7"/>
        <v>0</v>
      </c>
      <c r="B63" s="223" t="b">
        <f t="shared" si="8"/>
        <v>1</v>
      </c>
      <c r="C63" s="222">
        <f t="shared" si="9"/>
        <v>0</v>
      </c>
      <c r="D63" s="205" t="str">
        <f t="shared" si="6"/>
        <v>$$$$</v>
      </c>
      <c r="E63" s="224"/>
      <c r="F63" s="225"/>
      <c r="G63" s="226"/>
      <c r="H63" s="227"/>
      <c r="I63" s="228"/>
      <c r="J63" s="228"/>
      <c r="K63" s="229"/>
      <c r="L63" s="230"/>
      <c r="M63" s="231"/>
      <c r="N63" s="232"/>
      <c r="O63" s="230"/>
      <c r="P63" s="231"/>
      <c r="Q63" s="232"/>
      <c r="R63" s="233"/>
      <c r="S63" s="234"/>
      <c r="T63" s="235"/>
      <c r="U63" s="233"/>
      <c r="V63" s="236"/>
      <c r="W63" s="234"/>
      <c r="X63" s="235"/>
      <c r="Y63" s="237"/>
      <c r="Z63" s="238"/>
    </row>
    <row r="64" spans="1:26" s="239" customFormat="1" ht="28.5" customHeight="1" x14ac:dyDescent="0.3">
      <c r="A64" s="222">
        <f t="shared" si="7"/>
        <v>0</v>
      </c>
      <c r="B64" s="223" t="b">
        <f t="shared" si="8"/>
        <v>1</v>
      </c>
      <c r="C64" s="222">
        <f t="shared" si="9"/>
        <v>0</v>
      </c>
      <c r="D64" s="205" t="str">
        <f t="shared" si="6"/>
        <v>$$$$</v>
      </c>
      <c r="E64" s="224"/>
      <c r="F64" s="225"/>
      <c r="G64" s="226"/>
      <c r="H64" s="227"/>
      <c r="I64" s="228"/>
      <c r="J64" s="228"/>
      <c r="K64" s="229"/>
      <c r="L64" s="230"/>
      <c r="M64" s="231"/>
      <c r="N64" s="232"/>
      <c r="O64" s="230"/>
      <c r="P64" s="231"/>
      <c r="Q64" s="232"/>
      <c r="R64" s="233"/>
      <c r="S64" s="234"/>
      <c r="T64" s="235"/>
      <c r="U64" s="233"/>
      <c r="V64" s="236"/>
      <c r="W64" s="234"/>
      <c r="X64" s="235"/>
      <c r="Y64" s="237"/>
      <c r="Z64" s="238"/>
    </row>
    <row r="65" spans="1:26" s="239" customFormat="1" ht="28.5" customHeight="1" x14ac:dyDescent="0.3">
      <c r="A65" s="222">
        <f t="shared" si="7"/>
        <v>0</v>
      </c>
      <c r="B65" s="223" t="b">
        <f t="shared" si="8"/>
        <v>1</v>
      </c>
      <c r="C65" s="222">
        <f t="shared" si="9"/>
        <v>0</v>
      </c>
      <c r="D65" s="205" t="str">
        <f t="shared" si="6"/>
        <v>$$$$</v>
      </c>
      <c r="E65" s="224"/>
      <c r="F65" s="225"/>
      <c r="G65" s="226"/>
      <c r="H65" s="227"/>
      <c r="I65" s="228"/>
      <c r="J65" s="228"/>
      <c r="K65" s="229"/>
      <c r="L65" s="230"/>
      <c r="M65" s="231"/>
      <c r="N65" s="232"/>
      <c r="O65" s="230"/>
      <c r="P65" s="231"/>
      <c r="Q65" s="232"/>
      <c r="R65" s="233"/>
      <c r="S65" s="234"/>
      <c r="T65" s="235"/>
      <c r="U65" s="233"/>
      <c r="V65" s="236"/>
      <c r="W65" s="234"/>
      <c r="X65" s="235"/>
      <c r="Y65" s="237"/>
      <c r="Z65" s="238"/>
    </row>
    <row r="66" spans="1:26" s="239" customFormat="1" ht="28.5" customHeight="1" x14ac:dyDescent="0.3">
      <c r="A66" s="222">
        <f t="shared" si="7"/>
        <v>0</v>
      </c>
      <c r="B66" s="223" t="b">
        <f t="shared" si="8"/>
        <v>1</v>
      </c>
      <c r="C66" s="222">
        <f t="shared" si="9"/>
        <v>0</v>
      </c>
      <c r="D66" s="205" t="str">
        <f t="shared" si="6"/>
        <v>$$$$</v>
      </c>
      <c r="E66" s="224"/>
      <c r="F66" s="225"/>
      <c r="G66" s="226"/>
      <c r="H66" s="227"/>
      <c r="I66" s="228"/>
      <c r="J66" s="228"/>
      <c r="K66" s="229"/>
      <c r="L66" s="230"/>
      <c r="M66" s="231"/>
      <c r="N66" s="232"/>
      <c r="O66" s="230"/>
      <c r="P66" s="231"/>
      <c r="Q66" s="232"/>
      <c r="R66" s="233"/>
      <c r="S66" s="234"/>
      <c r="T66" s="235"/>
      <c r="U66" s="233"/>
      <c r="V66" s="236"/>
      <c r="W66" s="234"/>
      <c r="X66" s="235"/>
      <c r="Y66" s="237"/>
      <c r="Z66" s="238"/>
    </row>
    <row r="67" spans="1:26" s="239" customFormat="1" ht="28.5" customHeight="1" x14ac:dyDescent="0.3">
      <c r="A67" s="222">
        <f t="shared" si="7"/>
        <v>0</v>
      </c>
      <c r="B67" s="223" t="b">
        <f t="shared" si="8"/>
        <v>1</v>
      </c>
      <c r="C67" s="222">
        <f t="shared" si="9"/>
        <v>0</v>
      </c>
      <c r="D67" s="205" t="str">
        <f t="shared" si="6"/>
        <v>$$$$</v>
      </c>
      <c r="E67" s="224"/>
      <c r="F67" s="225"/>
      <c r="G67" s="226"/>
      <c r="H67" s="227"/>
      <c r="I67" s="228"/>
      <c r="J67" s="228"/>
      <c r="K67" s="229"/>
      <c r="L67" s="230"/>
      <c r="M67" s="231"/>
      <c r="N67" s="232"/>
      <c r="O67" s="230"/>
      <c r="P67" s="231"/>
      <c r="Q67" s="232"/>
      <c r="R67" s="233"/>
      <c r="S67" s="234"/>
      <c r="T67" s="235"/>
      <c r="U67" s="233"/>
      <c r="V67" s="236"/>
      <c r="W67" s="234"/>
      <c r="X67" s="235"/>
      <c r="Y67" s="237"/>
      <c r="Z67" s="238"/>
    </row>
    <row r="68" spans="1:26" s="239" customFormat="1" ht="28.5" customHeight="1" x14ac:dyDescent="0.3">
      <c r="A68" s="222">
        <f t="shared" si="7"/>
        <v>0</v>
      </c>
      <c r="B68" s="223" t="b">
        <f t="shared" si="8"/>
        <v>1</v>
      </c>
      <c r="C68" s="222">
        <f t="shared" si="9"/>
        <v>0</v>
      </c>
      <c r="D68" s="205" t="str">
        <f t="shared" si="6"/>
        <v>$$$$</v>
      </c>
      <c r="E68" s="224"/>
      <c r="F68" s="225"/>
      <c r="G68" s="226"/>
      <c r="H68" s="227"/>
      <c r="I68" s="228"/>
      <c r="J68" s="228"/>
      <c r="K68" s="229"/>
      <c r="L68" s="230"/>
      <c r="M68" s="231"/>
      <c r="N68" s="232"/>
      <c r="O68" s="230"/>
      <c r="P68" s="231"/>
      <c r="Q68" s="232"/>
      <c r="R68" s="233"/>
      <c r="S68" s="234"/>
      <c r="T68" s="235"/>
      <c r="U68" s="233"/>
      <c r="V68" s="236"/>
      <c r="W68" s="234"/>
      <c r="X68" s="235"/>
      <c r="Y68" s="237"/>
      <c r="Z68" s="238"/>
    </row>
    <row r="69" spans="1:26" s="239" customFormat="1" ht="28.5" customHeight="1" x14ac:dyDescent="0.3">
      <c r="A69" s="222">
        <f t="shared" si="7"/>
        <v>0</v>
      </c>
      <c r="B69" s="223" t="b">
        <f t="shared" si="8"/>
        <v>1</v>
      </c>
      <c r="C69" s="222">
        <f t="shared" si="9"/>
        <v>0</v>
      </c>
      <c r="D69" s="205" t="str">
        <f t="shared" si="6"/>
        <v>$$$$</v>
      </c>
      <c r="E69" s="224"/>
      <c r="F69" s="225"/>
      <c r="G69" s="226"/>
      <c r="H69" s="227"/>
      <c r="I69" s="228"/>
      <c r="J69" s="228"/>
      <c r="K69" s="229"/>
      <c r="L69" s="230"/>
      <c r="M69" s="231"/>
      <c r="N69" s="232"/>
      <c r="O69" s="230"/>
      <c r="P69" s="231"/>
      <c r="Q69" s="232"/>
      <c r="R69" s="233"/>
      <c r="S69" s="234"/>
      <c r="T69" s="235"/>
      <c r="U69" s="233"/>
      <c r="V69" s="236"/>
      <c r="W69" s="234"/>
      <c r="X69" s="235"/>
      <c r="Y69" s="237"/>
      <c r="Z69" s="238"/>
    </row>
    <row r="70" spans="1:26" s="239" customFormat="1" ht="28.5" customHeight="1" x14ac:dyDescent="0.3">
      <c r="A70" s="222">
        <f t="shared" si="7"/>
        <v>0</v>
      </c>
      <c r="B70" s="223" t="b">
        <f t="shared" si="8"/>
        <v>1</v>
      </c>
      <c r="C70" s="222">
        <f t="shared" si="9"/>
        <v>0</v>
      </c>
      <c r="D70" s="205" t="str">
        <f t="shared" si="6"/>
        <v>$$$$</v>
      </c>
      <c r="E70" s="224"/>
      <c r="F70" s="225"/>
      <c r="G70" s="226"/>
      <c r="H70" s="227"/>
      <c r="I70" s="228"/>
      <c r="J70" s="228"/>
      <c r="K70" s="229"/>
      <c r="L70" s="230"/>
      <c r="M70" s="231"/>
      <c r="N70" s="232"/>
      <c r="O70" s="230"/>
      <c r="P70" s="231"/>
      <c r="Q70" s="232"/>
      <c r="R70" s="233"/>
      <c r="S70" s="234"/>
      <c r="T70" s="235"/>
      <c r="U70" s="233"/>
      <c r="V70" s="236"/>
      <c r="W70" s="234"/>
      <c r="X70" s="235"/>
      <c r="Y70" s="237"/>
      <c r="Z70" s="238"/>
    </row>
    <row r="71" spans="1:26" s="239" customFormat="1" ht="28.5" customHeight="1" x14ac:dyDescent="0.3">
      <c r="A71" s="222">
        <f t="shared" ref="A71:A102" si="10">IF(B71,0,MATCH(H71,ВидыНагр,0))</f>
        <v>0</v>
      </c>
      <c r="B71" s="223" t="b">
        <f t="shared" ref="B71:B102" si="11">(COUNTIF(КлючОсень,D71)&lt;&gt;1)</f>
        <v>1</v>
      </c>
      <c r="C71" s="222">
        <f t="shared" ref="C71:C102" si="12">IF(COUNTA(E71:K71,Z71)&gt;0,1,0)+IF(COUNTA(L71:Y71)&gt;0,2,0)</f>
        <v>0</v>
      </c>
      <c r="D71" s="205" t="str">
        <f t="shared" si="6"/>
        <v>$$$$</v>
      </c>
      <c r="E71" s="224"/>
      <c r="F71" s="225"/>
      <c r="G71" s="226"/>
      <c r="H71" s="227"/>
      <c r="I71" s="228"/>
      <c r="J71" s="228"/>
      <c r="K71" s="229"/>
      <c r="L71" s="230"/>
      <c r="M71" s="231"/>
      <c r="N71" s="232"/>
      <c r="O71" s="230"/>
      <c r="P71" s="231"/>
      <c r="Q71" s="232"/>
      <c r="R71" s="233"/>
      <c r="S71" s="234"/>
      <c r="T71" s="235"/>
      <c r="U71" s="233"/>
      <c r="V71" s="236"/>
      <c r="W71" s="234"/>
      <c r="X71" s="235"/>
      <c r="Y71" s="237"/>
      <c r="Z71" s="238"/>
    </row>
    <row r="72" spans="1:26" s="239" customFormat="1" ht="28.5" customHeight="1" x14ac:dyDescent="0.3">
      <c r="A72" s="222">
        <f t="shared" si="10"/>
        <v>0</v>
      </c>
      <c r="B72" s="223" t="b">
        <f t="shared" si="11"/>
        <v>1</v>
      </c>
      <c r="C72" s="222">
        <f t="shared" si="12"/>
        <v>0</v>
      </c>
      <c r="D72" s="205" t="str">
        <f t="shared" ref="D72:D159" si="13">CONCATENATE("$",TRIM(F72),"$",TRIM(G72),"$",H72,"$")</f>
        <v>$$$$</v>
      </c>
      <c r="E72" s="224"/>
      <c r="F72" s="225"/>
      <c r="G72" s="226"/>
      <c r="H72" s="227"/>
      <c r="I72" s="228"/>
      <c r="J72" s="228"/>
      <c r="K72" s="229"/>
      <c r="L72" s="230"/>
      <c r="M72" s="231"/>
      <c r="N72" s="232"/>
      <c r="O72" s="230"/>
      <c r="P72" s="231"/>
      <c r="Q72" s="232"/>
      <c r="R72" s="233"/>
      <c r="S72" s="234"/>
      <c r="T72" s="235"/>
      <c r="U72" s="233"/>
      <c r="V72" s="236"/>
      <c r="W72" s="234"/>
      <c r="X72" s="235"/>
      <c r="Y72" s="237"/>
      <c r="Z72" s="238"/>
    </row>
    <row r="73" spans="1:26" s="239" customFormat="1" ht="28.5" customHeight="1" x14ac:dyDescent="0.3">
      <c r="A73" s="222">
        <f t="shared" si="10"/>
        <v>0</v>
      </c>
      <c r="B73" s="223" t="b">
        <f t="shared" si="11"/>
        <v>1</v>
      </c>
      <c r="C73" s="222">
        <f t="shared" si="12"/>
        <v>0</v>
      </c>
      <c r="D73" s="205" t="str">
        <f t="shared" si="13"/>
        <v>$$$$</v>
      </c>
      <c r="E73" s="224"/>
      <c r="F73" s="225"/>
      <c r="G73" s="226"/>
      <c r="H73" s="227"/>
      <c r="I73" s="228"/>
      <c r="J73" s="228"/>
      <c r="K73" s="229"/>
      <c r="L73" s="230"/>
      <c r="M73" s="231"/>
      <c r="N73" s="232"/>
      <c r="O73" s="230"/>
      <c r="P73" s="231"/>
      <c r="Q73" s="232"/>
      <c r="R73" s="233"/>
      <c r="S73" s="234"/>
      <c r="T73" s="235"/>
      <c r="U73" s="233"/>
      <c r="V73" s="236"/>
      <c r="W73" s="234"/>
      <c r="X73" s="235"/>
      <c r="Y73" s="237"/>
      <c r="Z73" s="238"/>
    </row>
    <row r="74" spans="1:26" s="239" customFormat="1" ht="28.5" customHeight="1" x14ac:dyDescent="0.3">
      <c r="A74" s="222">
        <f t="shared" si="10"/>
        <v>0</v>
      </c>
      <c r="B74" s="223" t="b">
        <f t="shared" si="11"/>
        <v>1</v>
      </c>
      <c r="C74" s="222">
        <f t="shared" si="12"/>
        <v>0</v>
      </c>
      <c r="D74" s="205" t="str">
        <f t="shared" si="13"/>
        <v>$$$$</v>
      </c>
      <c r="E74" s="224"/>
      <c r="F74" s="225"/>
      <c r="G74" s="226"/>
      <c r="H74" s="227"/>
      <c r="I74" s="228"/>
      <c r="J74" s="228"/>
      <c r="K74" s="229"/>
      <c r="L74" s="230"/>
      <c r="M74" s="231"/>
      <c r="N74" s="232"/>
      <c r="O74" s="230"/>
      <c r="P74" s="231"/>
      <c r="Q74" s="232"/>
      <c r="R74" s="233"/>
      <c r="S74" s="234"/>
      <c r="T74" s="235"/>
      <c r="U74" s="233"/>
      <c r="V74" s="236"/>
      <c r="W74" s="234"/>
      <c r="X74" s="235"/>
      <c r="Y74" s="237"/>
      <c r="Z74" s="238"/>
    </row>
    <row r="75" spans="1:26" s="239" customFormat="1" ht="28.5" customHeight="1" x14ac:dyDescent="0.3">
      <c r="A75" s="222">
        <f t="shared" si="10"/>
        <v>0</v>
      </c>
      <c r="B75" s="223" t="b">
        <f t="shared" si="11"/>
        <v>1</v>
      </c>
      <c r="C75" s="222">
        <f t="shared" si="12"/>
        <v>0</v>
      </c>
      <c r="D75" s="205" t="str">
        <f t="shared" si="13"/>
        <v>$$$$</v>
      </c>
      <c r="E75" s="224"/>
      <c r="F75" s="225"/>
      <c r="G75" s="226"/>
      <c r="H75" s="227"/>
      <c r="I75" s="228"/>
      <c r="J75" s="228"/>
      <c r="K75" s="229"/>
      <c r="L75" s="230"/>
      <c r="M75" s="231"/>
      <c r="N75" s="232"/>
      <c r="O75" s="230"/>
      <c r="P75" s="231"/>
      <c r="Q75" s="232"/>
      <c r="R75" s="233"/>
      <c r="S75" s="234"/>
      <c r="T75" s="235"/>
      <c r="U75" s="233"/>
      <c r="V75" s="236"/>
      <c r="W75" s="234"/>
      <c r="X75" s="235"/>
      <c r="Y75" s="237"/>
      <c r="Z75" s="238"/>
    </row>
    <row r="76" spans="1:26" s="239" customFormat="1" ht="28.5" customHeight="1" x14ac:dyDescent="0.3">
      <c r="A76" s="222">
        <f t="shared" si="10"/>
        <v>0</v>
      </c>
      <c r="B76" s="223" t="b">
        <f t="shared" si="11"/>
        <v>1</v>
      </c>
      <c r="C76" s="222">
        <f t="shared" si="12"/>
        <v>0</v>
      </c>
      <c r="D76" s="205" t="str">
        <f t="shared" si="13"/>
        <v>$$$$</v>
      </c>
      <c r="E76" s="224"/>
      <c r="F76" s="225"/>
      <c r="G76" s="226"/>
      <c r="H76" s="227"/>
      <c r="I76" s="228"/>
      <c r="J76" s="228"/>
      <c r="K76" s="229"/>
      <c r="L76" s="230"/>
      <c r="M76" s="231"/>
      <c r="N76" s="232"/>
      <c r="O76" s="230"/>
      <c r="P76" s="231"/>
      <c r="Q76" s="232"/>
      <c r="R76" s="233"/>
      <c r="S76" s="234"/>
      <c r="T76" s="235"/>
      <c r="U76" s="233"/>
      <c r="V76" s="236"/>
      <c r="W76" s="234"/>
      <c r="X76" s="235"/>
      <c r="Y76" s="237"/>
      <c r="Z76" s="238"/>
    </row>
    <row r="77" spans="1:26" s="239" customFormat="1" ht="28.5" customHeight="1" x14ac:dyDescent="0.3">
      <c r="A77" s="222">
        <f t="shared" si="10"/>
        <v>0</v>
      </c>
      <c r="B77" s="223" t="b">
        <f t="shared" si="11"/>
        <v>1</v>
      </c>
      <c r="C77" s="222">
        <f t="shared" si="12"/>
        <v>0</v>
      </c>
      <c r="D77" s="205" t="str">
        <f t="shared" si="13"/>
        <v>$$$$</v>
      </c>
      <c r="E77" s="224"/>
      <c r="F77" s="225"/>
      <c r="G77" s="226"/>
      <c r="H77" s="227"/>
      <c r="I77" s="228"/>
      <c r="J77" s="228"/>
      <c r="K77" s="229"/>
      <c r="L77" s="230"/>
      <c r="M77" s="231"/>
      <c r="N77" s="232"/>
      <c r="O77" s="230"/>
      <c r="P77" s="231"/>
      <c r="Q77" s="232"/>
      <c r="R77" s="233"/>
      <c r="S77" s="234"/>
      <c r="T77" s="235"/>
      <c r="U77" s="233"/>
      <c r="V77" s="236"/>
      <c r="W77" s="234"/>
      <c r="X77" s="235"/>
      <c r="Y77" s="237"/>
      <c r="Z77" s="238"/>
    </row>
    <row r="78" spans="1:26" s="239" customFormat="1" ht="28.5" customHeight="1" x14ac:dyDescent="0.3">
      <c r="A78" s="222">
        <f t="shared" si="10"/>
        <v>0</v>
      </c>
      <c r="B78" s="223" t="b">
        <f t="shared" si="11"/>
        <v>1</v>
      </c>
      <c r="C78" s="222">
        <f t="shared" si="12"/>
        <v>0</v>
      </c>
      <c r="D78" s="205" t="str">
        <f t="shared" si="13"/>
        <v>$$$$</v>
      </c>
      <c r="E78" s="224"/>
      <c r="F78" s="225"/>
      <c r="G78" s="226"/>
      <c r="H78" s="227"/>
      <c r="I78" s="228"/>
      <c r="J78" s="228"/>
      <c r="K78" s="229"/>
      <c r="L78" s="230"/>
      <c r="M78" s="231"/>
      <c r="N78" s="232"/>
      <c r="O78" s="230"/>
      <c r="P78" s="231"/>
      <c r="Q78" s="232"/>
      <c r="R78" s="233"/>
      <c r="S78" s="234"/>
      <c r="T78" s="235"/>
      <c r="U78" s="233"/>
      <c r="V78" s="236"/>
      <c r="W78" s="234"/>
      <c r="X78" s="235"/>
      <c r="Y78" s="237"/>
      <c r="Z78" s="238"/>
    </row>
    <row r="79" spans="1:26" s="239" customFormat="1" ht="28.5" customHeight="1" x14ac:dyDescent="0.3">
      <c r="A79" s="222">
        <f t="shared" si="10"/>
        <v>0</v>
      </c>
      <c r="B79" s="223" t="b">
        <f t="shared" si="11"/>
        <v>1</v>
      </c>
      <c r="C79" s="222">
        <f t="shared" si="12"/>
        <v>0</v>
      </c>
      <c r="D79" s="205" t="str">
        <f t="shared" si="13"/>
        <v>$$$$</v>
      </c>
      <c r="E79" s="224"/>
      <c r="F79" s="225"/>
      <c r="G79" s="226"/>
      <c r="H79" s="227"/>
      <c r="I79" s="228"/>
      <c r="J79" s="228"/>
      <c r="K79" s="229"/>
      <c r="L79" s="230"/>
      <c r="M79" s="231"/>
      <c r="N79" s="232"/>
      <c r="O79" s="230"/>
      <c r="P79" s="231"/>
      <c r="Q79" s="232"/>
      <c r="R79" s="233"/>
      <c r="S79" s="234"/>
      <c r="T79" s="235"/>
      <c r="U79" s="233"/>
      <c r="V79" s="236"/>
      <c r="W79" s="234"/>
      <c r="X79" s="235"/>
      <c r="Y79" s="237"/>
      <c r="Z79" s="238"/>
    </row>
    <row r="80" spans="1:26" s="239" customFormat="1" ht="28.5" customHeight="1" x14ac:dyDescent="0.3">
      <c r="A80" s="222">
        <f t="shared" si="10"/>
        <v>0</v>
      </c>
      <c r="B80" s="223" t="b">
        <f t="shared" si="11"/>
        <v>1</v>
      </c>
      <c r="C80" s="222">
        <f t="shared" si="12"/>
        <v>0</v>
      </c>
      <c r="D80" s="205" t="str">
        <f t="shared" si="13"/>
        <v>$$$$</v>
      </c>
      <c r="E80" s="224"/>
      <c r="F80" s="225"/>
      <c r="G80" s="226"/>
      <c r="H80" s="227"/>
      <c r="I80" s="228"/>
      <c r="J80" s="228"/>
      <c r="K80" s="229"/>
      <c r="L80" s="230"/>
      <c r="M80" s="231"/>
      <c r="N80" s="232"/>
      <c r="O80" s="230"/>
      <c r="P80" s="231"/>
      <c r="Q80" s="232"/>
      <c r="R80" s="233"/>
      <c r="S80" s="234"/>
      <c r="T80" s="235"/>
      <c r="U80" s="233"/>
      <c r="V80" s="236"/>
      <c r="W80" s="234"/>
      <c r="X80" s="235"/>
      <c r="Y80" s="237"/>
      <c r="Z80" s="238"/>
    </row>
    <row r="81" spans="1:26" s="239" customFormat="1" ht="28.5" customHeight="1" x14ac:dyDescent="0.3">
      <c r="A81" s="222">
        <f t="shared" si="10"/>
        <v>0</v>
      </c>
      <c r="B81" s="223" t="b">
        <f t="shared" si="11"/>
        <v>1</v>
      </c>
      <c r="C81" s="222">
        <f t="shared" si="12"/>
        <v>0</v>
      </c>
      <c r="D81" s="205" t="str">
        <f t="shared" si="13"/>
        <v>$$$$</v>
      </c>
      <c r="E81" s="224"/>
      <c r="F81" s="225"/>
      <c r="G81" s="226"/>
      <c r="H81" s="227"/>
      <c r="I81" s="228"/>
      <c r="J81" s="228"/>
      <c r="K81" s="229"/>
      <c r="L81" s="230"/>
      <c r="M81" s="231"/>
      <c r="N81" s="232"/>
      <c r="O81" s="230"/>
      <c r="P81" s="231"/>
      <c r="Q81" s="232"/>
      <c r="R81" s="233"/>
      <c r="S81" s="234"/>
      <c r="T81" s="235"/>
      <c r="U81" s="233"/>
      <c r="V81" s="236"/>
      <c r="W81" s="234"/>
      <c r="X81" s="235"/>
      <c r="Y81" s="237"/>
      <c r="Z81" s="238"/>
    </row>
    <row r="82" spans="1:26" s="239" customFormat="1" ht="28.5" customHeight="1" x14ac:dyDescent="0.3">
      <c r="A82" s="222">
        <f t="shared" si="10"/>
        <v>0</v>
      </c>
      <c r="B82" s="223" t="b">
        <f t="shared" si="11"/>
        <v>1</v>
      </c>
      <c r="C82" s="222">
        <f t="shared" si="12"/>
        <v>0</v>
      </c>
      <c r="D82" s="205" t="str">
        <f t="shared" si="13"/>
        <v>$$$$</v>
      </c>
      <c r="E82" s="224"/>
      <c r="F82" s="225"/>
      <c r="G82" s="226"/>
      <c r="H82" s="227"/>
      <c r="I82" s="228"/>
      <c r="J82" s="228"/>
      <c r="K82" s="229"/>
      <c r="L82" s="230"/>
      <c r="M82" s="231"/>
      <c r="N82" s="232"/>
      <c r="O82" s="230"/>
      <c r="P82" s="231"/>
      <c r="Q82" s="232"/>
      <c r="R82" s="233"/>
      <c r="S82" s="234"/>
      <c r="T82" s="235"/>
      <c r="U82" s="233"/>
      <c r="V82" s="236"/>
      <c r="W82" s="234"/>
      <c r="X82" s="235"/>
      <c r="Y82" s="237"/>
      <c r="Z82" s="238"/>
    </row>
    <row r="83" spans="1:26" s="239" customFormat="1" ht="28.5" customHeight="1" x14ac:dyDescent="0.3">
      <c r="A83" s="222">
        <f t="shared" si="10"/>
        <v>0</v>
      </c>
      <c r="B83" s="223" t="b">
        <f t="shared" si="11"/>
        <v>1</v>
      </c>
      <c r="C83" s="222">
        <f t="shared" si="12"/>
        <v>0</v>
      </c>
      <c r="D83" s="205" t="str">
        <f t="shared" si="13"/>
        <v>$$$$</v>
      </c>
      <c r="E83" s="224"/>
      <c r="F83" s="225"/>
      <c r="G83" s="226"/>
      <c r="H83" s="227"/>
      <c r="I83" s="228"/>
      <c r="J83" s="228"/>
      <c r="K83" s="229"/>
      <c r="L83" s="230"/>
      <c r="M83" s="231"/>
      <c r="N83" s="232"/>
      <c r="O83" s="230"/>
      <c r="P83" s="231"/>
      <c r="Q83" s="232"/>
      <c r="R83" s="233"/>
      <c r="S83" s="234"/>
      <c r="T83" s="235"/>
      <c r="U83" s="233"/>
      <c r="V83" s="236"/>
      <c r="W83" s="234"/>
      <c r="X83" s="235"/>
      <c r="Y83" s="237"/>
      <c r="Z83" s="238"/>
    </row>
    <row r="84" spans="1:26" s="239" customFormat="1" ht="28.5" customHeight="1" x14ac:dyDescent="0.3">
      <c r="A84" s="222">
        <f t="shared" si="10"/>
        <v>0</v>
      </c>
      <c r="B84" s="223" t="b">
        <f t="shared" si="11"/>
        <v>1</v>
      </c>
      <c r="C84" s="222">
        <f t="shared" si="12"/>
        <v>0</v>
      </c>
      <c r="D84" s="205" t="str">
        <f t="shared" si="13"/>
        <v>$$$$</v>
      </c>
      <c r="E84" s="224"/>
      <c r="F84" s="225"/>
      <c r="G84" s="226"/>
      <c r="H84" s="227"/>
      <c r="I84" s="228"/>
      <c r="J84" s="228"/>
      <c r="K84" s="229"/>
      <c r="L84" s="230"/>
      <c r="M84" s="231"/>
      <c r="N84" s="232"/>
      <c r="O84" s="230"/>
      <c r="P84" s="231"/>
      <c r="Q84" s="232"/>
      <c r="R84" s="233"/>
      <c r="S84" s="234"/>
      <c r="T84" s="235"/>
      <c r="U84" s="233"/>
      <c r="V84" s="236"/>
      <c r="W84" s="234"/>
      <c r="X84" s="235"/>
      <c r="Y84" s="237"/>
      <c r="Z84" s="238"/>
    </row>
    <row r="85" spans="1:26" s="239" customFormat="1" ht="28.5" customHeight="1" x14ac:dyDescent="0.3">
      <c r="A85" s="222">
        <f t="shared" si="10"/>
        <v>0</v>
      </c>
      <c r="B85" s="223" t="b">
        <f t="shared" si="11"/>
        <v>1</v>
      </c>
      <c r="C85" s="222">
        <f t="shared" si="12"/>
        <v>0</v>
      </c>
      <c r="D85" s="205" t="str">
        <f t="shared" si="13"/>
        <v>$$$$</v>
      </c>
      <c r="E85" s="224"/>
      <c r="F85" s="225"/>
      <c r="G85" s="226"/>
      <c r="H85" s="227"/>
      <c r="I85" s="228"/>
      <c r="J85" s="228"/>
      <c r="K85" s="229"/>
      <c r="L85" s="230"/>
      <c r="M85" s="231"/>
      <c r="N85" s="232"/>
      <c r="O85" s="230"/>
      <c r="P85" s="231"/>
      <c r="Q85" s="232"/>
      <c r="R85" s="233"/>
      <c r="S85" s="234"/>
      <c r="T85" s="235"/>
      <c r="U85" s="233"/>
      <c r="V85" s="236"/>
      <c r="W85" s="234"/>
      <c r="X85" s="235"/>
      <c r="Y85" s="237"/>
      <c r="Z85" s="238"/>
    </row>
    <row r="86" spans="1:26" s="239" customFormat="1" ht="28.5" customHeight="1" x14ac:dyDescent="0.3">
      <c r="A86" s="222">
        <f t="shared" si="10"/>
        <v>0</v>
      </c>
      <c r="B86" s="223" t="b">
        <f t="shared" si="11"/>
        <v>1</v>
      </c>
      <c r="C86" s="222">
        <f t="shared" si="12"/>
        <v>0</v>
      </c>
      <c r="D86" s="205" t="str">
        <f t="shared" si="13"/>
        <v>$$$$</v>
      </c>
      <c r="E86" s="224"/>
      <c r="F86" s="225"/>
      <c r="G86" s="226"/>
      <c r="H86" s="227"/>
      <c r="I86" s="228"/>
      <c r="J86" s="228"/>
      <c r="K86" s="229"/>
      <c r="L86" s="230"/>
      <c r="M86" s="231"/>
      <c r="N86" s="232"/>
      <c r="O86" s="230"/>
      <c r="P86" s="231"/>
      <c r="Q86" s="232"/>
      <c r="R86" s="233"/>
      <c r="S86" s="234"/>
      <c r="T86" s="235"/>
      <c r="U86" s="233"/>
      <c r="V86" s="236"/>
      <c r="W86" s="234"/>
      <c r="X86" s="235"/>
      <c r="Y86" s="237"/>
      <c r="Z86" s="238"/>
    </row>
    <row r="87" spans="1:26" s="239" customFormat="1" ht="28.5" customHeight="1" x14ac:dyDescent="0.3">
      <c r="A87" s="222">
        <f t="shared" si="10"/>
        <v>0</v>
      </c>
      <c r="B87" s="223" t="b">
        <f t="shared" si="11"/>
        <v>1</v>
      </c>
      <c r="C87" s="222">
        <f t="shared" si="12"/>
        <v>0</v>
      </c>
      <c r="D87" s="205" t="str">
        <f t="shared" si="13"/>
        <v>$$$$</v>
      </c>
      <c r="E87" s="224"/>
      <c r="F87" s="225"/>
      <c r="G87" s="226"/>
      <c r="H87" s="227"/>
      <c r="I87" s="228"/>
      <c r="J87" s="228"/>
      <c r="K87" s="229"/>
      <c r="L87" s="230"/>
      <c r="M87" s="231"/>
      <c r="N87" s="232"/>
      <c r="O87" s="230"/>
      <c r="P87" s="231"/>
      <c r="Q87" s="232"/>
      <c r="R87" s="233"/>
      <c r="S87" s="234"/>
      <c r="T87" s="235"/>
      <c r="U87" s="233"/>
      <c r="V87" s="236"/>
      <c r="W87" s="234"/>
      <c r="X87" s="235"/>
      <c r="Y87" s="237"/>
      <c r="Z87" s="238"/>
    </row>
    <row r="88" spans="1:26" s="239" customFormat="1" ht="28.5" customHeight="1" x14ac:dyDescent="0.3">
      <c r="A88" s="222">
        <f t="shared" si="10"/>
        <v>0</v>
      </c>
      <c r="B88" s="223" t="b">
        <f t="shared" si="11"/>
        <v>1</v>
      </c>
      <c r="C88" s="222">
        <f t="shared" si="12"/>
        <v>0</v>
      </c>
      <c r="D88" s="205" t="str">
        <f t="shared" si="13"/>
        <v>$$$$</v>
      </c>
      <c r="E88" s="224"/>
      <c r="F88" s="225"/>
      <c r="G88" s="226"/>
      <c r="H88" s="227"/>
      <c r="I88" s="228"/>
      <c r="J88" s="228"/>
      <c r="K88" s="229"/>
      <c r="L88" s="230"/>
      <c r="M88" s="231"/>
      <c r="N88" s="232"/>
      <c r="O88" s="230"/>
      <c r="P88" s="231"/>
      <c r="Q88" s="232"/>
      <c r="R88" s="233"/>
      <c r="S88" s="234"/>
      <c r="T88" s="235"/>
      <c r="U88" s="233"/>
      <c r="V88" s="236"/>
      <c r="W88" s="234"/>
      <c r="X88" s="235"/>
      <c r="Y88" s="237"/>
      <c r="Z88" s="238"/>
    </row>
    <row r="89" spans="1:26" s="239" customFormat="1" ht="28.5" customHeight="1" x14ac:dyDescent="0.3">
      <c r="A89" s="222">
        <f t="shared" si="10"/>
        <v>0</v>
      </c>
      <c r="B89" s="223" t="b">
        <f t="shared" si="11"/>
        <v>1</v>
      </c>
      <c r="C89" s="222">
        <f t="shared" si="12"/>
        <v>0</v>
      </c>
      <c r="D89" s="205" t="str">
        <f t="shared" si="13"/>
        <v>$$$$</v>
      </c>
      <c r="E89" s="224"/>
      <c r="F89" s="225"/>
      <c r="G89" s="226"/>
      <c r="H89" s="227"/>
      <c r="I89" s="228"/>
      <c r="J89" s="228"/>
      <c r="K89" s="229"/>
      <c r="L89" s="230"/>
      <c r="M89" s="231"/>
      <c r="N89" s="232"/>
      <c r="O89" s="230"/>
      <c r="P89" s="231"/>
      <c r="Q89" s="232"/>
      <c r="R89" s="233"/>
      <c r="S89" s="234"/>
      <c r="T89" s="235"/>
      <c r="U89" s="233"/>
      <c r="V89" s="236"/>
      <c r="W89" s="234"/>
      <c r="X89" s="235"/>
      <c r="Y89" s="237"/>
      <c r="Z89" s="238"/>
    </row>
    <row r="90" spans="1:26" s="239" customFormat="1" ht="28.5" customHeight="1" x14ac:dyDescent="0.3">
      <c r="A90" s="222">
        <f t="shared" si="10"/>
        <v>0</v>
      </c>
      <c r="B90" s="223" t="b">
        <f t="shared" si="11"/>
        <v>1</v>
      </c>
      <c r="C90" s="222">
        <f t="shared" si="12"/>
        <v>0</v>
      </c>
      <c r="D90" s="205" t="str">
        <f t="shared" si="13"/>
        <v>$$$$</v>
      </c>
      <c r="E90" s="224"/>
      <c r="F90" s="225"/>
      <c r="G90" s="226"/>
      <c r="H90" s="227"/>
      <c r="I90" s="228"/>
      <c r="J90" s="228"/>
      <c r="K90" s="229"/>
      <c r="L90" s="230"/>
      <c r="M90" s="231"/>
      <c r="N90" s="232"/>
      <c r="O90" s="230"/>
      <c r="P90" s="231"/>
      <c r="Q90" s="232"/>
      <c r="R90" s="233"/>
      <c r="S90" s="234"/>
      <c r="T90" s="235"/>
      <c r="U90" s="233"/>
      <c r="V90" s="236"/>
      <c r="W90" s="234"/>
      <c r="X90" s="235"/>
      <c r="Y90" s="237"/>
      <c r="Z90" s="238"/>
    </row>
    <row r="91" spans="1:26" s="239" customFormat="1" ht="28.5" customHeight="1" x14ac:dyDescent="0.3">
      <c r="A91" s="222">
        <f t="shared" si="10"/>
        <v>0</v>
      </c>
      <c r="B91" s="223" t="b">
        <f t="shared" si="11"/>
        <v>1</v>
      </c>
      <c r="C91" s="222">
        <f t="shared" si="12"/>
        <v>0</v>
      </c>
      <c r="D91" s="205" t="str">
        <f t="shared" si="13"/>
        <v>$$$$</v>
      </c>
      <c r="E91" s="224"/>
      <c r="F91" s="225"/>
      <c r="G91" s="226"/>
      <c r="H91" s="227"/>
      <c r="I91" s="228"/>
      <c r="J91" s="228"/>
      <c r="K91" s="229"/>
      <c r="L91" s="230"/>
      <c r="M91" s="231"/>
      <c r="N91" s="232"/>
      <c r="O91" s="230"/>
      <c r="P91" s="231"/>
      <c r="Q91" s="232"/>
      <c r="R91" s="233"/>
      <c r="S91" s="234"/>
      <c r="T91" s="235"/>
      <c r="U91" s="233"/>
      <c r="V91" s="236"/>
      <c r="W91" s="234"/>
      <c r="X91" s="235"/>
      <c r="Y91" s="237"/>
      <c r="Z91" s="238"/>
    </row>
    <row r="92" spans="1:26" s="239" customFormat="1" ht="28.5" customHeight="1" x14ac:dyDescent="0.3">
      <c r="A92" s="222">
        <f t="shared" si="10"/>
        <v>0</v>
      </c>
      <c r="B92" s="223" t="b">
        <f t="shared" si="11"/>
        <v>1</v>
      </c>
      <c r="C92" s="222">
        <f t="shared" si="12"/>
        <v>0</v>
      </c>
      <c r="D92" s="205" t="str">
        <f t="shared" si="13"/>
        <v>$$$$</v>
      </c>
      <c r="E92" s="224"/>
      <c r="F92" s="225"/>
      <c r="G92" s="226"/>
      <c r="H92" s="227"/>
      <c r="I92" s="228"/>
      <c r="J92" s="228"/>
      <c r="K92" s="229"/>
      <c r="L92" s="230"/>
      <c r="M92" s="231"/>
      <c r="N92" s="232"/>
      <c r="O92" s="230"/>
      <c r="P92" s="231"/>
      <c r="Q92" s="232"/>
      <c r="R92" s="233"/>
      <c r="S92" s="234"/>
      <c r="T92" s="235"/>
      <c r="U92" s="233"/>
      <c r="V92" s="236"/>
      <c r="W92" s="234"/>
      <c r="X92" s="235"/>
      <c r="Y92" s="237"/>
      <c r="Z92" s="238"/>
    </row>
    <row r="93" spans="1:26" s="239" customFormat="1" ht="28.5" customHeight="1" x14ac:dyDescent="0.3">
      <c r="A93" s="222">
        <f t="shared" si="10"/>
        <v>0</v>
      </c>
      <c r="B93" s="223" t="b">
        <f t="shared" si="11"/>
        <v>1</v>
      </c>
      <c r="C93" s="222">
        <f t="shared" si="12"/>
        <v>0</v>
      </c>
      <c r="D93" s="205" t="str">
        <f t="shared" si="13"/>
        <v>$$$$</v>
      </c>
      <c r="E93" s="224"/>
      <c r="F93" s="225"/>
      <c r="G93" s="226"/>
      <c r="H93" s="227"/>
      <c r="I93" s="228"/>
      <c r="J93" s="228"/>
      <c r="K93" s="229"/>
      <c r="L93" s="230"/>
      <c r="M93" s="231"/>
      <c r="N93" s="232"/>
      <c r="O93" s="230"/>
      <c r="P93" s="231"/>
      <c r="Q93" s="232"/>
      <c r="R93" s="233"/>
      <c r="S93" s="234"/>
      <c r="T93" s="235"/>
      <c r="U93" s="233"/>
      <c r="V93" s="236"/>
      <c r="W93" s="234"/>
      <c r="X93" s="235"/>
      <c r="Y93" s="237"/>
      <c r="Z93" s="238"/>
    </row>
    <row r="94" spans="1:26" s="239" customFormat="1" ht="28.5" customHeight="1" x14ac:dyDescent="0.3">
      <c r="A94" s="222">
        <f t="shared" si="10"/>
        <v>0</v>
      </c>
      <c r="B94" s="223" t="b">
        <f t="shared" si="11"/>
        <v>1</v>
      </c>
      <c r="C94" s="222">
        <f t="shared" si="12"/>
        <v>0</v>
      </c>
      <c r="D94" s="205" t="str">
        <f t="shared" si="13"/>
        <v>$$$$</v>
      </c>
      <c r="E94" s="224"/>
      <c r="F94" s="225"/>
      <c r="G94" s="226"/>
      <c r="H94" s="227"/>
      <c r="I94" s="228"/>
      <c r="J94" s="228"/>
      <c r="K94" s="229"/>
      <c r="L94" s="230"/>
      <c r="M94" s="231"/>
      <c r="N94" s="232"/>
      <c r="O94" s="230"/>
      <c r="P94" s="231"/>
      <c r="Q94" s="232"/>
      <c r="R94" s="233"/>
      <c r="S94" s="234"/>
      <c r="T94" s="235"/>
      <c r="U94" s="233"/>
      <c r="V94" s="236"/>
      <c r="W94" s="234"/>
      <c r="X94" s="235"/>
      <c r="Y94" s="237"/>
      <c r="Z94" s="238"/>
    </row>
    <row r="95" spans="1:26" s="239" customFormat="1" ht="28.5" customHeight="1" x14ac:dyDescent="0.3">
      <c r="A95" s="222">
        <f t="shared" si="10"/>
        <v>0</v>
      </c>
      <c r="B95" s="223" t="b">
        <f t="shared" si="11"/>
        <v>1</v>
      </c>
      <c r="C95" s="222">
        <f t="shared" si="12"/>
        <v>0</v>
      </c>
      <c r="D95" s="205" t="str">
        <f t="shared" si="13"/>
        <v>$$$$</v>
      </c>
      <c r="E95" s="224"/>
      <c r="F95" s="225"/>
      <c r="G95" s="226"/>
      <c r="H95" s="227"/>
      <c r="I95" s="228"/>
      <c r="J95" s="228"/>
      <c r="K95" s="229"/>
      <c r="L95" s="230"/>
      <c r="M95" s="231"/>
      <c r="N95" s="232"/>
      <c r="O95" s="230"/>
      <c r="P95" s="231"/>
      <c r="Q95" s="232"/>
      <c r="R95" s="233"/>
      <c r="S95" s="234"/>
      <c r="T95" s="235"/>
      <c r="U95" s="233"/>
      <c r="V95" s="236"/>
      <c r="W95" s="234"/>
      <c r="X95" s="235"/>
      <c r="Y95" s="237"/>
      <c r="Z95" s="238"/>
    </row>
    <row r="96" spans="1:26" s="239" customFormat="1" ht="28.5" customHeight="1" x14ac:dyDescent="0.3">
      <c r="A96" s="222">
        <f t="shared" si="10"/>
        <v>0</v>
      </c>
      <c r="B96" s="223" t="b">
        <f t="shared" si="11"/>
        <v>1</v>
      </c>
      <c r="C96" s="222">
        <f t="shared" si="12"/>
        <v>0</v>
      </c>
      <c r="D96" s="205" t="str">
        <f t="shared" si="13"/>
        <v>$$$$</v>
      </c>
      <c r="E96" s="224"/>
      <c r="F96" s="225"/>
      <c r="G96" s="226"/>
      <c r="H96" s="227"/>
      <c r="I96" s="228"/>
      <c r="J96" s="228"/>
      <c r="K96" s="229"/>
      <c r="L96" s="230"/>
      <c r="M96" s="231"/>
      <c r="N96" s="232"/>
      <c r="O96" s="230"/>
      <c r="P96" s="231"/>
      <c r="Q96" s="232"/>
      <c r="R96" s="233"/>
      <c r="S96" s="234"/>
      <c r="T96" s="235"/>
      <c r="U96" s="233"/>
      <c r="V96" s="236"/>
      <c r="W96" s="234"/>
      <c r="X96" s="235"/>
      <c r="Y96" s="237"/>
      <c r="Z96" s="238"/>
    </row>
    <row r="97" spans="1:26" s="239" customFormat="1" ht="28.5" customHeight="1" x14ac:dyDescent="0.3">
      <c r="A97" s="222">
        <f t="shared" si="10"/>
        <v>0</v>
      </c>
      <c r="B97" s="223" t="b">
        <f t="shared" si="11"/>
        <v>1</v>
      </c>
      <c r="C97" s="222">
        <f t="shared" si="12"/>
        <v>0</v>
      </c>
      <c r="D97" s="205" t="str">
        <f t="shared" si="13"/>
        <v>$$$$</v>
      </c>
      <c r="E97" s="224"/>
      <c r="F97" s="225"/>
      <c r="G97" s="226"/>
      <c r="H97" s="227"/>
      <c r="I97" s="228"/>
      <c r="J97" s="228"/>
      <c r="K97" s="229"/>
      <c r="L97" s="230"/>
      <c r="M97" s="231"/>
      <c r="N97" s="232"/>
      <c r="O97" s="230"/>
      <c r="P97" s="231"/>
      <c r="Q97" s="232"/>
      <c r="R97" s="233"/>
      <c r="S97" s="234"/>
      <c r="T97" s="235"/>
      <c r="U97" s="233"/>
      <c r="V97" s="236"/>
      <c r="W97" s="234"/>
      <c r="X97" s="235"/>
      <c r="Y97" s="237"/>
      <c r="Z97" s="238"/>
    </row>
    <row r="98" spans="1:26" s="239" customFormat="1" ht="28.5" customHeight="1" x14ac:dyDescent="0.3">
      <c r="A98" s="222">
        <f t="shared" si="10"/>
        <v>0</v>
      </c>
      <c r="B98" s="223" t="b">
        <f t="shared" si="11"/>
        <v>1</v>
      </c>
      <c r="C98" s="222">
        <f t="shared" si="12"/>
        <v>0</v>
      </c>
      <c r="D98" s="205" t="str">
        <f t="shared" si="13"/>
        <v>$$$$</v>
      </c>
      <c r="E98" s="224"/>
      <c r="F98" s="225"/>
      <c r="G98" s="226"/>
      <c r="H98" s="227"/>
      <c r="I98" s="228"/>
      <c r="J98" s="228"/>
      <c r="K98" s="229"/>
      <c r="L98" s="230"/>
      <c r="M98" s="231"/>
      <c r="N98" s="232"/>
      <c r="O98" s="230"/>
      <c r="P98" s="231"/>
      <c r="Q98" s="232"/>
      <c r="R98" s="233"/>
      <c r="S98" s="234"/>
      <c r="T98" s="235"/>
      <c r="U98" s="233"/>
      <c r="V98" s="236"/>
      <c r="W98" s="234"/>
      <c r="X98" s="235"/>
      <c r="Y98" s="237"/>
      <c r="Z98" s="238"/>
    </row>
    <row r="99" spans="1:26" s="239" customFormat="1" ht="28.5" customHeight="1" x14ac:dyDescent="0.3">
      <c r="A99" s="222">
        <f t="shared" si="10"/>
        <v>0</v>
      </c>
      <c r="B99" s="223" t="b">
        <f t="shared" si="11"/>
        <v>1</v>
      </c>
      <c r="C99" s="222">
        <f t="shared" si="12"/>
        <v>0</v>
      </c>
      <c r="D99" s="205" t="str">
        <f t="shared" si="13"/>
        <v>$$$$</v>
      </c>
      <c r="E99" s="224"/>
      <c r="F99" s="225"/>
      <c r="G99" s="226"/>
      <c r="H99" s="227"/>
      <c r="I99" s="228"/>
      <c r="J99" s="228"/>
      <c r="K99" s="229"/>
      <c r="L99" s="230"/>
      <c r="M99" s="231"/>
      <c r="N99" s="232"/>
      <c r="O99" s="230"/>
      <c r="P99" s="231"/>
      <c r="Q99" s="232"/>
      <c r="R99" s="233"/>
      <c r="S99" s="234"/>
      <c r="T99" s="235"/>
      <c r="U99" s="233"/>
      <c r="V99" s="236"/>
      <c r="W99" s="234"/>
      <c r="X99" s="235"/>
      <c r="Y99" s="237"/>
      <c r="Z99" s="238"/>
    </row>
    <row r="100" spans="1:26" s="239" customFormat="1" ht="28.5" customHeight="1" x14ac:dyDescent="0.3">
      <c r="A100" s="222">
        <f t="shared" si="10"/>
        <v>0</v>
      </c>
      <c r="B100" s="223" t="b">
        <f t="shared" si="11"/>
        <v>1</v>
      </c>
      <c r="C100" s="222">
        <f t="shared" si="12"/>
        <v>0</v>
      </c>
      <c r="D100" s="205" t="str">
        <f t="shared" si="13"/>
        <v>$$$$</v>
      </c>
      <c r="E100" s="224"/>
      <c r="F100" s="225"/>
      <c r="G100" s="226"/>
      <c r="H100" s="227"/>
      <c r="I100" s="228"/>
      <c r="J100" s="228"/>
      <c r="K100" s="229"/>
      <c r="L100" s="230"/>
      <c r="M100" s="231"/>
      <c r="N100" s="232"/>
      <c r="O100" s="230"/>
      <c r="P100" s="231"/>
      <c r="Q100" s="232"/>
      <c r="R100" s="233"/>
      <c r="S100" s="234"/>
      <c r="T100" s="235"/>
      <c r="U100" s="233"/>
      <c r="V100" s="236"/>
      <c r="W100" s="234"/>
      <c r="X100" s="235"/>
      <c r="Y100" s="237"/>
      <c r="Z100" s="238"/>
    </row>
    <row r="101" spans="1:26" s="239" customFormat="1" ht="28.5" customHeight="1" x14ac:dyDescent="0.3">
      <c r="A101" s="222">
        <f t="shared" si="10"/>
        <v>0</v>
      </c>
      <c r="B101" s="223" t="b">
        <f t="shared" si="11"/>
        <v>1</v>
      </c>
      <c r="C101" s="222">
        <f t="shared" si="12"/>
        <v>0</v>
      </c>
      <c r="D101" s="205" t="str">
        <f t="shared" si="13"/>
        <v>$$$$</v>
      </c>
      <c r="E101" s="224"/>
      <c r="F101" s="225"/>
      <c r="G101" s="226"/>
      <c r="H101" s="227"/>
      <c r="I101" s="228"/>
      <c r="J101" s="228"/>
      <c r="K101" s="229"/>
      <c r="L101" s="230"/>
      <c r="M101" s="231"/>
      <c r="N101" s="232"/>
      <c r="O101" s="230"/>
      <c r="P101" s="231"/>
      <c r="Q101" s="232"/>
      <c r="R101" s="233"/>
      <c r="S101" s="234"/>
      <c r="T101" s="235"/>
      <c r="U101" s="233"/>
      <c r="V101" s="236"/>
      <c r="W101" s="234"/>
      <c r="X101" s="235"/>
      <c r="Y101" s="237"/>
      <c r="Z101" s="238"/>
    </row>
    <row r="102" spans="1:26" s="239" customFormat="1" ht="28.5" customHeight="1" x14ac:dyDescent="0.3">
      <c r="A102" s="222">
        <f t="shared" si="10"/>
        <v>0</v>
      </c>
      <c r="B102" s="223" t="b">
        <f t="shared" si="11"/>
        <v>1</v>
      </c>
      <c r="C102" s="222">
        <f t="shared" si="12"/>
        <v>0</v>
      </c>
      <c r="D102" s="205" t="str">
        <f t="shared" si="13"/>
        <v>$$$$</v>
      </c>
      <c r="E102" s="224"/>
      <c r="F102" s="225"/>
      <c r="G102" s="226"/>
      <c r="H102" s="227"/>
      <c r="I102" s="228"/>
      <c r="J102" s="228"/>
      <c r="K102" s="229"/>
      <c r="L102" s="230"/>
      <c r="M102" s="231"/>
      <c r="N102" s="232"/>
      <c r="O102" s="230"/>
      <c r="P102" s="231"/>
      <c r="Q102" s="232"/>
      <c r="R102" s="233"/>
      <c r="S102" s="234"/>
      <c r="T102" s="235"/>
      <c r="U102" s="233"/>
      <c r="V102" s="236"/>
      <c r="W102" s="234"/>
      <c r="X102" s="235"/>
      <c r="Y102" s="237"/>
      <c r="Z102" s="238"/>
    </row>
    <row r="103" spans="1:26" s="239" customFormat="1" ht="28.5" customHeight="1" x14ac:dyDescent="0.3">
      <c r="A103" s="222">
        <f t="shared" ref="A103:A159" si="14">IF(B103,0,MATCH(H103,ВидыНагр,0))</f>
        <v>0</v>
      </c>
      <c r="B103" s="223" t="b">
        <f t="shared" ref="B103:B159" si="15">(COUNTIF(КлючОсень,D103)&lt;&gt;1)</f>
        <v>1</v>
      </c>
      <c r="C103" s="222">
        <f t="shared" ref="C103:C159" si="16">IF(COUNTA(E103:K103,Z103)&gt;0,1,0)+IF(COUNTA(L103:Y103)&gt;0,2,0)</f>
        <v>0</v>
      </c>
      <c r="D103" s="205" t="str">
        <f t="shared" si="13"/>
        <v>$$$$</v>
      </c>
      <c r="E103" s="224"/>
      <c r="F103" s="225"/>
      <c r="G103" s="226"/>
      <c r="H103" s="227"/>
      <c r="I103" s="228"/>
      <c r="J103" s="228"/>
      <c r="K103" s="229"/>
      <c r="L103" s="230"/>
      <c r="M103" s="231"/>
      <c r="N103" s="232"/>
      <c r="O103" s="230"/>
      <c r="P103" s="231"/>
      <c r="Q103" s="232"/>
      <c r="R103" s="233"/>
      <c r="S103" s="234"/>
      <c r="T103" s="235"/>
      <c r="U103" s="233"/>
      <c r="V103" s="236"/>
      <c r="W103" s="234"/>
      <c r="X103" s="235"/>
      <c r="Y103" s="237"/>
      <c r="Z103" s="238"/>
    </row>
    <row r="104" spans="1:26" s="239" customFormat="1" ht="28.5" customHeight="1" x14ac:dyDescent="0.3">
      <c r="A104" s="222">
        <f t="shared" si="14"/>
        <v>0</v>
      </c>
      <c r="B104" s="223" t="b">
        <f t="shared" si="15"/>
        <v>1</v>
      </c>
      <c r="C104" s="222">
        <f t="shared" si="16"/>
        <v>0</v>
      </c>
      <c r="D104" s="205" t="str">
        <f t="shared" si="13"/>
        <v>$$$$</v>
      </c>
      <c r="E104" s="224"/>
      <c r="F104" s="225"/>
      <c r="G104" s="226"/>
      <c r="H104" s="227"/>
      <c r="I104" s="228"/>
      <c r="J104" s="228"/>
      <c r="K104" s="229"/>
      <c r="L104" s="230"/>
      <c r="M104" s="231"/>
      <c r="N104" s="232"/>
      <c r="O104" s="230"/>
      <c r="P104" s="231"/>
      <c r="Q104" s="232"/>
      <c r="R104" s="233"/>
      <c r="S104" s="234"/>
      <c r="T104" s="235"/>
      <c r="U104" s="233"/>
      <c r="V104" s="236"/>
      <c r="W104" s="234"/>
      <c r="X104" s="235"/>
      <c r="Y104" s="237"/>
      <c r="Z104" s="238"/>
    </row>
    <row r="105" spans="1:26" s="239" customFormat="1" ht="28.5" customHeight="1" x14ac:dyDescent="0.3">
      <c r="A105" s="222">
        <f t="shared" si="14"/>
        <v>0</v>
      </c>
      <c r="B105" s="223" t="b">
        <f t="shared" si="15"/>
        <v>1</v>
      </c>
      <c r="C105" s="222">
        <f t="shared" si="16"/>
        <v>0</v>
      </c>
      <c r="D105" s="205" t="str">
        <f t="shared" si="13"/>
        <v>$$$$</v>
      </c>
      <c r="E105" s="224"/>
      <c r="F105" s="225"/>
      <c r="G105" s="226"/>
      <c r="H105" s="227"/>
      <c r="I105" s="228"/>
      <c r="J105" s="228"/>
      <c r="K105" s="229"/>
      <c r="L105" s="230"/>
      <c r="M105" s="231"/>
      <c r="N105" s="232"/>
      <c r="O105" s="230"/>
      <c r="P105" s="231"/>
      <c r="Q105" s="232"/>
      <c r="R105" s="233"/>
      <c r="S105" s="234"/>
      <c r="T105" s="235"/>
      <c r="U105" s="233"/>
      <c r="V105" s="236"/>
      <c r="W105" s="234"/>
      <c r="X105" s="235"/>
      <c r="Y105" s="237"/>
      <c r="Z105" s="238"/>
    </row>
    <row r="106" spans="1:26" s="239" customFormat="1" ht="28.5" customHeight="1" x14ac:dyDescent="0.3">
      <c r="A106" s="222">
        <f t="shared" si="14"/>
        <v>0</v>
      </c>
      <c r="B106" s="223" t="b">
        <f t="shared" si="15"/>
        <v>1</v>
      </c>
      <c r="C106" s="222">
        <f t="shared" si="16"/>
        <v>0</v>
      </c>
      <c r="D106" s="205" t="str">
        <f t="shared" si="13"/>
        <v>$$$$</v>
      </c>
      <c r="E106" s="224"/>
      <c r="F106" s="225"/>
      <c r="G106" s="226"/>
      <c r="H106" s="227"/>
      <c r="I106" s="228"/>
      <c r="J106" s="228"/>
      <c r="K106" s="229"/>
      <c r="L106" s="230"/>
      <c r="M106" s="231"/>
      <c r="N106" s="232"/>
      <c r="O106" s="230"/>
      <c r="P106" s="231"/>
      <c r="Q106" s="232"/>
      <c r="R106" s="233"/>
      <c r="S106" s="234"/>
      <c r="T106" s="235"/>
      <c r="U106" s="233"/>
      <c r="V106" s="236"/>
      <c r="W106" s="234"/>
      <c r="X106" s="235"/>
      <c r="Y106" s="237"/>
      <c r="Z106" s="238"/>
    </row>
    <row r="107" spans="1:26" s="239" customFormat="1" ht="28.5" customHeight="1" x14ac:dyDescent="0.3">
      <c r="A107" s="222">
        <f>IF(B107,0,MATCH(H107,ВидыНагр,0))</f>
        <v>0</v>
      </c>
      <c r="B107" s="223" t="b">
        <f>(COUNTIF(КлючОсень,D107)&lt;&gt;1)</f>
        <v>1</v>
      </c>
      <c r="C107" s="222">
        <f t="shared" si="16"/>
        <v>0</v>
      </c>
      <c r="D107" s="205" t="str">
        <f>CONCATENATE("$",TRIM(F107),"$",TRIM(G107),"$",H107,"$")</f>
        <v>$$$$</v>
      </c>
      <c r="E107" s="224"/>
      <c r="F107" s="225"/>
      <c r="G107" s="226"/>
      <c r="H107" s="227"/>
      <c r="I107" s="228"/>
      <c r="J107" s="228"/>
      <c r="K107" s="229"/>
      <c r="L107" s="230"/>
      <c r="M107" s="231"/>
      <c r="N107" s="232"/>
      <c r="O107" s="230"/>
      <c r="P107" s="231"/>
      <c r="Q107" s="232"/>
      <c r="R107" s="233"/>
      <c r="S107" s="234"/>
      <c r="T107" s="235"/>
      <c r="U107" s="233"/>
      <c r="V107" s="236"/>
      <c r="W107" s="234"/>
      <c r="X107" s="235"/>
      <c r="Y107" s="237"/>
      <c r="Z107" s="238"/>
    </row>
    <row r="108" spans="1:26" s="239" customFormat="1" ht="28.5" customHeight="1" x14ac:dyDescent="0.3">
      <c r="A108" s="222">
        <f>IF(B108,0,MATCH(H108,ВидыНагр,0))</f>
        <v>0</v>
      </c>
      <c r="B108" s="223" t="b">
        <f>(COUNTIF(КлючОсень,D108)&lt;&gt;1)</f>
        <v>1</v>
      </c>
      <c r="C108" s="222">
        <f t="shared" si="16"/>
        <v>0</v>
      </c>
      <c r="D108" s="205" t="str">
        <f>CONCATENATE("$",TRIM(F108),"$",TRIM(G108),"$",H108,"$")</f>
        <v>$$$$</v>
      </c>
      <c r="E108" s="224"/>
      <c r="F108" s="225"/>
      <c r="G108" s="226"/>
      <c r="H108" s="227"/>
      <c r="I108" s="228"/>
      <c r="J108" s="228"/>
      <c r="K108" s="229"/>
      <c r="L108" s="230"/>
      <c r="M108" s="231"/>
      <c r="N108" s="232"/>
      <c r="O108" s="230"/>
      <c r="P108" s="231"/>
      <c r="Q108" s="232"/>
      <c r="R108" s="233"/>
      <c r="S108" s="234"/>
      <c r="T108" s="235"/>
      <c r="U108" s="233"/>
      <c r="V108" s="236"/>
      <c r="W108" s="234"/>
      <c r="X108" s="235"/>
      <c r="Y108" s="237"/>
      <c r="Z108" s="238"/>
    </row>
    <row r="109" spans="1:26" s="239" customFormat="1" ht="28.5" customHeight="1" x14ac:dyDescent="0.3">
      <c r="A109" s="222">
        <f t="shared" si="14"/>
        <v>0</v>
      </c>
      <c r="B109" s="223" t="b">
        <f t="shared" si="15"/>
        <v>1</v>
      </c>
      <c r="C109" s="222">
        <f t="shared" si="16"/>
        <v>0</v>
      </c>
      <c r="D109" s="205" t="str">
        <f t="shared" si="13"/>
        <v>$$$$</v>
      </c>
      <c r="E109" s="224"/>
      <c r="F109" s="225"/>
      <c r="G109" s="226"/>
      <c r="H109" s="227"/>
      <c r="I109" s="228"/>
      <c r="J109" s="228"/>
      <c r="K109" s="229"/>
      <c r="L109" s="230"/>
      <c r="M109" s="231"/>
      <c r="N109" s="232"/>
      <c r="O109" s="230"/>
      <c r="P109" s="231"/>
      <c r="Q109" s="232"/>
      <c r="R109" s="233"/>
      <c r="S109" s="234"/>
      <c r="T109" s="235"/>
      <c r="U109" s="233"/>
      <c r="V109" s="236"/>
      <c r="W109" s="234"/>
      <c r="X109" s="235"/>
      <c r="Y109" s="237"/>
      <c r="Z109" s="238"/>
    </row>
    <row r="110" spans="1:26" s="239" customFormat="1" ht="28.5" customHeight="1" x14ac:dyDescent="0.3">
      <c r="A110" s="222">
        <f t="shared" si="14"/>
        <v>0</v>
      </c>
      <c r="B110" s="223" t="b">
        <f t="shared" si="15"/>
        <v>1</v>
      </c>
      <c r="C110" s="222">
        <f t="shared" si="16"/>
        <v>0</v>
      </c>
      <c r="D110" s="205" t="str">
        <f t="shared" si="13"/>
        <v>$$$$</v>
      </c>
      <c r="E110" s="224"/>
      <c r="F110" s="225"/>
      <c r="G110" s="226"/>
      <c r="H110" s="227"/>
      <c r="I110" s="228"/>
      <c r="J110" s="228"/>
      <c r="K110" s="229"/>
      <c r="L110" s="230"/>
      <c r="M110" s="231"/>
      <c r="N110" s="232"/>
      <c r="O110" s="230"/>
      <c r="P110" s="231"/>
      <c r="Q110" s="232"/>
      <c r="R110" s="233"/>
      <c r="S110" s="234"/>
      <c r="T110" s="235"/>
      <c r="U110" s="233"/>
      <c r="V110" s="236"/>
      <c r="W110" s="234"/>
      <c r="X110" s="235"/>
      <c r="Y110" s="237"/>
      <c r="Z110" s="238"/>
    </row>
    <row r="111" spans="1:26" s="239" customFormat="1" ht="28.5" customHeight="1" x14ac:dyDescent="0.3">
      <c r="A111" s="222">
        <f t="shared" si="14"/>
        <v>0</v>
      </c>
      <c r="B111" s="223" t="b">
        <f t="shared" si="15"/>
        <v>1</v>
      </c>
      <c r="C111" s="222">
        <f t="shared" si="16"/>
        <v>0</v>
      </c>
      <c r="D111" s="205" t="str">
        <f t="shared" si="13"/>
        <v>$$$$</v>
      </c>
      <c r="E111" s="224"/>
      <c r="F111" s="225"/>
      <c r="G111" s="226"/>
      <c r="H111" s="227"/>
      <c r="I111" s="228"/>
      <c r="J111" s="228"/>
      <c r="K111" s="229"/>
      <c r="L111" s="230"/>
      <c r="M111" s="231"/>
      <c r="N111" s="232"/>
      <c r="O111" s="230"/>
      <c r="P111" s="231"/>
      <c r="Q111" s="232"/>
      <c r="R111" s="233"/>
      <c r="S111" s="234"/>
      <c r="T111" s="235"/>
      <c r="U111" s="233"/>
      <c r="V111" s="236"/>
      <c r="W111" s="234"/>
      <c r="X111" s="235"/>
      <c r="Y111" s="237"/>
      <c r="Z111" s="238"/>
    </row>
    <row r="112" spans="1:26" s="239" customFormat="1" ht="28.5" customHeight="1" x14ac:dyDescent="0.3">
      <c r="A112" s="222">
        <f t="shared" si="14"/>
        <v>0</v>
      </c>
      <c r="B112" s="223" t="b">
        <f t="shared" si="15"/>
        <v>1</v>
      </c>
      <c r="C112" s="222">
        <f t="shared" si="16"/>
        <v>0</v>
      </c>
      <c r="D112" s="205" t="str">
        <f t="shared" si="13"/>
        <v>$$$$</v>
      </c>
      <c r="E112" s="224"/>
      <c r="F112" s="225"/>
      <c r="G112" s="226"/>
      <c r="H112" s="227"/>
      <c r="I112" s="228"/>
      <c r="J112" s="228"/>
      <c r="K112" s="229"/>
      <c r="L112" s="230"/>
      <c r="M112" s="231"/>
      <c r="N112" s="232"/>
      <c r="O112" s="230"/>
      <c r="P112" s="231"/>
      <c r="Q112" s="232"/>
      <c r="R112" s="233"/>
      <c r="S112" s="234"/>
      <c r="T112" s="235"/>
      <c r="U112" s="233"/>
      <c r="V112" s="236"/>
      <c r="W112" s="234"/>
      <c r="X112" s="235"/>
      <c r="Y112" s="237"/>
      <c r="Z112" s="238"/>
    </row>
    <row r="113" spans="1:26" s="239" customFormat="1" ht="28.5" customHeight="1" x14ac:dyDescent="0.3">
      <c r="A113" s="222">
        <f t="shared" si="14"/>
        <v>0</v>
      </c>
      <c r="B113" s="223" t="b">
        <f t="shared" si="15"/>
        <v>1</v>
      </c>
      <c r="C113" s="222">
        <f t="shared" si="16"/>
        <v>0</v>
      </c>
      <c r="D113" s="205" t="str">
        <f t="shared" si="13"/>
        <v>$$$$</v>
      </c>
      <c r="E113" s="224"/>
      <c r="F113" s="225"/>
      <c r="G113" s="226"/>
      <c r="H113" s="227"/>
      <c r="I113" s="228"/>
      <c r="J113" s="228"/>
      <c r="K113" s="229"/>
      <c r="L113" s="230"/>
      <c r="M113" s="231"/>
      <c r="N113" s="232"/>
      <c r="O113" s="230"/>
      <c r="P113" s="231"/>
      <c r="Q113" s="232"/>
      <c r="R113" s="233"/>
      <c r="S113" s="234"/>
      <c r="T113" s="235"/>
      <c r="U113" s="233"/>
      <c r="V113" s="236"/>
      <c r="W113" s="234"/>
      <c r="X113" s="235"/>
      <c r="Y113" s="237"/>
      <c r="Z113" s="238"/>
    </row>
    <row r="114" spans="1:26" s="239" customFormat="1" ht="28.5" customHeight="1" x14ac:dyDescent="0.3">
      <c r="A114" s="222">
        <f t="shared" si="14"/>
        <v>0</v>
      </c>
      <c r="B114" s="223" t="b">
        <f t="shared" si="15"/>
        <v>1</v>
      </c>
      <c r="C114" s="222">
        <f t="shared" si="16"/>
        <v>0</v>
      </c>
      <c r="D114" s="205" t="str">
        <f t="shared" si="13"/>
        <v>$$$$</v>
      </c>
      <c r="E114" s="224"/>
      <c r="F114" s="225"/>
      <c r="G114" s="226"/>
      <c r="H114" s="227"/>
      <c r="I114" s="228"/>
      <c r="J114" s="228"/>
      <c r="K114" s="229"/>
      <c r="L114" s="230"/>
      <c r="M114" s="231"/>
      <c r="N114" s="232"/>
      <c r="O114" s="230"/>
      <c r="P114" s="231"/>
      <c r="Q114" s="232"/>
      <c r="R114" s="233"/>
      <c r="S114" s="234"/>
      <c r="T114" s="235"/>
      <c r="U114" s="233"/>
      <c r="V114" s="236"/>
      <c r="W114" s="234"/>
      <c r="X114" s="235"/>
      <c r="Y114" s="237"/>
      <c r="Z114" s="238"/>
    </row>
    <row r="115" spans="1:26" s="239" customFormat="1" ht="28.5" customHeight="1" x14ac:dyDescent="0.3">
      <c r="A115" s="222">
        <f t="shared" si="14"/>
        <v>0</v>
      </c>
      <c r="B115" s="223" t="b">
        <f t="shared" si="15"/>
        <v>1</v>
      </c>
      <c r="C115" s="222">
        <f t="shared" si="16"/>
        <v>0</v>
      </c>
      <c r="D115" s="205" t="str">
        <f t="shared" si="13"/>
        <v>$$$$</v>
      </c>
      <c r="E115" s="224"/>
      <c r="F115" s="225"/>
      <c r="G115" s="226"/>
      <c r="H115" s="227"/>
      <c r="I115" s="228"/>
      <c r="J115" s="228"/>
      <c r="K115" s="229"/>
      <c r="L115" s="230"/>
      <c r="M115" s="231"/>
      <c r="N115" s="232"/>
      <c r="O115" s="230"/>
      <c r="P115" s="231"/>
      <c r="Q115" s="232"/>
      <c r="R115" s="233"/>
      <c r="S115" s="234"/>
      <c r="T115" s="235"/>
      <c r="U115" s="233"/>
      <c r="V115" s="236"/>
      <c r="W115" s="234"/>
      <c r="X115" s="235"/>
      <c r="Y115" s="237"/>
      <c r="Z115" s="238"/>
    </row>
    <row r="116" spans="1:26" s="239" customFormat="1" ht="28.5" customHeight="1" x14ac:dyDescent="0.3">
      <c r="A116" s="222">
        <f t="shared" si="14"/>
        <v>0</v>
      </c>
      <c r="B116" s="223" t="b">
        <f t="shared" si="15"/>
        <v>1</v>
      </c>
      <c r="C116" s="222">
        <f t="shared" si="16"/>
        <v>0</v>
      </c>
      <c r="D116" s="205" t="str">
        <f t="shared" si="13"/>
        <v>$$$$</v>
      </c>
      <c r="E116" s="224"/>
      <c r="F116" s="225"/>
      <c r="G116" s="226"/>
      <c r="H116" s="227"/>
      <c r="I116" s="228"/>
      <c r="J116" s="228"/>
      <c r="K116" s="229"/>
      <c r="L116" s="230"/>
      <c r="M116" s="231"/>
      <c r="N116" s="232"/>
      <c r="O116" s="230"/>
      <c r="P116" s="231"/>
      <c r="Q116" s="232"/>
      <c r="R116" s="233"/>
      <c r="S116" s="234"/>
      <c r="T116" s="235"/>
      <c r="U116" s="233"/>
      <c r="V116" s="236"/>
      <c r="W116" s="234"/>
      <c r="X116" s="235"/>
      <c r="Y116" s="237"/>
      <c r="Z116" s="238"/>
    </row>
    <row r="117" spans="1:26" s="239" customFormat="1" ht="28.5" customHeight="1" x14ac:dyDescent="0.3">
      <c r="A117" s="222">
        <f t="shared" si="14"/>
        <v>0</v>
      </c>
      <c r="B117" s="223" t="b">
        <f t="shared" si="15"/>
        <v>1</v>
      </c>
      <c r="C117" s="222">
        <f t="shared" si="16"/>
        <v>0</v>
      </c>
      <c r="D117" s="205" t="str">
        <f t="shared" si="13"/>
        <v>$$$$</v>
      </c>
      <c r="E117" s="224"/>
      <c r="F117" s="225"/>
      <c r="G117" s="226"/>
      <c r="H117" s="227"/>
      <c r="I117" s="228"/>
      <c r="J117" s="228"/>
      <c r="K117" s="229"/>
      <c r="L117" s="230"/>
      <c r="M117" s="231"/>
      <c r="N117" s="232"/>
      <c r="O117" s="230"/>
      <c r="P117" s="231"/>
      <c r="Q117" s="232"/>
      <c r="R117" s="233"/>
      <c r="S117" s="234"/>
      <c r="T117" s="235"/>
      <c r="U117" s="233"/>
      <c r="V117" s="236"/>
      <c r="W117" s="234"/>
      <c r="X117" s="235"/>
      <c r="Y117" s="237"/>
      <c r="Z117" s="238"/>
    </row>
    <row r="118" spans="1:26" s="239" customFormat="1" ht="28.5" customHeight="1" x14ac:dyDescent="0.3">
      <c r="A118" s="222">
        <f t="shared" si="14"/>
        <v>0</v>
      </c>
      <c r="B118" s="223" t="b">
        <f t="shared" si="15"/>
        <v>1</v>
      </c>
      <c r="C118" s="222">
        <f t="shared" si="16"/>
        <v>0</v>
      </c>
      <c r="D118" s="205" t="str">
        <f t="shared" si="13"/>
        <v>$$$$</v>
      </c>
      <c r="E118" s="224"/>
      <c r="F118" s="225"/>
      <c r="G118" s="226"/>
      <c r="H118" s="227"/>
      <c r="I118" s="228"/>
      <c r="J118" s="228"/>
      <c r="K118" s="229"/>
      <c r="L118" s="230"/>
      <c r="M118" s="231"/>
      <c r="N118" s="232"/>
      <c r="O118" s="230"/>
      <c r="P118" s="231"/>
      <c r="Q118" s="232"/>
      <c r="R118" s="233"/>
      <c r="S118" s="234"/>
      <c r="T118" s="235"/>
      <c r="U118" s="233"/>
      <c r="V118" s="236"/>
      <c r="W118" s="234"/>
      <c r="X118" s="235"/>
      <c r="Y118" s="237"/>
      <c r="Z118" s="238"/>
    </row>
    <row r="119" spans="1:26" s="239" customFormat="1" ht="28.5" customHeight="1" x14ac:dyDescent="0.3">
      <c r="A119" s="222">
        <f t="shared" si="14"/>
        <v>0</v>
      </c>
      <c r="B119" s="223" t="b">
        <f t="shared" si="15"/>
        <v>1</v>
      </c>
      <c r="C119" s="222">
        <f t="shared" si="16"/>
        <v>0</v>
      </c>
      <c r="D119" s="205" t="str">
        <f t="shared" si="13"/>
        <v>$$$$</v>
      </c>
      <c r="E119" s="224"/>
      <c r="F119" s="225"/>
      <c r="G119" s="226"/>
      <c r="H119" s="227"/>
      <c r="I119" s="228"/>
      <c r="J119" s="228"/>
      <c r="K119" s="229"/>
      <c r="L119" s="230"/>
      <c r="M119" s="231"/>
      <c r="N119" s="232"/>
      <c r="O119" s="230"/>
      <c r="P119" s="231"/>
      <c r="Q119" s="232"/>
      <c r="R119" s="233"/>
      <c r="S119" s="234"/>
      <c r="T119" s="235"/>
      <c r="U119" s="233"/>
      <c r="V119" s="236"/>
      <c r="W119" s="234"/>
      <c r="X119" s="235"/>
      <c r="Y119" s="237"/>
      <c r="Z119" s="238"/>
    </row>
    <row r="120" spans="1:26" s="239" customFormat="1" ht="28.5" customHeight="1" x14ac:dyDescent="0.3">
      <c r="A120" s="222">
        <f t="shared" si="14"/>
        <v>0</v>
      </c>
      <c r="B120" s="223" t="b">
        <f t="shared" si="15"/>
        <v>1</v>
      </c>
      <c r="C120" s="222">
        <f t="shared" si="16"/>
        <v>0</v>
      </c>
      <c r="D120" s="205" t="str">
        <f t="shared" ref="D120:D154" si="17">CONCATENATE("$",TRIM(F120),"$",TRIM(G120),"$",H120,"$")</f>
        <v>$$$$</v>
      </c>
      <c r="E120" s="224"/>
      <c r="F120" s="225"/>
      <c r="G120" s="226"/>
      <c r="H120" s="227"/>
      <c r="I120" s="228"/>
      <c r="J120" s="228"/>
      <c r="K120" s="229"/>
      <c r="L120" s="230"/>
      <c r="M120" s="231"/>
      <c r="N120" s="232"/>
      <c r="O120" s="230"/>
      <c r="P120" s="231"/>
      <c r="Q120" s="232"/>
      <c r="R120" s="233"/>
      <c r="S120" s="234"/>
      <c r="T120" s="235"/>
      <c r="U120" s="233"/>
      <c r="V120" s="236"/>
      <c r="W120" s="234"/>
      <c r="X120" s="235"/>
      <c r="Y120" s="237"/>
      <c r="Z120" s="238"/>
    </row>
    <row r="121" spans="1:26" s="239" customFormat="1" ht="28.5" customHeight="1" x14ac:dyDescent="0.3">
      <c r="A121" s="222">
        <f t="shared" si="14"/>
        <v>0</v>
      </c>
      <c r="B121" s="223" t="b">
        <f t="shared" si="15"/>
        <v>1</v>
      </c>
      <c r="C121" s="222">
        <f t="shared" si="16"/>
        <v>0</v>
      </c>
      <c r="D121" s="205" t="str">
        <f t="shared" si="17"/>
        <v>$$$$</v>
      </c>
      <c r="E121" s="224"/>
      <c r="F121" s="225"/>
      <c r="G121" s="226"/>
      <c r="H121" s="227"/>
      <c r="I121" s="228"/>
      <c r="J121" s="228"/>
      <c r="K121" s="229"/>
      <c r="L121" s="230"/>
      <c r="M121" s="231"/>
      <c r="N121" s="232"/>
      <c r="O121" s="230"/>
      <c r="P121" s="231"/>
      <c r="Q121" s="232"/>
      <c r="R121" s="233"/>
      <c r="S121" s="234"/>
      <c r="T121" s="235"/>
      <c r="U121" s="233"/>
      <c r="V121" s="236"/>
      <c r="W121" s="234"/>
      <c r="X121" s="235"/>
      <c r="Y121" s="237"/>
      <c r="Z121" s="238"/>
    </row>
    <row r="122" spans="1:26" s="239" customFormat="1" ht="28.5" customHeight="1" x14ac:dyDescent="0.3">
      <c r="A122" s="222">
        <f t="shared" si="14"/>
        <v>0</v>
      </c>
      <c r="B122" s="223" t="b">
        <f t="shared" si="15"/>
        <v>1</v>
      </c>
      <c r="C122" s="222">
        <f t="shared" si="16"/>
        <v>0</v>
      </c>
      <c r="D122" s="205" t="str">
        <f t="shared" si="17"/>
        <v>$$$$</v>
      </c>
      <c r="E122" s="224"/>
      <c r="F122" s="225"/>
      <c r="G122" s="226"/>
      <c r="H122" s="227"/>
      <c r="I122" s="228"/>
      <c r="J122" s="228"/>
      <c r="K122" s="229"/>
      <c r="L122" s="230"/>
      <c r="M122" s="231"/>
      <c r="N122" s="232"/>
      <c r="O122" s="230"/>
      <c r="P122" s="231"/>
      <c r="Q122" s="232"/>
      <c r="R122" s="233"/>
      <c r="S122" s="234"/>
      <c r="T122" s="235"/>
      <c r="U122" s="233"/>
      <c r="V122" s="236"/>
      <c r="W122" s="234"/>
      <c r="X122" s="235"/>
      <c r="Y122" s="237"/>
      <c r="Z122" s="238"/>
    </row>
    <row r="123" spans="1:26" s="239" customFormat="1" ht="28.5" customHeight="1" x14ac:dyDescent="0.3">
      <c r="A123" s="222">
        <f t="shared" si="14"/>
        <v>0</v>
      </c>
      <c r="B123" s="223" t="b">
        <f t="shared" si="15"/>
        <v>1</v>
      </c>
      <c r="C123" s="222">
        <f t="shared" si="16"/>
        <v>0</v>
      </c>
      <c r="D123" s="205" t="str">
        <f t="shared" si="17"/>
        <v>$$$$</v>
      </c>
      <c r="E123" s="224"/>
      <c r="F123" s="225"/>
      <c r="G123" s="226"/>
      <c r="H123" s="227"/>
      <c r="I123" s="228"/>
      <c r="J123" s="228"/>
      <c r="K123" s="229"/>
      <c r="L123" s="230"/>
      <c r="M123" s="231"/>
      <c r="N123" s="232"/>
      <c r="O123" s="230"/>
      <c r="P123" s="231"/>
      <c r="Q123" s="232"/>
      <c r="R123" s="233"/>
      <c r="S123" s="234"/>
      <c r="T123" s="235"/>
      <c r="U123" s="233"/>
      <c r="V123" s="236"/>
      <c r="W123" s="234"/>
      <c r="X123" s="235"/>
      <c r="Y123" s="237"/>
      <c r="Z123" s="238"/>
    </row>
    <row r="124" spans="1:26" s="239" customFormat="1" ht="28.5" customHeight="1" x14ac:dyDescent="0.3">
      <c r="A124" s="222">
        <f t="shared" si="14"/>
        <v>0</v>
      </c>
      <c r="B124" s="223" t="b">
        <f t="shared" si="15"/>
        <v>1</v>
      </c>
      <c r="C124" s="222">
        <f t="shared" si="16"/>
        <v>0</v>
      </c>
      <c r="D124" s="205" t="str">
        <f t="shared" si="17"/>
        <v>$$$$</v>
      </c>
      <c r="E124" s="224"/>
      <c r="F124" s="225"/>
      <c r="G124" s="226"/>
      <c r="H124" s="227"/>
      <c r="I124" s="228"/>
      <c r="J124" s="228"/>
      <c r="K124" s="229"/>
      <c r="L124" s="230"/>
      <c r="M124" s="231"/>
      <c r="N124" s="232"/>
      <c r="O124" s="230"/>
      <c r="P124" s="231"/>
      <c r="Q124" s="232"/>
      <c r="R124" s="233"/>
      <c r="S124" s="234"/>
      <c r="T124" s="235"/>
      <c r="U124" s="233"/>
      <c r="V124" s="236"/>
      <c r="W124" s="234"/>
      <c r="X124" s="235"/>
      <c r="Y124" s="237"/>
      <c r="Z124" s="238"/>
    </row>
    <row r="125" spans="1:26" s="239" customFormat="1" ht="28.5" customHeight="1" x14ac:dyDescent="0.3">
      <c r="A125" s="222">
        <f t="shared" si="14"/>
        <v>0</v>
      </c>
      <c r="B125" s="223" t="b">
        <f t="shared" si="15"/>
        <v>1</v>
      </c>
      <c r="C125" s="222">
        <f t="shared" si="16"/>
        <v>0</v>
      </c>
      <c r="D125" s="205" t="str">
        <f t="shared" si="17"/>
        <v>$$$$</v>
      </c>
      <c r="E125" s="224"/>
      <c r="F125" s="225"/>
      <c r="G125" s="226"/>
      <c r="H125" s="227"/>
      <c r="I125" s="228"/>
      <c r="J125" s="228"/>
      <c r="K125" s="229"/>
      <c r="L125" s="230"/>
      <c r="M125" s="231"/>
      <c r="N125" s="232"/>
      <c r="O125" s="230"/>
      <c r="P125" s="231"/>
      <c r="Q125" s="232"/>
      <c r="R125" s="233"/>
      <c r="S125" s="234"/>
      <c r="T125" s="235"/>
      <c r="U125" s="233"/>
      <c r="V125" s="236"/>
      <c r="W125" s="234"/>
      <c r="X125" s="235"/>
      <c r="Y125" s="237"/>
      <c r="Z125" s="238"/>
    </row>
    <row r="126" spans="1:26" s="239" customFormat="1" ht="28.5" customHeight="1" x14ac:dyDescent="0.3">
      <c r="A126" s="222">
        <f t="shared" si="14"/>
        <v>0</v>
      </c>
      <c r="B126" s="223" t="b">
        <f t="shared" si="15"/>
        <v>1</v>
      </c>
      <c r="C126" s="222">
        <f t="shared" si="16"/>
        <v>0</v>
      </c>
      <c r="D126" s="205" t="str">
        <f t="shared" si="17"/>
        <v>$$$$</v>
      </c>
      <c r="E126" s="224"/>
      <c r="F126" s="225"/>
      <c r="G126" s="226"/>
      <c r="H126" s="227"/>
      <c r="I126" s="228"/>
      <c r="J126" s="228"/>
      <c r="K126" s="229"/>
      <c r="L126" s="230"/>
      <c r="M126" s="231"/>
      <c r="N126" s="232"/>
      <c r="O126" s="230"/>
      <c r="P126" s="231"/>
      <c r="Q126" s="232"/>
      <c r="R126" s="233"/>
      <c r="S126" s="234"/>
      <c r="T126" s="235"/>
      <c r="U126" s="233"/>
      <c r="V126" s="236"/>
      <c r="W126" s="234"/>
      <c r="X126" s="235"/>
      <c r="Y126" s="237"/>
      <c r="Z126" s="238"/>
    </row>
    <row r="127" spans="1:26" s="239" customFormat="1" ht="28.5" customHeight="1" x14ac:dyDescent="0.3">
      <c r="A127" s="222">
        <f t="shared" si="14"/>
        <v>0</v>
      </c>
      <c r="B127" s="223" t="b">
        <f t="shared" si="15"/>
        <v>1</v>
      </c>
      <c r="C127" s="222">
        <f t="shared" si="16"/>
        <v>0</v>
      </c>
      <c r="D127" s="205" t="str">
        <f t="shared" si="17"/>
        <v>$$$$</v>
      </c>
      <c r="E127" s="224"/>
      <c r="F127" s="225"/>
      <c r="G127" s="226"/>
      <c r="H127" s="227"/>
      <c r="I127" s="228"/>
      <c r="J127" s="228"/>
      <c r="K127" s="229"/>
      <c r="L127" s="230"/>
      <c r="M127" s="231"/>
      <c r="N127" s="232"/>
      <c r="O127" s="230"/>
      <c r="P127" s="231"/>
      <c r="Q127" s="232"/>
      <c r="R127" s="233"/>
      <c r="S127" s="234"/>
      <c r="T127" s="235"/>
      <c r="U127" s="233"/>
      <c r="V127" s="236"/>
      <c r="W127" s="234"/>
      <c r="X127" s="235"/>
      <c r="Y127" s="237"/>
      <c r="Z127" s="238"/>
    </row>
    <row r="128" spans="1:26" s="239" customFormat="1" ht="28.5" customHeight="1" x14ac:dyDescent="0.3">
      <c r="A128" s="222">
        <f t="shared" si="14"/>
        <v>0</v>
      </c>
      <c r="B128" s="223" t="b">
        <f t="shared" si="15"/>
        <v>1</v>
      </c>
      <c r="C128" s="222">
        <f t="shared" si="16"/>
        <v>0</v>
      </c>
      <c r="D128" s="205" t="str">
        <f t="shared" si="17"/>
        <v>$$$$</v>
      </c>
      <c r="E128" s="224"/>
      <c r="F128" s="225"/>
      <c r="G128" s="226"/>
      <c r="H128" s="227"/>
      <c r="I128" s="228"/>
      <c r="J128" s="228"/>
      <c r="K128" s="229"/>
      <c r="L128" s="230"/>
      <c r="M128" s="231"/>
      <c r="N128" s="232"/>
      <c r="O128" s="230"/>
      <c r="P128" s="231"/>
      <c r="Q128" s="232"/>
      <c r="R128" s="233"/>
      <c r="S128" s="234"/>
      <c r="T128" s="235"/>
      <c r="U128" s="233"/>
      <c r="V128" s="236"/>
      <c r="W128" s="234"/>
      <c r="X128" s="235"/>
      <c r="Y128" s="237"/>
      <c r="Z128" s="238"/>
    </row>
    <row r="129" spans="1:26" s="239" customFormat="1" ht="28.5" customHeight="1" x14ac:dyDescent="0.3">
      <c r="A129" s="222">
        <f t="shared" si="14"/>
        <v>0</v>
      </c>
      <c r="B129" s="223" t="b">
        <f t="shared" si="15"/>
        <v>1</v>
      </c>
      <c r="C129" s="222">
        <f t="shared" si="16"/>
        <v>0</v>
      </c>
      <c r="D129" s="205" t="str">
        <f t="shared" si="17"/>
        <v>$$$$</v>
      </c>
      <c r="E129" s="224"/>
      <c r="F129" s="225"/>
      <c r="G129" s="226"/>
      <c r="H129" s="227"/>
      <c r="I129" s="228"/>
      <c r="J129" s="228"/>
      <c r="K129" s="229"/>
      <c r="L129" s="230"/>
      <c r="M129" s="231"/>
      <c r="N129" s="232"/>
      <c r="O129" s="230"/>
      <c r="P129" s="231"/>
      <c r="Q129" s="232"/>
      <c r="R129" s="233"/>
      <c r="S129" s="234"/>
      <c r="T129" s="235"/>
      <c r="U129" s="233"/>
      <c r="V129" s="236"/>
      <c r="W129" s="234"/>
      <c r="X129" s="235"/>
      <c r="Y129" s="237"/>
      <c r="Z129" s="238"/>
    </row>
    <row r="130" spans="1:26" s="239" customFormat="1" ht="28.5" customHeight="1" x14ac:dyDescent="0.3">
      <c r="A130" s="222">
        <f t="shared" si="14"/>
        <v>0</v>
      </c>
      <c r="B130" s="223" t="b">
        <f t="shared" si="15"/>
        <v>1</v>
      </c>
      <c r="C130" s="222">
        <f t="shared" si="16"/>
        <v>0</v>
      </c>
      <c r="D130" s="205" t="str">
        <f t="shared" si="17"/>
        <v>$$$$</v>
      </c>
      <c r="E130" s="224"/>
      <c r="F130" s="225"/>
      <c r="G130" s="226"/>
      <c r="H130" s="227"/>
      <c r="I130" s="228"/>
      <c r="J130" s="228"/>
      <c r="K130" s="229"/>
      <c r="L130" s="230"/>
      <c r="M130" s="231"/>
      <c r="N130" s="232"/>
      <c r="O130" s="230"/>
      <c r="P130" s="231"/>
      <c r="Q130" s="232"/>
      <c r="R130" s="233"/>
      <c r="S130" s="234"/>
      <c r="T130" s="235"/>
      <c r="U130" s="233"/>
      <c r="V130" s="236"/>
      <c r="W130" s="234"/>
      <c r="X130" s="235"/>
      <c r="Y130" s="237"/>
      <c r="Z130" s="238"/>
    </row>
    <row r="131" spans="1:26" s="239" customFormat="1" ht="28.5" customHeight="1" x14ac:dyDescent="0.3">
      <c r="A131" s="222">
        <f t="shared" si="14"/>
        <v>0</v>
      </c>
      <c r="B131" s="223" t="b">
        <f t="shared" si="15"/>
        <v>1</v>
      </c>
      <c r="C131" s="222">
        <f t="shared" si="16"/>
        <v>0</v>
      </c>
      <c r="D131" s="205" t="str">
        <f t="shared" si="17"/>
        <v>$$$$</v>
      </c>
      <c r="E131" s="224"/>
      <c r="F131" s="225"/>
      <c r="G131" s="226"/>
      <c r="H131" s="227"/>
      <c r="I131" s="228"/>
      <c r="J131" s="228"/>
      <c r="K131" s="229"/>
      <c r="L131" s="230"/>
      <c r="M131" s="231"/>
      <c r="N131" s="232"/>
      <c r="O131" s="230"/>
      <c r="P131" s="231"/>
      <c r="Q131" s="232"/>
      <c r="R131" s="233"/>
      <c r="S131" s="234"/>
      <c r="T131" s="235"/>
      <c r="U131" s="233"/>
      <c r="V131" s="236"/>
      <c r="W131" s="234"/>
      <c r="X131" s="235"/>
      <c r="Y131" s="237"/>
      <c r="Z131" s="238"/>
    </row>
    <row r="132" spans="1:26" s="239" customFormat="1" ht="28.5" customHeight="1" x14ac:dyDescent="0.3">
      <c r="A132" s="222">
        <f t="shared" si="14"/>
        <v>0</v>
      </c>
      <c r="B132" s="223" t="b">
        <f t="shared" si="15"/>
        <v>1</v>
      </c>
      <c r="C132" s="222">
        <f t="shared" si="16"/>
        <v>0</v>
      </c>
      <c r="D132" s="205" t="str">
        <f t="shared" si="17"/>
        <v>$$$$</v>
      </c>
      <c r="E132" s="224"/>
      <c r="F132" s="225"/>
      <c r="G132" s="226"/>
      <c r="H132" s="227"/>
      <c r="I132" s="228"/>
      <c r="J132" s="228"/>
      <c r="K132" s="229"/>
      <c r="L132" s="230"/>
      <c r="M132" s="231"/>
      <c r="N132" s="232"/>
      <c r="O132" s="230"/>
      <c r="P132" s="231"/>
      <c r="Q132" s="232"/>
      <c r="R132" s="233"/>
      <c r="S132" s="234"/>
      <c r="T132" s="235"/>
      <c r="U132" s="233"/>
      <c r="V132" s="236"/>
      <c r="W132" s="234"/>
      <c r="X132" s="235"/>
      <c r="Y132" s="237"/>
      <c r="Z132" s="238"/>
    </row>
    <row r="133" spans="1:26" s="239" customFormat="1" ht="28.5" customHeight="1" x14ac:dyDescent="0.3">
      <c r="A133" s="222">
        <f t="shared" si="14"/>
        <v>0</v>
      </c>
      <c r="B133" s="223" t="b">
        <f t="shared" si="15"/>
        <v>1</v>
      </c>
      <c r="C133" s="222">
        <f t="shared" si="16"/>
        <v>0</v>
      </c>
      <c r="D133" s="205" t="str">
        <f t="shared" si="17"/>
        <v>$$$$</v>
      </c>
      <c r="E133" s="224"/>
      <c r="F133" s="225"/>
      <c r="G133" s="226"/>
      <c r="H133" s="227"/>
      <c r="I133" s="228"/>
      <c r="J133" s="228"/>
      <c r="K133" s="229"/>
      <c r="L133" s="230"/>
      <c r="M133" s="231"/>
      <c r="N133" s="232"/>
      <c r="O133" s="230"/>
      <c r="P133" s="231"/>
      <c r="Q133" s="232"/>
      <c r="R133" s="233"/>
      <c r="S133" s="234"/>
      <c r="T133" s="235"/>
      <c r="U133" s="233"/>
      <c r="V133" s="236"/>
      <c r="W133" s="234"/>
      <c r="X133" s="235"/>
      <c r="Y133" s="237"/>
      <c r="Z133" s="238"/>
    </row>
    <row r="134" spans="1:26" s="239" customFormat="1" ht="28.5" customHeight="1" x14ac:dyDescent="0.3">
      <c r="A134" s="222">
        <f t="shared" si="14"/>
        <v>0</v>
      </c>
      <c r="B134" s="223" t="b">
        <f t="shared" si="15"/>
        <v>1</v>
      </c>
      <c r="C134" s="222">
        <f t="shared" si="16"/>
        <v>0</v>
      </c>
      <c r="D134" s="205" t="str">
        <f t="shared" si="17"/>
        <v>$$$$</v>
      </c>
      <c r="E134" s="224"/>
      <c r="F134" s="225"/>
      <c r="G134" s="226"/>
      <c r="H134" s="227"/>
      <c r="I134" s="228"/>
      <c r="J134" s="228"/>
      <c r="K134" s="229"/>
      <c r="L134" s="230"/>
      <c r="M134" s="231"/>
      <c r="N134" s="232"/>
      <c r="O134" s="230"/>
      <c r="P134" s="231"/>
      <c r="Q134" s="232"/>
      <c r="R134" s="233"/>
      <c r="S134" s="234"/>
      <c r="T134" s="235"/>
      <c r="U134" s="233"/>
      <c r="V134" s="236"/>
      <c r="W134" s="234"/>
      <c r="X134" s="235"/>
      <c r="Y134" s="237"/>
      <c r="Z134" s="238"/>
    </row>
    <row r="135" spans="1:26" s="239" customFormat="1" ht="28.5" customHeight="1" x14ac:dyDescent="0.3">
      <c r="A135" s="222">
        <f t="shared" si="14"/>
        <v>0</v>
      </c>
      <c r="B135" s="223" t="b">
        <f t="shared" si="15"/>
        <v>1</v>
      </c>
      <c r="C135" s="222">
        <f t="shared" si="16"/>
        <v>0</v>
      </c>
      <c r="D135" s="205" t="str">
        <f t="shared" si="17"/>
        <v>$$$$</v>
      </c>
      <c r="E135" s="224"/>
      <c r="F135" s="225"/>
      <c r="G135" s="226"/>
      <c r="H135" s="227"/>
      <c r="I135" s="228"/>
      <c r="J135" s="228"/>
      <c r="K135" s="229"/>
      <c r="L135" s="230"/>
      <c r="M135" s="231"/>
      <c r="N135" s="232"/>
      <c r="O135" s="230"/>
      <c r="P135" s="231"/>
      <c r="Q135" s="232"/>
      <c r="R135" s="233"/>
      <c r="S135" s="234"/>
      <c r="T135" s="235"/>
      <c r="U135" s="233"/>
      <c r="V135" s="236"/>
      <c r="W135" s="234"/>
      <c r="X135" s="235"/>
      <c r="Y135" s="237"/>
      <c r="Z135" s="238"/>
    </row>
    <row r="136" spans="1:26" s="239" customFormat="1" ht="28.5" customHeight="1" x14ac:dyDescent="0.3">
      <c r="A136" s="222">
        <f t="shared" si="14"/>
        <v>0</v>
      </c>
      <c r="B136" s="223" t="b">
        <f t="shared" si="15"/>
        <v>1</v>
      </c>
      <c r="C136" s="222">
        <f t="shared" si="16"/>
        <v>0</v>
      </c>
      <c r="D136" s="205" t="str">
        <f t="shared" si="17"/>
        <v>$$$$</v>
      </c>
      <c r="E136" s="224"/>
      <c r="F136" s="225"/>
      <c r="G136" s="226"/>
      <c r="H136" s="227"/>
      <c r="I136" s="228"/>
      <c r="J136" s="228"/>
      <c r="K136" s="229"/>
      <c r="L136" s="230"/>
      <c r="M136" s="231"/>
      <c r="N136" s="232"/>
      <c r="O136" s="230"/>
      <c r="P136" s="231"/>
      <c r="Q136" s="232"/>
      <c r="R136" s="233"/>
      <c r="S136" s="234"/>
      <c r="T136" s="235"/>
      <c r="U136" s="233"/>
      <c r="V136" s="236"/>
      <c r="W136" s="234"/>
      <c r="X136" s="235"/>
      <c r="Y136" s="237"/>
      <c r="Z136" s="238"/>
    </row>
    <row r="137" spans="1:26" s="239" customFormat="1" ht="28.5" customHeight="1" x14ac:dyDescent="0.3">
      <c r="A137" s="222">
        <f t="shared" si="14"/>
        <v>0</v>
      </c>
      <c r="B137" s="223" t="b">
        <f t="shared" si="15"/>
        <v>1</v>
      </c>
      <c r="C137" s="222">
        <f t="shared" si="16"/>
        <v>0</v>
      </c>
      <c r="D137" s="205" t="str">
        <f t="shared" si="17"/>
        <v>$$$$</v>
      </c>
      <c r="E137" s="224"/>
      <c r="F137" s="225"/>
      <c r="G137" s="226"/>
      <c r="H137" s="227"/>
      <c r="I137" s="228"/>
      <c r="J137" s="228"/>
      <c r="K137" s="229"/>
      <c r="L137" s="230"/>
      <c r="M137" s="231"/>
      <c r="N137" s="232"/>
      <c r="O137" s="230"/>
      <c r="P137" s="231"/>
      <c r="Q137" s="232"/>
      <c r="R137" s="233"/>
      <c r="S137" s="234"/>
      <c r="T137" s="235"/>
      <c r="U137" s="233"/>
      <c r="V137" s="236"/>
      <c r="W137" s="234"/>
      <c r="X137" s="235"/>
      <c r="Y137" s="237"/>
      <c r="Z137" s="238"/>
    </row>
    <row r="138" spans="1:26" s="239" customFormat="1" ht="28.5" customHeight="1" x14ac:dyDescent="0.3">
      <c r="A138" s="222">
        <f t="shared" si="14"/>
        <v>0</v>
      </c>
      <c r="B138" s="223" t="b">
        <f t="shared" si="15"/>
        <v>1</v>
      </c>
      <c r="C138" s="222">
        <f t="shared" si="16"/>
        <v>0</v>
      </c>
      <c r="D138" s="205" t="str">
        <f t="shared" si="17"/>
        <v>$$$$</v>
      </c>
      <c r="E138" s="224"/>
      <c r="F138" s="225"/>
      <c r="G138" s="226"/>
      <c r="H138" s="227"/>
      <c r="I138" s="228"/>
      <c r="J138" s="228"/>
      <c r="K138" s="229"/>
      <c r="L138" s="230"/>
      <c r="M138" s="231"/>
      <c r="N138" s="232"/>
      <c r="O138" s="230"/>
      <c r="P138" s="231"/>
      <c r="Q138" s="232"/>
      <c r="R138" s="233"/>
      <c r="S138" s="234"/>
      <c r="T138" s="235"/>
      <c r="U138" s="233"/>
      <c r="V138" s="236"/>
      <c r="W138" s="234"/>
      <c r="X138" s="235"/>
      <c r="Y138" s="237"/>
      <c r="Z138" s="238"/>
    </row>
    <row r="139" spans="1:26" s="239" customFormat="1" ht="28.5" customHeight="1" x14ac:dyDescent="0.3">
      <c r="A139" s="222">
        <f t="shared" si="14"/>
        <v>0</v>
      </c>
      <c r="B139" s="223" t="b">
        <f t="shared" si="15"/>
        <v>1</v>
      </c>
      <c r="C139" s="222">
        <f t="shared" si="16"/>
        <v>0</v>
      </c>
      <c r="D139" s="205" t="str">
        <f t="shared" si="17"/>
        <v>$$$$</v>
      </c>
      <c r="E139" s="224"/>
      <c r="F139" s="225"/>
      <c r="G139" s="226"/>
      <c r="H139" s="227"/>
      <c r="I139" s="228"/>
      <c r="J139" s="228"/>
      <c r="K139" s="229"/>
      <c r="L139" s="230"/>
      <c r="M139" s="231"/>
      <c r="N139" s="232"/>
      <c r="O139" s="230"/>
      <c r="P139" s="231"/>
      <c r="Q139" s="232"/>
      <c r="R139" s="233"/>
      <c r="S139" s="234"/>
      <c r="T139" s="235"/>
      <c r="U139" s="233"/>
      <c r="V139" s="236"/>
      <c r="W139" s="234"/>
      <c r="X139" s="235"/>
      <c r="Y139" s="237"/>
      <c r="Z139" s="238"/>
    </row>
    <row r="140" spans="1:26" s="239" customFormat="1" ht="28.5" customHeight="1" x14ac:dyDescent="0.3">
      <c r="A140" s="222">
        <f t="shared" si="14"/>
        <v>0</v>
      </c>
      <c r="B140" s="223" t="b">
        <f t="shared" si="15"/>
        <v>1</v>
      </c>
      <c r="C140" s="222">
        <f t="shared" si="16"/>
        <v>0</v>
      </c>
      <c r="D140" s="205" t="str">
        <f t="shared" si="17"/>
        <v>$$$$</v>
      </c>
      <c r="E140" s="224"/>
      <c r="F140" s="225"/>
      <c r="G140" s="226"/>
      <c r="H140" s="227"/>
      <c r="I140" s="228"/>
      <c r="J140" s="228"/>
      <c r="K140" s="229"/>
      <c r="L140" s="230"/>
      <c r="M140" s="231"/>
      <c r="N140" s="232"/>
      <c r="O140" s="230"/>
      <c r="P140" s="231"/>
      <c r="Q140" s="232"/>
      <c r="R140" s="233"/>
      <c r="S140" s="234"/>
      <c r="T140" s="235"/>
      <c r="U140" s="233"/>
      <c r="V140" s="236"/>
      <c r="W140" s="234"/>
      <c r="X140" s="235"/>
      <c r="Y140" s="237"/>
      <c r="Z140" s="238"/>
    </row>
    <row r="141" spans="1:26" s="239" customFormat="1" ht="28.5" customHeight="1" x14ac:dyDescent="0.3">
      <c r="A141" s="222">
        <f t="shared" si="14"/>
        <v>0</v>
      </c>
      <c r="B141" s="223" t="b">
        <f t="shared" si="15"/>
        <v>1</v>
      </c>
      <c r="C141" s="222">
        <f t="shared" si="16"/>
        <v>0</v>
      </c>
      <c r="D141" s="205" t="str">
        <f t="shared" si="17"/>
        <v>$$$$</v>
      </c>
      <c r="E141" s="224"/>
      <c r="F141" s="225"/>
      <c r="G141" s="226"/>
      <c r="H141" s="227"/>
      <c r="I141" s="228"/>
      <c r="J141" s="228"/>
      <c r="K141" s="229"/>
      <c r="L141" s="230"/>
      <c r="M141" s="231"/>
      <c r="N141" s="232"/>
      <c r="O141" s="230"/>
      <c r="P141" s="231"/>
      <c r="Q141" s="232"/>
      <c r="R141" s="233"/>
      <c r="S141" s="234"/>
      <c r="T141" s="235"/>
      <c r="U141" s="233"/>
      <c r="V141" s="236"/>
      <c r="W141" s="234"/>
      <c r="X141" s="235"/>
      <c r="Y141" s="237"/>
      <c r="Z141" s="238"/>
    </row>
    <row r="142" spans="1:26" s="239" customFormat="1" ht="28.5" customHeight="1" x14ac:dyDescent="0.3">
      <c r="A142" s="222">
        <f t="shared" si="14"/>
        <v>0</v>
      </c>
      <c r="B142" s="223" t="b">
        <f t="shared" si="15"/>
        <v>1</v>
      </c>
      <c r="C142" s="222">
        <f t="shared" si="16"/>
        <v>0</v>
      </c>
      <c r="D142" s="205" t="str">
        <f t="shared" si="17"/>
        <v>$$$$</v>
      </c>
      <c r="E142" s="224"/>
      <c r="F142" s="225"/>
      <c r="G142" s="226"/>
      <c r="H142" s="227"/>
      <c r="I142" s="228"/>
      <c r="J142" s="228"/>
      <c r="K142" s="229"/>
      <c r="L142" s="230"/>
      <c r="M142" s="231"/>
      <c r="N142" s="232"/>
      <c r="O142" s="230"/>
      <c r="P142" s="231"/>
      <c r="Q142" s="232"/>
      <c r="R142" s="233"/>
      <c r="S142" s="234"/>
      <c r="T142" s="235"/>
      <c r="U142" s="233"/>
      <c r="V142" s="236"/>
      <c r="W142" s="234"/>
      <c r="X142" s="235"/>
      <c r="Y142" s="237"/>
      <c r="Z142" s="238"/>
    </row>
    <row r="143" spans="1:26" s="239" customFormat="1" ht="28.5" customHeight="1" x14ac:dyDescent="0.3">
      <c r="A143" s="222">
        <f t="shared" si="14"/>
        <v>0</v>
      </c>
      <c r="B143" s="223" t="b">
        <f t="shared" si="15"/>
        <v>1</v>
      </c>
      <c r="C143" s="222">
        <f t="shared" si="16"/>
        <v>0</v>
      </c>
      <c r="D143" s="205" t="str">
        <f t="shared" si="17"/>
        <v>$$$$</v>
      </c>
      <c r="E143" s="224"/>
      <c r="F143" s="225"/>
      <c r="G143" s="226"/>
      <c r="H143" s="227"/>
      <c r="I143" s="228"/>
      <c r="J143" s="228"/>
      <c r="K143" s="229"/>
      <c r="L143" s="230"/>
      <c r="M143" s="231"/>
      <c r="N143" s="232"/>
      <c r="O143" s="230"/>
      <c r="P143" s="231"/>
      <c r="Q143" s="232"/>
      <c r="R143" s="233"/>
      <c r="S143" s="234"/>
      <c r="T143" s="235"/>
      <c r="U143" s="233"/>
      <c r="V143" s="236"/>
      <c r="W143" s="234"/>
      <c r="X143" s="235"/>
      <c r="Y143" s="237"/>
      <c r="Z143" s="238"/>
    </row>
    <row r="144" spans="1:26" s="239" customFormat="1" ht="28.5" customHeight="1" x14ac:dyDescent="0.3">
      <c r="A144" s="222">
        <f t="shared" si="14"/>
        <v>0</v>
      </c>
      <c r="B144" s="223" t="b">
        <f t="shared" si="15"/>
        <v>1</v>
      </c>
      <c r="C144" s="222">
        <f t="shared" si="16"/>
        <v>0</v>
      </c>
      <c r="D144" s="205" t="str">
        <f t="shared" si="17"/>
        <v>$$$$</v>
      </c>
      <c r="E144" s="224"/>
      <c r="F144" s="225"/>
      <c r="G144" s="226"/>
      <c r="H144" s="227"/>
      <c r="I144" s="228"/>
      <c r="J144" s="228"/>
      <c r="K144" s="229"/>
      <c r="L144" s="230"/>
      <c r="M144" s="231"/>
      <c r="N144" s="232"/>
      <c r="O144" s="230"/>
      <c r="P144" s="231"/>
      <c r="Q144" s="232"/>
      <c r="R144" s="233"/>
      <c r="S144" s="234"/>
      <c r="T144" s="235"/>
      <c r="U144" s="233"/>
      <c r="V144" s="236"/>
      <c r="W144" s="234"/>
      <c r="X144" s="235"/>
      <c r="Y144" s="237"/>
      <c r="Z144" s="238"/>
    </row>
    <row r="145" spans="1:26" s="239" customFormat="1" ht="28.5" customHeight="1" x14ac:dyDescent="0.3">
      <c r="A145" s="222">
        <f t="shared" si="14"/>
        <v>0</v>
      </c>
      <c r="B145" s="223" t="b">
        <f t="shared" si="15"/>
        <v>1</v>
      </c>
      <c r="C145" s="222">
        <f t="shared" si="16"/>
        <v>0</v>
      </c>
      <c r="D145" s="205" t="str">
        <f t="shared" si="17"/>
        <v>$$$$</v>
      </c>
      <c r="E145" s="224"/>
      <c r="F145" s="225"/>
      <c r="G145" s="226"/>
      <c r="H145" s="227"/>
      <c r="I145" s="228"/>
      <c r="J145" s="228"/>
      <c r="K145" s="229"/>
      <c r="L145" s="230"/>
      <c r="M145" s="231"/>
      <c r="N145" s="232"/>
      <c r="O145" s="230"/>
      <c r="P145" s="231"/>
      <c r="Q145" s="232"/>
      <c r="R145" s="233"/>
      <c r="S145" s="234"/>
      <c r="T145" s="235"/>
      <c r="U145" s="233"/>
      <c r="V145" s="236"/>
      <c r="W145" s="234"/>
      <c r="X145" s="235"/>
      <c r="Y145" s="237"/>
      <c r="Z145" s="238"/>
    </row>
    <row r="146" spans="1:26" s="239" customFormat="1" ht="28.5" customHeight="1" x14ac:dyDescent="0.3">
      <c r="A146" s="222">
        <f t="shared" si="14"/>
        <v>0</v>
      </c>
      <c r="B146" s="223" t="b">
        <f t="shared" si="15"/>
        <v>1</v>
      </c>
      <c r="C146" s="222">
        <f t="shared" si="16"/>
        <v>0</v>
      </c>
      <c r="D146" s="205" t="str">
        <f t="shared" si="17"/>
        <v>$$$$</v>
      </c>
      <c r="E146" s="224"/>
      <c r="F146" s="225"/>
      <c r="G146" s="226"/>
      <c r="H146" s="227"/>
      <c r="I146" s="228"/>
      <c r="J146" s="228"/>
      <c r="K146" s="229"/>
      <c r="L146" s="230"/>
      <c r="M146" s="231"/>
      <c r="N146" s="232"/>
      <c r="O146" s="230"/>
      <c r="P146" s="231"/>
      <c r="Q146" s="232"/>
      <c r="R146" s="233"/>
      <c r="S146" s="234"/>
      <c r="T146" s="235"/>
      <c r="U146" s="233"/>
      <c r="V146" s="236"/>
      <c r="W146" s="234"/>
      <c r="X146" s="235"/>
      <c r="Y146" s="237"/>
      <c r="Z146" s="238"/>
    </row>
    <row r="147" spans="1:26" s="239" customFormat="1" ht="28.5" customHeight="1" x14ac:dyDescent="0.3">
      <c r="A147" s="222">
        <f t="shared" si="14"/>
        <v>0</v>
      </c>
      <c r="B147" s="223" t="b">
        <f t="shared" si="15"/>
        <v>1</v>
      </c>
      <c r="C147" s="222">
        <f t="shared" si="16"/>
        <v>0</v>
      </c>
      <c r="D147" s="205" t="str">
        <f t="shared" si="17"/>
        <v>$$$$</v>
      </c>
      <c r="E147" s="224"/>
      <c r="F147" s="225"/>
      <c r="G147" s="226"/>
      <c r="H147" s="227"/>
      <c r="I147" s="228"/>
      <c r="J147" s="228"/>
      <c r="K147" s="229"/>
      <c r="L147" s="230"/>
      <c r="M147" s="231"/>
      <c r="N147" s="232"/>
      <c r="O147" s="230"/>
      <c r="P147" s="231"/>
      <c r="Q147" s="232"/>
      <c r="R147" s="233"/>
      <c r="S147" s="234"/>
      <c r="T147" s="235"/>
      <c r="U147" s="233"/>
      <c r="V147" s="236"/>
      <c r="W147" s="234"/>
      <c r="X147" s="235"/>
      <c r="Y147" s="237"/>
      <c r="Z147" s="238"/>
    </row>
    <row r="148" spans="1:26" s="239" customFormat="1" ht="28.5" customHeight="1" x14ac:dyDescent="0.3">
      <c r="A148" s="222">
        <f t="shared" si="14"/>
        <v>0</v>
      </c>
      <c r="B148" s="223" t="b">
        <f t="shared" si="15"/>
        <v>1</v>
      </c>
      <c r="C148" s="222">
        <f t="shared" si="16"/>
        <v>0</v>
      </c>
      <c r="D148" s="205" t="str">
        <f t="shared" si="17"/>
        <v>$$$$</v>
      </c>
      <c r="E148" s="224"/>
      <c r="F148" s="225"/>
      <c r="G148" s="226"/>
      <c r="H148" s="227"/>
      <c r="I148" s="228"/>
      <c r="J148" s="228"/>
      <c r="K148" s="229"/>
      <c r="L148" s="230"/>
      <c r="M148" s="231"/>
      <c r="N148" s="232"/>
      <c r="O148" s="230"/>
      <c r="P148" s="231"/>
      <c r="Q148" s="232"/>
      <c r="R148" s="233"/>
      <c r="S148" s="234"/>
      <c r="T148" s="235"/>
      <c r="U148" s="233"/>
      <c r="V148" s="236"/>
      <c r="W148" s="234"/>
      <c r="X148" s="235"/>
      <c r="Y148" s="237"/>
      <c r="Z148" s="238"/>
    </row>
    <row r="149" spans="1:26" s="239" customFormat="1" ht="28.5" customHeight="1" x14ac:dyDescent="0.3">
      <c r="A149" s="222">
        <f t="shared" si="14"/>
        <v>0</v>
      </c>
      <c r="B149" s="223" t="b">
        <f t="shared" si="15"/>
        <v>1</v>
      </c>
      <c r="C149" s="222">
        <f t="shared" si="16"/>
        <v>0</v>
      </c>
      <c r="D149" s="205" t="str">
        <f t="shared" si="17"/>
        <v>$$$$</v>
      </c>
      <c r="E149" s="224"/>
      <c r="F149" s="225"/>
      <c r="G149" s="226"/>
      <c r="H149" s="227"/>
      <c r="I149" s="228"/>
      <c r="J149" s="228"/>
      <c r="K149" s="229"/>
      <c r="L149" s="230"/>
      <c r="M149" s="231"/>
      <c r="N149" s="232"/>
      <c r="O149" s="230"/>
      <c r="P149" s="231"/>
      <c r="Q149" s="232"/>
      <c r="R149" s="233"/>
      <c r="S149" s="234"/>
      <c r="T149" s="235"/>
      <c r="U149" s="233"/>
      <c r="V149" s="236"/>
      <c r="W149" s="234"/>
      <c r="X149" s="235"/>
      <c r="Y149" s="237"/>
      <c r="Z149" s="238"/>
    </row>
    <row r="150" spans="1:26" s="239" customFormat="1" ht="28.5" customHeight="1" x14ac:dyDescent="0.3">
      <c r="A150" s="222">
        <f t="shared" si="14"/>
        <v>0</v>
      </c>
      <c r="B150" s="223" t="b">
        <f t="shared" si="15"/>
        <v>1</v>
      </c>
      <c r="C150" s="222">
        <f t="shared" si="16"/>
        <v>0</v>
      </c>
      <c r="D150" s="205" t="str">
        <f t="shared" si="17"/>
        <v>$$$$</v>
      </c>
      <c r="E150" s="224"/>
      <c r="F150" s="225"/>
      <c r="G150" s="226"/>
      <c r="H150" s="227"/>
      <c r="I150" s="228"/>
      <c r="J150" s="228"/>
      <c r="K150" s="229"/>
      <c r="L150" s="230"/>
      <c r="M150" s="231"/>
      <c r="N150" s="232"/>
      <c r="O150" s="230"/>
      <c r="P150" s="231"/>
      <c r="Q150" s="232"/>
      <c r="R150" s="233"/>
      <c r="S150" s="234"/>
      <c r="T150" s="235"/>
      <c r="U150" s="233"/>
      <c r="V150" s="236"/>
      <c r="W150" s="234"/>
      <c r="X150" s="235"/>
      <c r="Y150" s="237"/>
      <c r="Z150" s="238"/>
    </row>
    <row r="151" spans="1:26" s="239" customFormat="1" ht="28.5" customHeight="1" x14ac:dyDescent="0.3">
      <c r="A151" s="222">
        <f t="shared" ref="A151:A154" si="18">IF(B151,0,MATCH(H151,ВидыНагр,0))</f>
        <v>0</v>
      </c>
      <c r="B151" s="223" t="b">
        <f t="shared" ref="B151:B154" si="19">(COUNTIF(КлючОсень,D151)&lt;&gt;1)</f>
        <v>1</v>
      </c>
      <c r="C151" s="222">
        <f t="shared" ref="C151:C158" si="20">IF(COUNTA(E151:K151,Z151)&gt;0,1,0)+IF(COUNTA(L151:Y151)&gt;0,2,0)</f>
        <v>0</v>
      </c>
      <c r="D151" s="205" t="str">
        <f t="shared" si="17"/>
        <v>$$$$</v>
      </c>
      <c r="E151" s="224"/>
      <c r="F151" s="225"/>
      <c r="G151" s="226"/>
      <c r="H151" s="227"/>
      <c r="I151" s="228"/>
      <c r="J151" s="228"/>
      <c r="K151" s="229"/>
      <c r="L151" s="230"/>
      <c r="M151" s="231"/>
      <c r="N151" s="232"/>
      <c r="O151" s="230"/>
      <c r="P151" s="231"/>
      <c r="Q151" s="232"/>
      <c r="R151" s="233"/>
      <c r="S151" s="234"/>
      <c r="T151" s="235"/>
      <c r="U151" s="233"/>
      <c r="V151" s="236"/>
      <c r="W151" s="234"/>
      <c r="X151" s="235"/>
      <c r="Y151" s="237"/>
      <c r="Z151" s="238"/>
    </row>
    <row r="152" spans="1:26" s="239" customFormat="1" ht="28.5" customHeight="1" x14ac:dyDescent="0.3">
      <c r="A152" s="222">
        <f t="shared" si="18"/>
        <v>0</v>
      </c>
      <c r="B152" s="223" t="b">
        <f t="shared" si="19"/>
        <v>1</v>
      </c>
      <c r="C152" s="222">
        <f t="shared" si="20"/>
        <v>0</v>
      </c>
      <c r="D152" s="205" t="str">
        <f t="shared" si="17"/>
        <v>$$$$</v>
      </c>
      <c r="E152" s="224"/>
      <c r="F152" s="225"/>
      <c r="G152" s="226"/>
      <c r="H152" s="227"/>
      <c r="I152" s="228"/>
      <c r="J152" s="228"/>
      <c r="K152" s="229"/>
      <c r="L152" s="230"/>
      <c r="M152" s="231"/>
      <c r="N152" s="232"/>
      <c r="O152" s="230"/>
      <c r="P152" s="231"/>
      <c r="Q152" s="232"/>
      <c r="R152" s="233"/>
      <c r="S152" s="234"/>
      <c r="T152" s="235"/>
      <c r="U152" s="233"/>
      <c r="V152" s="236"/>
      <c r="W152" s="234"/>
      <c r="X152" s="235"/>
      <c r="Y152" s="237"/>
      <c r="Z152" s="238"/>
    </row>
    <row r="153" spans="1:26" s="239" customFormat="1" ht="28.5" customHeight="1" x14ac:dyDescent="0.3">
      <c r="A153" s="222">
        <f t="shared" si="18"/>
        <v>0</v>
      </c>
      <c r="B153" s="223" t="b">
        <f t="shared" si="19"/>
        <v>1</v>
      </c>
      <c r="C153" s="222">
        <f t="shared" si="20"/>
        <v>0</v>
      </c>
      <c r="D153" s="205" t="str">
        <f t="shared" si="17"/>
        <v>$$$$</v>
      </c>
      <c r="E153" s="224"/>
      <c r="F153" s="225"/>
      <c r="G153" s="226"/>
      <c r="H153" s="227"/>
      <c r="I153" s="228"/>
      <c r="J153" s="228"/>
      <c r="K153" s="229"/>
      <c r="L153" s="230"/>
      <c r="M153" s="231"/>
      <c r="N153" s="232"/>
      <c r="O153" s="230"/>
      <c r="P153" s="231"/>
      <c r="Q153" s="232"/>
      <c r="R153" s="233"/>
      <c r="S153" s="234"/>
      <c r="T153" s="235"/>
      <c r="U153" s="233"/>
      <c r="V153" s="236"/>
      <c r="W153" s="234"/>
      <c r="X153" s="235"/>
      <c r="Y153" s="237"/>
      <c r="Z153" s="238"/>
    </row>
    <row r="154" spans="1:26" s="239" customFormat="1" ht="28.5" customHeight="1" x14ac:dyDescent="0.3">
      <c r="A154" s="222">
        <f t="shared" si="18"/>
        <v>0</v>
      </c>
      <c r="B154" s="223" t="b">
        <f t="shared" si="19"/>
        <v>1</v>
      </c>
      <c r="C154" s="222">
        <f t="shared" si="20"/>
        <v>0</v>
      </c>
      <c r="D154" s="205" t="str">
        <f t="shared" si="17"/>
        <v>$$$$</v>
      </c>
      <c r="E154" s="224"/>
      <c r="F154" s="225"/>
      <c r="G154" s="226"/>
      <c r="H154" s="227"/>
      <c r="I154" s="228"/>
      <c r="J154" s="228"/>
      <c r="K154" s="229"/>
      <c r="L154" s="230"/>
      <c r="M154" s="231"/>
      <c r="N154" s="232"/>
      <c r="O154" s="230"/>
      <c r="P154" s="231"/>
      <c r="Q154" s="232"/>
      <c r="R154" s="233"/>
      <c r="S154" s="234"/>
      <c r="T154" s="235"/>
      <c r="U154" s="233"/>
      <c r="V154" s="236"/>
      <c r="W154" s="234"/>
      <c r="X154" s="235"/>
      <c r="Y154" s="237"/>
      <c r="Z154" s="238"/>
    </row>
    <row r="155" spans="1:26" s="239" customFormat="1" ht="28.5" customHeight="1" x14ac:dyDescent="0.3">
      <c r="A155" s="222">
        <f>IF(B155,0,MATCH(H155,ВидыНагр,0))</f>
        <v>0</v>
      </c>
      <c r="B155" s="223" t="b">
        <f>(COUNTIF(КлючОсень,D155)&lt;&gt;1)</f>
        <v>1</v>
      </c>
      <c r="C155" s="222">
        <f t="shared" si="20"/>
        <v>0</v>
      </c>
      <c r="D155" s="205" t="str">
        <f>CONCATENATE("$",TRIM(F155),"$",TRIM(G155),"$",H155,"$")</f>
        <v>$$$$</v>
      </c>
      <c r="E155" s="224"/>
      <c r="F155" s="225"/>
      <c r="G155" s="226"/>
      <c r="H155" s="227"/>
      <c r="I155" s="228"/>
      <c r="J155" s="228"/>
      <c r="K155" s="229"/>
      <c r="L155" s="230"/>
      <c r="M155" s="231"/>
      <c r="N155" s="232"/>
      <c r="O155" s="230"/>
      <c r="P155" s="231"/>
      <c r="Q155" s="232"/>
      <c r="R155" s="233"/>
      <c r="S155" s="234"/>
      <c r="T155" s="235"/>
      <c r="U155" s="233"/>
      <c r="V155" s="236"/>
      <c r="W155" s="234"/>
      <c r="X155" s="235"/>
      <c r="Y155" s="237"/>
      <c r="Z155" s="238"/>
    </row>
    <row r="156" spans="1:26" s="239" customFormat="1" ht="28.5" customHeight="1" x14ac:dyDescent="0.3">
      <c r="A156" s="222">
        <f>IF(B156,0,MATCH(H156,ВидыНагр,0))</f>
        <v>0</v>
      </c>
      <c r="B156" s="223" t="b">
        <f>(COUNTIF(КлючОсень,D156)&lt;&gt;1)</f>
        <v>1</v>
      </c>
      <c r="C156" s="222">
        <f t="shared" si="20"/>
        <v>0</v>
      </c>
      <c r="D156" s="205" t="str">
        <f>CONCATENATE("$",TRIM(F156),"$",TRIM(G156),"$",H156,"$")</f>
        <v>$$$$</v>
      </c>
      <c r="E156" s="224"/>
      <c r="F156" s="225"/>
      <c r="G156" s="226"/>
      <c r="H156" s="227"/>
      <c r="I156" s="228"/>
      <c r="J156" s="228"/>
      <c r="K156" s="229"/>
      <c r="L156" s="230"/>
      <c r="M156" s="231"/>
      <c r="N156" s="232"/>
      <c r="O156" s="230"/>
      <c r="P156" s="231"/>
      <c r="Q156" s="232"/>
      <c r="R156" s="233"/>
      <c r="S156" s="234"/>
      <c r="T156" s="235"/>
      <c r="U156" s="233"/>
      <c r="V156" s="236"/>
      <c r="W156" s="234"/>
      <c r="X156" s="235"/>
      <c r="Y156" s="237"/>
      <c r="Z156" s="238"/>
    </row>
    <row r="157" spans="1:26" s="239" customFormat="1" ht="28.5" customHeight="1" x14ac:dyDescent="0.3">
      <c r="A157" s="222">
        <f t="shared" ref="A157:A158" si="21">IF(B157,0,MATCH(H157,ВидыНагр,0))</f>
        <v>0</v>
      </c>
      <c r="B157" s="223" t="b">
        <f t="shared" ref="B157:B158" si="22">(COUNTIF(КлючОсень,D157)&lt;&gt;1)</f>
        <v>1</v>
      </c>
      <c r="C157" s="222">
        <f t="shared" si="20"/>
        <v>0</v>
      </c>
      <c r="D157" s="205" t="str">
        <f t="shared" ref="D157:D158" si="23">CONCATENATE("$",TRIM(F157),"$",TRIM(G157),"$",H157,"$")</f>
        <v>$$$$</v>
      </c>
      <c r="E157" s="224"/>
      <c r="F157" s="225"/>
      <c r="G157" s="226"/>
      <c r="H157" s="227"/>
      <c r="I157" s="228"/>
      <c r="J157" s="228"/>
      <c r="K157" s="229"/>
      <c r="L157" s="230"/>
      <c r="M157" s="231"/>
      <c r="N157" s="232"/>
      <c r="O157" s="230"/>
      <c r="P157" s="231"/>
      <c r="Q157" s="232"/>
      <c r="R157" s="233"/>
      <c r="S157" s="234"/>
      <c r="T157" s="235"/>
      <c r="U157" s="233"/>
      <c r="V157" s="236"/>
      <c r="W157" s="234"/>
      <c r="X157" s="235"/>
      <c r="Y157" s="237"/>
      <c r="Z157" s="238"/>
    </row>
    <row r="158" spans="1:26" s="239" customFormat="1" ht="28.5" customHeight="1" x14ac:dyDescent="0.3">
      <c r="A158" s="222">
        <f t="shared" si="21"/>
        <v>0</v>
      </c>
      <c r="B158" s="223" t="b">
        <f t="shared" si="22"/>
        <v>1</v>
      </c>
      <c r="C158" s="222">
        <f t="shared" si="20"/>
        <v>0</v>
      </c>
      <c r="D158" s="205" t="str">
        <f t="shared" si="23"/>
        <v>$$$$</v>
      </c>
      <c r="E158" s="224"/>
      <c r="F158" s="225"/>
      <c r="G158" s="226"/>
      <c r="H158" s="227"/>
      <c r="I158" s="228"/>
      <c r="J158" s="228"/>
      <c r="K158" s="229"/>
      <c r="L158" s="230"/>
      <c r="M158" s="231"/>
      <c r="N158" s="232"/>
      <c r="O158" s="230"/>
      <c r="P158" s="231"/>
      <c r="Q158" s="232"/>
      <c r="R158" s="233"/>
      <c r="S158" s="234"/>
      <c r="T158" s="235"/>
      <c r="U158" s="233"/>
      <c r="V158" s="236"/>
      <c r="W158" s="234"/>
      <c r="X158" s="235"/>
      <c r="Y158" s="237"/>
      <c r="Z158" s="238"/>
    </row>
    <row r="159" spans="1:26" s="239" customFormat="1" ht="28.5" customHeight="1" x14ac:dyDescent="0.3">
      <c r="A159" s="222">
        <f t="shared" si="14"/>
        <v>0</v>
      </c>
      <c r="B159" s="223" t="b">
        <f t="shared" si="15"/>
        <v>1</v>
      </c>
      <c r="C159" s="222">
        <f t="shared" si="16"/>
        <v>0</v>
      </c>
      <c r="D159" s="205" t="str">
        <f t="shared" si="13"/>
        <v>$$$$</v>
      </c>
      <c r="E159" s="224"/>
      <c r="F159" s="225"/>
      <c r="G159" s="226"/>
      <c r="H159" s="227"/>
      <c r="I159" s="228"/>
      <c r="J159" s="228"/>
      <c r="K159" s="229"/>
      <c r="L159" s="230"/>
      <c r="M159" s="231"/>
      <c r="N159" s="232"/>
      <c r="O159" s="230"/>
      <c r="P159" s="231"/>
      <c r="Q159" s="232"/>
      <c r="R159" s="233"/>
      <c r="S159" s="234"/>
      <c r="T159" s="235"/>
      <c r="U159" s="233"/>
      <c r="V159" s="236"/>
      <c r="W159" s="234"/>
      <c r="X159" s="235"/>
      <c r="Y159" s="237"/>
      <c r="Z159" s="238"/>
    </row>
    <row r="160" spans="1:26" x14ac:dyDescent="0.3">
      <c r="D160" s="1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</row>
  </sheetData>
  <sheetProtection algorithmName="SHA-512" hashValue="Elish1jCXUtAUsGIKoLVLHAthL6+stupIYTL6azbok91eizAOGZd2MobYOek3Q5+kehLr268IFCJRHBkgpzJNA==" saltValue="mhuMmgraPGz3sXpv71+f0Q==" spinCount="100000" sheet="1" objects="1" scenarios="1"/>
  <mergeCells count="5">
    <mergeCell ref="F2:F5"/>
    <mergeCell ref="G2:G5"/>
    <mergeCell ref="I2:J2"/>
    <mergeCell ref="I3:J3"/>
    <mergeCell ref="I4:J4"/>
  </mergeCells>
  <phoneticPr fontId="0" type="noConversion"/>
  <conditionalFormatting sqref="E7:Z159">
    <cfRule type="expression" dxfId="53" priority="3" stopIfTrue="1">
      <formula>($C7=0)</formula>
    </cfRule>
  </conditionalFormatting>
  <conditionalFormatting sqref="F7:H159">
    <cfRule type="expression" dxfId="52" priority="4" stopIfTrue="1">
      <formula>$B7</formula>
    </cfRule>
  </conditionalFormatting>
  <conditionalFormatting sqref="L6:Y6">
    <cfRule type="cellIs" dxfId="51" priority="1" stopIfTrue="1" operator="notEqual">
      <formula>0</formula>
    </cfRule>
  </conditionalFormatting>
  <conditionalFormatting sqref="F6:H6">
    <cfRule type="expression" dxfId="50" priority="2" stopIfTrue="1">
      <formula>$G$6&lt;&gt;0</formula>
    </cfRule>
  </conditionalFormatting>
  <conditionalFormatting sqref="L7:Y159">
    <cfRule type="expression" dxfId="49" priority="5" stopIfTrue="1">
      <formula>AND(NOT($B7),$C7&lt;2)</formula>
    </cfRule>
    <cfRule type="expression" dxfId="48" priority="6" stopIfTrue="1">
      <formula>AND($B7,L7&lt;&gt;0)</formula>
    </cfRule>
  </conditionalFormatting>
  <dataValidations count="4">
    <dataValidation type="list" allowBlank="1" showInputMessage="1" sqref="F7:F159">
      <formula1>OFFSET(ДисциплиныОсень,0,0,ДисциплиныОсеньКол,1)</formula1>
    </dataValidation>
    <dataValidation type="list" allowBlank="1" showInputMessage="1" sqref="G7:G159">
      <formula1>OFFSET(ГруппыОсень,0,0,ГруппыОсеньКол,1)</formula1>
    </dataValidation>
    <dataValidation type="list" allowBlank="1" showInputMessage="1" sqref="H7:H159">
      <formula1>ВидыНагр</formula1>
    </dataValidation>
    <dataValidation type="whole" allowBlank="1" showInputMessage="1" showErrorMessage="1" sqref="E7:E159">
      <formula1>1</formula1>
      <formula2>31</formula2>
    </dataValidation>
  </dataValidations>
  <printOptions horizontalCentered="1"/>
  <pageMargins left="0.39370078740157483" right="0.39370078740157483" top="1.1811023622047245" bottom="0.59055118110236227" header="0.98425196850393704" footer="0.39370078740157483"/>
  <pageSetup paperSize="9" scale="63" fitToHeight="10" orientation="landscape" r:id="rId1"/>
  <headerFooter>
    <oddHeader>&amp;L&amp;F&amp;C&amp;"Open Sans,полужирный"Месяц &amp;A &amp;"Open Sans,обычный"(с. &amp;P из &amp;N)&amp;R&amp;D  &amp;T</oddHeader>
  </headerFooter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4">
    <tabColor rgb="FFFFFF66"/>
    <outlinePr summaryBelow="0" summaryRight="0"/>
    <pageSetUpPr fitToPage="1"/>
  </sheetPr>
  <dimension ref="A1:Z160"/>
  <sheetViews>
    <sheetView zoomScale="85" zoomScaleNormal="100" workbookViewId="0">
      <pane xSplit="8" ySplit="6" topLeftCell="I7" activePane="bottomRight" state="frozen"/>
      <selection activeCell="E7" sqref="E7"/>
      <selection pane="topRight" activeCell="E7" sqref="E7"/>
      <selection pane="bottomLeft" activeCell="E7" sqref="E7"/>
      <selection pane="bottomRight" activeCell="E7" sqref="E7"/>
    </sheetView>
  </sheetViews>
  <sheetFormatPr defaultRowHeight="14.25" x14ac:dyDescent="0.3"/>
  <cols>
    <col min="1" max="3" width="4.7109375" style="4" hidden="1" customWidth="1"/>
    <col min="4" max="4" width="30.7109375" style="240" hidden="1" customWidth="1"/>
    <col min="5" max="5" width="4.7109375" style="167" customWidth="1"/>
    <col min="6" max="6" width="32.7109375" style="241" customWidth="1"/>
    <col min="7" max="7" width="18.7109375" style="241" customWidth="1"/>
    <col min="8" max="8" width="6.7109375" style="241" customWidth="1"/>
    <col min="9" max="10" width="4.7109375" style="241" customWidth="1"/>
    <col min="11" max="11" width="40.7109375" style="242" customWidth="1"/>
    <col min="12" max="25" width="6.85546875" style="167" customWidth="1"/>
    <col min="26" max="26" width="30.7109375" style="2" customWidth="1"/>
    <col min="27" max="27" width="2.7109375" style="2" customWidth="1"/>
    <col min="28" max="16384" width="9.140625" style="2"/>
  </cols>
  <sheetData>
    <row r="1" spans="1:26" ht="112.5" customHeight="1" x14ac:dyDescent="0.3">
      <c r="A1" s="169" t="s">
        <v>77</v>
      </c>
      <c r="B1" s="169" t="s">
        <v>114</v>
      </c>
      <c r="C1" s="169" t="s">
        <v>113</v>
      </c>
      <c r="D1" s="191" t="s">
        <v>76</v>
      </c>
      <c r="E1" s="192" t="s">
        <v>116</v>
      </c>
      <c r="F1" s="193" t="s">
        <v>69</v>
      </c>
      <c r="G1" s="194" t="s">
        <v>100</v>
      </c>
      <c r="H1" s="195" t="s">
        <v>109</v>
      </c>
      <c r="I1" s="196" t="s">
        <v>102</v>
      </c>
      <c r="J1" s="197" t="s">
        <v>85</v>
      </c>
      <c r="K1" s="198" t="s">
        <v>81</v>
      </c>
      <c r="L1" s="199" t="s">
        <v>0</v>
      </c>
      <c r="M1" s="200" t="s">
        <v>68</v>
      </c>
      <c r="N1" s="195" t="s">
        <v>3</v>
      </c>
      <c r="O1" s="201" t="s">
        <v>1</v>
      </c>
      <c r="P1" s="200" t="s">
        <v>4</v>
      </c>
      <c r="Q1" s="195" t="s">
        <v>62</v>
      </c>
      <c r="R1" s="199" t="s">
        <v>252</v>
      </c>
      <c r="S1" s="202" t="s">
        <v>2</v>
      </c>
      <c r="T1" s="195" t="s">
        <v>205</v>
      </c>
      <c r="U1" s="201" t="s">
        <v>253</v>
      </c>
      <c r="V1" s="199" t="s">
        <v>254</v>
      </c>
      <c r="W1" s="202" t="s">
        <v>70</v>
      </c>
      <c r="X1" s="195" t="s">
        <v>138</v>
      </c>
      <c r="Y1" s="196" t="s">
        <v>5</v>
      </c>
      <c r="Z1" s="203" t="s">
        <v>29</v>
      </c>
    </row>
    <row r="2" spans="1:26" ht="17.100000000000001" customHeight="1" x14ac:dyDescent="0.3">
      <c r="A2" s="204">
        <f>MATCH(H2,ВидыНагр,0)</f>
        <v>1</v>
      </c>
      <c r="B2" s="204"/>
      <c r="C2" s="204"/>
      <c r="D2" s="205"/>
      <c r="E2" s="206"/>
      <c r="F2" s="390" t="s">
        <v>134</v>
      </c>
      <c r="G2" s="393">
        <f>SUM(L5:Y5)</f>
        <v>0</v>
      </c>
      <c r="H2" s="288" t="s">
        <v>111</v>
      </c>
      <c r="I2" s="396">
        <f>SUM(L2:Y2)</f>
        <v>0</v>
      </c>
      <c r="J2" s="397"/>
      <c r="K2" s="289"/>
      <c r="L2" s="58">
        <f t="shared" ref="L2:Y4" si="0">SUMIF($A$7:$A$159,$A2,L$7:L$159)</f>
        <v>0</v>
      </c>
      <c r="M2" s="59">
        <f t="shared" si="0"/>
        <v>0</v>
      </c>
      <c r="N2" s="60">
        <f t="shared" si="0"/>
        <v>0</v>
      </c>
      <c r="O2" s="58">
        <f t="shared" si="0"/>
        <v>0</v>
      </c>
      <c r="P2" s="59">
        <f t="shared" si="0"/>
        <v>0</v>
      </c>
      <c r="Q2" s="60">
        <f t="shared" si="0"/>
        <v>0</v>
      </c>
      <c r="R2" s="58">
        <f t="shared" si="0"/>
        <v>0</v>
      </c>
      <c r="S2" s="62">
        <f t="shared" si="0"/>
        <v>0</v>
      </c>
      <c r="T2" s="60">
        <f t="shared" si="0"/>
        <v>0</v>
      </c>
      <c r="U2" s="58">
        <f t="shared" si="0"/>
        <v>0</v>
      </c>
      <c r="V2" s="61">
        <f t="shared" si="0"/>
        <v>0</v>
      </c>
      <c r="W2" s="62">
        <f t="shared" si="0"/>
        <v>0</v>
      </c>
      <c r="X2" s="60">
        <f t="shared" si="0"/>
        <v>0</v>
      </c>
      <c r="Y2" s="41">
        <f t="shared" si="0"/>
        <v>0</v>
      </c>
      <c r="Z2" s="207"/>
    </row>
    <row r="3" spans="1:26" ht="17.100000000000001" customHeight="1" x14ac:dyDescent="0.3">
      <c r="A3" s="204">
        <f>MATCH(H3,ВидыНагр,0)</f>
        <v>2</v>
      </c>
      <c r="B3" s="204"/>
      <c r="C3" s="204"/>
      <c r="D3" s="205"/>
      <c r="E3" s="208"/>
      <c r="F3" s="391"/>
      <c r="G3" s="394"/>
      <c r="H3" s="290" t="s">
        <v>112</v>
      </c>
      <c r="I3" s="398">
        <f>SUM(L3:Y3)</f>
        <v>0</v>
      </c>
      <c r="J3" s="399"/>
      <c r="K3" s="291"/>
      <c r="L3" s="58">
        <f t="shared" si="0"/>
        <v>0</v>
      </c>
      <c r="M3" s="59">
        <f t="shared" si="0"/>
        <v>0</v>
      </c>
      <c r="N3" s="60">
        <f t="shared" si="0"/>
        <v>0</v>
      </c>
      <c r="O3" s="58">
        <f t="shared" si="0"/>
        <v>0</v>
      </c>
      <c r="P3" s="59">
        <f t="shared" si="0"/>
        <v>0</v>
      </c>
      <c r="Q3" s="60">
        <f t="shared" si="0"/>
        <v>0</v>
      </c>
      <c r="R3" s="58">
        <f t="shared" si="0"/>
        <v>0</v>
      </c>
      <c r="S3" s="62">
        <f t="shared" si="0"/>
        <v>0</v>
      </c>
      <c r="T3" s="60">
        <f t="shared" si="0"/>
        <v>0</v>
      </c>
      <c r="U3" s="58">
        <f t="shared" si="0"/>
        <v>0</v>
      </c>
      <c r="V3" s="61">
        <f t="shared" si="0"/>
        <v>0</v>
      </c>
      <c r="W3" s="62">
        <f t="shared" si="0"/>
        <v>0</v>
      </c>
      <c r="X3" s="60">
        <f t="shared" si="0"/>
        <v>0</v>
      </c>
      <c r="Y3" s="41">
        <f t="shared" si="0"/>
        <v>0</v>
      </c>
      <c r="Z3" s="207"/>
    </row>
    <row r="4" spans="1:26" ht="17.100000000000001" customHeight="1" x14ac:dyDescent="0.3">
      <c r="A4" s="204">
        <f>MATCH(H4,ВидыНагр,0)</f>
        <v>3</v>
      </c>
      <c r="B4" s="204"/>
      <c r="C4" s="204"/>
      <c r="D4" s="205"/>
      <c r="E4" s="208"/>
      <c r="F4" s="391"/>
      <c r="G4" s="394"/>
      <c r="H4" s="292" t="s">
        <v>115</v>
      </c>
      <c r="I4" s="400">
        <f>SUM(L4:Y4)</f>
        <v>0</v>
      </c>
      <c r="J4" s="401"/>
      <c r="K4" s="293"/>
      <c r="L4" s="209">
        <f t="shared" si="0"/>
        <v>0</v>
      </c>
      <c r="M4" s="210">
        <f t="shared" si="0"/>
        <v>0</v>
      </c>
      <c r="N4" s="211">
        <f t="shared" si="0"/>
        <v>0</v>
      </c>
      <c r="O4" s="209">
        <f t="shared" si="0"/>
        <v>0</v>
      </c>
      <c r="P4" s="210">
        <f t="shared" si="0"/>
        <v>0</v>
      </c>
      <c r="Q4" s="211">
        <f t="shared" si="0"/>
        <v>0</v>
      </c>
      <c r="R4" s="209">
        <f t="shared" si="0"/>
        <v>0</v>
      </c>
      <c r="S4" s="212">
        <f t="shared" si="0"/>
        <v>0</v>
      </c>
      <c r="T4" s="211">
        <f t="shared" si="0"/>
        <v>0</v>
      </c>
      <c r="U4" s="209">
        <f t="shared" si="0"/>
        <v>0</v>
      </c>
      <c r="V4" s="213">
        <f t="shared" si="0"/>
        <v>0</v>
      </c>
      <c r="W4" s="212">
        <f t="shared" si="0"/>
        <v>0</v>
      </c>
      <c r="X4" s="211">
        <f t="shared" si="0"/>
        <v>0</v>
      </c>
      <c r="Y4" s="69">
        <f t="shared" si="0"/>
        <v>0</v>
      </c>
      <c r="Z4" s="207"/>
    </row>
    <row r="5" spans="1:26" ht="17.100000000000001" customHeight="1" x14ac:dyDescent="0.3">
      <c r="A5" s="204"/>
      <c r="B5" s="204"/>
      <c r="C5" s="204"/>
      <c r="D5" s="205"/>
      <c r="E5" s="208"/>
      <c r="F5" s="392"/>
      <c r="G5" s="395"/>
      <c r="H5" s="294" t="s">
        <v>6</v>
      </c>
      <c r="I5" s="295"/>
      <c r="J5" s="296"/>
      <c r="K5" s="297"/>
      <c r="L5" s="298">
        <f>SUM(L2:L4)</f>
        <v>0</v>
      </c>
      <c r="M5" s="299">
        <f t="shared" ref="M5:Y5" si="1">SUM(M2:M4)</f>
        <v>0</v>
      </c>
      <c r="N5" s="300">
        <f t="shared" si="1"/>
        <v>0</v>
      </c>
      <c r="O5" s="298">
        <f t="shared" si="1"/>
        <v>0</v>
      </c>
      <c r="P5" s="299">
        <f t="shared" si="1"/>
        <v>0</v>
      </c>
      <c r="Q5" s="300">
        <f t="shared" si="1"/>
        <v>0</v>
      </c>
      <c r="R5" s="298">
        <f t="shared" si="1"/>
        <v>0</v>
      </c>
      <c r="S5" s="301">
        <f t="shared" si="1"/>
        <v>0</v>
      </c>
      <c r="T5" s="300">
        <f t="shared" si="1"/>
        <v>0</v>
      </c>
      <c r="U5" s="298">
        <f t="shared" si="1"/>
        <v>0</v>
      </c>
      <c r="V5" s="302">
        <f t="shared" si="1"/>
        <v>0</v>
      </c>
      <c r="W5" s="301">
        <f t="shared" si="1"/>
        <v>0</v>
      </c>
      <c r="X5" s="300">
        <f t="shared" si="1"/>
        <v>0</v>
      </c>
      <c r="Y5" s="303">
        <f t="shared" si="1"/>
        <v>0</v>
      </c>
      <c r="Z5" s="214">
        <f>Утв_Осень</f>
        <v>0</v>
      </c>
    </row>
    <row r="6" spans="1:26" ht="17.100000000000001" customHeight="1" x14ac:dyDescent="0.3">
      <c r="A6" s="204"/>
      <c r="B6" s="204"/>
      <c r="C6" s="204"/>
      <c r="D6" s="205"/>
      <c r="E6" s="215"/>
      <c r="F6" s="304" t="s">
        <v>82</v>
      </c>
      <c r="G6" s="305">
        <f>SUM(L6:Y6)</f>
        <v>0</v>
      </c>
      <c r="H6" s="306"/>
      <c r="I6" s="307"/>
      <c r="J6" s="308"/>
      <c r="K6" s="297"/>
      <c r="L6" s="216">
        <f t="shared" ref="L6:Y6" si="2">SUM(L7:L159)-L5</f>
        <v>0</v>
      </c>
      <c r="M6" s="217">
        <f t="shared" si="2"/>
        <v>0</v>
      </c>
      <c r="N6" s="218">
        <f t="shared" si="2"/>
        <v>0</v>
      </c>
      <c r="O6" s="216">
        <f t="shared" si="2"/>
        <v>0</v>
      </c>
      <c r="P6" s="217">
        <f t="shared" si="2"/>
        <v>0</v>
      </c>
      <c r="Q6" s="218">
        <f t="shared" si="2"/>
        <v>0</v>
      </c>
      <c r="R6" s="216">
        <f t="shared" si="2"/>
        <v>0</v>
      </c>
      <c r="S6" s="219">
        <f t="shared" si="2"/>
        <v>0</v>
      </c>
      <c r="T6" s="218">
        <f t="shared" si="2"/>
        <v>0</v>
      </c>
      <c r="U6" s="216">
        <f t="shared" si="2"/>
        <v>0</v>
      </c>
      <c r="V6" s="220">
        <f t="shared" si="2"/>
        <v>0</v>
      </c>
      <c r="W6" s="219">
        <f t="shared" si="2"/>
        <v>0</v>
      </c>
      <c r="X6" s="218">
        <f t="shared" si="2"/>
        <v>0</v>
      </c>
      <c r="Y6" s="216">
        <f t="shared" si="2"/>
        <v>0</v>
      </c>
      <c r="Z6" s="221"/>
    </row>
    <row r="7" spans="1:26" s="239" customFormat="1" ht="28.5" customHeight="1" x14ac:dyDescent="0.3">
      <c r="A7" s="222">
        <f t="shared" ref="A7:A38" si="3">IF(B7,0,MATCH(H7,ВидыНагр,0))</f>
        <v>0</v>
      </c>
      <c r="B7" s="223" t="b">
        <f t="shared" ref="B7:B38" si="4">(COUNTIF(КлючОсень,D7)&lt;&gt;1)</f>
        <v>1</v>
      </c>
      <c r="C7" s="222">
        <f t="shared" ref="C7:C38" si="5">IF(COUNTA(E7:K7,Z7)&gt;0,1,0)+IF(COUNTA(L7:Y7)&gt;0,2,0)</f>
        <v>0</v>
      </c>
      <c r="D7" s="205" t="str">
        <f>CONCATENATE("$",TRIM(F7),"$",TRIM(G7),"$",H7,"$")</f>
        <v>$$$$</v>
      </c>
      <c r="E7" s="224"/>
      <c r="F7" s="225"/>
      <c r="G7" s="226"/>
      <c r="H7" s="227"/>
      <c r="I7" s="228"/>
      <c r="J7" s="228"/>
      <c r="K7" s="229"/>
      <c r="L7" s="230"/>
      <c r="M7" s="231"/>
      <c r="N7" s="232"/>
      <c r="O7" s="230"/>
      <c r="P7" s="231"/>
      <c r="Q7" s="232"/>
      <c r="R7" s="233"/>
      <c r="S7" s="234"/>
      <c r="T7" s="235"/>
      <c r="U7" s="233"/>
      <c r="V7" s="236"/>
      <c r="W7" s="234"/>
      <c r="X7" s="235"/>
      <c r="Y7" s="237"/>
      <c r="Z7" s="238"/>
    </row>
    <row r="8" spans="1:26" s="239" customFormat="1" ht="28.5" customHeight="1" x14ac:dyDescent="0.3">
      <c r="A8" s="222">
        <f t="shared" si="3"/>
        <v>0</v>
      </c>
      <c r="B8" s="223" t="b">
        <f t="shared" si="4"/>
        <v>1</v>
      </c>
      <c r="C8" s="222">
        <f t="shared" si="5"/>
        <v>0</v>
      </c>
      <c r="D8" s="205" t="str">
        <f t="shared" ref="D8:D71" si="6">CONCATENATE("$",TRIM(F8),"$",TRIM(G8),"$",H8,"$")</f>
        <v>$$$$</v>
      </c>
      <c r="E8" s="224"/>
      <c r="F8" s="225"/>
      <c r="G8" s="226"/>
      <c r="H8" s="227"/>
      <c r="I8" s="228"/>
      <c r="J8" s="228"/>
      <c r="K8" s="229"/>
      <c r="L8" s="230"/>
      <c r="M8" s="231"/>
      <c r="N8" s="232"/>
      <c r="O8" s="230"/>
      <c r="P8" s="231"/>
      <c r="Q8" s="232"/>
      <c r="R8" s="233"/>
      <c r="S8" s="234"/>
      <c r="T8" s="235"/>
      <c r="U8" s="233"/>
      <c r="V8" s="236"/>
      <c r="W8" s="234"/>
      <c r="X8" s="235"/>
      <c r="Y8" s="237"/>
      <c r="Z8" s="238"/>
    </row>
    <row r="9" spans="1:26" s="239" customFormat="1" ht="28.5" customHeight="1" x14ac:dyDescent="0.3">
      <c r="A9" s="222">
        <f t="shared" si="3"/>
        <v>0</v>
      </c>
      <c r="B9" s="223" t="b">
        <f t="shared" si="4"/>
        <v>1</v>
      </c>
      <c r="C9" s="222">
        <f t="shared" si="5"/>
        <v>0</v>
      </c>
      <c r="D9" s="205" t="str">
        <f t="shared" si="6"/>
        <v>$$$$</v>
      </c>
      <c r="E9" s="224"/>
      <c r="F9" s="225"/>
      <c r="G9" s="226"/>
      <c r="H9" s="227"/>
      <c r="I9" s="228"/>
      <c r="J9" s="228"/>
      <c r="K9" s="229"/>
      <c r="L9" s="230"/>
      <c r="M9" s="231"/>
      <c r="N9" s="232"/>
      <c r="O9" s="230"/>
      <c r="P9" s="231"/>
      <c r="Q9" s="232"/>
      <c r="R9" s="233"/>
      <c r="S9" s="234"/>
      <c r="T9" s="235"/>
      <c r="U9" s="233"/>
      <c r="V9" s="236"/>
      <c r="W9" s="234"/>
      <c r="X9" s="235"/>
      <c r="Y9" s="237"/>
      <c r="Z9" s="238"/>
    </row>
    <row r="10" spans="1:26" s="239" customFormat="1" ht="28.5" customHeight="1" x14ac:dyDescent="0.3">
      <c r="A10" s="222">
        <f t="shared" si="3"/>
        <v>0</v>
      </c>
      <c r="B10" s="223" t="b">
        <f t="shared" si="4"/>
        <v>1</v>
      </c>
      <c r="C10" s="222">
        <f t="shared" si="5"/>
        <v>0</v>
      </c>
      <c r="D10" s="205" t="str">
        <f t="shared" si="6"/>
        <v>$$$$</v>
      </c>
      <c r="E10" s="224"/>
      <c r="F10" s="225"/>
      <c r="G10" s="226"/>
      <c r="H10" s="227"/>
      <c r="I10" s="228"/>
      <c r="J10" s="228"/>
      <c r="K10" s="229"/>
      <c r="L10" s="230"/>
      <c r="M10" s="231"/>
      <c r="N10" s="232"/>
      <c r="O10" s="230"/>
      <c r="P10" s="231"/>
      <c r="Q10" s="232"/>
      <c r="R10" s="233"/>
      <c r="S10" s="234"/>
      <c r="T10" s="235"/>
      <c r="U10" s="233"/>
      <c r="V10" s="236"/>
      <c r="W10" s="234"/>
      <c r="X10" s="235"/>
      <c r="Y10" s="237"/>
      <c r="Z10" s="238"/>
    </row>
    <row r="11" spans="1:26" s="239" customFormat="1" ht="28.5" customHeight="1" x14ac:dyDescent="0.3">
      <c r="A11" s="222">
        <f t="shared" si="3"/>
        <v>0</v>
      </c>
      <c r="B11" s="223" t="b">
        <f t="shared" si="4"/>
        <v>1</v>
      </c>
      <c r="C11" s="222">
        <f t="shared" si="5"/>
        <v>0</v>
      </c>
      <c r="D11" s="205" t="str">
        <f t="shared" si="6"/>
        <v>$$$$</v>
      </c>
      <c r="E11" s="224"/>
      <c r="F11" s="225"/>
      <c r="G11" s="226"/>
      <c r="H11" s="227"/>
      <c r="I11" s="228"/>
      <c r="J11" s="228"/>
      <c r="K11" s="229"/>
      <c r="L11" s="230"/>
      <c r="M11" s="231"/>
      <c r="N11" s="232"/>
      <c r="O11" s="230"/>
      <c r="P11" s="231"/>
      <c r="Q11" s="232"/>
      <c r="R11" s="233"/>
      <c r="S11" s="234"/>
      <c r="T11" s="235"/>
      <c r="U11" s="233"/>
      <c r="V11" s="236"/>
      <c r="W11" s="234"/>
      <c r="X11" s="235"/>
      <c r="Y11" s="237"/>
      <c r="Z11" s="238"/>
    </row>
    <row r="12" spans="1:26" s="239" customFormat="1" ht="28.5" customHeight="1" x14ac:dyDescent="0.3">
      <c r="A12" s="222">
        <f t="shared" si="3"/>
        <v>0</v>
      </c>
      <c r="B12" s="223" t="b">
        <f t="shared" si="4"/>
        <v>1</v>
      </c>
      <c r="C12" s="222">
        <f t="shared" si="5"/>
        <v>0</v>
      </c>
      <c r="D12" s="205" t="str">
        <f t="shared" si="6"/>
        <v>$$$$</v>
      </c>
      <c r="E12" s="224"/>
      <c r="F12" s="225"/>
      <c r="G12" s="226"/>
      <c r="H12" s="227"/>
      <c r="I12" s="228"/>
      <c r="J12" s="228"/>
      <c r="K12" s="229"/>
      <c r="L12" s="230"/>
      <c r="M12" s="231"/>
      <c r="N12" s="232"/>
      <c r="O12" s="230"/>
      <c r="P12" s="231"/>
      <c r="Q12" s="232"/>
      <c r="R12" s="233"/>
      <c r="S12" s="234"/>
      <c r="T12" s="235"/>
      <c r="U12" s="233"/>
      <c r="V12" s="236"/>
      <c r="W12" s="234"/>
      <c r="X12" s="235"/>
      <c r="Y12" s="237"/>
      <c r="Z12" s="238"/>
    </row>
    <row r="13" spans="1:26" s="239" customFormat="1" ht="28.5" customHeight="1" x14ac:dyDescent="0.3">
      <c r="A13" s="222">
        <f t="shared" si="3"/>
        <v>0</v>
      </c>
      <c r="B13" s="223" t="b">
        <f t="shared" si="4"/>
        <v>1</v>
      </c>
      <c r="C13" s="222">
        <f t="shared" si="5"/>
        <v>0</v>
      </c>
      <c r="D13" s="205" t="str">
        <f t="shared" si="6"/>
        <v>$$$$</v>
      </c>
      <c r="E13" s="224"/>
      <c r="F13" s="225"/>
      <c r="G13" s="226"/>
      <c r="H13" s="227"/>
      <c r="I13" s="228"/>
      <c r="J13" s="228"/>
      <c r="K13" s="229"/>
      <c r="L13" s="230"/>
      <c r="M13" s="231"/>
      <c r="N13" s="232"/>
      <c r="O13" s="230"/>
      <c r="P13" s="231"/>
      <c r="Q13" s="232"/>
      <c r="R13" s="233"/>
      <c r="S13" s="234"/>
      <c r="T13" s="235"/>
      <c r="U13" s="233"/>
      <c r="V13" s="236"/>
      <c r="W13" s="234"/>
      <c r="X13" s="235"/>
      <c r="Y13" s="237"/>
      <c r="Z13" s="238"/>
    </row>
    <row r="14" spans="1:26" s="239" customFormat="1" ht="28.5" customHeight="1" x14ac:dyDescent="0.3">
      <c r="A14" s="222">
        <f t="shared" si="3"/>
        <v>0</v>
      </c>
      <c r="B14" s="223" t="b">
        <f t="shared" si="4"/>
        <v>1</v>
      </c>
      <c r="C14" s="222">
        <f t="shared" si="5"/>
        <v>0</v>
      </c>
      <c r="D14" s="205" t="str">
        <f t="shared" si="6"/>
        <v>$$$$</v>
      </c>
      <c r="E14" s="224"/>
      <c r="F14" s="225"/>
      <c r="G14" s="226"/>
      <c r="H14" s="227"/>
      <c r="I14" s="228"/>
      <c r="J14" s="228"/>
      <c r="K14" s="229"/>
      <c r="L14" s="230"/>
      <c r="M14" s="231"/>
      <c r="N14" s="232"/>
      <c r="O14" s="230"/>
      <c r="P14" s="231"/>
      <c r="Q14" s="232"/>
      <c r="R14" s="233"/>
      <c r="S14" s="234"/>
      <c r="T14" s="235"/>
      <c r="U14" s="233"/>
      <c r="V14" s="236"/>
      <c r="W14" s="234"/>
      <c r="X14" s="235"/>
      <c r="Y14" s="237"/>
      <c r="Z14" s="238"/>
    </row>
    <row r="15" spans="1:26" s="239" customFormat="1" ht="28.5" customHeight="1" x14ac:dyDescent="0.3">
      <c r="A15" s="222">
        <f t="shared" si="3"/>
        <v>0</v>
      </c>
      <c r="B15" s="223" t="b">
        <f t="shared" si="4"/>
        <v>1</v>
      </c>
      <c r="C15" s="222">
        <f t="shared" si="5"/>
        <v>0</v>
      </c>
      <c r="D15" s="205" t="str">
        <f t="shared" si="6"/>
        <v>$$$$</v>
      </c>
      <c r="E15" s="224"/>
      <c r="F15" s="225"/>
      <c r="G15" s="226"/>
      <c r="H15" s="227"/>
      <c r="I15" s="228"/>
      <c r="J15" s="228"/>
      <c r="K15" s="229"/>
      <c r="L15" s="230"/>
      <c r="M15" s="231"/>
      <c r="N15" s="232"/>
      <c r="O15" s="230"/>
      <c r="P15" s="231"/>
      <c r="Q15" s="232"/>
      <c r="R15" s="233"/>
      <c r="S15" s="234"/>
      <c r="T15" s="235"/>
      <c r="U15" s="233"/>
      <c r="V15" s="236"/>
      <c r="W15" s="234"/>
      <c r="X15" s="235"/>
      <c r="Y15" s="237"/>
      <c r="Z15" s="238"/>
    </row>
    <row r="16" spans="1:26" s="239" customFormat="1" ht="28.5" customHeight="1" x14ac:dyDescent="0.3">
      <c r="A16" s="222">
        <f t="shared" si="3"/>
        <v>0</v>
      </c>
      <c r="B16" s="223" t="b">
        <f t="shared" si="4"/>
        <v>1</v>
      </c>
      <c r="C16" s="222">
        <f t="shared" si="5"/>
        <v>0</v>
      </c>
      <c r="D16" s="205" t="str">
        <f t="shared" si="6"/>
        <v>$$$$</v>
      </c>
      <c r="E16" s="224"/>
      <c r="F16" s="225"/>
      <c r="G16" s="226"/>
      <c r="H16" s="227"/>
      <c r="I16" s="228"/>
      <c r="J16" s="228"/>
      <c r="K16" s="229"/>
      <c r="L16" s="230"/>
      <c r="M16" s="231"/>
      <c r="N16" s="232"/>
      <c r="O16" s="230"/>
      <c r="P16" s="231"/>
      <c r="Q16" s="232"/>
      <c r="R16" s="233"/>
      <c r="S16" s="234"/>
      <c r="T16" s="235"/>
      <c r="U16" s="233"/>
      <c r="V16" s="236"/>
      <c r="W16" s="234"/>
      <c r="X16" s="235"/>
      <c r="Y16" s="237"/>
      <c r="Z16" s="238"/>
    </row>
    <row r="17" spans="1:26" s="239" customFormat="1" ht="28.5" customHeight="1" x14ac:dyDescent="0.3">
      <c r="A17" s="222">
        <f t="shared" si="3"/>
        <v>0</v>
      </c>
      <c r="B17" s="223" t="b">
        <f t="shared" si="4"/>
        <v>1</v>
      </c>
      <c r="C17" s="222">
        <f t="shared" si="5"/>
        <v>0</v>
      </c>
      <c r="D17" s="205" t="str">
        <f t="shared" si="6"/>
        <v>$$$$</v>
      </c>
      <c r="E17" s="224"/>
      <c r="F17" s="225"/>
      <c r="G17" s="226"/>
      <c r="H17" s="227"/>
      <c r="I17" s="228"/>
      <c r="J17" s="228"/>
      <c r="K17" s="229"/>
      <c r="L17" s="230"/>
      <c r="M17" s="231"/>
      <c r="N17" s="232"/>
      <c r="O17" s="230"/>
      <c r="P17" s="231"/>
      <c r="Q17" s="232"/>
      <c r="R17" s="233"/>
      <c r="S17" s="234"/>
      <c r="T17" s="235"/>
      <c r="U17" s="233"/>
      <c r="V17" s="236"/>
      <c r="W17" s="234"/>
      <c r="X17" s="235"/>
      <c r="Y17" s="237"/>
      <c r="Z17" s="238"/>
    </row>
    <row r="18" spans="1:26" s="239" customFormat="1" ht="28.5" customHeight="1" x14ac:dyDescent="0.3">
      <c r="A18" s="222">
        <f t="shared" si="3"/>
        <v>0</v>
      </c>
      <c r="B18" s="223" t="b">
        <f t="shared" si="4"/>
        <v>1</v>
      </c>
      <c r="C18" s="222">
        <f t="shared" si="5"/>
        <v>0</v>
      </c>
      <c r="D18" s="205" t="str">
        <f t="shared" si="6"/>
        <v>$$$$</v>
      </c>
      <c r="E18" s="224"/>
      <c r="F18" s="225"/>
      <c r="G18" s="226"/>
      <c r="H18" s="227"/>
      <c r="I18" s="228"/>
      <c r="J18" s="228"/>
      <c r="K18" s="229"/>
      <c r="L18" s="230"/>
      <c r="M18" s="231"/>
      <c r="N18" s="232"/>
      <c r="O18" s="230"/>
      <c r="P18" s="231"/>
      <c r="Q18" s="232"/>
      <c r="R18" s="233"/>
      <c r="S18" s="234"/>
      <c r="T18" s="235"/>
      <c r="U18" s="233"/>
      <c r="V18" s="236"/>
      <c r="W18" s="234"/>
      <c r="X18" s="235"/>
      <c r="Y18" s="237"/>
      <c r="Z18" s="238"/>
    </row>
    <row r="19" spans="1:26" s="239" customFormat="1" ht="28.5" customHeight="1" x14ac:dyDescent="0.3">
      <c r="A19" s="222">
        <f t="shared" si="3"/>
        <v>0</v>
      </c>
      <c r="B19" s="223" t="b">
        <f t="shared" si="4"/>
        <v>1</v>
      </c>
      <c r="C19" s="222">
        <f t="shared" si="5"/>
        <v>0</v>
      </c>
      <c r="D19" s="205" t="str">
        <f t="shared" si="6"/>
        <v>$$$$</v>
      </c>
      <c r="E19" s="224"/>
      <c r="F19" s="225"/>
      <c r="G19" s="226"/>
      <c r="H19" s="227"/>
      <c r="I19" s="228"/>
      <c r="J19" s="228"/>
      <c r="K19" s="229"/>
      <c r="L19" s="230"/>
      <c r="M19" s="231"/>
      <c r="N19" s="232"/>
      <c r="O19" s="230"/>
      <c r="P19" s="231"/>
      <c r="Q19" s="232"/>
      <c r="R19" s="233"/>
      <c r="S19" s="234"/>
      <c r="T19" s="235"/>
      <c r="U19" s="233"/>
      <c r="V19" s="236"/>
      <c r="W19" s="234"/>
      <c r="X19" s="235"/>
      <c r="Y19" s="237"/>
      <c r="Z19" s="238"/>
    </row>
    <row r="20" spans="1:26" s="239" customFormat="1" ht="28.5" customHeight="1" x14ac:dyDescent="0.3">
      <c r="A20" s="222">
        <f t="shared" si="3"/>
        <v>0</v>
      </c>
      <c r="B20" s="223" t="b">
        <f t="shared" si="4"/>
        <v>1</v>
      </c>
      <c r="C20" s="222">
        <f t="shared" si="5"/>
        <v>0</v>
      </c>
      <c r="D20" s="205" t="str">
        <f t="shared" si="6"/>
        <v>$$$$</v>
      </c>
      <c r="E20" s="224"/>
      <c r="F20" s="225"/>
      <c r="G20" s="226"/>
      <c r="H20" s="227"/>
      <c r="I20" s="228"/>
      <c r="J20" s="228"/>
      <c r="K20" s="229"/>
      <c r="L20" s="230"/>
      <c r="M20" s="231"/>
      <c r="N20" s="232"/>
      <c r="O20" s="230"/>
      <c r="P20" s="231"/>
      <c r="Q20" s="232"/>
      <c r="R20" s="233"/>
      <c r="S20" s="234"/>
      <c r="T20" s="235"/>
      <c r="U20" s="233"/>
      <c r="V20" s="236"/>
      <c r="W20" s="234"/>
      <c r="X20" s="235"/>
      <c r="Y20" s="237"/>
      <c r="Z20" s="238"/>
    </row>
    <row r="21" spans="1:26" s="239" customFormat="1" ht="28.5" customHeight="1" x14ac:dyDescent="0.3">
      <c r="A21" s="222">
        <f t="shared" si="3"/>
        <v>0</v>
      </c>
      <c r="B21" s="223" t="b">
        <f t="shared" si="4"/>
        <v>1</v>
      </c>
      <c r="C21" s="222">
        <f t="shared" si="5"/>
        <v>0</v>
      </c>
      <c r="D21" s="205" t="str">
        <f t="shared" si="6"/>
        <v>$$$$</v>
      </c>
      <c r="E21" s="224"/>
      <c r="F21" s="225"/>
      <c r="G21" s="226"/>
      <c r="H21" s="227"/>
      <c r="I21" s="228"/>
      <c r="J21" s="228"/>
      <c r="K21" s="229"/>
      <c r="L21" s="230"/>
      <c r="M21" s="231"/>
      <c r="N21" s="232"/>
      <c r="O21" s="230"/>
      <c r="P21" s="231"/>
      <c r="Q21" s="232"/>
      <c r="R21" s="233"/>
      <c r="S21" s="234"/>
      <c r="T21" s="235"/>
      <c r="U21" s="233"/>
      <c r="V21" s="236"/>
      <c r="W21" s="234"/>
      <c r="X21" s="235"/>
      <c r="Y21" s="237"/>
      <c r="Z21" s="238"/>
    </row>
    <row r="22" spans="1:26" s="239" customFormat="1" ht="28.5" customHeight="1" x14ac:dyDescent="0.3">
      <c r="A22" s="222">
        <f t="shared" si="3"/>
        <v>0</v>
      </c>
      <c r="B22" s="223" t="b">
        <f t="shared" si="4"/>
        <v>1</v>
      </c>
      <c r="C22" s="222">
        <f t="shared" si="5"/>
        <v>0</v>
      </c>
      <c r="D22" s="205" t="str">
        <f t="shared" si="6"/>
        <v>$$$$</v>
      </c>
      <c r="E22" s="224"/>
      <c r="F22" s="225"/>
      <c r="G22" s="226"/>
      <c r="H22" s="227"/>
      <c r="I22" s="228"/>
      <c r="J22" s="228"/>
      <c r="K22" s="229"/>
      <c r="L22" s="230"/>
      <c r="M22" s="231"/>
      <c r="N22" s="232"/>
      <c r="O22" s="230"/>
      <c r="P22" s="231"/>
      <c r="Q22" s="232"/>
      <c r="R22" s="233"/>
      <c r="S22" s="234"/>
      <c r="T22" s="235"/>
      <c r="U22" s="233"/>
      <c r="V22" s="236"/>
      <c r="W22" s="234"/>
      <c r="X22" s="235"/>
      <c r="Y22" s="237"/>
      <c r="Z22" s="238"/>
    </row>
    <row r="23" spans="1:26" s="239" customFormat="1" ht="28.5" customHeight="1" x14ac:dyDescent="0.3">
      <c r="A23" s="222">
        <f t="shared" si="3"/>
        <v>0</v>
      </c>
      <c r="B23" s="223" t="b">
        <f t="shared" si="4"/>
        <v>1</v>
      </c>
      <c r="C23" s="222">
        <f t="shared" si="5"/>
        <v>0</v>
      </c>
      <c r="D23" s="205" t="str">
        <f t="shared" si="6"/>
        <v>$$$$</v>
      </c>
      <c r="E23" s="224"/>
      <c r="F23" s="225"/>
      <c r="G23" s="226"/>
      <c r="H23" s="227"/>
      <c r="I23" s="228"/>
      <c r="J23" s="228"/>
      <c r="K23" s="229"/>
      <c r="L23" s="230"/>
      <c r="M23" s="231"/>
      <c r="N23" s="232"/>
      <c r="O23" s="230"/>
      <c r="P23" s="231"/>
      <c r="Q23" s="232"/>
      <c r="R23" s="233"/>
      <c r="S23" s="234"/>
      <c r="T23" s="235"/>
      <c r="U23" s="233"/>
      <c r="V23" s="236"/>
      <c r="W23" s="234"/>
      <c r="X23" s="235"/>
      <c r="Y23" s="237"/>
      <c r="Z23" s="238"/>
    </row>
    <row r="24" spans="1:26" s="239" customFormat="1" ht="28.5" customHeight="1" x14ac:dyDescent="0.3">
      <c r="A24" s="222">
        <f t="shared" si="3"/>
        <v>0</v>
      </c>
      <c r="B24" s="223" t="b">
        <f t="shared" si="4"/>
        <v>1</v>
      </c>
      <c r="C24" s="222">
        <f t="shared" si="5"/>
        <v>0</v>
      </c>
      <c r="D24" s="205" t="str">
        <f t="shared" si="6"/>
        <v>$$$$</v>
      </c>
      <c r="E24" s="224"/>
      <c r="F24" s="225"/>
      <c r="G24" s="226"/>
      <c r="H24" s="227"/>
      <c r="I24" s="228"/>
      <c r="J24" s="228"/>
      <c r="K24" s="229"/>
      <c r="L24" s="230"/>
      <c r="M24" s="231"/>
      <c r="N24" s="232"/>
      <c r="O24" s="230"/>
      <c r="P24" s="231"/>
      <c r="Q24" s="232"/>
      <c r="R24" s="233"/>
      <c r="S24" s="234"/>
      <c r="T24" s="235"/>
      <c r="U24" s="233"/>
      <c r="V24" s="236"/>
      <c r="W24" s="234"/>
      <c r="X24" s="235"/>
      <c r="Y24" s="237"/>
      <c r="Z24" s="238"/>
    </row>
    <row r="25" spans="1:26" s="239" customFormat="1" ht="28.5" customHeight="1" x14ac:dyDescent="0.3">
      <c r="A25" s="222">
        <f t="shared" si="3"/>
        <v>0</v>
      </c>
      <c r="B25" s="223" t="b">
        <f t="shared" si="4"/>
        <v>1</v>
      </c>
      <c r="C25" s="222">
        <f t="shared" si="5"/>
        <v>0</v>
      </c>
      <c r="D25" s="205" t="str">
        <f t="shared" si="6"/>
        <v>$$$$</v>
      </c>
      <c r="E25" s="224"/>
      <c r="F25" s="225"/>
      <c r="G25" s="226"/>
      <c r="H25" s="227"/>
      <c r="I25" s="228"/>
      <c r="J25" s="228"/>
      <c r="K25" s="229"/>
      <c r="L25" s="230"/>
      <c r="M25" s="231"/>
      <c r="N25" s="232"/>
      <c r="O25" s="230"/>
      <c r="P25" s="231"/>
      <c r="Q25" s="232"/>
      <c r="R25" s="233"/>
      <c r="S25" s="234"/>
      <c r="T25" s="235"/>
      <c r="U25" s="233"/>
      <c r="V25" s="236"/>
      <c r="W25" s="234"/>
      <c r="X25" s="235"/>
      <c r="Y25" s="237"/>
      <c r="Z25" s="238"/>
    </row>
    <row r="26" spans="1:26" s="239" customFormat="1" ht="28.5" customHeight="1" x14ac:dyDescent="0.3">
      <c r="A26" s="222">
        <f t="shared" si="3"/>
        <v>0</v>
      </c>
      <c r="B26" s="223" t="b">
        <f t="shared" si="4"/>
        <v>1</v>
      </c>
      <c r="C26" s="222">
        <f t="shared" si="5"/>
        <v>0</v>
      </c>
      <c r="D26" s="205" t="str">
        <f t="shared" si="6"/>
        <v>$$$$</v>
      </c>
      <c r="E26" s="224"/>
      <c r="F26" s="225"/>
      <c r="G26" s="226"/>
      <c r="H26" s="227"/>
      <c r="I26" s="228"/>
      <c r="J26" s="228"/>
      <c r="K26" s="229"/>
      <c r="L26" s="230"/>
      <c r="M26" s="231"/>
      <c r="N26" s="232"/>
      <c r="O26" s="230"/>
      <c r="P26" s="231"/>
      <c r="Q26" s="232"/>
      <c r="R26" s="233"/>
      <c r="S26" s="234"/>
      <c r="T26" s="235"/>
      <c r="U26" s="233"/>
      <c r="V26" s="236"/>
      <c r="W26" s="234"/>
      <c r="X26" s="235"/>
      <c r="Y26" s="237"/>
      <c r="Z26" s="238"/>
    </row>
    <row r="27" spans="1:26" s="239" customFormat="1" ht="28.5" customHeight="1" x14ac:dyDescent="0.3">
      <c r="A27" s="222">
        <f t="shared" si="3"/>
        <v>0</v>
      </c>
      <c r="B27" s="223" t="b">
        <f t="shared" si="4"/>
        <v>1</v>
      </c>
      <c r="C27" s="222">
        <f t="shared" si="5"/>
        <v>0</v>
      </c>
      <c r="D27" s="205" t="str">
        <f t="shared" si="6"/>
        <v>$$$$</v>
      </c>
      <c r="E27" s="224"/>
      <c r="F27" s="225"/>
      <c r="G27" s="226"/>
      <c r="H27" s="227"/>
      <c r="I27" s="228"/>
      <c r="J27" s="228"/>
      <c r="K27" s="229"/>
      <c r="L27" s="230"/>
      <c r="M27" s="231"/>
      <c r="N27" s="232"/>
      <c r="O27" s="230"/>
      <c r="P27" s="231"/>
      <c r="Q27" s="232"/>
      <c r="R27" s="233"/>
      <c r="S27" s="234"/>
      <c r="T27" s="235"/>
      <c r="U27" s="233"/>
      <c r="V27" s="236"/>
      <c r="W27" s="234"/>
      <c r="X27" s="235"/>
      <c r="Y27" s="237"/>
      <c r="Z27" s="238"/>
    </row>
    <row r="28" spans="1:26" s="239" customFormat="1" ht="28.5" customHeight="1" x14ac:dyDescent="0.3">
      <c r="A28" s="222">
        <f t="shared" si="3"/>
        <v>0</v>
      </c>
      <c r="B28" s="223" t="b">
        <f t="shared" si="4"/>
        <v>1</v>
      </c>
      <c r="C28" s="222">
        <f t="shared" si="5"/>
        <v>0</v>
      </c>
      <c r="D28" s="205" t="str">
        <f t="shared" si="6"/>
        <v>$$$$</v>
      </c>
      <c r="E28" s="224"/>
      <c r="F28" s="225"/>
      <c r="G28" s="226"/>
      <c r="H28" s="227"/>
      <c r="I28" s="228"/>
      <c r="J28" s="228"/>
      <c r="K28" s="229"/>
      <c r="L28" s="230"/>
      <c r="M28" s="231"/>
      <c r="N28" s="232"/>
      <c r="O28" s="230"/>
      <c r="P28" s="231"/>
      <c r="Q28" s="232"/>
      <c r="R28" s="233"/>
      <c r="S28" s="234"/>
      <c r="T28" s="235"/>
      <c r="U28" s="233"/>
      <c r="V28" s="236"/>
      <c r="W28" s="234"/>
      <c r="X28" s="235"/>
      <c r="Y28" s="237"/>
      <c r="Z28" s="238"/>
    </row>
    <row r="29" spans="1:26" s="239" customFormat="1" ht="28.5" customHeight="1" x14ac:dyDescent="0.3">
      <c r="A29" s="222">
        <f t="shared" si="3"/>
        <v>0</v>
      </c>
      <c r="B29" s="223" t="b">
        <f t="shared" si="4"/>
        <v>1</v>
      </c>
      <c r="C29" s="222">
        <f t="shared" si="5"/>
        <v>0</v>
      </c>
      <c r="D29" s="205" t="str">
        <f t="shared" si="6"/>
        <v>$$$$</v>
      </c>
      <c r="E29" s="224"/>
      <c r="F29" s="225"/>
      <c r="G29" s="226"/>
      <c r="H29" s="227"/>
      <c r="I29" s="228"/>
      <c r="J29" s="228"/>
      <c r="K29" s="229"/>
      <c r="L29" s="230"/>
      <c r="M29" s="231"/>
      <c r="N29" s="232"/>
      <c r="O29" s="230"/>
      <c r="P29" s="231"/>
      <c r="Q29" s="232"/>
      <c r="R29" s="233"/>
      <c r="S29" s="234"/>
      <c r="T29" s="235"/>
      <c r="U29" s="233"/>
      <c r="V29" s="236"/>
      <c r="W29" s="234"/>
      <c r="X29" s="235"/>
      <c r="Y29" s="237"/>
      <c r="Z29" s="238"/>
    </row>
    <row r="30" spans="1:26" s="239" customFormat="1" ht="28.5" customHeight="1" x14ac:dyDescent="0.3">
      <c r="A30" s="222">
        <f t="shared" si="3"/>
        <v>0</v>
      </c>
      <c r="B30" s="223" t="b">
        <f t="shared" si="4"/>
        <v>1</v>
      </c>
      <c r="C30" s="222">
        <f t="shared" si="5"/>
        <v>0</v>
      </c>
      <c r="D30" s="205" t="str">
        <f t="shared" si="6"/>
        <v>$$$$</v>
      </c>
      <c r="E30" s="224"/>
      <c r="F30" s="225"/>
      <c r="G30" s="226"/>
      <c r="H30" s="227"/>
      <c r="I30" s="228"/>
      <c r="J30" s="228"/>
      <c r="K30" s="229"/>
      <c r="L30" s="230"/>
      <c r="M30" s="231"/>
      <c r="N30" s="232"/>
      <c r="O30" s="230"/>
      <c r="P30" s="231"/>
      <c r="Q30" s="232"/>
      <c r="R30" s="233"/>
      <c r="S30" s="234"/>
      <c r="T30" s="235"/>
      <c r="U30" s="233"/>
      <c r="V30" s="236"/>
      <c r="W30" s="234"/>
      <c r="X30" s="235"/>
      <c r="Y30" s="237"/>
      <c r="Z30" s="238"/>
    </row>
    <row r="31" spans="1:26" s="239" customFormat="1" ht="28.5" customHeight="1" x14ac:dyDescent="0.3">
      <c r="A31" s="222">
        <f t="shared" si="3"/>
        <v>0</v>
      </c>
      <c r="B31" s="223" t="b">
        <f t="shared" si="4"/>
        <v>1</v>
      </c>
      <c r="C31" s="222">
        <f t="shared" si="5"/>
        <v>0</v>
      </c>
      <c r="D31" s="205" t="str">
        <f t="shared" si="6"/>
        <v>$$$$</v>
      </c>
      <c r="E31" s="224"/>
      <c r="F31" s="225"/>
      <c r="G31" s="226"/>
      <c r="H31" s="227"/>
      <c r="I31" s="228"/>
      <c r="J31" s="228"/>
      <c r="K31" s="229"/>
      <c r="L31" s="230"/>
      <c r="M31" s="231"/>
      <c r="N31" s="232"/>
      <c r="O31" s="230"/>
      <c r="P31" s="231"/>
      <c r="Q31" s="232"/>
      <c r="R31" s="233"/>
      <c r="S31" s="234"/>
      <c r="T31" s="235"/>
      <c r="U31" s="233"/>
      <c r="V31" s="236"/>
      <c r="W31" s="234"/>
      <c r="X31" s="235"/>
      <c r="Y31" s="237"/>
      <c r="Z31" s="238"/>
    </row>
    <row r="32" spans="1:26" s="239" customFormat="1" ht="28.5" customHeight="1" x14ac:dyDescent="0.3">
      <c r="A32" s="222">
        <f t="shared" si="3"/>
        <v>0</v>
      </c>
      <c r="B32" s="223" t="b">
        <f t="shared" si="4"/>
        <v>1</v>
      </c>
      <c r="C32" s="222">
        <f t="shared" si="5"/>
        <v>0</v>
      </c>
      <c r="D32" s="205" t="str">
        <f t="shared" si="6"/>
        <v>$$$$</v>
      </c>
      <c r="E32" s="224"/>
      <c r="F32" s="225"/>
      <c r="G32" s="226"/>
      <c r="H32" s="227"/>
      <c r="I32" s="228"/>
      <c r="J32" s="228"/>
      <c r="K32" s="229"/>
      <c r="L32" s="230"/>
      <c r="M32" s="231"/>
      <c r="N32" s="232"/>
      <c r="O32" s="230"/>
      <c r="P32" s="231"/>
      <c r="Q32" s="232"/>
      <c r="R32" s="233"/>
      <c r="S32" s="234"/>
      <c r="T32" s="235"/>
      <c r="U32" s="233"/>
      <c r="V32" s="236"/>
      <c r="W32" s="234"/>
      <c r="X32" s="235"/>
      <c r="Y32" s="237"/>
      <c r="Z32" s="238"/>
    </row>
    <row r="33" spans="1:26" s="239" customFormat="1" ht="28.5" customHeight="1" x14ac:dyDescent="0.3">
      <c r="A33" s="222">
        <f t="shared" si="3"/>
        <v>0</v>
      </c>
      <c r="B33" s="223" t="b">
        <f t="shared" si="4"/>
        <v>1</v>
      </c>
      <c r="C33" s="222">
        <f t="shared" si="5"/>
        <v>0</v>
      </c>
      <c r="D33" s="205" t="str">
        <f t="shared" si="6"/>
        <v>$$$$</v>
      </c>
      <c r="E33" s="224"/>
      <c r="F33" s="225"/>
      <c r="G33" s="226"/>
      <c r="H33" s="227"/>
      <c r="I33" s="228"/>
      <c r="J33" s="228"/>
      <c r="K33" s="229"/>
      <c r="L33" s="230"/>
      <c r="M33" s="231"/>
      <c r="N33" s="232"/>
      <c r="O33" s="230"/>
      <c r="P33" s="231"/>
      <c r="Q33" s="232"/>
      <c r="R33" s="233"/>
      <c r="S33" s="234"/>
      <c r="T33" s="235"/>
      <c r="U33" s="233"/>
      <c r="V33" s="236"/>
      <c r="W33" s="234"/>
      <c r="X33" s="235"/>
      <c r="Y33" s="237"/>
      <c r="Z33" s="238"/>
    </row>
    <row r="34" spans="1:26" s="239" customFormat="1" ht="28.5" customHeight="1" x14ac:dyDescent="0.3">
      <c r="A34" s="222">
        <f t="shared" si="3"/>
        <v>0</v>
      </c>
      <c r="B34" s="223" t="b">
        <f t="shared" si="4"/>
        <v>1</v>
      </c>
      <c r="C34" s="222">
        <f t="shared" si="5"/>
        <v>0</v>
      </c>
      <c r="D34" s="205" t="str">
        <f t="shared" si="6"/>
        <v>$$$$</v>
      </c>
      <c r="E34" s="224"/>
      <c r="F34" s="225"/>
      <c r="G34" s="226"/>
      <c r="H34" s="227"/>
      <c r="I34" s="228"/>
      <c r="J34" s="228"/>
      <c r="K34" s="229"/>
      <c r="L34" s="230"/>
      <c r="M34" s="231"/>
      <c r="N34" s="232"/>
      <c r="O34" s="230"/>
      <c r="P34" s="231"/>
      <c r="Q34" s="232"/>
      <c r="R34" s="233"/>
      <c r="S34" s="234"/>
      <c r="T34" s="235"/>
      <c r="U34" s="233"/>
      <c r="V34" s="236"/>
      <c r="W34" s="234"/>
      <c r="X34" s="235"/>
      <c r="Y34" s="237"/>
      <c r="Z34" s="238"/>
    </row>
    <row r="35" spans="1:26" s="239" customFormat="1" ht="28.5" customHeight="1" x14ac:dyDescent="0.3">
      <c r="A35" s="222">
        <f t="shared" si="3"/>
        <v>0</v>
      </c>
      <c r="B35" s="223" t="b">
        <f t="shared" si="4"/>
        <v>1</v>
      </c>
      <c r="C35" s="222">
        <f t="shared" si="5"/>
        <v>0</v>
      </c>
      <c r="D35" s="205" t="str">
        <f t="shared" si="6"/>
        <v>$$$$</v>
      </c>
      <c r="E35" s="224"/>
      <c r="F35" s="225"/>
      <c r="G35" s="226"/>
      <c r="H35" s="227"/>
      <c r="I35" s="228"/>
      <c r="J35" s="228"/>
      <c r="K35" s="229"/>
      <c r="L35" s="230"/>
      <c r="M35" s="231"/>
      <c r="N35" s="232"/>
      <c r="O35" s="230"/>
      <c r="P35" s="231"/>
      <c r="Q35" s="232"/>
      <c r="R35" s="233"/>
      <c r="S35" s="234"/>
      <c r="T35" s="235"/>
      <c r="U35" s="233"/>
      <c r="V35" s="236"/>
      <c r="W35" s="234"/>
      <c r="X35" s="235"/>
      <c r="Y35" s="237"/>
      <c r="Z35" s="238"/>
    </row>
    <row r="36" spans="1:26" s="239" customFormat="1" ht="28.5" customHeight="1" x14ac:dyDescent="0.3">
      <c r="A36" s="222">
        <f t="shared" si="3"/>
        <v>0</v>
      </c>
      <c r="B36" s="223" t="b">
        <f t="shared" si="4"/>
        <v>1</v>
      </c>
      <c r="C36" s="222">
        <f t="shared" si="5"/>
        <v>0</v>
      </c>
      <c r="D36" s="205" t="str">
        <f t="shared" si="6"/>
        <v>$$$$</v>
      </c>
      <c r="E36" s="224"/>
      <c r="F36" s="225"/>
      <c r="G36" s="226"/>
      <c r="H36" s="227"/>
      <c r="I36" s="228"/>
      <c r="J36" s="228"/>
      <c r="K36" s="229"/>
      <c r="L36" s="230"/>
      <c r="M36" s="231"/>
      <c r="N36" s="232"/>
      <c r="O36" s="230"/>
      <c r="P36" s="231"/>
      <c r="Q36" s="232"/>
      <c r="R36" s="233"/>
      <c r="S36" s="234"/>
      <c r="T36" s="235"/>
      <c r="U36" s="233"/>
      <c r="V36" s="236"/>
      <c r="W36" s="234"/>
      <c r="X36" s="235"/>
      <c r="Y36" s="237"/>
      <c r="Z36" s="238"/>
    </row>
    <row r="37" spans="1:26" s="239" customFormat="1" ht="28.5" customHeight="1" x14ac:dyDescent="0.3">
      <c r="A37" s="222">
        <f t="shared" si="3"/>
        <v>0</v>
      </c>
      <c r="B37" s="223" t="b">
        <f t="shared" si="4"/>
        <v>1</v>
      </c>
      <c r="C37" s="222">
        <f t="shared" si="5"/>
        <v>0</v>
      </c>
      <c r="D37" s="205" t="str">
        <f t="shared" si="6"/>
        <v>$$$$</v>
      </c>
      <c r="E37" s="224"/>
      <c r="F37" s="225"/>
      <c r="G37" s="226"/>
      <c r="H37" s="227"/>
      <c r="I37" s="228"/>
      <c r="J37" s="228"/>
      <c r="K37" s="229"/>
      <c r="L37" s="230"/>
      <c r="M37" s="231"/>
      <c r="N37" s="232"/>
      <c r="O37" s="230"/>
      <c r="P37" s="231"/>
      <c r="Q37" s="232"/>
      <c r="R37" s="233"/>
      <c r="S37" s="234"/>
      <c r="T37" s="235"/>
      <c r="U37" s="233"/>
      <c r="V37" s="236"/>
      <c r="W37" s="234"/>
      <c r="X37" s="235"/>
      <c r="Y37" s="237"/>
      <c r="Z37" s="238"/>
    </row>
    <row r="38" spans="1:26" s="239" customFormat="1" ht="28.5" customHeight="1" x14ac:dyDescent="0.3">
      <c r="A38" s="222">
        <f t="shared" si="3"/>
        <v>0</v>
      </c>
      <c r="B38" s="223" t="b">
        <f t="shared" si="4"/>
        <v>1</v>
      </c>
      <c r="C38" s="222">
        <f t="shared" si="5"/>
        <v>0</v>
      </c>
      <c r="D38" s="205" t="str">
        <f t="shared" si="6"/>
        <v>$$$$</v>
      </c>
      <c r="E38" s="224"/>
      <c r="F38" s="225"/>
      <c r="G38" s="226"/>
      <c r="H38" s="227"/>
      <c r="I38" s="228"/>
      <c r="J38" s="228"/>
      <c r="K38" s="229"/>
      <c r="L38" s="230"/>
      <c r="M38" s="231"/>
      <c r="N38" s="232"/>
      <c r="O38" s="230"/>
      <c r="P38" s="231"/>
      <c r="Q38" s="232"/>
      <c r="R38" s="233"/>
      <c r="S38" s="234"/>
      <c r="T38" s="235"/>
      <c r="U38" s="233"/>
      <c r="V38" s="236"/>
      <c r="W38" s="234"/>
      <c r="X38" s="235"/>
      <c r="Y38" s="237"/>
      <c r="Z38" s="238"/>
    </row>
    <row r="39" spans="1:26" s="239" customFormat="1" ht="28.5" customHeight="1" x14ac:dyDescent="0.3">
      <c r="A39" s="222">
        <f t="shared" ref="A39:A70" si="7">IF(B39,0,MATCH(H39,ВидыНагр,0))</f>
        <v>0</v>
      </c>
      <c r="B39" s="223" t="b">
        <f t="shared" ref="B39:B70" si="8">(COUNTIF(КлючОсень,D39)&lt;&gt;1)</f>
        <v>1</v>
      </c>
      <c r="C39" s="222">
        <f t="shared" ref="C39:C70" si="9">IF(COUNTA(E39:K39,Z39)&gt;0,1,0)+IF(COUNTA(L39:Y39)&gt;0,2,0)</f>
        <v>0</v>
      </c>
      <c r="D39" s="205" t="str">
        <f t="shared" si="6"/>
        <v>$$$$</v>
      </c>
      <c r="E39" s="224"/>
      <c r="F39" s="225"/>
      <c r="G39" s="226"/>
      <c r="H39" s="227"/>
      <c r="I39" s="228"/>
      <c r="J39" s="228"/>
      <c r="K39" s="229"/>
      <c r="L39" s="230"/>
      <c r="M39" s="231"/>
      <c r="N39" s="232"/>
      <c r="O39" s="230"/>
      <c r="P39" s="231"/>
      <c r="Q39" s="232"/>
      <c r="R39" s="233"/>
      <c r="S39" s="234"/>
      <c r="T39" s="235"/>
      <c r="U39" s="233"/>
      <c r="V39" s="236"/>
      <c r="W39" s="234"/>
      <c r="X39" s="235"/>
      <c r="Y39" s="237"/>
      <c r="Z39" s="238"/>
    </row>
    <row r="40" spans="1:26" s="239" customFormat="1" ht="28.5" customHeight="1" x14ac:dyDescent="0.3">
      <c r="A40" s="222">
        <f t="shared" si="7"/>
        <v>0</v>
      </c>
      <c r="B40" s="223" t="b">
        <f t="shared" si="8"/>
        <v>1</v>
      </c>
      <c r="C40" s="222">
        <f t="shared" si="9"/>
        <v>0</v>
      </c>
      <c r="D40" s="205" t="str">
        <f t="shared" si="6"/>
        <v>$$$$</v>
      </c>
      <c r="E40" s="224"/>
      <c r="F40" s="225"/>
      <c r="G40" s="226"/>
      <c r="H40" s="227"/>
      <c r="I40" s="228"/>
      <c r="J40" s="228"/>
      <c r="K40" s="229"/>
      <c r="L40" s="230"/>
      <c r="M40" s="231"/>
      <c r="N40" s="232"/>
      <c r="O40" s="230"/>
      <c r="P40" s="231"/>
      <c r="Q40" s="232"/>
      <c r="R40" s="233"/>
      <c r="S40" s="234"/>
      <c r="T40" s="235"/>
      <c r="U40" s="233"/>
      <c r="V40" s="236"/>
      <c r="W40" s="234"/>
      <c r="X40" s="235"/>
      <c r="Y40" s="237"/>
      <c r="Z40" s="238"/>
    </row>
    <row r="41" spans="1:26" s="239" customFormat="1" ht="28.5" customHeight="1" x14ac:dyDescent="0.3">
      <c r="A41" s="222">
        <f t="shared" si="7"/>
        <v>0</v>
      </c>
      <c r="B41" s="223" t="b">
        <f t="shared" si="8"/>
        <v>1</v>
      </c>
      <c r="C41" s="222">
        <f t="shared" si="9"/>
        <v>0</v>
      </c>
      <c r="D41" s="205" t="str">
        <f t="shared" si="6"/>
        <v>$$$$</v>
      </c>
      <c r="E41" s="224"/>
      <c r="F41" s="225"/>
      <c r="G41" s="226"/>
      <c r="H41" s="227"/>
      <c r="I41" s="228"/>
      <c r="J41" s="228"/>
      <c r="K41" s="229"/>
      <c r="L41" s="230"/>
      <c r="M41" s="231"/>
      <c r="N41" s="232"/>
      <c r="O41" s="230"/>
      <c r="P41" s="231"/>
      <c r="Q41" s="232"/>
      <c r="R41" s="233"/>
      <c r="S41" s="234"/>
      <c r="T41" s="235"/>
      <c r="U41" s="233"/>
      <c r="V41" s="236"/>
      <c r="W41" s="234"/>
      <c r="X41" s="235"/>
      <c r="Y41" s="237"/>
      <c r="Z41" s="238"/>
    </row>
    <row r="42" spans="1:26" s="239" customFormat="1" ht="28.5" customHeight="1" x14ac:dyDescent="0.3">
      <c r="A42" s="222">
        <f t="shared" si="7"/>
        <v>0</v>
      </c>
      <c r="B42" s="223" t="b">
        <f t="shared" si="8"/>
        <v>1</v>
      </c>
      <c r="C42" s="222">
        <f t="shared" si="9"/>
        <v>0</v>
      </c>
      <c r="D42" s="205" t="str">
        <f t="shared" si="6"/>
        <v>$$$$</v>
      </c>
      <c r="E42" s="224"/>
      <c r="F42" s="225"/>
      <c r="G42" s="226"/>
      <c r="H42" s="227"/>
      <c r="I42" s="228"/>
      <c r="J42" s="228"/>
      <c r="K42" s="229"/>
      <c r="L42" s="230"/>
      <c r="M42" s="231"/>
      <c r="N42" s="232"/>
      <c r="O42" s="230"/>
      <c r="P42" s="231"/>
      <c r="Q42" s="232"/>
      <c r="R42" s="233"/>
      <c r="S42" s="234"/>
      <c r="T42" s="235"/>
      <c r="U42" s="233"/>
      <c r="V42" s="236"/>
      <c r="W42" s="234"/>
      <c r="X42" s="235"/>
      <c r="Y42" s="237"/>
      <c r="Z42" s="238"/>
    </row>
    <row r="43" spans="1:26" s="239" customFormat="1" ht="28.5" customHeight="1" x14ac:dyDescent="0.3">
      <c r="A43" s="222">
        <f t="shared" si="7"/>
        <v>0</v>
      </c>
      <c r="B43" s="223" t="b">
        <f t="shared" si="8"/>
        <v>1</v>
      </c>
      <c r="C43" s="222">
        <f t="shared" si="9"/>
        <v>0</v>
      </c>
      <c r="D43" s="205" t="str">
        <f t="shared" si="6"/>
        <v>$$$$</v>
      </c>
      <c r="E43" s="224"/>
      <c r="F43" s="225"/>
      <c r="G43" s="226"/>
      <c r="H43" s="227"/>
      <c r="I43" s="228"/>
      <c r="J43" s="228"/>
      <c r="K43" s="229"/>
      <c r="L43" s="230"/>
      <c r="M43" s="231"/>
      <c r="N43" s="232"/>
      <c r="O43" s="230"/>
      <c r="P43" s="231"/>
      <c r="Q43" s="232"/>
      <c r="R43" s="233"/>
      <c r="S43" s="234"/>
      <c r="T43" s="235"/>
      <c r="U43" s="233"/>
      <c r="V43" s="236"/>
      <c r="W43" s="234"/>
      <c r="X43" s="235"/>
      <c r="Y43" s="237"/>
      <c r="Z43" s="238"/>
    </row>
    <row r="44" spans="1:26" s="239" customFormat="1" ht="28.5" customHeight="1" x14ac:dyDescent="0.3">
      <c r="A44" s="222">
        <f t="shared" si="7"/>
        <v>0</v>
      </c>
      <c r="B44" s="223" t="b">
        <f t="shared" si="8"/>
        <v>1</v>
      </c>
      <c r="C44" s="222">
        <f t="shared" si="9"/>
        <v>0</v>
      </c>
      <c r="D44" s="205" t="str">
        <f t="shared" si="6"/>
        <v>$$$$</v>
      </c>
      <c r="E44" s="224"/>
      <c r="F44" s="225"/>
      <c r="G44" s="226"/>
      <c r="H44" s="227"/>
      <c r="I44" s="228"/>
      <c r="J44" s="228"/>
      <c r="K44" s="229"/>
      <c r="L44" s="230"/>
      <c r="M44" s="231"/>
      <c r="N44" s="232"/>
      <c r="O44" s="230"/>
      <c r="P44" s="231"/>
      <c r="Q44" s="232"/>
      <c r="R44" s="233"/>
      <c r="S44" s="234"/>
      <c r="T44" s="235"/>
      <c r="U44" s="233"/>
      <c r="V44" s="236"/>
      <c r="W44" s="234"/>
      <c r="X44" s="235"/>
      <c r="Y44" s="237"/>
      <c r="Z44" s="238"/>
    </row>
    <row r="45" spans="1:26" s="239" customFormat="1" ht="28.5" customHeight="1" x14ac:dyDescent="0.3">
      <c r="A45" s="222">
        <f t="shared" si="7"/>
        <v>0</v>
      </c>
      <c r="B45" s="223" t="b">
        <f t="shared" si="8"/>
        <v>1</v>
      </c>
      <c r="C45" s="222">
        <f t="shared" si="9"/>
        <v>0</v>
      </c>
      <c r="D45" s="205" t="str">
        <f t="shared" si="6"/>
        <v>$$$$</v>
      </c>
      <c r="E45" s="224"/>
      <c r="F45" s="225"/>
      <c r="G45" s="226"/>
      <c r="H45" s="227"/>
      <c r="I45" s="228"/>
      <c r="J45" s="228"/>
      <c r="K45" s="229"/>
      <c r="L45" s="230"/>
      <c r="M45" s="231"/>
      <c r="N45" s="232"/>
      <c r="O45" s="230"/>
      <c r="P45" s="231"/>
      <c r="Q45" s="232"/>
      <c r="R45" s="233"/>
      <c r="S45" s="234"/>
      <c r="T45" s="235"/>
      <c r="U45" s="233"/>
      <c r="V45" s="236"/>
      <c r="W45" s="234"/>
      <c r="X45" s="235"/>
      <c r="Y45" s="237"/>
      <c r="Z45" s="238"/>
    </row>
    <row r="46" spans="1:26" s="239" customFormat="1" ht="28.5" customHeight="1" x14ac:dyDescent="0.3">
      <c r="A46" s="222">
        <f t="shared" si="7"/>
        <v>0</v>
      </c>
      <c r="B46" s="223" t="b">
        <f t="shared" si="8"/>
        <v>1</v>
      </c>
      <c r="C46" s="222">
        <f t="shared" si="9"/>
        <v>0</v>
      </c>
      <c r="D46" s="205" t="str">
        <f t="shared" si="6"/>
        <v>$$$$</v>
      </c>
      <c r="E46" s="224"/>
      <c r="F46" s="225"/>
      <c r="G46" s="226"/>
      <c r="H46" s="227"/>
      <c r="I46" s="228"/>
      <c r="J46" s="228"/>
      <c r="K46" s="229"/>
      <c r="L46" s="230"/>
      <c r="M46" s="231"/>
      <c r="N46" s="232"/>
      <c r="O46" s="230"/>
      <c r="P46" s="231"/>
      <c r="Q46" s="232"/>
      <c r="R46" s="233"/>
      <c r="S46" s="234"/>
      <c r="T46" s="235"/>
      <c r="U46" s="233"/>
      <c r="V46" s="236"/>
      <c r="W46" s="234"/>
      <c r="X46" s="235"/>
      <c r="Y46" s="237"/>
      <c r="Z46" s="238"/>
    </row>
    <row r="47" spans="1:26" s="239" customFormat="1" ht="28.5" customHeight="1" x14ac:dyDescent="0.3">
      <c r="A47" s="222">
        <f t="shared" si="7"/>
        <v>0</v>
      </c>
      <c r="B47" s="223" t="b">
        <f t="shared" si="8"/>
        <v>1</v>
      </c>
      <c r="C47" s="222">
        <f t="shared" si="9"/>
        <v>0</v>
      </c>
      <c r="D47" s="205" t="str">
        <f t="shared" si="6"/>
        <v>$$$$</v>
      </c>
      <c r="E47" s="224"/>
      <c r="F47" s="225"/>
      <c r="G47" s="226"/>
      <c r="H47" s="227"/>
      <c r="I47" s="228"/>
      <c r="J47" s="228"/>
      <c r="K47" s="229"/>
      <c r="L47" s="230"/>
      <c r="M47" s="231"/>
      <c r="N47" s="232"/>
      <c r="O47" s="230"/>
      <c r="P47" s="231"/>
      <c r="Q47" s="232"/>
      <c r="R47" s="233"/>
      <c r="S47" s="234"/>
      <c r="T47" s="235"/>
      <c r="U47" s="233"/>
      <c r="V47" s="236"/>
      <c r="W47" s="234"/>
      <c r="X47" s="235"/>
      <c r="Y47" s="237"/>
      <c r="Z47" s="238"/>
    </row>
    <row r="48" spans="1:26" s="239" customFormat="1" ht="28.5" customHeight="1" x14ac:dyDescent="0.3">
      <c r="A48" s="222">
        <f t="shared" si="7"/>
        <v>0</v>
      </c>
      <c r="B48" s="223" t="b">
        <f t="shared" si="8"/>
        <v>1</v>
      </c>
      <c r="C48" s="222">
        <f t="shared" si="9"/>
        <v>0</v>
      </c>
      <c r="D48" s="205" t="str">
        <f t="shared" si="6"/>
        <v>$$$$</v>
      </c>
      <c r="E48" s="224"/>
      <c r="F48" s="225"/>
      <c r="G48" s="226"/>
      <c r="H48" s="227"/>
      <c r="I48" s="228"/>
      <c r="J48" s="228"/>
      <c r="K48" s="229"/>
      <c r="L48" s="230"/>
      <c r="M48" s="231"/>
      <c r="N48" s="232"/>
      <c r="O48" s="230"/>
      <c r="P48" s="231"/>
      <c r="Q48" s="232"/>
      <c r="R48" s="233"/>
      <c r="S48" s="234"/>
      <c r="T48" s="235"/>
      <c r="U48" s="233"/>
      <c r="V48" s="236"/>
      <c r="W48" s="234"/>
      <c r="X48" s="235"/>
      <c r="Y48" s="237"/>
      <c r="Z48" s="238"/>
    </row>
    <row r="49" spans="1:26" s="239" customFormat="1" ht="28.5" customHeight="1" x14ac:dyDescent="0.3">
      <c r="A49" s="222">
        <f t="shared" si="7"/>
        <v>0</v>
      </c>
      <c r="B49" s="223" t="b">
        <f t="shared" si="8"/>
        <v>1</v>
      </c>
      <c r="C49" s="222">
        <f t="shared" si="9"/>
        <v>0</v>
      </c>
      <c r="D49" s="205" t="str">
        <f t="shared" si="6"/>
        <v>$$$$</v>
      </c>
      <c r="E49" s="224"/>
      <c r="F49" s="225"/>
      <c r="G49" s="226"/>
      <c r="H49" s="227"/>
      <c r="I49" s="228"/>
      <c r="J49" s="228"/>
      <c r="K49" s="229"/>
      <c r="L49" s="230"/>
      <c r="M49" s="231"/>
      <c r="N49" s="232"/>
      <c r="O49" s="230"/>
      <c r="P49" s="231"/>
      <c r="Q49" s="232"/>
      <c r="R49" s="233"/>
      <c r="S49" s="234"/>
      <c r="T49" s="235"/>
      <c r="U49" s="233"/>
      <c r="V49" s="236"/>
      <c r="W49" s="234"/>
      <c r="X49" s="235"/>
      <c r="Y49" s="237"/>
      <c r="Z49" s="238"/>
    </row>
    <row r="50" spans="1:26" s="239" customFormat="1" ht="28.5" customHeight="1" x14ac:dyDescent="0.3">
      <c r="A50" s="222">
        <f t="shared" si="7"/>
        <v>0</v>
      </c>
      <c r="B50" s="223" t="b">
        <f t="shared" si="8"/>
        <v>1</v>
      </c>
      <c r="C50" s="222">
        <f t="shared" si="9"/>
        <v>0</v>
      </c>
      <c r="D50" s="205" t="str">
        <f t="shared" si="6"/>
        <v>$$$$</v>
      </c>
      <c r="E50" s="224"/>
      <c r="F50" s="225"/>
      <c r="G50" s="226"/>
      <c r="H50" s="227"/>
      <c r="I50" s="228"/>
      <c r="J50" s="228"/>
      <c r="K50" s="229"/>
      <c r="L50" s="230"/>
      <c r="M50" s="231"/>
      <c r="N50" s="232"/>
      <c r="O50" s="230"/>
      <c r="P50" s="231"/>
      <c r="Q50" s="232"/>
      <c r="R50" s="233"/>
      <c r="S50" s="234"/>
      <c r="T50" s="235"/>
      <c r="U50" s="233"/>
      <c r="V50" s="236"/>
      <c r="W50" s="234"/>
      <c r="X50" s="235"/>
      <c r="Y50" s="237"/>
      <c r="Z50" s="238"/>
    </row>
    <row r="51" spans="1:26" s="239" customFormat="1" ht="28.5" customHeight="1" x14ac:dyDescent="0.3">
      <c r="A51" s="222">
        <f t="shared" si="7"/>
        <v>0</v>
      </c>
      <c r="B51" s="223" t="b">
        <f t="shared" si="8"/>
        <v>1</v>
      </c>
      <c r="C51" s="222">
        <f t="shared" si="9"/>
        <v>0</v>
      </c>
      <c r="D51" s="205" t="str">
        <f t="shared" si="6"/>
        <v>$$$$</v>
      </c>
      <c r="E51" s="224"/>
      <c r="F51" s="225"/>
      <c r="G51" s="226"/>
      <c r="H51" s="227"/>
      <c r="I51" s="228"/>
      <c r="J51" s="228"/>
      <c r="K51" s="229"/>
      <c r="L51" s="230"/>
      <c r="M51" s="231"/>
      <c r="N51" s="232"/>
      <c r="O51" s="230"/>
      <c r="P51" s="231"/>
      <c r="Q51" s="232"/>
      <c r="R51" s="233"/>
      <c r="S51" s="234"/>
      <c r="T51" s="235"/>
      <c r="U51" s="233"/>
      <c r="V51" s="236"/>
      <c r="W51" s="234"/>
      <c r="X51" s="235"/>
      <c r="Y51" s="237"/>
      <c r="Z51" s="238"/>
    </row>
    <row r="52" spans="1:26" s="239" customFormat="1" ht="28.5" customHeight="1" x14ac:dyDescent="0.3">
      <c r="A52" s="222">
        <f t="shared" si="7"/>
        <v>0</v>
      </c>
      <c r="B52" s="223" t="b">
        <f t="shared" si="8"/>
        <v>1</v>
      </c>
      <c r="C52" s="222">
        <f t="shared" si="9"/>
        <v>0</v>
      </c>
      <c r="D52" s="205" t="str">
        <f t="shared" si="6"/>
        <v>$$$$</v>
      </c>
      <c r="E52" s="224"/>
      <c r="F52" s="225"/>
      <c r="G52" s="226"/>
      <c r="H52" s="227"/>
      <c r="I52" s="228"/>
      <c r="J52" s="228"/>
      <c r="K52" s="229"/>
      <c r="L52" s="230"/>
      <c r="M52" s="231"/>
      <c r="N52" s="232"/>
      <c r="O52" s="230"/>
      <c r="P52" s="231"/>
      <c r="Q52" s="232"/>
      <c r="R52" s="233"/>
      <c r="S52" s="234"/>
      <c r="T52" s="235"/>
      <c r="U52" s="233"/>
      <c r="V52" s="236"/>
      <c r="W52" s="234"/>
      <c r="X52" s="235"/>
      <c r="Y52" s="237"/>
      <c r="Z52" s="238"/>
    </row>
    <row r="53" spans="1:26" s="239" customFormat="1" ht="28.5" customHeight="1" x14ac:dyDescent="0.3">
      <c r="A53" s="222">
        <f t="shared" si="7"/>
        <v>0</v>
      </c>
      <c r="B53" s="223" t="b">
        <f t="shared" si="8"/>
        <v>1</v>
      </c>
      <c r="C53" s="222">
        <f t="shared" si="9"/>
        <v>0</v>
      </c>
      <c r="D53" s="205" t="str">
        <f t="shared" si="6"/>
        <v>$$$$</v>
      </c>
      <c r="E53" s="224"/>
      <c r="F53" s="225"/>
      <c r="G53" s="226"/>
      <c r="H53" s="227"/>
      <c r="I53" s="228"/>
      <c r="J53" s="228"/>
      <c r="K53" s="229"/>
      <c r="L53" s="230"/>
      <c r="M53" s="231"/>
      <c r="N53" s="232"/>
      <c r="O53" s="230"/>
      <c r="P53" s="231"/>
      <c r="Q53" s="232"/>
      <c r="R53" s="233"/>
      <c r="S53" s="234"/>
      <c r="T53" s="235"/>
      <c r="U53" s="233"/>
      <c r="V53" s="236"/>
      <c r="W53" s="234"/>
      <c r="X53" s="235"/>
      <c r="Y53" s="237"/>
      <c r="Z53" s="238"/>
    </row>
    <row r="54" spans="1:26" s="239" customFormat="1" ht="28.5" customHeight="1" x14ac:dyDescent="0.3">
      <c r="A54" s="222">
        <f t="shared" si="7"/>
        <v>0</v>
      </c>
      <c r="B54" s="223" t="b">
        <f t="shared" si="8"/>
        <v>1</v>
      </c>
      <c r="C54" s="222">
        <f t="shared" si="9"/>
        <v>0</v>
      </c>
      <c r="D54" s="205" t="str">
        <f t="shared" si="6"/>
        <v>$$$$</v>
      </c>
      <c r="E54" s="224"/>
      <c r="F54" s="225"/>
      <c r="G54" s="226"/>
      <c r="H54" s="227"/>
      <c r="I54" s="228"/>
      <c r="J54" s="228"/>
      <c r="K54" s="229"/>
      <c r="L54" s="230"/>
      <c r="M54" s="231"/>
      <c r="N54" s="232"/>
      <c r="O54" s="230"/>
      <c r="P54" s="231"/>
      <c r="Q54" s="232"/>
      <c r="R54" s="233"/>
      <c r="S54" s="234"/>
      <c r="T54" s="235"/>
      <c r="U54" s="233"/>
      <c r="V54" s="236"/>
      <c r="W54" s="234"/>
      <c r="X54" s="235"/>
      <c r="Y54" s="237"/>
      <c r="Z54" s="238"/>
    </row>
    <row r="55" spans="1:26" s="239" customFormat="1" ht="28.5" customHeight="1" x14ac:dyDescent="0.3">
      <c r="A55" s="222">
        <f t="shared" si="7"/>
        <v>0</v>
      </c>
      <c r="B55" s="223" t="b">
        <f t="shared" si="8"/>
        <v>1</v>
      </c>
      <c r="C55" s="222">
        <f t="shared" si="9"/>
        <v>0</v>
      </c>
      <c r="D55" s="205" t="str">
        <f t="shared" si="6"/>
        <v>$$$$</v>
      </c>
      <c r="E55" s="224"/>
      <c r="F55" s="225"/>
      <c r="G55" s="226"/>
      <c r="H55" s="227"/>
      <c r="I55" s="228"/>
      <c r="J55" s="228"/>
      <c r="K55" s="229"/>
      <c r="L55" s="230"/>
      <c r="M55" s="231"/>
      <c r="N55" s="232"/>
      <c r="O55" s="230"/>
      <c r="P55" s="231"/>
      <c r="Q55" s="232"/>
      <c r="R55" s="233"/>
      <c r="S55" s="234"/>
      <c r="T55" s="235"/>
      <c r="U55" s="233"/>
      <c r="V55" s="236"/>
      <c r="W55" s="234"/>
      <c r="X55" s="235"/>
      <c r="Y55" s="237"/>
      <c r="Z55" s="238"/>
    </row>
    <row r="56" spans="1:26" s="239" customFormat="1" ht="28.5" customHeight="1" x14ac:dyDescent="0.3">
      <c r="A56" s="222">
        <f t="shared" si="7"/>
        <v>0</v>
      </c>
      <c r="B56" s="223" t="b">
        <f t="shared" si="8"/>
        <v>1</v>
      </c>
      <c r="C56" s="222">
        <f t="shared" si="9"/>
        <v>0</v>
      </c>
      <c r="D56" s="205" t="str">
        <f t="shared" si="6"/>
        <v>$$$$</v>
      </c>
      <c r="E56" s="224"/>
      <c r="F56" s="225"/>
      <c r="G56" s="226"/>
      <c r="H56" s="227"/>
      <c r="I56" s="228"/>
      <c r="J56" s="228"/>
      <c r="K56" s="229"/>
      <c r="L56" s="230"/>
      <c r="M56" s="231"/>
      <c r="N56" s="232"/>
      <c r="O56" s="230"/>
      <c r="P56" s="231"/>
      <c r="Q56" s="232"/>
      <c r="R56" s="233"/>
      <c r="S56" s="234"/>
      <c r="T56" s="235"/>
      <c r="U56" s="233"/>
      <c r="V56" s="236"/>
      <c r="W56" s="234"/>
      <c r="X56" s="235"/>
      <c r="Y56" s="237"/>
      <c r="Z56" s="238"/>
    </row>
    <row r="57" spans="1:26" s="239" customFormat="1" ht="28.5" customHeight="1" x14ac:dyDescent="0.3">
      <c r="A57" s="222">
        <f t="shared" si="7"/>
        <v>0</v>
      </c>
      <c r="B57" s="223" t="b">
        <f t="shared" si="8"/>
        <v>1</v>
      </c>
      <c r="C57" s="222">
        <f t="shared" si="9"/>
        <v>0</v>
      </c>
      <c r="D57" s="205" t="str">
        <f t="shared" si="6"/>
        <v>$$$$</v>
      </c>
      <c r="E57" s="224"/>
      <c r="F57" s="225"/>
      <c r="G57" s="226"/>
      <c r="H57" s="227"/>
      <c r="I57" s="228"/>
      <c r="J57" s="228"/>
      <c r="K57" s="229"/>
      <c r="L57" s="230"/>
      <c r="M57" s="231"/>
      <c r="N57" s="232"/>
      <c r="O57" s="230"/>
      <c r="P57" s="231"/>
      <c r="Q57" s="232"/>
      <c r="R57" s="233"/>
      <c r="S57" s="234"/>
      <c r="T57" s="235"/>
      <c r="U57" s="233"/>
      <c r="V57" s="236"/>
      <c r="W57" s="234"/>
      <c r="X57" s="235"/>
      <c r="Y57" s="237"/>
      <c r="Z57" s="238"/>
    </row>
    <row r="58" spans="1:26" s="239" customFormat="1" ht="28.5" customHeight="1" x14ac:dyDescent="0.3">
      <c r="A58" s="222">
        <f t="shared" si="7"/>
        <v>0</v>
      </c>
      <c r="B58" s="223" t="b">
        <f t="shared" si="8"/>
        <v>1</v>
      </c>
      <c r="C58" s="222">
        <f t="shared" si="9"/>
        <v>0</v>
      </c>
      <c r="D58" s="205" t="str">
        <f t="shared" si="6"/>
        <v>$$$$</v>
      </c>
      <c r="E58" s="224"/>
      <c r="F58" s="225"/>
      <c r="G58" s="226"/>
      <c r="H58" s="227"/>
      <c r="I58" s="228"/>
      <c r="J58" s="228"/>
      <c r="K58" s="229"/>
      <c r="L58" s="230"/>
      <c r="M58" s="231"/>
      <c r="N58" s="232"/>
      <c r="O58" s="230"/>
      <c r="P58" s="231"/>
      <c r="Q58" s="232"/>
      <c r="R58" s="233"/>
      <c r="S58" s="234"/>
      <c r="T58" s="235"/>
      <c r="U58" s="233"/>
      <c r="V58" s="236"/>
      <c r="W58" s="234"/>
      <c r="X58" s="235"/>
      <c r="Y58" s="237"/>
      <c r="Z58" s="238"/>
    </row>
    <row r="59" spans="1:26" s="239" customFormat="1" ht="28.5" customHeight="1" x14ac:dyDescent="0.3">
      <c r="A59" s="222">
        <f t="shared" si="7"/>
        <v>0</v>
      </c>
      <c r="B59" s="223" t="b">
        <f t="shared" si="8"/>
        <v>1</v>
      </c>
      <c r="C59" s="222">
        <f t="shared" si="9"/>
        <v>0</v>
      </c>
      <c r="D59" s="205" t="str">
        <f t="shared" si="6"/>
        <v>$$$$</v>
      </c>
      <c r="E59" s="224"/>
      <c r="F59" s="225"/>
      <c r="G59" s="226"/>
      <c r="H59" s="227"/>
      <c r="I59" s="228"/>
      <c r="J59" s="228"/>
      <c r="K59" s="229"/>
      <c r="L59" s="230"/>
      <c r="M59" s="231"/>
      <c r="N59" s="232"/>
      <c r="O59" s="230"/>
      <c r="P59" s="231"/>
      <c r="Q59" s="232"/>
      <c r="R59" s="233"/>
      <c r="S59" s="234"/>
      <c r="T59" s="235"/>
      <c r="U59" s="233"/>
      <c r="V59" s="236"/>
      <c r="W59" s="234"/>
      <c r="X59" s="235"/>
      <c r="Y59" s="237"/>
      <c r="Z59" s="238"/>
    </row>
    <row r="60" spans="1:26" s="239" customFormat="1" ht="28.5" customHeight="1" x14ac:dyDescent="0.3">
      <c r="A60" s="222">
        <f t="shared" si="7"/>
        <v>0</v>
      </c>
      <c r="B60" s="223" t="b">
        <f t="shared" si="8"/>
        <v>1</v>
      </c>
      <c r="C60" s="222">
        <f t="shared" si="9"/>
        <v>0</v>
      </c>
      <c r="D60" s="205" t="str">
        <f t="shared" si="6"/>
        <v>$$$$</v>
      </c>
      <c r="E60" s="224"/>
      <c r="F60" s="225"/>
      <c r="G60" s="226"/>
      <c r="H60" s="227"/>
      <c r="I60" s="228"/>
      <c r="J60" s="228"/>
      <c r="K60" s="229"/>
      <c r="L60" s="230"/>
      <c r="M60" s="231"/>
      <c r="N60" s="232"/>
      <c r="O60" s="230"/>
      <c r="P60" s="231"/>
      <c r="Q60" s="232"/>
      <c r="R60" s="233"/>
      <c r="S60" s="234"/>
      <c r="T60" s="235"/>
      <c r="U60" s="233"/>
      <c r="V60" s="236"/>
      <c r="W60" s="234"/>
      <c r="X60" s="235"/>
      <c r="Y60" s="237"/>
      <c r="Z60" s="238"/>
    </row>
    <row r="61" spans="1:26" s="239" customFormat="1" ht="28.5" customHeight="1" x14ac:dyDescent="0.3">
      <c r="A61" s="222">
        <f t="shared" si="7"/>
        <v>0</v>
      </c>
      <c r="B61" s="223" t="b">
        <f t="shared" si="8"/>
        <v>1</v>
      </c>
      <c r="C61" s="222">
        <f t="shared" si="9"/>
        <v>0</v>
      </c>
      <c r="D61" s="205" t="str">
        <f t="shared" si="6"/>
        <v>$$$$</v>
      </c>
      <c r="E61" s="224"/>
      <c r="F61" s="225"/>
      <c r="G61" s="226"/>
      <c r="H61" s="227"/>
      <c r="I61" s="228"/>
      <c r="J61" s="228"/>
      <c r="K61" s="229"/>
      <c r="L61" s="230"/>
      <c r="M61" s="231"/>
      <c r="N61" s="232"/>
      <c r="O61" s="230"/>
      <c r="P61" s="231"/>
      <c r="Q61" s="232"/>
      <c r="R61" s="233"/>
      <c r="S61" s="234"/>
      <c r="T61" s="235"/>
      <c r="U61" s="233"/>
      <c r="V61" s="236"/>
      <c r="W61" s="234"/>
      <c r="X61" s="235"/>
      <c r="Y61" s="237"/>
      <c r="Z61" s="238"/>
    </row>
    <row r="62" spans="1:26" s="239" customFormat="1" ht="28.5" customHeight="1" x14ac:dyDescent="0.3">
      <c r="A62" s="222">
        <f t="shared" si="7"/>
        <v>0</v>
      </c>
      <c r="B62" s="223" t="b">
        <f t="shared" si="8"/>
        <v>1</v>
      </c>
      <c r="C62" s="222">
        <f t="shared" si="9"/>
        <v>0</v>
      </c>
      <c r="D62" s="205" t="str">
        <f t="shared" si="6"/>
        <v>$$$$</v>
      </c>
      <c r="E62" s="224"/>
      <c r="F62" s="225"/>
      <c r="G62" s="226"/>
      <c r="H62" s="227"/>
      <c r="I62" s="228"/>
      <c r="J62" s="228"/>
      <c r="K62" s="229"/>
      <c r="L62" s="230"/>
      <c r="M62" s="231"/>
      <c r="N62" s="232"/>
      <c r="O62" s="230"/>
      <c r="P62" s="231"/>
      <c r="Q62" s="232"/>
      <c r="R62" s="233"/>
      <c r="S62" s="234"/>
      <c r="T62" s="235"/>
      <c r="U62" s="233"/>
      <c r="V62" s="236"/>
      <c r="W62" s="234"/>
      <c r="X62" s="235"/>
      <c r="Y62" s="237"/>
      <c r="Z62" s="238"/>
    </row>
    <row r="63" spans="1:26" s="239" customFormat="1" ht="28.5" customHeight="1" x14ac:dyDescent="0.3">
      <c r="A63" s="222">
        <f t="shared" si="7"/>
        <v>0</v>
      </c>
      <c r="B63" s="223" t="b">
        <f t="shared" si="8"/>
        <v>1</v>
      </c>
      <c r="C63" s="222">
        <f t="shared" si="9"/>
        <v>0</v>
      </c>
      <c r="D63" s="205" t="str">
        <f t="shared" si="6"/>
        <v>$$$$</v>
      </c>
      <c r="E63" s="224"/>
      <c r="F63" s="225"/>
      <c r="G63" s="226"/>
      <c r="H63" s="227"/>
      <c r="I63" s="228"/>
      <c r="J63" s="228"/>
      <c r="K63" s="229"/>
      <c r="L63" s="230"/>
      <c r="M63" s="231"/>
      <c r="N63" s="232"/>
      <c r="O63" s="230"/>
      <c r="P63" s="231"/>
      <c r="Q63" s="232"/>
      <c r="R63" s="233"/>
      <c r="S63" s="234"/>
      <c r="T63" s="235"/>
      <c r="U63" s="233"/>
      <c r="V63" s="236"/>
      <c r="W63" s="234"/>
      <c r="X63" s="235"/>
      <c r="Y63" s="237"/>
      <c r="Z63" s="238"/>
    </row>
    <row r="64" spans="1:26" s="239" customFormat="1" ht="28.5" customHeight="1" x14ac:dyDescent="0.3">
      <c r="A64" s="222">
        <f t="shared" si="7"/>
        <v>0</v>
      </c>
      <c r="B64" s="223" t="b">
        <f t="shared" si="8"/>
        <v>1</v>
      </c>
      <c r="C64" s="222">
        <f t="shared" si="9"/>
        <v>0</v>
      </c>
      <c r="D64" s="205" t="str">
        <f t="shared" si="6"/>
        <v>$$$$</v>
      </c>
      <c r="E64" s="224"/>
      <c r="F64" s="225"/>
      <c r="G64" s="226"/>
      <c r="H64" s="227"/>
      <c r="I64" s="228"/>
      <c r="J64" s="228"/>
      <c r="K64" s="229"/>
      <c r="L64" s="230"/>
      <c r="M64" s="231"/>
      <c r="N64" s="232"/>
      <c r="O64" s="230"/>
      <c r="P64" s="231"/>
      <c r="Q64" s="232"/>
      <c r="R64" s="233"/>
      <c r="S64" s="234"/>
      <c r="T64" s="235"/>
      <c r="U64" s="233"/>
      <c r="V64" s="236"/>
      <c r="W64" s="234"/>
      <c r="X64" s="235"/>
      <c r="Y64" s="237"/>
      <c r="Z64" s="238"/>
    </row>
    <row r="65" spans="1:26" s="239" customFormat="1" ht="28.5" customHeight="1" x14ac:dyDescent="0.3">
      <c r="A65" s="222">
        <f t="shared" si="7"/>
        <v>0</v>
      </c>
      <c r="B65" s="223" t="b">
        <f t="shared" si="8"/>
        <v>1</v>
      </c>
      <c r="C65" s="222">
        <f t="shared" si="9"/>
        <v>0</v>
      </c>
      <c r="D65" s="205" t="str">
        <f t="shared" si="6"/>
        <v>$$$$</v>
      </c>
      <c r="E65" s="224"/>
      <c r="F65" s="225"/>
      <c r="G65" s="226"/>
      <c r="H65" s="227"/>
      <c r="I65" s="228"/>
      <c r="J65" s="228"/>
      <c r="K65" s="229"/>
      <c r="L65" s="230"/>
      <c r="M65" s="231"/>
      <c r="N65" s="232"/>
      <c r="O65" s="230"/>
      <c r="P65" s="231"/>
      <c r="Q65" s="232"/>
      <c r="R65" s="233"/>
      <c r="S65" s="234"/>
      <c r="T65" s="235"/>
      <c r="U65" s="233"/>
      <c r="V65" s="236"/>
      <c r="W65" s="234"/>
      <c r="X65" s="235"/>
      <c r="Y65" s="237"/>
      <c r="Z65" s="238"/>
    </row>
    <row r="66" spans="1:26" s="239" customFormat="1" ht="28.5" customHeight="1" x14ac:dyDescent="0.3">
      <c r="A66" s="222">
        <f t="shared" si="7"/>
        <v>0</v>
      </c>
      <c r="B66" s="223" t="b">
        <f t="shared" si="8"/>
        <v>1</v>
      </c>
      <c r="C66" s="222">
        <f t="shared" si="9"/>
        <v>0</v>
      </c>
      <c r="D66" s="205" t="str">
        <f t="shared" si="6"/>
        <v>$$$$</v>
      </c>
      <c r="E66" s="224"/>
      <c r="F66" s="225"/>
      <c r="G66" s="226"/>
      <c r="H66" s="227"/>
      <c r="I66" s="228"/>
      <c r="J66" s="228"/>
      <c r="K66" s="229"/>
      <c r="L66" s="230"/>
      <c r="M66" s="231"/>
      <c r="N66" s="232"/>
      <c r="O66" s="230"/>
      <c r="P66" s="231"/>
      <c r="Q66" s="232"/>
      <c r="R66" s="233"/>
      <c r="S66" s="234"/>
      <c r="T66" s="235"/>
      <c r="U66" s="233"/>
      <c r="V66" s="236"/>
      <c r="W66" s="234"/>
      <c r="X66" s="235"/>
      <c r="Y66" s="237"/>
      <c r="Z66" s="238"/>
    </row>
    <row r="67" spans="1:26" s="239" customFormat="1" ht="28.5" customHeight="1" x14ac:dyDescent="0.3">
      <c r="A67" s="222">
        <f t="shared" si="7"/>
        <v>0</v>
      </c>
      <c r="B67" s="223" t="b">
        <f t="shared" si="8"/>
        <v>1</v>
      </c>
      <c r="C67" s="222">
        <f t="shared" si="9"/>
        <v>0</v>
      </c>
      <c r="D67" s="205" t="str">
        <f t="shared" si="6"/>
        <v>$$$$</v>
      </c>
      <c r="E67" s="224"/>
      <c r="F67" s="225"/>
      <c r="G67" s="226"/>
      <c r="H67" s="227"/>
      <c r="I67" s="228"/>
      <c r="J67" s="228"/>
      <c r="K67" s="229"/>
      <c r="L67" s="230"/>
      <c r="M67" s="231"/>
      <c r="N67" s="232"/>
      <c r="O67" s="230"/>
      <c r="P67" s="231"/>
      <c r="Q67" s="232"/>
      <c r="R67" s="233"/>
      <c r="S67" s="234"/>
      <c r="T67" s="235"/>
      <c r="U67" s="233"/>
      <c r="V67" s="236"/>
      <c r="W67" s="234"/>
      <c r="X67" s="235"/>
      <c r="Y67" s="237"/>
      <c r="Z67" s="238"/>
    </row>
    <row r="68" spans="1:26" s="239" customFormat="1" ht="28.5" customHeight="1" x14ac:dyDescent="0.3">
      <c r="A68" s="222">
        <f t="shared" si="7"/>
        <v>0</v>
      </c>
      <c r="B68" s="223" t="b">
        <f t="shared" si="8"/>
        <v>1</v>
      </c>
      <c r="C68" s="222">
        <f t="shared" si="9"/>
        <v>0</v>
      </c>
      <c r="D68" s="205" t="str">
        <f t="shared" si="6"/>
        <v>$$$$</v>
      </c>
      <c r="E68" s="224"/>
      <c r="F68" s="225"/>
      <c r="G68" s="226"/>
      <c r="H68" s="227"/>
      <c r="I68" s="228"/>
      <c r="J68" s="228"/>
      <c r="K68" s="229"/>
      <c r="L68" s="230"/>
      <c r="M68" s="231"/>
      <c r="N68" s="232"/>
      <c r="O68" s="230"/>
      <c r="P68" s="231"/>
      <c r="Q68" s="232"/>
      <c r="R68" s="233"/>
      <c r="S68" s="234"/>
      <c r="T68" s="235"/>
      <c r="U68" s="233"/>
      <c r="V68" s="236"/>
      <c r="W68" s="234"/>
      <c r="X68" s="235"/>
      <c r="Y68" s="237"/>
      <c r="Z68" s="238"/>
    </row>
    <row r="69" spans="1:26" s="239" customFormat="1" ht="28.5" customHeight="1" x14ac:dyDescent="0.3">
      <c r="A69" s="222">
        <f t="shared" si="7"/>
        <v>0</v>
      </c>
      <c r="B69" s="223" t="b">
        <f t="shared" si="8"/>
        <v>1</v>
      </c>
      <c r="C69" s="222">
        <f t="shared" si="9"/>
        <v>0</v>
      </c>
      <c r="D69" s="205" t="str">
        <f t="shared" si="6"/>
        <v>$$$$</v>
      </c>
      <c r="E69" s="224"/>
      <c r="F69" s="225"/>
      <c r="G69" s="226"/>
      <c r="H69" s="227"/>
      <c r="I69" s="228"/>
      <c r="J69" s="228"/>
      <c r="K69" s="229"/>
      <c r="L69" s="230"/>
      <c r="M69" s="231"/>
      <c r="N69" s="232"/>
      <c r="O69" s="230"/>
      <c r="P69" s="231"/>
      <c r="Q69" s="232"/>
      <c r="R69" s="233"/>
      <c r="S69" s="234"/>
      <c r="T69" s="235"/>
      <c r="U69" s="233"/>
      <c r="V69" s="236"/>
      <c r="W69" s="234"/>
      <c r="X69" s="235"/>
      <c r="Y69" s="237"/>
      <c r="Z69" s="238"/>
    </row>
    <row r="70" spans="1:26" s="239" customFormat="1" ht="28.5" customHeight="1" x14ac:dyDescent="0.3">
      <c r="A70" s="222">
        <f t="shared" si="7"/>
        <v>0</v>
      </c>
      <c r="B70" s="223" t="b">
        <f t="shared" si="8"/>
        <v>1</v>
      </c>
      <c r="C70" s="222">
        <f t="shared" si="9"/>
        <v>0</v>
      </c>
      <c r="D70" s="205" t="str">
        <f t="shared" si="6"/>
        <v>$$$$</v>
      </c>
      <c r="E70" s="224"/>
      <c r="F70" s="225"/>
      <c r="G70" s="226"/>
      <c r="H70" s="227"/>
      <c r="I70" s="228"/>
      <c r="J70" s="228"/>
      <c r="K70" s="229"/>
      <c r="L70" s="230"/>
      <c r="M70" s="231"/>
      <c r="N70" s="232"/>
      <c r="O70" s="230"/>
      <c r="P70" s="231"/>
      <c r="Q70" s="232"/>
      <c r="R70" s="233"/>
      <c r="S70" s="234"/>
      <c r="T70" s="235"/>
      <c r="U70" s="233"/>
      <c r="V70" s="236"/>
      <c r="W70" s="234"/>
      <c r="X70" s="235"/>
      <c r="Y70" s="237"/>
      <c r="Z70" s="238"/>
    </row>
    <row r="71" spans="1:26" s="239" customFormat="1" ht="28.5" customHeight="1" x14ac:dyDescent="0.3">
      <c r="A71" s="222">
        <f t="shared" ref="A71:A102" si="10">IF(B71,0,MATCH(H71,ВидыНагр,0))</f>
        <v>0</v>
      </c>
      <c r="B71" s="223" t="b">
        <f t="shared" ref="B71:B102" si="11">(COUNTIF(КлючОсень,D71)&lt;&gt;1)</f>
        <v>1</v>
      </c>
      <c r="C71" s="222">
        <f t="shared" ref="C71:C102" si="12">IF(COUNTA(E71:K71,Z71)&gt;0,1,0)+IF(COUNTA(L71:Y71)&gt;0,2,0)</f>
        <v>0</v>
      </c>
      <c r="D71" s="205" t="str">
        <f t="shared" si="6"/>
        <v>$$$$</v>
      </c>
      <c r="E71" s="224"/>
      <c r="F71" s="225"/>
      <c r="G71" s="226"/>
      <c r="H71" s="227"/>
      <c r="I71" s="228"/>
      <c r="J71" s="228"/>
      <c r="K71" s="229"/>
      <c r="L71" s="230"/>
      <c r="M71" s="231"/>
      <c r="N71" s="232"/>
      <c r="O71" s="230"/>
      <c r="P71" s="231"/>
      <c r="Q71" s="232"/>
      <c r="R71" s="233"/>
      <c r="S71" s="234"/>
      <c r="T71" s="235"/>
      <c r="U71" s="233"/>
      <c r="V71" s="236"/>
      <c r="W71" s="234"/>
      <c r="X71" s="235"/>
      <c r="Y71" s="237"/>
      <c r="Z71" s="238"/>
    </row>
    <row r="72" spans="1:26" s="239" customFormat="1" ht="28.5" customHeight="1" x14ac:dyDescent="0.3">
      <c r="A72" s="222">
        <f t="shared" si="10"/>
        <v>0</v>
      </c>
      <c r="B72" s="223" t="b">
        <f t="shared" si="11"/>
        <v>1</v>
      </c>
      <c r="C72" s="222">
        <f t="shared" si="12"/>
        <v>0</v>
      </c>
      <c r="D72" s="205" t="str">
        <f t="shared" ref="D72:D159" si="13">CONCATENATE("$",TRIM(F72),"$",TRIM(G72),"$",H72,"$")</f>
        <v>$$$$</v>
      </c>
      <c r="E72" s="224"/>
      <c r="F72" s="225"/>
      <c r="G72" s="226"/>
      <c r="H72" s="227"/>
      <c r="I72" s="228"/>
      <c r="J72" s="228"/>
      <c r="K72" s="229"/>
      <c r="L72" s="230"/>
      <c r="M72" s="231"/>
      <c r="N72" s="232"/>
      <c r="O72" s="230"/>
      <c r="P72" s="231"/>
      <c r="Q72" s="232"/>
      <c r="R72" s="233"/>
      <c r="S72" s="234"/>
      <c r="T72" s="235"/>
      <c r="U72" s="233"/>
      <c r="V72" s="236"/>
      <c r="W72" s="234"/>
      <c r="X72" s="235"/>
      <c r="Y72" s="237"/>
      <c r="Z72" s="238"/>
    </row>
    <row r="73" spans="1:26" s="239" customFormat="1" ht="28.5" customHeight="1" x14ac:dyDescent="0.3">
      <c r="A73" s="222">
        <f t="shared" si="10"/>
        <v>0</v>
      </c>
      <c r="B73" s="223" t="b">
        <f t="shared" si="11"/>
        <v>1</v>
      </c>
      <c r="C73" s="222">
        <f t="shared" si="12"/>
        <v>0</v>
      </c>
      <c r="D73" s="205" t="str">
        <f t="shared" si="13"/>
        <v>$$$$</v>
      </c>
      <c r="E73" s="224"/>
      <c r="F73" s="225"/>
      <c r="G73" s="226"/>
      <c r="H73" s="227"/>
      <c r="I73" s="228"/>
      <c r="J73" s="228"/>
      <c r="K73" s="229"/>
      <c r="L73" s="230"/>
      <c r="M73" s="231"/>
      <c r="N73" s="232"/>
      <c r="O73" s="230"/>
      <c r="P73" s="231"/>
      <c r="Q73" s="232"/>
      <c r="R73" s="233"/>
      <c r="S73" s="234"/>
      <c r="T73" s="235"/>
      <c r="U73" s="233"/>
      <c r="V73" s="236"/>
      <c r="W73" s="234"/>
      <c r="X73" s="235"/>
      <c r="Y73" s="237"/>
      <c r="Z73" s="238"/>
    </row>
    <row r="74" spans="1:26" s="239" customFormat="1" ht="28.5" customHeight="1" x14ac:dyDescent="0.3">
      <c r="A74" s="222">
        <f t="shared" si="10"/>
        <v>0</v>
      </c>
      <c r="B74" s="223" t="b">
        <f t="shared" si="11"/>
        <v>1</v>
      </c>
      <c r="C74" s="222">
        <f t="shared" si="12"/>
        <v>0</v>
      </c>
      <c r="D74" s="205" t="str">
        <f t="shared" si="13"/>
        <v>$$$$</v>
      </c>
      <c r="E74" s="224"/>
      <c r="F74" s="225"/>
      <c r="G74" s="226"/>
      <c r="H74" s="227"/>
      <c r="I74" s="228"/>
      <c r="J74" s="228"/>
      <c r="K74" s="229"/>
      <c r="L74" s="230"/>
      <c r="M74" s="231"/>
      <c r="N74" s="232"/>
      <c r="O74" s="230"/>
      <c r="P74" s="231"/>
      <c r="Q74" s="232"/>
      <c r="R74" s="233"/>
      <c r="S74" s="234"/>
      <c r="T74" s="235"/>
      <c r="U74" s="233"/>
      <c r="V74" s="236"/>
      <c r="W74" s="234"/>
      <c r="X74" s="235"/>
      <c r="Y74" s="237"/>
      <c r="Z74" s="238"/>
    </row>
    <row r="75" spans="1:26" s="239" customFormat="1" ht="28.5" customHeight="1" x14ac:dyDescent="0.3">
      <c r="A75" s="222">
        <f t="shared" si="10"/>
        <v>0</v>
      </c>
      <c r="B75" s="223" t="b">
        <f t="shared" si="11"/>
        <v>1</v>
      </c>
      <c r="C75" s="222">
        <f t="shared" si="12"/>
        <v>0</v>
      </c>
      <c r="D75" s="205" t="str">
        <f t="shared" si="13"/>
        <v>$$$$</v>
      </c>
      <c r="E75" s="224"/>
      <c r="F75" s="225"/>
      <c r="G75" s="226"/>
      <c r="H75" s="227"/>
      <c r="I75" s="228"/>
      <c r="J75" s="228"/>
      <c r="K75" s="229"/>
      <c r="L75" s="230"/>
      <c r="M75" s="231"/>
      <c r="N75" s="232"/>
      <c r="O75" s="230"/>
      <c r="P75" s="231"/>
      <c r="Q75" s="232"/>
      <c r="R75" s="233"/>
      <c r="S75" s="234"/>
      <c r="T75" s="235"/>
      <c r="U75" s="233"/>
      <c r="V75" s="236"/>
      <c r="W75" s="234"/>
      <c r="X75" s="235"/>
      <c r="Y75" s="237"/>
      <c r="Z75" s="238"/>
    </row>
    <row r="76" spans="1:26" s="239" customFormat="1" ht="28.5" customHeight="1" x14ac:dyDescent="0.3">
      <c r="A76" s="222">
        <f t="shared" si="10"/>
        <v>0</v>
      </c>
      <c r="B76" s="223" t="b">
        <f t="shared" si="11"/>
        <v>1</v>
      </c>
      <c r="C76" s="222">
        <f t="shared" si="12"/>
        <v>0</v>
      </c>
      <c r="D76" s="205" t="str">
        <f t="shared" si="13"/>
        <v>$$$$</v>
      </c>
      <c r="E76" s="224"/>
      <c r="F76" s="225"/>
      <c r="G76" s="226"/>
      <c r="H76" s="227"/>
      <c r="I76" s="228"/>
      <c r="J76" s="228"/>
      <c r="K76" s="229"/>
      <c r="L76" s="230"/>
      <c r="M76" s="231"/>
      <c r="N76" s="232"/>
      <c r="O76" s="230"/>
      <c r="P76" s="231"/>
      <c r="Q76" s="232"/>
      <c r="R76" s="233"/>
      <c r="S76" s="234"/>
      <c r="T76" s="235"/>
      <c r="U76" s="233"/>
      <c r="V76" s="236"/>
      <c r="W76" s="234"/>
      <c r="X76" s="235"/>
      <c r="Y76" s="237"/>
      <c r="Z76" s="238"/>
    </row>
    <row r="77" spans="1:26" s="239" customFormat="1" ht="28.5" customHeight="1" x14ac:dyDescent="0.3">
      <c r="A77" s="222">
        <f t="shared" si="10"/>
        <v>0</v>
      </c>
      <c r="B77" s="223" t="b">
        <f t="shared" si="11"/>
        <v>1</v>
      </c>
      <c r="C77" s="222">
        <f t="shared" si="12"/>
        <v>0</v>
      </c>
      <c r="D77" s="205" t="str">
        <f t="shared" si="13"/>
        <v>$$$$</v>
      </c>
      <c r="E77" s="224"/>
      <c r="F77" s="225"/>
      <c r="G77" s="226"/>
      <c r="H77" s="227"/>
      <c r="I77" s="228"/>
      <c r="J77" s="228"/>
      <c r="K77" s="229"/>
      <c r="L77" s="230"/>
      <c r="M77" s="231"/>
      <c r="N77" s="232"/>
      <c r="O77" s="230"/>
      <c r="P77" s="231"/>
      <c r="Q77" s="232"/>
      <c r="R77" s="233"/>
      <c r="S77" s="234"/>
      <c r="T77" s="235"/>
      <c r="U77" s="233"/>
      <c r="V77" s="236"/>
      <c r="W77" s="234"/>
      <c r="X77" s="235"/>
      <c r="Y77" s="237"/>
      <c r="Z77" s="238"/>
    </row>
    <row r="78" spans="1:26" s="239" customFormat="1" ht="28.5" customHeight="1" x14ac:dyDescent="0.3">
      <c r="A78" s="222">
        <f t="shared" si="10"/>
        <v>0</v>
      </c>
      <c r="B78" s="223" t="b">
        <f t="shared" si="11"/>
        <v>1</v>
      </c>
      <c r="C78" s="222">
        <f t="shared" si="12"/>
        <v>0</v>
      </c>
      <c r="D78" s="205" t="str">
        <f t="shared" si="13"/>
        <v>$$$$</v>
      </c>
      <c r="E78" s="224"/>
      <c r="F78" s="225"/>
      <c r="G78" s="226"/>
      <c r="H78" s="227"/>
      <c r="I78" s="228"/>
      <c r="J78" s="228"/>
      <c r="K78" s="229"/>
      <c r="L78" s="230"/>
      <c r="M78" s="231"/>
      <c r="N78" s="232"/>
      <c r="O78" s="230"/>
      <c r="P78" s="231"/>
      <c r="Q78" s="232"/>
      <c r="R78" s="233"/>
      <c r="S78" s="234"/>
      <c r="T78" s="235"/>
      <c r="U78" s="233"/>
      <c r="V78" s="236"/>
      <c r="W78" s="234"/>
      <c r="X78" s="235"/>
      <c r="Y78" s="237"/>
      <c r="Z78" s="238"/>
    </row>
    <row r="79" spans="1:26" s="239" customFormat="1" ht="28.5" customHeight="1" x14ac:dyDescent="0.3">
      <c r="A79" s="222">
        <f t="shared" si="10"/>
        <v>0</v>
      </c>
      <c r="B79" s="223" t="b">
        <f t="shared" si="11"/>
        <v>1</v>
      </c>
      <c r="C79" s="222">
        <f t="shared" si="12"/>
        <v>0</v>
      </c>
      <c r="D79" s="205" t="str">
        <f t="shared" si="13"/>
        <v>$$$$</v>
      </c>
      <c r="E79" s="224"/>
      <c r="F79" s="225"/>
      <c r="G79" s="226"/>
      <c r="H79" s="227"/>
      <c r="I79" s="228"/>
      <c r="J79" s="228"/>
      <c r="K79" s="229"/>
      <c r="L79" s="230"/>
      <c r="M79" s="231"/>
      <c r="N79" s="232"/>
      <c r="O79" s="230"/>
      <c r="P79" s="231"/>
      <c r="Q79" s="232"/>
      <c r="R79" s="233"/>
      <c r="S79" s="234"/>
      <c r="T79" s="235"/>
      <c r="U79" s="233"/>
      <c r="V79" s="236"/>
      <c r="W79" s="234"/>
      <c r="X79" s="235"/>
      <c r="Y79" s="237"/>
      <c r="Z79" s="238"/>
    </row>
    <row r="80" spans="1:26" s="239" customFormat="1" ht="28.5" customHeight="1" x14ac:dyDescent="0.3">
      <c r="A80" s="222">
        <f t="shared" si="10"/>
        <v>0</v>
      </c>
      <c r="B80" s="223" t="b">
        <f t="shared" si="11"/>
        <v>1</v>
      </c>
      <c r="C80" s="222">
        <f t="shared" si="12"/>
        <v>0</v>
      </c>
      <c r="D80" s="205" t="str">
        <f t="shared" si="13"/>
        <v>$$$$</v>
      </c>
      <c r="E80" s="224"/>
      <c r="F80" s="225"/>
      <c r="G80" s="226"/>
      <c r="H80" s="227"/>
      <c r="I80" s="228"/>
      <c r="J80" s="228"/>
      <c r="K80" s="229"/>
      <c r="L80" s="230"/>
      <c r="M80" s="231"/>
      <c r="N80" s="232"/>
      <c r="O80" s="230"/>
      <c r="P80" s="231"/>
      <c r="Q80" s="232"/>
      <c r="R80" s="233"/>
      <c r="S80" s="234"/>
      <c r="T80" s="235"/>
      <c r="U80" s="233"/>
      <c r="V80" s="236"/>
      <c r="W80" s="234"/>
      <c r="X80" s="235"/>
      <c r="Y80" s="237"/>
      <c r="Z80" s="238"/>
    </row>
    <row r="81" spans="1:26" s="239" customFormat="1" ht="28.5" customHeight="1" x14ac:dyDescent="0.3">
      <c r="A81" s="222">
        <f t="shared" si="10"/>
        <v>0</v>
      </c>
      <c r="B81" s="223" t="b">
        <f t="shared" si="11"/>
        <v>1</v>
      </c>
      <c r="C81" s="222">
        <f t="shared" si="12"/>
        <v>0</v>
      </c>
      <c r="D81" s="205" t="str">
        <f t="shared" si="13"/>
        <v>$$$$</v>
      </c>
      <c r="E81" s="224"/>
      <c r="F81" s="225"/>
      <c r="G81" s="226"/>
      <c r="H81" s="227"/>
      <c r="I81" s="228"/>
      <c r="J81" s="228"/>
      <c r="K81" s="229"/>
      <c r="L81" s="230"/>
      <c r="M81" s="231"/>
      <c r="N81" s="232"/>
      <c r="O81" s="230"/>
      <c r="P81" s="231"/>
      <c r="Q81" s="232"/>
      <c r="R81" s="233"/>
      <c r="S81" s="234"/>
      <c r="T81" s="235"/>
      <c r="U81" s="233"/>
      <c r="V81" s="236"/>
      <c r="W81" s="234"/>
      <c r="X81" s="235"/>
      <c r="Y81" s="237"/>
      <c r="Z81" s="238"/>
    </row>
    <row r="82" spans="1:26" s="239" customFormat="1" ht="28.5" customHeight="1" x14ac:dyDescent="0.3">
      <c r="A82" s="222">
        <f t="shared" si="10"/>
        <v>0</v>
      </c>
      <c r="B82" s="223" t="b">
        <f t="shared" si="11"/>
        <v>1</v>
      </c>
      <c r="C82" s="222">
        <f t="shared" si="12"/>
        <v>0</v>
      </c>
      <c r="D82" s="205" t="str">
        <f t="shared" si="13"/>
        <v>$$$$</v>
      </c>
      <c r="E82" s="224"/>
      <c r="F82" s="225"/>
      <c r="G82" s="226"/>
      <c r="H82" s="227"/>
      <c r="I82" s="228"/>
      <c r="J82" s="228"/>
      <c r="K82" s="229"/>
      <c r="L82" s="230"/>
      <c r="M82" s="231"/>
      <c r="N82" s="232"/>
      <c r="O82" s="230"/>
      <c r="P82" s="231"/>
      <c r="Q82" s="232"/>
      <c r="R82" s="233"/>
      <c r="S82" s="234"/>
      <c r="T82" s="235"/>
      <c r="U82" s="233"/>
      <c r="V82" s="236"/>
      <c r="W82" s="234"/>
      <c r="X82" s="235"/>
      <c r="Y82" s="237"/>
      <c r="Z82" s="238"/>
    </row>
    <row r="83" spans="1:26" s="239" customFormat="1" ht="28.5" customHeight="1" x14ac:dyDescent="0.3">
      <c r="A83" s="222">
        <f t="shared" si="10"/>
        <v>0</v>
      </c>
      <c r="B83" s="223" t="b">
        <f t="shared" si="11"/>
        <v>1</v>
      </c>
      <c r="C83" s="222">
        <f t="shared" si="12"/>
        <v>0</v>
      </c>
      <c r="D83" s="205" t="str">
        <f t="shared" si="13"/>
        <v>$$$$</v>
      </c>
      <c r="E83" s="224"/>
      <c r="F83" s="225"/>
      <c r="G83" s="226"/>
      <c r="H83" s="227"/>
      <c r="I83" s="228"/>
      <c r="J83" s="228"/>
      <c r="K83" s="229"/>
      <c r="L83" s="230"/>
      <c r="M83" s="231"/>
      <c r="N83" s="232"/>
      <c r="O83" s="230"/>
      <c r="P83" s="231"/>
      <c r="Q83" s="232"/>
      <c r="R83" s="233"/>
      <c r="S83" s="234"/>
      <c r="T83" s="235"/>
      <c r="U83" s="233"/>
      <c r="V83" s="236"/>
      <c r="W83" s="234"/>
      <c r="X83" s="235"/>
      <c r="Y83" s="237"/>
      <c r="Z83" s="238"/>
    </row>
    <row r="84" spans="1:26" s="239" customFormat="1" ht="28.5" customHeight="1" x14ac:dyDescent="0.3">
      <c r="A84" s="222">
        <f t="shared" si="10"/>
        <v>0</v>
      </c>
      <c r="B84" s="223" t="b">
        <f t="shared" si="11"/>
        <v>1</v>
      </c>
      <c r="C84" s="222">
        <f t="shared" si="12"/>
        <v>0</v>
      </c>
      <c r="D84" s="205" t="str">
        <f t="shared" si="13"/>
        <v>$$$$</v>
      </c>
      <c r="E84" s="224"/>
      <c r="F84" s="225"/>
      <c r="G84" s="226"/>
      <c r="H84" s="227"/>
      <c r="I84" s="228"/>
      <c r="J84" s="228"/>
      <c r="K84" s="229"/>
      <c r="L84" s="230"/>
      <c r="M84" s="231"/>
      <c r="N84" s="232"/>
      <c r="O84" s="230"/>
      <c r="P84" s="231"/>
      <c r="Q84" s="232"/>
      <c r="R84" s="233"/>
      <c r="S84" s="234"/>
      <c r="T84" s="235"/>
      <c r="U84" s="233"/>
      <c r="V84" s="236"/>
      <c r="W84" s="234"/>
      <c r="X84" s="235"/>
      <c r="Y84" s="237"/>
      <c r="Z84" s="238"/>
    </row>
    <row r="85" spans="1:26" s="239" customFormat="1" ht="28.5" customHeight="1" x14ac:dyDescent="0.3">
      <c r="A85" s="222">
        <f t="shared" si="10"/>
        <v>0</v>
      </c>
      <c r="B85" s="223" t="b">
        <f t="shared" si="11"/>
        <v>1</v>
      </c>
      <c r="C85" s="222">
        <f t="shared" si="12"/>
        <v>0</v>
      </c>
      <c r="D85" s="205" t="str">
        <f t="shared" si="13"/>
        <v>$$$$</v>
      </c>
      <c r="E85" s="224"/>
      <c r="F85" s="225"/>
      <c r="G85" s="226"/>
      <c r="H85" s="227"/>
      <c r="I85" s="228"/>
      <c r="J85" s="228"/>
      <c r="K85" s="229"/>
      <c r="L85" s="230"/>
      <c r="M85" s="231"/>
      <c r="N85" s="232"/>
      <c r="O85" s="230"/>
      <c r="P85" s="231"/>
      <c r="Q85" s="232"/>
      <c r="R85" s="233"/>
      <c r="S85" s="234"/>
      <c r="T85" s="235"/>
      <c r="U85" s="233"/>
      <c r="V85" s="236"/>
      <c r="W85" s="234"/>
      <c r="X85" s="235"/>
      <c r="Y85" s="237"/>
      <c r="Z85" s="238"/>
    </row>
    <row r="86" spans="1:26" s="239" customFormat="1" ht="28.5" customHeight="1" x14ac:dyDescent="0.3">
      <c r="A86" s="222">
        <f t="shared" si="10"/>
        <v>0</v>
      </c>
      <c r="B86" s="223" t="b">
        <f t="shared" si="11"/>
        <v>1</v>
      </c>
      <c r="C86" s="222">
        <f t="shared" si="12"/>
        <v>0</v>
      </c>
      <c r="D86" s="205" t="str">
        <f t="shared" si="13"/>
        <v>$$$$</v>
      </c>
      <c r="E86" s="224"/>
      <c r="F86" s="225"/>
      <c r="G86" s="226"/>
      <c r="H86" s="227"/>
      <c r="I86" s="228"/>
      <c r="J86" s="228"/>
      <c r="K86" s="229"/>
      <c r="L86" s="230"/>
      <c r="M86" s="231"/>
      <c r="N86" s="232"/>
      <c r="O86" s="230"/>
      <c r="P86" s="231"/>
      <c r="Q86" s="232"/>
      <c r="R86" s="233"/>
      <c r="S86" s="234"/>
      <c r="T86" s="235"/>
      <c r="U86" s="233"/>
      <c r="V86" s="236"/>
      <c r="W86" s="234"/>
      <c r="X86" s="235"/>
      <c r="Y86" s="237"/>
      <c r="Z86" s="238"/>
    </row>
    <row r="87" spans="1:26" s="239" customFormat="1" ht="28.5" customHeight="1" x14ac:dyDescent="0.3">
      <c r="A87" s="222">
        <f t="shared" si="10"/>
        <v>0</v>
      </c>
      <c r="B87" s="223" t="b">
        <f t="shared" si="11"/>
        <v>1</v>
      </c>
      <c r="C87" s="222">
        <f t="shared" si="12"/>
        <v>0</v>
      </c>
      <c r="D87" s="205" t="str">
        <f t="shared" si="13"/>
        <v>$$$$</v>
      </c>
      <c r="E87" s="224"/>
      <c r="F87" s="225"/>
      <c r="G87" s="226"/>
      <c r="H87" s="227"/>
      <c r="I87" s="228"/>
      <c r="J87" s="228"/>
      <c r="K87" s="229"/>
      <c r="L87" s="230"/>
      <c r="M87" s="231"/>
      <c r="N87" s="232"/>
      <c r="O87" s="230"/>
      <c r="P87" s="231"/>
      <c r="Q87" s="232"/>
      <c r="R87" s="233"/>
      <c r="S87" s="234"/>
      <c r="T87" s="235"/>
      <c r="U87" s="233"/>
      <c r="V87" s="236"/>
      <c r="W87" s="234"/>
      <c r="X87" s="235"/>
      <c r="Y87" s="237"/>
      <c r="Z87" s="238"/>
    </row>
    <row r="88" spans="1:26" s="239" customFormat="1" ht="28.5" customHeight="1" x14ac:dyDescent="0.3">
      <c r="A88" s="222">
        <f t="shared" si="10"/>
        <v>0</v>
      </c>
      <c r="B88" s="223" t="b">
        <f t="shared" si="11"/>
        <v>1</v>
      </c>
      <c r="C88" s="222">
        <f t="shared" si="12"/>
        <v>0</v>
      </c>
      <c r="D88" s="205" t="str">
        <f t="shared" si="13"/>
        <v>$$$$</v>
      </c>
      <c r="E88" s="224"/>
      <c r="F88" s="225"/>
      <c r="G88" s="226"/>
      <c r="H88" s="227"/>
      <c r="I88" s="228"/>
      <c r="J88" s="228"/>
      <c r="K88" s="229"/>
      <c r="L88" s="230"/>
      <c r="M88" s="231"/>
      <c r="N88" s="232"/>
      <c r="O88" s="230"/>
      <c r="P88" s="231"/>
      <c r="Q88" s="232"/>
      <c r="R88" s="233"/>
      <c r="S88" s="234"/>
      <c r="T88" s="235"/>
      <c r="U88" s="233"/>
      <c r="V88" s="236"/>
      <c r="W88" s="234"/>
      <c r="X88" s="235"/>
      <c r="Y88" s="237"/>
      <c r="Z88" s="238"/>
    </row>
    <row r="89" spans="1:26" s="239" customFormat="1" ht="28.5" customHeight="1" x14ac:dyDescent="0.3">
      <c r="A89" s="222">
        <f t="shared" si="10"/>
        <v>0</v>
      </c>
      <c r="B89" s="223" t="b">
        <f t="shared" si="11"/>
        <v>1</v>
      </c>
      <c r="C89" s="222">
        <f t="shared" si="12"/>
        <v>0</v>
      </c>
      <c r="D89" s="205" t="str">
        <f t="shared" si="13"/>
        <v>$$$$</v>
      </c>
      <c r="E89" s="224"/>
      <c r="F89" s="225"/>
      <c r="G89" s="226"/>
      <c r="H89" s="227"/>
      <c r="I89" s="228"/>
      <c r="J89" s="228"/>
      <c r="K89" s="229"/>
      <c r="L89" s="230"/>
      <c r="M89" s="231"/>
      <c r="N89" s="232"/>
      <c r="O89" s="230"/>
      <c r="P89" s="231"/>
      <c r="Q89" s="232"/>
      <c r="R89" s="233"/>
      <c r="S89" s="234"/>
      <c r="T89" s="235"/>
      <c r="U89" s="233"/>
      <c r="V89" s="236"/>
      <c r="W89" s="234"/>
      <c r="X89" s="235"/>
      <c r="Y89" s="237"/>
      <c r="Z89" s="238"/>
    </row>
    <row r="90" spans="1:26" s="239" customFormat="1" ht="28.5" customHeight="1" x14ac:dyDescent="0.3">
      <c r="A90" s="222">
        <f t="shared" si="10"/>
        <v>0</v>
      </c>
      <c r="B90" s="223" t="b">
        <f t="shared" si="11"/>
        <v>1</v>
      </c>
      <c r="C90" s="222">
        <f t="shared" si="12"/>
        <v>0</v>
      </c>
      <c r="D90" s="205" t="str">
        <f t="shared" si="13"/>
        <v>$$$$</v>
      </c>
      <c r="E90" s="224"/>
      <c r="F90" s="225"/>
      <c r="G90" s="226"/>
      <c r="H90" s="227"/>
      <c r="I90" s="228"/>
      <c r="J90" s="228"/>
      <c r="K90" s="229"/>
      <c r="L90" s="230"/>
      <c r="M90" s="231"/>
      <c r="N90" s="232"/>
      <c r="O90" s="230"/>
      <c r="P90" s="231"/>
      <c r="Q90" s="232"/>
      <c r="R90" s="233"/>
      <c r="S90" s="234"/>
      <c r="T90" s="235"/>
      <c r="U90" s="233"/>
      <c r="V90" s="236"/>
      <c r="W90" s="234"/>
      <c r="X90" s="235"/>
      <c r="Y90" s="237"/>
      <c r="Z90" s="238"/>
    </row>
    <row r="91" spans="1:26" s="239" customFormat="1" ht="28.5" customHeight="1" x14ac:dyDescent="0.3">
      <c r="A91" s="222">
        <f t="shared" si="10"/>
        <v>0</v>
      </c>
      <c r="B91" s="223" t="b">
        <f t="shared" si="11"/>
        <v>1</v>
      </c>
      <c r="C91" s="222">
        <f t="shared" si="12"/>
        <v>0</v>
      </c>
      <c r="D91" s="205" t="str">
        <f t="shared" si="13"/>
        <v>$$$$</v>
      </c>
      <c r="E91" s="224"/>
      <c r="F91" s="225"/>
      <c r="G91" s="226"/>
      <c r="H91" s="227"/>
      <c r="I91" s="228"/>
      <c r="J91" s="228"/>
      <c r="K91" s="229"/>
      <c r="L91" s="230"/>
      <c r="M91" s="231"/>
      <c r="N91" s="232"/>
      <c r="O91" s="230"/>
      <c r="P91" s="231"/>
      <c r="Q91" s="232"/>
      <c r="R91" s="233"/>
      <c r="S91" s="234"/>
      <c r="T91" s="235"/>
      <c r="U91" s="233"/>
      <c r="V91" s="236"/>
      <c r="W91" s="234"/>
      <c r="X91" s="235"/>
      <c r="Y91" s="237"/>
      <c r="Z91" s="238"/>
    </row>
    <row r="92" spans="1:26" s="239" customFormat="1" ht="28.5" customHeight="1" x14ac:dyDescent="0.3">
      <c r="A92" s="222">
        <f t="shared" si="10"/>
        <v>0</v>
      </c>
      <c r="B92" s="223" t="b">
        <f t="shared" si="11"/>
        <v>1</v>
      </c>
      <c r="C92" s="222">
        <f t="shared" si="12"/>
        <v>0</v>
      </c>
      <c r="D92" s="205" t="str">
        <f t="shared" si="13"/>
        <v>$$$$</v>
      </c>
      <c r="E92" s="224"/>
      <c r="F92" s="225"/>
      <c r="G92" s="226"/>
      <c r="H92" s="227"/>
      <c r="I92" s="228"/>
      <c r="J92" s="228"/>
      <c r="K92" s="229"/>
      <c r="L92" s="230"/>
      <c r="M92" s="231"/>
      <c r="N92" s="232"/>
      <c r="O92" s="230"/>
      <c r="P92" s="231"/>
      <c r="Q92" s="232"/>
      <c r="R92" s="233"/>
      <c r="S92" s="234"/>
      <c r="T92" s="235"/>
      <c r="U92" s="233"/>
      <c r="V92" s="236"/>
      <c r="W92" s="234"/>
      <c r="X92" s="235"/>
      <c r="Y92" s="237"/>
      <c r="Z92" s="238"/>
    </row>
    <row r="93" spans="1:26" s="239" customFormat="1" ht="28.5" customHeight="1" x14ac:dyDescent="0.3">
      <c r="A93" s="222">
        <f t="shared" si="10"/>
        <v>0</v>
      </c>
      <c r="B93" s="223" t="b">
        <f t="shared" si="11"/>
        <v>1</v>
      </c>
      <c r="C93" s="222">
        <f t="shared" si="12"/>
        <v>0</v>
      </c>
      <c r="D93" s="205" t="str">
        <f t="shared" si="13"/>
        <v>$$$$</v>
      </c>
      <c r="E93" s="224"/>
      <c r="F93" s="225"/>
      <c r="G93" s="226"/>
      <c r="H93" s="227"/>
      <c r="I93" s="228"/>
      <c r="J93" s="228"/>
      <c r="K93" s="229"/>
      <c r="L93" s="230"/>
      <c r="M93" s="231"/>
      <c r="N93" s="232"/>
      <c r="O93" s="230"/>
      <c r="P93" s="231"/>
      <c r="Q93" s="232"/>
      <c r="R93" s="233"/>
      <c r="S93" s="234"/>
      <c r="T93" s="235"/>
      <c r="U93" s="233"/>
      <c r="V93" s="236"/>
      <c r="W93" s="234"/>
      <c r="X93" s="235"/>
      <c r="Y93" s="237"/>
      <c r="Z93" s="238"/>
    </row>
    <row r="94" spans="1:26" s="239" customFormat="1" ht="28.5" customHeight="1" x14ac:dyDescent="0.3">
      <c r="A94" s="222">
        <f t="shared" si="10"/>
        <v>0</v>
      </c>
      <c r="B94" s="223" t="b">
        <f t="shared" si="11"/>
        <v>1</v>
      </c>
      <c r="C94" s="222">
        <f t="shared" si="12"/>
        <v>0</v>
      </c>
      <c r="D94" s="205" t="str">
        <f t="shared" si="13"/>
        <v>$$$$</v>
      </c>
      <c r="E94" s="224"/>
      <c r="F94" s="225"/>
      <c r="G94" s="226"/>
      <c r="H94" s="227"/>
      <c r="I94" s="228"/>
      <c r="J94" s="228"/>
      <c r="K94" s="229"/>
      <c r="L94" s="230"/>
      <c r="M94" s="231"/>
      <c r="N94" s="232"/>
      <c r="O94" s="230"/>
      <c r="P94" s="231"/>
      <c r="Q94" s="232"/>
      <c r="R94" s="233"/>
      <c r="S94" s="234"/>
      <c r="T94" s="235"/>
      <c r="U94" s="233"/>
      <c r="V94" s="236"/>
      <c r="W94" s="234"/>
      <c r="X94" s="235"/>
      <c r="Y94" s="237"/>
      <c r="Z94" s="238"/>
    </row>
    <row r="95" spans="1:26" s="239" customFormat="1" ht="28.5" customHeight="1" x14ac:dyDescent="0.3">
      <c r="A95" s="222">
        <f t="shared" si="10"/>
        <v>0</v>
      </c>
      <c r="B95" s="223" t="b">
        <f t="shared" si="11"/>
        <v>1</v>
      </c>
      <c r="C95" s="222">
        <f t="shared" si="12"/>
        <v>0</v>
      </c>
      <c r="D95" s="205" t="str">
        <f t="shared" si="13"/>
        <v>$$$$</v>
      </c>
      <c r="E95" s="224"/>
      <c r="F95" s="225"/>
      <c r="G95" s="226"/>
      <c r="H95" s="227"/>
      <c r="I95" s="228"/>
      <c r="J95" s="228"/>
      <c r="K95" s="229"/>
      <c r="L95" s="230"/>
      <c r="M95" s="231"/>
      <c r="N95" s="232"/>
      <c r="O95" s="230"/>
      <c r="P95" s="231"/>
      <c r="Q95" s="232"/>
      <c r="R95" s="233"/>
      <c r="S95" s="234"/>
      <c r="T95" s="235"/>
      <c r="U95" s="233"/>
      <c r="V95" s="236"/>
      <c r="W95" s="234"/>
      <c r="X95" s="235"/>
      <c r="Y95" s="237"/>
      <c r="Z95" s="238"/>
    </row>
    <row r="96" spans="1:26" s="239" customFormat="1" ht="28.5" customHeight="1" x14ac:dyDescent="0.3">
      <c r="A96" s="222">
        <f t="shared" si="10"/>
        <v>0</v>
      </c>
      <c r="B96" s="223" t="b">
        <f t="shared" si="11"/>
        <v>1</v>
      </c>
      <c r="C96" s="222">
        <f t="shared" si="12"/>
        <v>0</v>
      </c>
      <c r="D96" s="205" t="str">
        <f t="shared" si="13"/>
        <v>$$$$</v>
      </c>
      <c r="E96" s="224"/>
      <c r="F96" s="225"/>
      <c r="G96" s="226"/>
      <c r="H96" s="227"/>
      <c r="I96" s="228"/>
      <c r="J96" s="228"/>
      <c r="K96" s="229"/>
      <c r="L96" s="230"/>
      <c r="M96" s="231"/>
      <c r="N96" s="232"/>
      <c r="O96" s="230"/>
      <c r="P96" s="231"/>
      <c r="Q96" s="232"/>
      <c r="R96" s="233"/>
      <c r="S96" s="234"/>
      <c r="T96" s="235"/>
      <c r="U96" s="233"/>
      <c r="V96" s="236"/>
      <c r="W96" s="234"/>
      <c r="X96" s="235"/>
      <c r="Y96" s="237"/>
      <c r="Z96" s="238"/>
    </row>
    <row r="97" spans="1:26" s="239" customFormat="1" ht="28.5" customHeight="1" x14ac:dyDescent="0.3">
      <c r="A97" s="222">
        <f t="shared" si="10"/>
        <v>0</v>
      </c>
      <c r="B97" s="223" t="b">
        <f t="shared" si="11"/>
        <v>1</v>
      </c>
      <c r="C97" s="222">
        <f t="shared" si="12"/>
        <v>0</v>
      </c>
      <c r="D97" s="205" t="str">
        <f t="shared" si="13"/>
        <v>$$$$</v>
      </c>
      <c r="E97" s="224"/>
      <c r="F97" s="225"/>
      <c r="G97" s="226"/>
      <c r="H97" s="227"/>
      <c r="I97" s="228"/>
      <c r="J97" s="228"/>
      <c r="K97" s="229"/>
      <c r="L97" s="230"/>
      <c r="M97" s="231"/>
      <c r="N97" s="232"/>
      <c r="O97" s="230"/>
      <c r="P97" s="231"/>
      <c r="Q97" s="232"/>
      <c r="R97" s="233"/>
      <c r="S97" s="234"/>
      <c r="T97" s="235"/>
      <c r="U97" s="233"/>
      <c r="V97" s="236"/>
      <c r="W97" s="234"/>
      <c r="X97" s="235"/>
      <c r="Y97" s="237"/>
      <c r="Z97" s="238"/>
    </row>
    <row r="98" spans="1:26" s="239" customFormat="1" ht="28.5" customHeight="1" x14ac:dyDescent="0.3">
      <c r="A98" s="222">
        <f t="shared" si="10"/>
        <v>0</v>
      </c>
      <c r="B98" s="223" t="b">
        <f t="shared" si="11"/>
        <v>1</v>
      </c>
      <c r="C98" s="222">
        <f t="shared" si="12"/>
        <v>0</v>
      </c>
      <c r="D98" s="205" t="str">
        <f t="shared" si="13"/>
        <v>$$$$</v>
      </c>
      <c r="E98" s="224"/>
      <c r="F98" s="225"/>
      <c r="G98" s="226"/>
      <c r="H98" s="227"/>
      <c r="I98" s="228"/>
      <c r="J98" s="228"/>
      <c r="K98" s="229"/>
      <c r="L98" s="230"/>
      <c r="M98" s="231"/>
      <c r="N98" s="232"/>
      <c r="O98" s="230"/>
      <c r="P98" s="231"/>
      <c r="Q98" s="232"/>
      <c r="R98" s="233"/>
      <c r="S98" s="234"/>
      <c r="T98" s="235"/>
      <c r="U98" s="233"/>
      <c r="V98" s="236"/>
      <c r="W98" s="234"/>
      <c r="X98" s="235"/>
      <c r="Y98" s="237"/>
      <c r="Z98" s="238"/>
    </row>
    <row r="99" spans="1:26" s="239" customFormat="1" ht="28.5" customHeight="1" x14ac:dyDescent="0.3">
      <c r="A99" s="222">
        <f t="shared" si="10"/>
        <v>0</v>
      </c>
      <c r="B99" s="223" t="b">
        <f t="shared" si="11"/>
        <v>1</v>
      </c>
      <c r="C99" s="222">
        <f t="shared" si="12"/>
        <v>0</v>
      </c>
      <c r="D99" s="205" t="str">
        <f t="shared" si="13"/>
        <v>$$$$</v>
      </c>
      <c r="E99" s="224"/>
      <c r="F99" s="225"/>
      <c r="G99" s="226"/>
      <c r="H99" s="227"/>
      <c r="I99" s="228"/>
      <c r="J99" s="228"/>
      <c r="K99" s="229"/>
      <c r="L99" s="230"/>
      <c r="M99" s="231"/>
      <c r="N99" s="232"/>
      <c r="O99" s="230"/>
      <c r="P99" s="231"/>
      <c r="Q99" s="232"/>
      <c r="R99" s="233"/>
      <c r="S99" s="234"/>
      <c r="T99" s="235"/>
      <c r="U99" s="233"/>
      <c r="V99" s="236"/>
      <c r="W99" s="234"/>
      <c r="X99" s="235"/>
      <c r="Y99" s="237"/>
      <c r="Z99" s="238"/>
    </row>
    <row r="100" spans="1:26" s="239" customFormat="1" ht="28.5" customHeight="1" x14ac:dyDescent="0.3">
      <c r="A100" s="222">
        <f t="shared" si="10"/>
        <v>0</v>
      </c>
      <c r="B100" s="223" t="b">
        <f t="shared" si="11"/>
        <v>1</v>
      </c>
      <c r="C100" s="222">
        <f t="shared" si="12"/>
        <v>0</v>
      </c>
      <c r="D100" s="205" t="str">
        <f t="shared" si="13"/>
        <v>$$$$</v>
      </c>
      <c r="E100" s="224"/>
      <c r="F100" s="225"/>
      <c r="G100" s="226"/>
      <c r="H100" s="227"/>
      <c r="I100" s="228"/>
      <c r="J100" s="228"/>
      <c r="K100" s="229"/>
      <c r="L100" s="230"/>
      <c r="M100" s="231"/>
      <c r="N100" s="232"/>
      <c r="O100" s="230"/>
      <c r="P100" s="231"/>
      <c r="Q100" s="232"/>
      <c r="R100" s="233"/>
      <c r="S100" s="234"/>
      <c r="T100" s="235"/>
      <c r="U100" s="233"/>
      <c r="V100" s="236"/>
      <c r="W100" s="234"/>
      <c r="X100" s="235"/>
      <c r="Y100" s="237"/>
      <c r="Z100" s="238"/>
    </row>
    <row r="101" spans="1:26" s="239" customFormat="1" ht="28.5" customHeight="1" x14ac:dyDescent="0.3">
      <c r="A101" s="222">
        <f t="shared" si="10"/>
        <v>0</v>
      </c>
      <c r="B101" s="223" t="b">
        <f t="shared" si="11"/>
        <v>1</v>
      </c>
      <c r="C101" s="222">
        <f t="shared" si="12"/>
        <v>0</v>
      </c>
      <c r="D101" s="205" t="str">
        <f t="shared" si="13"/>
        <v>$$$$</v>
      </c>
      <c r="E101" s="224"/>
      <c r="F101" s="225"/>
      <c r="G101" s="226"/>
      <c r="H101" s="227"/>
      <c r="I101" s="228"/>
      <c r="J101" s="228"/>
      <c r="K101" s="229"/>
      <c r="L101" s="230"/>
      <c r="M101" s="231"/>
      <c r="N101" s="232"/>
      <c r="O101" s="230"/>
      <c r="P101" s="231"/>
      <c r="Q101" s="232"/>
      <c r="R101" s="233"/>
      <c r="S101" s="234"/>
      <c r="T101" s="235"/>
      <c r="U101" s="233"/>
      <c r="V101" s="236"/>
      <c r="W101" s="234"/>
      <c r="X101" s="235"/>
      <c r="Y101" s="237"/>
      <c r="Z101" s="238"/>
    </row>
    <row r="102" spans="1:26" s="239" customFormat="1" ht="28.5" customHeight="1" x14ac:dyDescent="0.3">
      <c r="A102" s="222">
        <f t="shared" si="10"/>
        <v>0</v>
      </c>
      <c r="B102" s="223" t="b">
        <f t="shared" si="11"/>
        <v>1</v>
      </c>
      <c r="C102" s="222">
        <f t="shared" si="12"/>
        <v>0</v>
      </c>
      <c r="D102" s="205" t="str">
        <f t="shared" si="13"/>
        <v>$$$$</v>
      </c>
      <c r="E102" s="224"/>
      <c r="F102" s="225"/>
      <c r="G102" s="226"/>
      <c r="H102" s="227"/>
      <c r="I102" s="228"/>
      <c r="J102" s="228"/>
      <c r="K102" s="229"/>
      <c r="L102" s="230"/>
      <c r="M102" s="231"/>
      <c r="N102" s="232"/>
      <c r="O102" s="230"/>
      <c r="P102" s="231"/>
      <c r="Q102" s="232"/>
      <c r="R102" s="233"/>
      <c r="S102" s="234"/>
      <c r="T102" s="235"/>
      <c r="U102" s="233"/>
      <c r="V102" s="236"/>
      <c r="W102" s="234"/>
      <c r="X102" s="235"/>
      <c r="Y102" s="237"/>
      <c r="Z102" s="238"/>
    </row>
    <row r="103" spans="1:26" s="239" customFormat="1" ht="28.5" customHeight="1" x14ac:dyDescent="0.3">
      <c r="A103" s="222">
        <f t="shared" ref="A103:A159" si="14">IF(B103,0,MATCH(H103,ВидыНагр,0))</f>
        <v>0</v>
      </c>
      <c r="B103" s="223" t="b">
        <f t="shared" ref="B103:B159" si="15">(COUNTIF(КлючОсень,D103)&lt;&gt;1)</f>
        <v>1</v>
      </c>
      <c r="C103" s="222">
        <f t="shared" ref="C103:C159" si="16">IF(COUNTA(E103:K103,Z103)&gt;0,1,0)+IF(COUNTA(L103:Y103)&gt;0,2,0)</f>
        <v>0</v>
      </c>
      <c r="D103" s="205" t="str">
        <f t="shared" si="13"/>
        <v>$$$$</v>
      </c>
      <c r="E103" s="224"/>
      <c r="F103" s="225"/>
      <c r="G103" s="226"/>
      <c r="H103" s="227"/>
      <c r="I103" s="228"/>
      <c r="J103" s="228"/>
      <c r="K103" s="229"/>
      <c r="L103" s="230"/>
      <c r="M103" s="231"/>
      <c r="N103" s="232"/>
      <c r="O103" s="230"/>
      <c r="P103" s="231"/>
      <c r="Q103" s="232"/>
      <c r="R103" s="233"/>
      <c r="S103" s="234"/>
      <c r="T103" s="235"/>
      <c r="U103" s="233"/>
      <c r="V103" s="236"/>
      <c r="W103" s="234"/>
      <c r="X103" s="235"/>
      <c r="Y103" s="237"/>
      <c r="Z103" s="238"/>
    </row>
    <row r="104" spans="1:26" s="239" customFormat="1" ht="28.5" customHeight="1" x14ac:dyDescent="0.3">
      <c r="A104" s="222">
        <f t="shared" si="14"/>
        <v>0</v>
      </c>
      <c r="B104" s="223" t="b">
        <f t="shared" si="15"/>
        <v>1</v>
      </c>
      <c r="C104" s="222">
        <f t="shared" si="16"/>
        <v>0</v>
      </c>
      <c r="D104" s="205" t="str">
        <f t="shared" si="13"/>
        <v>$$$$</v>
      </c>
      <c r="E104" s="224"/>
      <c r="F104" s="225"/>
      <c r="G104" s="226"/>
      <c r="H104" s="227"/>
      <c r="I104" s="228"/>
      <c r="J104" s="228"/>
      <c r="K104" s="229"/>
      <c r="L104" s="230"/>
      <c r="M104" s="231"/>
      <c r="N104" s="232"/>
      <c r="O104" s="230"/>
      <c r="P104" s="231"/>
      <c r="Q104" s="232"/>
      <c r="R104" s="233"/>
      <c r="S104" s="234"/>
      <c r="T104" s="235"/>
      <c r="U104" s="233"/>
      <c r="V104" s="236"/>
      <c r="W104" s="234"/>
      <c r="X104" s="235"/>
      <c r="Y104" s="237"/>
      <c r="Z104" s="238"/>
    </row>
    <row r="105" spans="1:26" s="239" customFormat="1" ht="28.5" customHeight="1" x14ac:dyDescent="0.3">
      <c r="A105" s="222">
        <f t="shared" si="14"/>
        <v>0</v>
      </c>
      <c r="B105" s="223" t="b">
        <f t="shared" si="15"/>
        <v>1</v>
      </c>
      <c r="C105" s="222">
        <f t="shared" si="16"/>
        <v>0</v>
      </c>
      <c r="D105" s="205" t="str">
        <f t="shared" si="13"/>
        <v>$$$$</v>
      </c>
      <c r="E105" s="224"/>
      <c r="F105" s="225"/>
      <c r="G105" s="226"/>
      <c r="H105" s="227"/>
      <c r="I105" s="228"/>
      <c r="J105" s="228"/>
      <c r="K105" s="229"/>
      <c r="L105" s="230"/>
      <c r="M105" s="231"/>
      <c r="N105" s="232"/>
      <c r="O105" s="230"/>
      <c r="P105" s="231"/>
      <c r="Q105" s="232"/>
      <c r="R105" s="233"/>
      <c r="S105" s="234"/>
      <c r="T105" s="235"/>
      <c r="U105" s="233"/>
      <c r="V105" s="236"/>
      <c r="W105" s="234"/>
      <c r="X105" s="235"/>
      <c r="Y105" s="237"/>
      <c r="Z105" s="238"/>
    </row>
    <row r="106" spans="1:26" s="239" customFormat="1" ht="28.5" customHeight="1" x14ac:dyDescent="0.3">
      <c r="A106" s="222">
        <f t="shared" si="14"/>
        <v>0</v>
      </c>
      <c r="B106" s="223" t="b">
        <f t="shared" si="15"/>
        <v>1</v>
      </c>
      <c r="C106" s="222">
        <f t="shared" si="16"/>
        <v>0</v>
      </c>
      <c r="D106" s="205" t="str">
        <f t="shared" si="13"/>
        <v>$$$$</v>
      </c>
      <c r="E106" s="224"/>
      <c r="F106" s="225"/>
      <c r="G106" s="226"/>
      <c r="H106" s="227"/>
      <c r="I106" s="228"/>
      <c r="J106" s="228"/>
      <c r="K106" s="229"/>
      <c r="L106" s="230"/>
      <c r="M106" s="231"/>
      <c r="N106" s="232"/>
      <c r="O106" s="230"/>
      <c r="P106" s="231"/>
      <c r="Q106" s="232"/>
      <c r="R106" s="233"/>
      <c r="S106" s="234"/>
      <c r="T106" s="235"/>
      <c r="U106" s="233"/>
      <c r="V106" s="236"/>
      <c r="W106" s="234"/>
      <c r="X106" s="235"/>
      <c r="Y106" s="237"/>
      <c r="Z106" s="238"/>
    </row>
    <row r="107" spans="1:26" s="239" customFormat="1" ht="28.5" customHeight="1" x14ac:dyDescent="0.3">
      <c r="A107" s="222">
        <f>IF(B107,0,MATCH(H107,ВидыНагр,0))</f>
        <v>0</v>
      </c>
      <c r="B107" s="223" t="b">
        <f>(COUNTIF(КлючОсень,D107)&lt;&gt;1)</f>
        <v>1</v>
      </c>
      <c r="C107" s="222">
        <f t="shared" si="16"/>
        <v>0</v>
      </c>
      <c r="D107" s="205" t="str">
        <f>CONCATENATE("$",TRIM(F107),"$",TRIM(G107),"$",H107,"$")</f>
        <v>$$$$</v>
      </c>
      <c r="E107" s="224"/>
      <c r="F107" s="225"/>
      <c r="G107" s="226"/>
      <c r="H107" s="227"/>
      <c r="I107" s="228"/>
      <c r="J107" s="228"/>
      <c r="K107" s="229"/>
      <c r="L107" s="230"/>
      <c r="M107" s="231"/>
      <c r="N107" s="232"/>
      <c r="O107" s="230"/>
      <c r="P107" s="231"/>
      <c r="Q107" s="232"/>
      <c r="R107" s="233"/>
      <c r="S107" s="234"/>
      <c r="T107" s="235"/>
      <c r="U107" s="233"/>
      <c r="V107" s="236"/>
      <c r="W107" s="234"/>
      <c r="X107" s="235"/>
      <c r="Y107" s="237"/>
      <c r="Z107" s="238"/>
    </row>
    <row r="108" spans="1:26" s="239" customFormat="1" ht="28.5" customHeight="1" x14ac:dyDescent="0.3">
      <c r="A108" s="222">
        <f>IF(B108,0,MATCH(H108,ВидыНагр,0))</f>
        <v>0</v>
      </c>
      <c r="B108" s="223" t="b">
        <f>(COUNTIF(КлючОсень,D108)&lt;&gt;1)</f>
        <v>1</v>
      </c>
      <c r="C108" s="222">
        <f t="shared" si="16"/>
        <v>0</v>
      </c>
      <c r="D108" s="205" t="str">
        <f>CONCATENATE("$",TRIM(F108),"$",TRIM(G108),"$",H108,"$")</f>
        <v>$$$$</v>
      </c>
      <c r="E108" s="224"/>
      <c r="F108" s="225"/>
      <c r="G108" s="226"/>
      <c r="H108" s="227"/>
      <c r="I108" s="228"/>
      <c r="J108" s="228"/>
      <c r="K108" s="229"/>
      <c r="L108" s="230"/>
      <c r="M108" s="231"/>
      <c r="N108" s="232"/>
      <c r="O108" s="230"/>
      <c r="P108" s="231"/>
      <c r="Q108" s="232"/>
      <c r="R108" s="233"/>
      <c r="S108" s="234"/>
      <c r="T108" s="235"/>
      <c r="U108" s="233"/>
      <c r="V108" s="236"/>
      <c r="W108" s="234"/>
      <c r="X108" s="235"/>
      <c r="Y108" s="237"/>
      <c r="Z108" s="238"/>
    </row>
    <row r="109" spans="1:26" s="239" customFormat="1" ht="28.5" customHeight="1" x14ac:dyDescent="0.3">
      <c r="A109" s="222">
        <f t="shared" si="14"/>
        <v>0</v>
      </c>
      <c r="B109" s="223" t="b">
        <f t="shared" si="15"/>
        <v>1</v>
      </c>
      <c r="C109" s="222">
        <f t="shared" si="16"/>
        <v>0</v>
      </c>
      <c r="D109" s="205" t="str">
        <f t="shared" si="13"/>
        <v>$$$$</v>
      </c>
      <c r="E109" s="224"/>
      <c r="F109" s="225"/>
      <c r="G109" s="226"/>
      <c r="H109" s="227"/>
      <c r="I109" s="228"/>
      <c r="J109" s="228"/>
      <c r="K109" s="229"/>
      <c r="L109" s="230"/>
      <c r="M109" s="231"/>
      <c r="N109" s="232"/>
      <c r="O109" s="230"/>
      <c r="P109" s="231"/>
      <c r="Q109" s="232"/>
      <c r="R109" s="233"/>
      <c r="S109" s="234"/>
      <c r="T109" s="235"/>
      <c r="U109" s="233"/>
      <c r="V109" s="236"/>
      <c r="W109" s="234"/>
      <c r="X109" s="235"/>
      <c r="Y109" s="237"/>
      <c r="Z109" s="238"/>
    </row>
    <row r="110" spans="1:26" s="239" customFormat="1" ht="28.5" customHeight="1" x14ac:dyDescent="0.3">
      <c r="A110" s="222">
        <f t="shared" si="14"/>
        <v>0</v>
      </c>
      <c r="B110" s="223" t="b">
        <f t="shared" si="15"/>
        <v>1</v>
      </c>
      <c r="C110" s="222">
        <f t="shared" si="16"/>
        <v>0</v>
      </c>
      <c r="D110" s="205" t="str">
        <f t="shared" si="13"/>
        <v>$$$$</v>
      </c>
      <c r="E110" s="224"/>
      <c r="F110" s="225"/>
      <c r="G110" s="226"/>
      <c r="H110" s="227"/>
      <c r="I110" s="228"/>
      <c r="J110" s="228"/>
      <c r="K110" s="229"/>
      <c r="L110" s="230"/>
      <c r="M110" s="231"/>
      <c r="N110" s="232"/>
      <c r="O110" s="230"/>
      <c r="P110" s="231"/>
      <c r="Q110" s="232"/>
      <c r="R110" s="233"/>
      <c r="S110" s="234"/>
      <c r="T110" s="235"/>
      <c r="U110" s="233"/>
      <c r="V110" s="236"/>
      <c r="W110" s="234"/>
      <c r="X110" s="235"/>
      <c r="Y110" s="237"/>
      <c r="Z110" s="238"/>
    </row>
    <row r="111" spans="1:26" s="239" customFormat="1" ht="28.5" customHeight="1" x14ac:dyDescent="0.3">
      <c r="A111" s="222">
        <f t="shared" si="14"/>
        <v>0</v>
      </c>
      <c r="B111" s="223" t="b">
        <f t="shared" si="15"/>
        <v>1</v>
      </c>
      <c r="C111" s="222">
        <f t="shared" si="16"/>
        <v>0</v>
      </c>
      <c r="D111" s="205" t="str">
        <f t="shared" si="13"/>
        <v>$$$$</v>
      </c>
      <c r="E111" s="224"/>
      <c r="F111" s="225"/>
      <c r="G111" s="226"/>
      <c r="H111" s="227"/>
      <c r="I111" s="228"/>
      <c r="J111" s="228"/>
      <c r="K111" s="229"/>
      <c r="L111" s="230"/>
      <c r="M111" s="231"/>
      <c r="N111" s="232"/>
      <c r="O111" s="230"/>
      <c r="P111" s="231"/>
      <c r="Q111" s="232"/>
      <c r="R111" s="233"/>
      <c r="S111" s="234"/>
      <c r="T111" s="235"/>
      <c r="U111" s="233"/>
      <c r="V111" s="236"/>
      <c r="W111" s="234"/>
      <c r="X111" s="235"/>
      <c r="Y111" s="237"/>
      <c r="Z111" s="238"/>
    </row>
    <row r="112" spans="1:26" s="239" customFormat="1" ht="28.5" customHeight="1" x14ac:dyDescent="0.3">
      <c r="A112" s="222">
        <f t="shared" si="14"/>
        <v>0</v>
      </c>
      <c r="B112" s="223" t="b">
        <f t="shared" si="15"/>
        <v>1</v>
      </c>
      <c r="C112" s="222">
        <f t="shared" si="16"/>
        <v>0</v>
      </c>
      <c r="D112" s="205" t="str">
        <f t="shared" si="13"/>
        <v>$$$$</v>
      </c>
      <c r="E112" s="224"/>
      <c r="F112" s="225"/>
      <c r="G112" s="226"/>
      <c r="H112" s="227"/>
      <c r="I112" s="228"/>
      <c r="J112" s="228"/>
      <c r="K112" s="229"/>
      <c r="L112" s="230"/>
      <c r="M112" s="231"/>
      <c r="N112" s="232"/>
      <c r="O112" s="230"/>
      <c r="P112" s="231"/>
      <c r="Q112" s="232"/>
      <c r="R112" s="233"/>
      <c r="S112" s="234"/>
      <c r="T112" s="235"/>
      <c r="U112" s="233"/>
      <c r="V112" s="236"/>
      <c r="W112" s="234"/>
      <c r="X112" s="235"/>
      <c r="Y112" s="237"/>
      <c r="Z112" s="238"/>
    </row>
    <row r="113" spans="1:26" s="239" customFormat="1" ht="28.5" customHeight="1" x14ac:dyDescent="0.3">
      <c r="A113" s="222">
        <f t="shared" si="14"/>
        <v>0</v>
      </c>
      <c r="B113" s="223" t="b">
        <f t="shared" si="15"/>
        <v>1</v>
      </c>
      <c r="C113" s="222">
        <f t="shared" si="16"/>
        <v>0</v>
      </c>
      <c r="D113" s="205" t="str">
        <f t="shared" si="13"/>
        <v>$$$$</v>
      </c>
      <c r="E113" s="224"/>
      <c r="F113" s="225"/>
      <c r="G113" s="226"/>
      <c r="H113" s="227"/>
      <c r="I113" s="228"/>
      <c r="J113" s="228"/>
      <c r="K113" s="229"/>
      <c r="L113" s="230"/>
      <c r="M113" s="231"/>
      <c r="N113" s="232"/>
      <c r="O113" s="230"/>
      <c r="P113" s="231"/>
      <c r="Q113" s="232"/>
      <c r="R113" s="233"/>
      <c r="S113" s="234"/>
      <c r="T113" s="235"/>
      <c r="U113" s="233"/>
      <c r="V113" s="236"/>
      <c r="W113" s="234"/>
      <c r="X113" s="235"/>
      <c r="Y113" s="237"/>
      <c r="Z113" s="238"/>
    </row>
    <row r="114" spans="1:26" s="239" customFormat="1" ht="28.5" customHeight="1" x14ac:dyDescent="0.3">
      <c r="A114" s="222">
        <f t="shared" si="14"/>
        <v>0</v>
      </c>
      <c r="B114" s="223" t="b">
        <f t="shared" si="15"/>
        <v>1</v>
      </c>
      <c r="C114" s="222">
        <f t="shared" si="16"/>
        <v>0</v>
      </c>
      <c r="D114" s="205" t="str">
        <f t="shared" si="13"/>
        <v>$$$$</v>
      </c>
      <c r="E114" s="224"/>
      <c r="F114" s="225"/>
      <c r="G114" s="226"/>
      <c r="H114" s="227"/>
      <c r="I114" s="228"/>
      <c r="J114" s="228"/>
      <c r="K114" s="229"/>
      <c r="L114" s="230"/>
      <c r="M114" s="231"/>
      <c r="N114" s="232"/>
      <c r="O114" s="230"/>
      <c r="P114" s="231"/>
      <c r="Q114" s="232"/>
      <c r="R114" s="233"/>
      <c r="S114" s="234"/>
      <c r="T114" s="235"/>
      <c r="U114" s="233"/>
      <c r="V114" s="236"/>
      <c r="W114" s="234"/>
      <c r="X114" s="235"/>
      <c r="Y114" s="237"/>
      <c r="Z114" s="238"/>
    </row>
    <row r="115" spans="1:26" s="239" customFormat="1" ht="28.5" customHeight="1" x14ac:dyDescent="0.3">
      <c r="A115" s="222">
        <f t="shared" si="14"/>
        <v>0</v>
      </c>
      <c r="B115" s="223" t="b">
        <f t="shared" si="15"/>
        <v>1</v>
      </c>
      <c r="C115" s="222">
        <f t="shared" si="16"/>
        <v>0</v>
      </c>
      <c r="D115" s="205" t="str">
        <f t="shared" si="13"/>
        <v>$$$$</v>
      </c>
      <c r="E115" s="224"/>
      <c r="F115" s="225"/>
      <c r="G115" s="226"/>
      <c r="H115" s="227"/>
      <c r="I115" s="228"/>
      <c r="J115" s="228"/>
      <c r="K115" s="229"/>
      <c r="L115" s="230"/>
      <c r="M115" s="231"/>
      <c r="N115" s="232"/>
      <c r="O115" s="230"/>
      <c r="P115" s="231"/>
      <c r="Q115" s="232"/>
      <c r="R115" s="233"/>
      <c r="S115" s="234"/>
      <c r="T115" s="235"/>
      <c r="U115" s="233"/>
      <c r="V115" s="236"/>
      <c r="W115" s="234"/>
      <c r="X115" s="235"/>
      <c r="Y115" s="237"/>
      <c r="Z115" s="238"/>
    </row>
    <row r="116" spans="1:26" s="239" customFormat="1" ht="28.5" customHeight="1" x14ac:dyDescent="0.3">
      <c r="A116" s="222">
        <f t="shared" si="14"/>
        <v>0</v>
      </c>
      <c r="B116" s="223" t="b">
        <f t="shared" si="15"/>
        <v>1</v>
      </c>
      <c r="C116" s="222">
        <f t="shared" si="16"/>
        <v>0</v>
      </c>
      <c r="D116" s="205" t="str">
        <f t="shared" si="13"/>
        <v>$$$$</v>
      </c>
      <c r="E116" s="224"/>
      <c r="F116" s="225"/>
      <c r="G116" s="226"/>
      <c r="H116" s="227"/>
      <c r="I116" s="228"/>
      <c r="J116" s="228"/>
      <c r="K116" s="229"/>
      <c r="L116" s="230"/>
      <c r="M116" s="231"/>
      <c r="N116" s="232"/>
      <c r="O116" s="230"/>
      <c r="P116" s="231"/>
      <c r="Q116" s="232"/>
      <c r="R116" s="233"/>
      <c r="S116" s="234"/>
      <c r="T116" s="235"/>
      <c r="U116" s="233"/>
      <c r="V116" s="236"/>
      <c r="W116" s="234"/>
      <c r="X116" s="235"/>
      <c r="Y116" s="237"/>
      <c r="Z116" s="238"/>
    </row>
    <row r="117" spans="1:26" s="239" customFormat="1" ht="28.5" customHeight="1" x14ac:dyDescent="0.3">
      <c r="A117" s="222">
        <f t="shared" si="14"/>
        <v>0</v>
      </c>
      <c r="B117" s="223" t="b">
        <f t="shared" si="15"/>
        <v>1</v>
      </c>
      <c r="C117" s="222">
        <f t="shared" si="16"/>
        <v>0</v>
      </c>
      <c r="D117" s="205" t="str">
        <f t="shared" si="13"/>
        <v>$$$$</v>
      </c>
      <c r="E117" s="224"/>
      <c r="F117" s="225"/>
      <c r="G117" s="226"/>
      <c r="H117" s="227"/>
      <c r="I117" s="228"/>
      <c r="J117" s="228"/>
      <c r="K117" s="229"/>
      <c r="L117" s="230"/>
      <c r="M117" s="231"/>
      <c r="N117" s="232"/>
      <c r="O117" s="230"/>
      <c r="P117" s="231"/>
      <c r="Q117" s="232"/>
      <c r="R117" s="233"/>
      <c r="S117" s="234"/>
      <c r="T117" s="235"/>
      <c r="U117" s="233"/>
      <c r="V117" s="236"/>
      <c r="W117" s="234"/>
      <c r="X117" s="235"/>
      <c r="Y117" s="237"/>
      <c r="Z117" s="238"/>
    </row>
    <row r="118" spans="1:26" s="239" customFormat="1" ht="28.5" customHeight="1" x14ac:dyDescent="0.3">
      <c r="A118" s="222">
        <f t="shared" si="14"/>
        <v>0</v>
      </c>
      <c r="B118" s="223" t="b">
        <f t="shared" si="15"/>
        <v>1</v>
      </c>
      <c r="C118" s="222">
        <f t="shared" si="16"/>
        <v>0</v>
      </c>
      <c r="D118" s="205" t="str">
        <f t="shared" si="13"/>
        <v>$$$$</v>
      </c>
      <c r="E118" s="224"/>
      <c r="F118" s="225"/>
      <c r="G118" s="226"/>
      <c r="H118" s="227"/>
      <c r="I118" s="228"/>
      <c r="J118" s="228"/>
      <c r="K118" s="229"/>
      <c r="L118" s="230"/>
      <c r="M118" s="231"/>
      <c r="N118" s="232"/>
      <c r="O118" s="230"/>
      <c r="P118" s="231"/>
      <c r="Q118" s="232"/>
      <c r="R118" s="233"/>
      <c r="S118" s="234"/>
      <c r="T118" s="235"/>
      <c r="U118" s="233"/>
      <c r="V118" s="236"/>
      <c r="W118" s="234"/>
      <c r="X118" s="235"/>
      <c r="Y118" s="237"/>
      <c r="Z118" s="238"/>
    </row>
    <row r="119" spans="1:26" s="239" customFormat="1" ht="28.5" customHeight="1" x14ac:dyDescent="0.3">
      <c r="A119" s="222">
        <f t="shared" si="14"/>
        <v>0</v>
      </c>
      <c r="B119" s="223" t="b">
        <f t="shared" si="15"/>
        <v>1</v>
      </c>
      <c r="C119" s="222">
        <f t="shared" si="16"/>
        <v>0</v>
      </c>
      <c r="D119" s="205" t="str">
        <f t="shared" si="13"/>
        <v>$$$$</v>
      </c>
      <c r="E119" s="224"/>
      <c r="F119" s="225"/>
      <c r="G119" s="226"/>
      <c r="H119" s="227"/>
      <c r="I119" s="228"/>
      <c r="J119" s="228"/>
      <c r="K119" s="229"/>
      <c r="L119" s="230"/>
      <c r="M119" s="231"/>
      <c r="N119" s="232"/>
      <c r="O119" s="230"/>
      <c r="P119" s="231"/>
      <c r="Q119" s="232"/>
      <c r="R119" s="233"/>
      <c r="S119" s="234"/>
      <c r="T119" s="235"/>
      <c r="U119" s="233"/>
      <c r="V119" s="236"/>
      <c r="W119" s="234"/>
      <c r="X119" s="235"/>
      <c r="Y119" s="237"/>
      <c r="Z119" s="238"/>
    </row>
    <row r="120" spans="1:26" s="239" customFormat="1" ht="28.5" customHeight="1" x14ac:dyDescent="0.3">
      <c r="A120" s="222">
        <f t="shared" si="14"/>
        <v>0</v>
      </c>
      <c r="B120" s="223" t="b">
        <f t="shared" si="15"/>
        <v>1</v>
      </c>
      <c r="C120" s="222">
        <f t="shared" si="16"/>
        <v>0</v>
      </c>
      <c r="D120" s="205" t="str">
        <f t="shared" ref="D120:D154" si="17">CONCATENATE("$",TRIM(F120),"$",TRIM(G120),"$",H120,"$")</f>
        <v>$$$$</v>
      </c>
      <c r="E120" s="224"/>
      <c r="F120" s="225"/>
      <c r="G120" s="226"/>
      <c r="H120" s="227"/>
      <c r="I120" s="228"/>
      <c r="J120" s="228"/>
      <c r="K120" s="229"/>
      <c r="L120" s="230"/>
      <c r="M120" s="231"/>
      <c r="N120" s="232"/>
      <c r="O120" s="230"/>
      <c r="P120" s="231"/>
      <c r="Q120" s="232"/>
      <c r="R120" s="233"/>
      <c r="S120" s="234"/>
      <c r="T120" s="235"/>
      <c r="U120" s="233"/>
      <c r="V120" s="236"/>
      <c r="W120" s="234"/>
      <c r="X120" s="235"/>
      <c r="Y120" s="237"/>
      <c r="Z120" s="238"/>
    </row>
    <row r="121" spans="1:26" s="239" customFormat="1" ht="28.5" customHeight="1" x14ac:dyDescent="0.3">
      <c r="A121" s="222">
        <f t="shared" si="14"/>
        <v>0</v>
      </c>
      <c r="B121" s="223" t="b">
        <f t="shared" si="15"/>
        <v>1</v>
      </c>
      <c r="C121" s="222">
        <f t="shared" si="16"/>
        <v>0</v>
      </c>
      <c r="D121" s="205" t="str">
        <f t="shared" si="17"/>
        <v>$$$$</v>
      </c>
      <c r="E121" s="224"/>
      <c r="F121" s="225"/>
      <c r="G121" s="226"/>
      <c r="H121" s="227"/>
      <c r="I121" s="228"/>
      <c r="J121" s="228"/>
      <c r="K121" s="229"/>
      <c r="L121" s="230"/>
      <c r="M121" s="231"/>
      <c r="N121" s="232"/>
      <c r="O121" s="230"/>
      <c r="P121" s="231"/>
      <c r="Q121" s="232"/>
      <c r="R121" s="233"/>
      <c r="S121" s="234"/>
      <c r="T121" s="235"/>
      <c r="U121" s="233"/>
      <c r="V121" s="236"/>
      <c r="W121" s="234"/>
      <c r="X121" s="235"/>
      <c r="Y121" s="237"/>
      <c r="Z121" s="238"/>
    </row>
    <row r="122" spans="1:26" s="239" customFormat="1" ht="28.5" customHeight="1" x14ac:dyDescent="0.3">
      <c r="A122" s="222">
        <f t="shared" si="14"/>
        <v>0</v>
      </c>
      <c r="B122" s="223" t="b">
        <f t="shared" si="15"/>
        <v>1</v>
      </c>
      <c r="C122" s="222">
        <f t="shared" si="16"/>
        <v>0</v>
      </c>
      <c r="D122" s="205" t="str">
        <f t="shared" si="17"/>
        <v>$$$$</v>
      </c>
      <c r="E122" s="224"/>
      <c r="F122" s="225"/>
      <c r="G122" s="226"/>
      <c r="H122" s="227"/>
      <c r="I122" s="228"/>
      <c r="J122" s="228"/>
      <c r="K122" s="229"/>
      <c r="L122" s="230"/>
      <c r="M122" s="231"/>
      <c r="N122" s="232"/>
      <c r="O122" s="230"/>
      <c r="P122" s="231"/>
      <c r="Q122" s="232"/>
      <c r="R122" s="233"/>
      <c r="S122" s="234"/>
      <c r="T122" s="235"/>
      <c r="U122" s="233"/>
      <c r="V122" s="236"/>
      <c r="W122" s="234"/>
      <c r="X122" s="235"/>
      <c r="Y122" s="237"/>
      <c r="Z122" s="238"/>
    </row>
    <row r="123" spans="1:26" s="239" customFormat="1" ht="28.5" customHeight="1" x14ac:dyDescent="0.3">
      <c r="A123" s="222">
        <f t="shared" si="14"/>
        <v>0</v>
      </c>
      <c r="B123" s="223" t="b">
        <f t="shared" si="15"/>
        <v>1</v>
      </c>
      <c r="C123" s="222">
        <f t="shared" si="16"/>
        <v>0</v>
      </c>
      <c r="D123" s="205" t="str">
        <f t="shared" si="17"/>
        <v>$$$$</v>
      </c>
      <c r="E123" s="224"/>
      <c r="F123" s="225"/>
      <c r="G123" s="226"/>
      <c r="H123" s="227"/>
      <c r="I123" s="228"/>
      <c r="J123" s="228"/>
      <c r="K123" s="229"/>
      <c r="L123" s="230"/>
      <c r="M123" s="231"/>
      <c r="N123" s="232"/>
      <c r="O123" s="230"/>
      <c r="P123" s="231"/>
      <c r="Q123" s="232"/>
      <c r="R123" s="233"/>
      <c r="S123" s="234"/>
      <c r="T123" s="235"/>
      <c r="U123" s="233"/>
      <c r="V123" s="236"/>
      <c r="W123" s="234"/>
      <c r="X123" s="235"/>
      <c r="Y123" s="237"/>
      <c r="Z123" s="238"/>
    </row>
    <row r="124" spans="1:26" s="239" customFormat="1" ht="28.5" customHeight="1" x14ac:dyDescent="0.3">
      <c r="A124" s="222">
        <f t="shared" si="14"/>
        <v>0</v>
      </c>
      <c r="B124" s="223" t="b">
        <f t="shared" si="15"/>
        <v>1</v>
      </c>
      <c r="C124" s="222">
        <f t="shared" si="16"/>
        <v>0</v>
      </c>
      <c r="D124" s="205" t="str">
        <f t="shared" si="17"/>
        <v>$$$$</v>
      </c>
      <c r="E124" s="224"/>
      <c r="F124" s="225"/>
      <c r="G124" s="226"/>
      <c r="H124" s="227"/>
      <c r="I124" s="228"/>
      <c r="J124" s="228"/>
      <c r="K124" s="229"/>
      <c r="L124" s="230"/>
      <c r="M124" s="231"/>
      <c r="N124" s="232"/>
      <c r="O124" s="230"/>
      <c r="P124" s="231"/>
      <c r="Q124" s="232"/>
      <c r="R124" s="233"/>
      <c r="S124" s="234"/>
      <c r="T124" s="235"/>
      <c r="U124" s="233"/>
      <c r="V124" s="236"/>
      <c r="W124" s="234"/>
      <c r="X124" s="235"/>
      <c r="Y124" s="237"/>
      <c r="Z124" s="238"/>
    </row>
    <row r="125" spans="1:26" s="239" customFormat="1" ht="28.5" customHeight="1" x14ac:dyDescent="0.3">
      <c r="A125" s="222">
        <f t="shared" si="14"/>
        <v>0</v>
      </c>
      <c r="B125" s="223" t="b">
        <f t="shared" si="15"/>
        <v>1</v>
      </c>
      <c r="C125" s="222">
        <f t="shared" si="16"/>
        <v>0</v>
      </c>
      <c r="D125" s="205" t="str">
        <f t="shared" si="17"/>
        <v>$$$$</v>
      </c>
      <c r="E125" s="224"/>
      <c r="F125" s="225"/>
      <c r="G125" s="226"/>
      <c r="H125" s="227"/>
      <c r="I125" s="228"/>
      <c r="J125" s="228"/>
      <c r="K125" s="229"/>
      <c r="L125" s="230"/>
      <c r="M125" s="231"/>
      <c r="N125" s="232"/>
      <c r="O125" s="230"/>
      <c r="P125" s="231"/>
      <c r="Q125" s="232"/>
      <c r="R125" s="233"/>
      <c r="S125" s="234"/>
      <c r="T125" s="235"/>
      <c r="U125" s="233"/>
      <c r="V125" s="236"/>
      <c r="W125" s="234"/>
      <c r="X125" s="235"/>
      <c r="Y125" s="237"/>
      <c r="Z125" s="238"/>
    </row>
    <row r="126" spans="1:26" s="239" customFormat="1" ht="28.5" customHeight="1" x14ac:dyDescent="0.3">
      <c r="A126" s="222">
        <f t="shared" si="14"/>
        <v>0</v>
      </c>
      <c r="B126" s="223" t="b">
        <f t="shared" si="15"/>
        <v>1</v>
      </c>
      <c r="C126" s="222">
        <f t="shared" si="16"/>
        <v>0</v>
      </c>
      <c r="D126" s="205" t="str">
        <f t="shared" si="17"/>
        <v>$$$$</v>
      </c>
      <c r="E126" s="224"/>
      <c r="F126" s="225"/>
      <c r="G126" s="226"/>
      <c r="H126" s="227"/>
      <c r="I126" s="228"/>
      <c r="J126" s="228"/>
      <c r="K126" s="229"/>
      <c r="L126" s="230"/>
      <c r="M126" s="231"/>
      <c r="N126" s="232"/>
      <c r="O126" s="230"/>
      <c r="P126" s="231"/>
      <c r="Q126" s="232"/>
      <c r="R126" s="233"/>
      <c r="S126" s="234"/>
      <c r="T126" s="235"/>
      <c r="U126" s="233"/>
      <c r="V126" s="236"/>
      <c r="W126" s="234"/>
      <c r="X126" s="235"/>
      <c r="Y126" s="237"/>
      <c r="Z126" s="238"/>
    </row>
    <row r="127" spans="1:26" s="239" customFormat="1" ht="28.5" customHeight="1" x14ac:dyDescent="0.3">
      <c r="A127" s="222">
        <f t="shared" si="14"/>
        <v>0</v>
      </c>
      <c r="B127" s="223" t="b">
        <f t="shared" si="15"/>
        <v>1</v>
      </c>
      <c r="C127" s="222">
        <f t="shared" si="16"/>
        <v>0</v>
      </c>
      <c r="D127" s="205" t="str">
        <f t="shared" si="17"/>
        <v>$$$$</v>
      </c>
      <c r="E127" s="224"/>
      <c r="F127" s="225"/>
      <c r="G127" s="226"/>
      <c r="H127" s="227"/>
      <c r="I127" s="228"/>
      <c r="J127" s="228"/>
      <c r="K127" s="229"/>
      <c r="L127" s="230"/>
      <c r="M127" s="231"/>
      <c r="N127" s="232"/>
      <c r="O127" s="230"/>
      <c r="P127" s="231"/>
      <c r="Q127" s="232"/>
      <c r="R127" s="233"/>
      <c r="S127" s="234"/>
      <c r="T127" s="235"/>
      <c r="U127" s="233"/>
      <c r="V127" s="236"/>
      <c r="W127" s="234"/>
      <c r="X127" s="235"/>
      <c r="Y127" s="237"/>
      <c r="Z127" s="238"/>
    </row>
    <row r="128" spans="1:26" s="239" customFormat="1" ht="28.5" customHeight="1" x14ac:dyDescent="0.3">
      <c r="A128" s="222">
        <f t="shared" si="14"/>
        <v>0</v>
      </c>
      <c r="B128" s="223" t="b">
        <f t="shared" si="15"/>
        <v>1</v>
      </c>
      <c r="C128" s="222">
        <f t="shared" si="16"/>
        <v>0</v>
      </c>
      <c r="D128" s="205" t="str">
        <f t="shared" si="17"/>
        <v>$$$$</v>
      </c>
      <c r="E128" s="224"/>
      <c r="F128" s="225"/>
      <c r="G128" s="226"/>
      <c r="H128" s="227"/>
      <c r="I128" s="228"/>
      <c r="J128" s="228"/>
      <c r="K128" s="229"/>
      <c r="L128" s="230"/>
      <c r="M128" s="231"/>
      <c r="N128" s="232"/>
      <c r="O128" s="230"/>
      <c r="P128" s="231"/>
      <c r="Q128" s="232"/>
      <c r="R128" s="233"/>
      <c r="S128" s="234"/>
      <c r="T128" s="235"/>
      <c r="U128" s="233"/>
      <c r="V128" s="236"/>
      <c r="W128" s="234"/>
      <c r="X128" s="235"/>
      <c r="Y128" s="237"/>
      <c r="Z128" s="238"/>
    </row>
    <row r="129" spans="1:26" s="239" customFormat="1" ht="28.5" customHeight="1" x14ac:dyDescent="0.3">
      <c r="A129" s="222">
        <f t="shared" si="14"/>
        <v>0</v>
      </c>
      <c r="B129" s="223" t="b">
        <f t="shared" si="15"/>
        <v>1</v>
      </c>
      <c r="C129" s="222">
        <f t="shared" si="16"/>
        <v>0</v>
      </c>
      <c r="D129" s="205" t="str">
        <f t="shared" si="17"/>
        <v>$$$$</v>
      </c>
      <c r="E129" s="224"/>
      <c r="F129" s="225"/>
      <c r="G129" s="226"/>
      <c r="H129" s="227"/>
      <c r="I129" s="228"/>
      <c r="J129" s="228"/>
      <c r="K129" s="229"/>
      <c r="L129" s="230"/>
      <c r="M129" s="231"/>
      <c r="N129" s="232"/>
      <c r="O129" s="230"/>
      <c r="P129" s="231"/>
      <c r="Q129" s="232"/>
      <c r="R129" s="233"/>
      <c r="S129" s="234"/>
      <c r="T129" s="235"/>
      <c r="U129" s="233"/>
      <c r="V129" s="236"/>
      <c r="W129" s="234"/>
      <c r="X129" s="235"/>
      <c r="Y129" s="237"/>
      <c r="Z129" s="238"/>
    </row>
    <row r="130" spans="1:26" s="239" customFormat="1" ht="28.5" customHeight="1" x14ac:dyDescent="0.3">
      <c r="A130" s="222">
        <f t="shared" si="14"/>
        <v>0</v>
      </c>
      <c r="B130" s="223" t="b">
        <f t="shared" si="15"/>
        <v>1</v>
      </c>
      <c r="C130" s="222">
        <f t="shared" si="16"/>
        <v>0</v>
      </c>
      <c r="D130" s="205" t="str">
        <f t="shared" si="17"/>
        <v>$$$$</v>
      </c>
      <c r="E130" s="224"/>
      <c r="F130" s="225"/>
      <c r="G130" s="226"/>
      <c r="H130" s="227"/>
      <c r="I130" s="228"/>
      <c r="J130" s="228"/>
      <c r="K130" s="229"/>
      <c r="L130" s="230"/>
      <c r="M130" s="231"/>
      <c r="N130" s="232"/>
      <c r="O130" s="230"/>
      <c r="P130" s="231"/>
      <c r="Q130" s="232"/>
      <c r="R130" s="233"/>
      <c r="S130" s="234"/>
      <c r="T130" s="235"/>
      <c r="U130" s="233"/>
      <c r="V130" s="236"/>
      <c r="W130" s="234"/>
      <c r="X130" s="235"/>
      <c r="Y130" s="237"/>
      <c r="Z130" s="238"/>
    </row>
    <row r="131" spans="1:26" s="239" customFormat="1" ht="28.5" customHeight="1" x14ac:dyDescent="0.3">
      <c r="A131" s="222">
        <f t="shared" si="14"/>
        <v>0</v>
      </c>
      <c r="B131" s="223" t="b">
        <f t="shared" si="15"/>
        <v>1</v>
      </c>
      <c r="C131" s="222">
        <f t="shared" si="16"/>
        <v>0</v>
      </c>
      <c r="D131" s="205" t="str">
        <f t="shared" si="17"/>
        <v>$$$$</v>
      </c>
      <c r="E131" s="224"/>
      <c r="F131" s="225"/>
      <c r="G131" s="226"/>
      <c r="H131" s="227"/>
      <c r="I131" s="228"/>
      <c r="J131" s="228"/>
      <c r="K131" s="229"/>
      <c r="L131" s="230"/>
      <c r="M131" s="231"/>
      <c r="N131" s="232"/>
      <c r="O131" s="230"/>
      <c r="P131" s="231"/>
      <c r="Q131" s="232"/>
      <c r="R131" s="233"/>
      <c r="S131" s="234"/>
      <c r="T131" s="235"/>
      <c r="U131" s="233"/>
      <c r="V131" s="236"/>
      <c r="W131" s="234"/>
      <c r="X131" s="235"/>
      <c r="Y131" s="237"/>
      <c r="Z131" s="238"/>
    </row>
    <row r="132" spans="1:26" s="239" customFormat="1" ht="28.5" customHeight="1" x14ac:dyDescent="0.3">
      <c r="A132" s="222">
        <f t="shared" si="14"/>
        <v>0</v>
      </c>
      <c r="B132" s="223" t="b">
        <f t="shared" si="15"/>
        <v>1</v>
      </c>
      <c r="C132" s="222">
        <f t="shared" si="16"/>
        <v>0</v>
      </c>
      <c r="D132" s="205" t="str">
        <f t="shared" si="17"/>
        <v>$$$$</v>
      </c>
      <c r="E132" s="224"/>
      <c r="F132" s="225"/>
      <c r="G132" s="226"/>
      <c r="H132" s="227"/>
      <c r="I132" s="228"/>
      <c r="J132" s="228"/>
      <c r="K132" s="229"/>
      <c r="L132" s="230"/>
      <c r="M132" s="231"/>
      <c r="N132" s="232"/>
      <c r="O132" s="230"/>
      <c r="P132" s="231"/>
      <c r="Q132" s="232"/>
      <c r="R132" s="233"/>
      <c r="S132" s="234"/>
      <c r="T132" s="235"/>
      <c r="U132" s="233"/>
      <c r="V132" s="236"/>
      <c r="W132" s="234"/>
      <c r="X132" s="235"/>
      <c r="Y132" s="237"/>
      <c r="Z132" s="238"/>
    </row>
    <row r="133" spans="1:26" s="239" customFormat="1" ht="28.5" customHeight="1" x14ac:dyDescent="0.3">
      <c r="A133" s="222">
        <f t="shared" si="14"/>
        <v>0</v>
      </c>
      <c r="B133" s="223" t="b">
        <f t="shared" si="15"/>
        <v>1</v>
      </c>
      <c r="C133" s="222">
        <f t="shared" si="16"/>
        <v>0</v>
      </c>
      <c r="D133" s="205" t="str">
        <f t="shared" si="17"/>
        <v>$$$$</v>
      </c>
      <c r="E133" s="224"/>
      <c r="F133" s="225"/>
      <c r="G133" s="226"/>
      <c r="H133" s="227"/>
      <c r="I133" s="228"/>
      <c r="J133" s="228"/>
      <c r="K133" s="229"/>
      <c r="L133" s="230"/>
      <c r="M133" s="231"/>
      <c r="N133" s="232"/>
      <c r="O133" s="230"/>
      <c r="P133" s="231"/>
      <c r="Q133" s="232"/>
      <c r="R133" s="233"/>
      <c r="S133" s="234"/>
      <c r="T133" s="235"/>
      <c r="U133" s="233"/>
      <c r="V133" s="236"/>
      <c r="W133" s="234"/>
      <c r="X133" s="235"/>
      <c r="Y133" s="237"/>
      <c r="Z133" s="238"/>
    </row>
    <row r="134" spans="1:26" s="239" customFormat="1" ht="28.5" customHeight="1" x14ac:dyDescent="0.3">
      <c r="A134" s="222">
        <f t="shared" si="14"/>
        <v>0</v>
      </c>
      <c r="B134" s="223" t="b">
        <f t="shared" si="15"/>
        <v>1</v>
      </c>
      <c r="C134" s="222">
        <f t="shared" si="16"/>
        <v>0</v>
      </c>
      <c r="D134" s="205" t="str">
        <f t="shared" si="17"/>
        <v>$$$$</v>
      </c>
      <c r="E134" s="224"/>
      <c r="F134" s="225"/>
      <c r="G134" s="226"/>
      <c r="H134" s="227"/>
      <c r="I134" s="228"/>
      <c r="J134" s="228"/>
      <c r="K134" s="229"/>
      <c r="L134" s="230"/>
      <c r="M134" s="231"/>
      <c r="N134" s="232"/>
      <c r="O134" s="230"/>
      <c r="P134" s="231"/>
      <c r="Q134" s="232"/>
      <c r="R134" s="233"/>
      <c r="S134" s="234"/>
      <c r="T134" s="235"/>
      <c r="U134" s="233"/>
      <c r="V134" s="236"/>
      <c r="W134" s="234"/>
      <c r="X134" s="235"/>
      <c r="Y134" s="237"/>
      <c r="Z134" s="238"/>
    </row>
    <row r="135" spans="1:26" s="239" customFormat="1" ht="28.5" customHeight="1" x14ac:dyDescent="0.3">
      <c r="A135" s="222">
        <f t="shared" si="14"/>
        <v>0</v>
      </c>
      <c r="B135" s="223" t="b">
        <f t="shared" si="15"/>
        <v>1</v>
      </c>
      <c r="C135" s="222">
        <f t="shared" si="16"/>
        <v>0</v>
      </c>
      <c r="D135" s="205" t="str">
        <f t="shared" si="17"/>
        <v>$$$$</v>
      </c>
      <c r="E135" s="224"/>
      <c r="F135" s="225"/>
      <c r="G135" s="226"/>
      <c r="H135" s="227"/>
      <c r="I135" s="228"/>
      <c r="J135" s="228"/>
      <c r="K135" s="229"/>
      <c r="L135" s="230"/>
      <c r="M135" s="231"/>
      <c r="N135" s="232"/>
      <c r="O135" s="230"/>
      <c r="P135" s="231"/>
      <c r="Q135" s="232"/>
      <c r="R135" s="233"/>
      <c r="S135" s="234"/>
      <c r="T135" s="235"/>
      <c r="U135" s="233"/>
      <c r="V135" s="236"/>
      <c r="W135" s="234"/>
      <c r="X135" s="235"/>
      <c r="Y135" s="237"/>
      <c r="Z135" s="238"/>
    </row>
    <row r="136" spans="1:26" s="239" customFormat="1" ht="28.5" customHeight="1" x14ac:dyDescent="0.3">
      <c r="A136" s="222">
        <f t="shared" si="14"/>
        <v>0</v>
      </c>
      <c r="B136" s="223" t="b">
        <f t="shared" si="15"/>
        <v>1</v>
      </c>
      <c r="C136" s="222">
        <f t="shared" si="16"/>
        <v>0</v>
      </c>
      <c r="D136" s="205" t="str">
        <f t="shared" si="17"/>
        <v>$$$$</v>
      </c>
      <c r="E136" s="224"/>
      <c r="F136" s="225"/>
      <c r="G136" s="226"/>
      <c r="H136" s="227"/>
      <c r="I136" s="228"/>
      <c r="J136" s="228"/>
      <c r="K136" s="229"/>
      <c r="L136" s="230"/>
      <c r="M136" s="231"/>
      <c r="N136" s="232"/>
      <c r="O136" s="230"/>
      <c r="P136" s="231"/>
      <c r="Q136" s="232"/>
      <c r="R136" s="233"/>
      <c r="S136" s="234"/>
      <c r="T136" s="235"/>
      <c r="U136" s="233"/>
      <c r="V136" s="236"/>
      <c r="W136" s="234"/>
      <c r="X136" s="235"/>
      <c r="Y136" s="237"/>
      <c r="Z136" s="238"/>
    </row>
    <row r="137" spans="1:26" s="239" customFormat="1" ht="28.5" customHeight="1" x14ac:dyDescent="0.3">
      <c r="A137" s="222">
        <f t="shared" si="14"/>
        <v>0</v>
      </c>
      <c r="B137" s="223" t="b">
        <f t="shared" si="15"/>
        <v>1</v>
      </c>
      <c r="C137" s="222">
        <f t="shared" si="16"/>
        <v>0</v>
      </c>
      <c r="D137" s="205" t="str">
        <f t="shared" si="17"/>
        <v>$$$$</v>
      </c>
      <c r="E137" s="224"/>
      <c r="F137" s="225"/>
      <c r="G137" s="226"/>
      <c r="H137" s="227"/>
      <c r="I137" s="228"/>
      <c r="J137" s="228"/>
      <c r="K137" s="229"/>
      <c r="L137" s="230"/>
      <c r="M137" s="231"/>
      <c r="N137" s="232"/>
      <c r="O137" s="230"/>
      <c r="P137" s="231"/>
      <c r="Q137" s="232"/>
      <c r="R137" s="233"/>
      <c r="S137" s="234"/>
      <c r="T137" s="235"/>
      <c r="U137" s="233"/>
      <c r="V137" s="236"/>
      <c r="W137" s="234"/>
      <c r="X137" s="235"/>
      <c r="Y137" s="237"/>
      <c r="Z137" s="238"/>
    </row>
    <row r="138" spans="1:26" s="239" customFormat="1" ht="28.5" customHeight="1" x14ac:dyDescent="0.3">
      <c r="A138" s="222">
        <f t="shared" si="14"/>
        <v>0</v>
      </c>
      <c r="B138" s="223" t="b">
        <f t="shared" si="15"/>
        <v>1</v>
      </c>
      <c r="C138" s="222">
        <f t="shared" si="16"/>
        <v>0</v>
      </c>
      <c r="D138" s="205" t="str">
        <f t="shared" si="17"/>
        <v>$$$$</v>
      </c>
      <c r="E138" s="224"/>
      <c r="F138" s="225"/>
      <c r="G138" s="226"/>
      <c r="H138" s="227"/>
      <c r="I138" s="228"/>
      <c r="J138" s="228"/>
      <c r="K138" s="229"/>
      <c r="L138" s="230"/>
      <c r="M138" s="231"/>
      <c r="N138" s="232"/>
      <c r="O138" s="230"/>
      <c r="P138" s="231"/>
      <c r="Q138" s="232"/>
      <c r="R138" s="233"/>
      <c r="S138" s="234"/>
      <c r="T138" s="235"/>
      <c r="U138" s="233"/>
      <c r="V138" s="236"/>
      <c r="W138" s="234"/>
      <c r="X138" s="235"/>
      <c r="Y138" s="237"/>
      <c r="Z138" s="238"/>
    </row>
    <row r="139" spans="1:26" s="239" customFormat="1" ht="28.5" customHeight="1" x14ac:dyDescent="0.3">
      <c r="A139" s="222">
        <f t="shared" si="14"/>
        <v>0</v>
      </c>
      <c r="B139" s="223" t="b">
        <f t="shared" si="15"/>
        <v>1</v>
      </c>
      <c r="C139" s="222">
        <f t="shared" si="16"/>
        <v>0</v>
      </c>
      <c r="D139" s="205" t="str">
        <f t="shared" si="17"/>
        <v>$$$$</v>
      </c>
      <c r="E139" s="224"/>
      <c r="F139" s="225"/>
      <c r="G139" s="226"/>
      <c r="H139" s="227"/>
      <c r="I139" s="228"/>
      <c r="J139" s="228"/>
      <c r="K139" s="229"/>
      <c r="L139" s="230"/>
      <c r="M139" s="231"/>
      <c r="N139" s="232"/>
      <c r="O139" s="230"/>
      <c r="P139" s="231"/>
      <c r="Q139" s="232"/>
      <c r="R139" s="233"/>
      <c r="S139" s="234"/>
      <c r="T139" s="235"/>
      <c r="U139" s="233"/>
      <c r="V139" s="236"/>
      <c r="W139" s="234"/>
      <c r="X139" s="235"/>
      <c r="Y139" s="237"/>
      <c r="Z139" s="238"/>
    </row>
    <row r="140" spans="1:26" s="239" customFormat="1" ht="28.5" customHeight="1" x14ac:dyDescent="0.3">
      <c r="A140" s="222">
        <f t="shared" si="14"/>
        <v>0</v>
      </c>
      <c r="B140" s="223" t="b">
        <f t="shared" si="15"/>
        <v>1</v>
      </c>
      <c r="C140" s="222">
        <f t="shared" si="16"/>
        <v>0</v>
      </c>
      <c r="D140" s="205" t="str">
        <f t="shared" si="17"/>
        <v>$$$$</v>
      </c>
      <c r="E140" s="224"/>
      <c r="F140" s="225"/>
      <c r="G140" s="226"/>
      <c r="H140" s="227"/>
      <c r="I140" s="228"/>
      <c r="J140" s="228"/>
      <c r="K140" s="229"/>
      <c r="L140" s="230"/>
      <c r="M140" s="231"/>
      <c r="N140" s="232"/>
      <c r="O140" s="230"/>
      <c r="P140" s="231"/>
      <c r="Q140" s="232"/>
      <c r="R140" s="233"/>
      <c r="S140" s="234"/>
      <c r="T140" s="235"/>
      <c r="U140" s="233"/>
      <c r="V140" s="236"/>
      <c r="W140" s="234"/>
      <c r="X140" s="235"/>
      <c r="Y140" s="237"/>
      <c r="Z140" s="238"/>
    </row>
    <row r="141" spans="1:26" s="239" customFormat="1" ht="28.5" customHeight="1" x14ac:dyDescent="0.3">
      <c r="A141" s="222">
        <f t="shared" si="14"/>
        <v>0</v>
      </c>
      <c r="B141" s="223" t="b">
        <f t="shared" si="15"/>
        <v>1</v>
      </c>
      <c r="C141" s="222">
        <f t="shared" si="16"/>
        <v>0</v>
      </c>
      <c r="D141" s="205" t="str">
        <f t="shared" si="17"/>
        <v>$$$$</v>
      </c>
      <c r="E141" s="224"/>
      <c r="F141" s="225"/>
      <c r="G141" s="226"/>
      <c r="H141" s="227"/>
      <c r="I141" s="228"/>
      <c r="J141" s="228"/>
      <c r="K141" s="229"/>
      <c r="L141" s="230"/>
      <c r="M141" s="231"/>
      <c r="N141" s="232"/>
      <c r="O141" s="230"/>
      <c r="P141" s="231"/>
      <c r="Q141" s="232"/>
      <c r="R141" s="233"/>
      <c r="S141" s="234"/>
      <c r="T141" s="235"/>
      <c r="U141" s="233"/>
      <c r="V141" s="236"/>
      <c r="W141" s="234"/>
      <c r="X141" s="235"/>
      <c r="Y141" s="237"/>
      <c r="Z141" s="238"/>
    </row>
    <row r="142" spans="1:26" s="239" customFormat="1" ht="28.5" customHeight="1" x14ac:dyDescent="0.3">
      <c r="A142" s="222">
        <f t="shared" si="14"/>
        <v>0</v>
      </c>
      <c r="B142" s="223" t="b">
        <f t="shared" si="15"/>
        <v>1</v>
      </c>
      <c r="C142" s="222">
        <f t="shared" si="16"/>
        <v>0</v>
      </c>
      <c r="D142" s="205" t="str">
        <f t="shared" si="17"/>
        <v>$$$$</v>
      </c>
      <c r="E142" s="224"/>
      <c r="F142" s="225"/>
      <c r="G142" s="226"/>
      <c r="H142" s="227"/>
      <c r="I142" s="228"/>
      <c r="J142" s="228"/>
      <c r="K142" s="229"/>
      <c r="L142" s="230"/>
      <c r="M142" s="231"/>
      <c r="N142" s="232"/>
      <c r="O142" s="230"/>
      <c r="P142" s="231"/>
      <c r="Q142" s="232"/>
      <c r="R142" s="233"/>
      <c r="S142" s="234"/>
      <c r="T142" s="235"/>
      <c r="U142" s="233"/>
      <c r="V142" s="236"/>
      <c r="W142" s="234"/>
      <c r="X142" s="235"/>
      <c r="Y142" s="237"/>
      <c r="Z142" s="238"/>
    </row>
    <row r="143" spans="1:26" s="239" customFormat="1" ht="28.5" customHeight="1" x14ac:dyDescent="0.3">
      <c r="A143" s="222">
        <f t="shared" si="14"/>
        <v>0</v>
      </c>
      <c r="B143" s="223" t="b">
        <f t="shared" si="15"/>
        <v>1</v>
      </c>
      <c r="C143" s="222">
        <f t="shared" si="16"/>
        <v>0</v>
      </c>
      <c r="D143" s="205" t="str">
        <f t="shared" si="17"/>
        <v>$$$$</v>
      </c>
      <c r="E143" s="224"/>
      <c r="F143" s="225"/>
      <c r="G143" s="226"/>
      <c r="H143" s="227"/>
      <c r="I143" s="228"/>
      <c r="J143" s="228"/>
      <c r="K143" s="229"/>
      <c r="L143" s="230"/>
      <c r="M143" s="231"/>
      <c r="N143" s="232"/>
      <c r="O143" s="230"/>
      <c r="P143" s="231"/>
      <c r="Q143" s="232"/>
      <c r="R143" s="233"/>
      <c r="S143" s="234"/>
      <c r="T143" s="235"/>
      <c r="U143" s="233"/>
      <c r="V143" s="236"/>
      <c r="W143" s="234"/>
      <c r="X143" s="235"/>
      <c r="Y143" s="237"/>
      <c r="Z143" s="238"/>
    </row>
    <row r="144" spans="1:26" s="239" customFormat="1" ht="28.5" customHeight="1" x14ac:dyDescent="0.3">
      <c r="A144" s="222">
        <f t="shared" si="14"/>
        <v>0</v>
      </c>
      <c r="B144" s="223" t="b">
        <f t="shared" si="15"/>
        <v>1</v>
      </c>
      <c r="C144" s="222">
        <f t="shared" si="16"/>
        <v>0</v>
      </c>
      <c r="D144" s="205" t="str">
        <f t="shared" si="17"/>
        <v>$$$$</v>
      </c>
      <c r="E144" s="224"/>
      <c r="F144" s="225"/>
      <c r="G144" s="226"/>
      <c r="H144" s="227"/>
      <c r="I144" s="228"/>
      <c r="J144" s="228"/>
      <c r="K144" s="229"/>
      <c r="L144" s="230"/>
      <c r="M144" s="231"/>
      <c r="N144" s="232"/>
      <c r="O144" s="230"/>
      <c r="P144" s="231"/>
      <c r="Q144" s="232"/>
      <c r="R144" s="233"/>
      <c r="S144" s="234"/>
      <c r="T144" s="235"/>
      <c r="U144" s="233"/>
      <c r="V144" s="236"/>
      <c r="W144" s="234"/>
      <c r="X144" s="235"/>
      <c r="Y144" s="237"/>
      <c r="Z144" s="238"/>
    </row>
    <row r="145" spans="1:26" s="239" customFormat="1" ht="28.5" customHeight="1" x14ac:dyDescent="0.3">
      <c r="A145" s="222">
        <f t="shared" si="14"/>
        <v>0</v>
      </c>
      <c r="B145" s="223" t="b">
        <f t="shared" si="15"/>
        <v>1</v>
      </c>
      <c r="C145" s="222">
        <f t="shared" si="16"/>
        <v>0</v>
      </c>
      <c r="D145" s="205" t="str">
        <f t="shared" si="17"/>
        <v>$$$$</v>
      </c>
      <c r="E145" s="224"/>
      <c r="F145" s="225"/>
      <c r="G145" s="226"/>
      <c r="H145" s="227"/>
      <c r="I145" s="228"/>
      <c r="J145" s="228"/>
      <c r="K145" s="229"/>
      <c r="L145" s="230"/>
      <c r="M145" s="231"/>
      <c r="N145" s="232"/>
      <c r="O145" s="230"/>
      <c r="P145" s="231"/>
      <c r="Q145" s="232"/>
      <c r="R145" s="233"/>
      <c r="S145" s="234"/>
      <c r="T145" s="235"/>
      <c r="U145" s="233"/>
      <c r="V145" s="236"/>
      <c r="W145" s="234"/>
      <c r="X145" s="235"/>
      <c r="Y145" s="237"/>
      <c r="Z145" s="238"/>
    </row>
    <row r="146" spans="1:26" s="239" customFormat="1" ht="28.5" customHeight="1" x14ac:dyDescent="0.3">
      <c r="A146" s="222">
        <f t="shared" si="14"/>
        <v>0</v>
      </c>
      <c r="B146" s="223" t="b">
        <f t="shared" si="15"/>
        <v>1</v>
      </c>
      <c r="C146" s="222">
        <f t="shared" si="16"/>
        <v>0</v>
      </c>
      <c r="D146" s="205" t="str">
        <f t="shared" si="17"/>
        <v>$$$$</v>
      </c>
      <c r="E146" s="224"/>
      <c r="F146" s="225"/>
      <c r="G146" s="226"/>
      <c r="H146" s="227"/>
      <c r="I146" s="228"/>
      <c r="J146" s="228"/>
      <c r="K146" s="229"/>
      <c r="L146" s="230"/>
      <c r="M146" s="231"/>
      <c r="N146" s="232"/>
      <c r="O146" s="230"/>
      <c r="P146" s="231"/>
      <c r="Q146" s="232"/>
      <c r="R146" s="233"/>
      <c r="S146" s="234"/>
      <c r="T146" s="235"/>
      <c r="U146" s="233"/>
      <c r="V146" s="236"/>
      <c r="W146" s="234"/>
      <c r="X146" s="235"/>
      <c r="Y146" s="237"/>
      <c r="Z146" s="238"/>
    </row>
    <row r="147" spans="1:26" s="239" customFormat="1" ht="28.5" customHeight="1" x14ac:dyDescent="0.3">
      <c r="A147" s="222">
        <f t="shared" si="14"/>
        <v>0</v>
      </c>
      <c r="B147" s="223" t="b">
        <f t="shared" si="15"/>
        <v>1</v>
      </c>
      <c r="C147" s="222">
        <f t="shared" si="16"/>
        <v>0</v>
      </c>
      <c r="D147" s="205" t="str">
        <f t="shared" si="17"/>
        <v>$$$$</v>
      </c>
      <c r="E147" s="224"/>
      <c r="F147" s="225"/>
      <c r="G147" s="226"/>
      <c r="H147" s="227"/>
      <c r="I147" s="228"/>
      <c r="J147" s="228"/>
      <c r="K147" s="229"/>
      <c r="L147" s="230"/>
      <c r="M147" s="231"/>
      <c r="N147" s="232"/>
      <c r="O147" s="230"/>
      <c r="P147" s="231"/>
      <c r="Q147" s="232"/>
      <c r="R147" s="233"/>
      <c r="S147" s="234"/>
      <c r="T147" s="235"/>
      <c r="U147" s="233"/>
      <c r="V147" s="236"/>
      <c r="W147" s="234"/>
      <c r="X147" s="235"/>
      <c r="Y147" s="237"/>
      <c r="Z147" s="238"/>
    </row>
    <row r="148" spans="1:26" s="239" customFormat="1" ht="28.5" customHeight="1" x14ac:dyDescent="0.3">
      <c r="A148" s="222">
        <f t="shared" si="14"/>
        <v>0</v>
      </c>
      <c r="B148" s="223" t="b">
        <f t="shared" si="15"/>
        <v>1</v>
      </c>
      <c r="C148" s="222">
        <f t="shared" si="16"/>
        <v>0</v>
      </c>
      <c r="D148" s="205" t="str">
        <f t="shared" si="17"/>
        <v>$$$$</v>
      </c>
      <c r="E148" s="224"/>
      <c r="F148" s="225"/>
      <c r="G148" s="226"/>
      <c r="H148" s="227"/>
      <c r="I148" s="228"/>
      <c r="J148" s="228"/>
      <c r="K148" s="229"/>
      <c r="L148" s="230"/>
      <c r="M148" s="231"/>
      <c r="N148" s="232"/>
      <c r="O148" s="230"/>
      <c r="P148" s="231"/>
      <c r="Q148" s="232"/>
      <c r="R148" s="233"/>
      <c r="S148" s="234"/>
      <c r="T148" s="235"/>
      <c r="U148" s="233"/>
      <c r="V148" s="236"/>
      <c r="W148" s="234"/>
      <c r="X148" s="235"/>
      <c r="Y148" s="237"/>
      <c r="Z148" s="238"/>
    </row>
    <row r="149" spans="1:26" s="239" customFormat="1" ht="28.5" customHeight="1" x14ac:dyDescent="0.3">
      <c r="A149" s="222">
        <f t="shared" si="14"/>
        <v>0</v>
      </c>
      <c r="B149" s="223" t="b">
        <f t="shared" si="15"/>
        <v>1</v>
      </c>
      <c r="C149" s="222">
        <f t="shared" si="16"/>
        <v>0</v>
      </c>
      <c r="D149" s="205" t="str">
        <f t="shared" si="17"/>
        <v>$$$$</v>
      </c>
      <c r="E149" s="224"/>
      <c r="F149" s="225"/>
      <c r="G149" s="226"/>
      <c r="H149" s="227"/>
      <c r="I149" s="228"/>
      <c r="J149" s="228"/>
      <c r="K149" s="229"/>
      <c r="L149" s="230"/>
      <c r="M149" s="231"/>
      <c r="N149" s="232"/>
      <c r="O149" s="230"/>
      <c r="P149" s="231"/>
      <c r="Q149" s="232"/>
      <c r="R149" s="233"/>
      <c r="S149" s="234"/>
      <c r="T149" s="235"/>
      <c r="U149" s="233"/>
      <c r="V149" s="236"/>
      <c r="W149" s="234"/>
      <c r="X149" s="235"/>
      <c r="Y149" s="237"/>
      <c r="Z149" s="238"/>
    </row>
    <row r="150" spans="1:26" s="239" customFormat="1" ht="28.5" customHeight="1" x14ac:dyDescent="0.3">
      <c r="A150" s="222">
        <f t="shared" si="14"/>
        <v>0</v>
      </c>
      <c r="B150" s="223" t="b">
        <f t="shared" si="15"/>
        <v>1</v>
      </c>
      <c r="C150" s="222">
        <f t="shared" si="16"/>
        <v>0</v>
      </c>
      <c r="D150" s="205" t="str">
        <f t="shared" si="17"/>
        <v>$$$$</v>
      </c>
      <c r="E150" s="224"/>
      <c r="F150" s="225"/>
      <c r="G150" s="226"/>
      <c r="H150" s="227"/>
      <c r="I150" s="228"/>
      <c r="J150" s="228"/>
      <c r="K150" s="229"/>
      <c r="L150" s="230"/>
      <c r="M150" s="231"/>
      <c r="N150" s="232"/>
      <c r="O150" s="230"/>
      <c r="P150" s="231"/>
      <c r="Q150" s="232"/>
      <c r="R150" s="233"/>
      <c r="S150" s="234"/>
      <c r="T150" s="235"/>
      <c r="U150" s="233"/>
      <c r="V150" s="236"/>
      <c r="W150" s="234"/>
      <c r="X150" s="235"/>
      <c r="Y150" s="237"/>
      <c r="Z150" s="238"/>
    </row>
    <row r="151" spans="1:26" s="239" customFormat="1" ht="28.5" customHeight="1" x14ac:dyDescent="0.3">
      <c r="A151" s="222">
        <f t="shared" ref="A151:A154" si="18">IF(B151,0,MATCH(H151,ВидыНагр,0))</f>
        <v>0</v>
      </c>
      <c r="B151" s="223" t="b">
        <f t="shared" ref="B151:B154" si="19">(COUNTIF(КлючОсень,D151)&lt;&gt;1)</f>
        <v>1</v>
      </c>
      <c r="C151" s="222">
        <f t="shared" ref="C151:C158" si="20">IF(COUNTA(E151:K151,Z151)&gt;0,1,0)+IF(COUNTA(L151:Y151)&gt;0,2,0)</f>
        <v>0</v>
      </c>
      <c r="D151" s="205" t="str">
        <f t="shared" si="17"/>
        <v>$$$$</v>
      </c>
      <c r="E151" s="224"/>
      <c r="F151" s="225"/>
      <c r="G151" s="226"/>
      <c r="H151" s="227"/>
      <c r="I151" s="228"/>
      <c r="J151" s="228"/>
      <c r="K151" s="229"/>
      <c r="L151" s="230"/>
      <c r="M151" s="231"/>
      <c r="N151" s="232"/>
      <c r="O151" s="230"/>
      <c r="P151" s="231"/>
      <c r="Q151" s="232"/>
      <c r="R151" s="233"/>
      <c r="S151" s="234"/>
      <c r="T151" s="235"/>
      <c r="U151" s="233"/>
      <c r="V151" s="236"/>
      <c r="W151" s="234"/>
      <c r="X151" s="235"/>
      <c r="Y151" s="237"/>
      <c r="Z151" s="238"/>
    </row>
    <row r="152" spans="1:26" s="239" customFormat="1" ht="28.5" customHeight="1" x14ac:dyDescent="0.3">
      <c r="A152" s="222">
        <f t="shared" si="18"/>
        <v>0</v>
      </c>
      <c r="B152" s="223" t="b">
        <f t="shared" si="19"/>
        <v>1</v>
      </c>
      <c r="C152" s="222">
        <f t="shared" si="20"/>
        <v>0</v>
      </c>
      <c r="D152" s="205" t="str">
        <f t="shared" si="17"/>
        <v>$$$$</v>
      </c>
      <c r="E152" s="224"/>
      <c r="F152" s="225"/>
      <c r="G152" s="226"/>
      <c r="H152" s="227"/>
      <c r="I152" s="228"/>
      <c r="J152" s="228"/>
      <c r="K152" s="229"/>
      <c r="L152" s="230"/>
      <c r="M152" s="231"/>
      <c r="N152" s="232"/>
      <c r="O152" s="230"/>
      <c r="P152" s="231"/>
      <c r="Q152" s="232"/>
      <c r="R152" s="233"/>
      <c r="S152" s="234"/>
      <c r="T152" s="235"/>
      <c r="U152" s="233"/>
      <c r="V152" s="236"/>
      <c r="W152" s="234"/>
      <c r="X152" s="235"/>
      <c r="Y152" s="237"/>
      <c r="Z152" s="238"/>
    </row>
    <row r="153" spans="1:26" s="239" customFormat="1" ht="28.5" customHeight="1" x14ac:dyDescent="0.3">
      <c r="A153" s="222">
        <f t="shared" si="18"/>
        <v>0</v>
      </c>
      <c r="B153" s="223" t="b">
        <f t="shared" si="19"/>
        <v>1</v>
      </c>
      <c r="C153" s="222">
        <f t="shared" si="20"/>
        <v>0</v>
      </c>
      <c r="D153" s="205" t="str">
        <f t="shared" si="17"/>
        <v>$$$$</v>
      </c>
      <c r="E153" s="224"/>
      <c r="F153" s="225"/>
      <c r="G153" s="226"/>
      <c r="H153" s="227"/>
      <c r="I153" s="228"/>
      <c r="J153" s="228"/>
      <c r="K153" s="229"/>
      <c r="L153" s="230"/>
      <c r="M153" s="231"/>
      <c r="N153" s="232"/>
      <c r="O153" s="230"/>
      <c r="P153" s="231"/>
      <c r="Q153" s="232"/>
      <c r="R153" s="233"/>
      <c r="S153" s="234"/>
      <c r="T153" s="235"/>
      <c r="U153" s="233"/>
      <c r="V153" s="236"/>
      <c r="W153" s="234"/>
      <c r="X153" s="235"/>
      <c r="Y153" s="237"/>
      <c r="Z153" s="238"/>
    </row>
    <row r="154" spans="1:26" s="239" customFormat="1" ht="28.5" customHeight="1" x14ac:dyDescent="0.3">
      <c r="A154" s="222">
        <f t="shared" si="18"/>
        <v>0</v>
      </c>
      <c r="B154" s="223" t="b">
        <f t="shared" si="19"/>
        <v>1</v>
      </c>
      <c r="C154" s="222">
        <f t="shared" si="20"/>
        <v>0</v>
      </c>
      <c r="D154" s="205" t="str">
        <f t="shared" si="17"/>
        <v>$$$$</v>
      </c>
      <c r="E154" s="224"/>
      <c r="F154" s="225"/>
      <c r="G154" s="226"/>
      <c r="H154" s="227"/>
      <c r="I154" s="228"/>
      <c r="J154" s="228"/>
      <c r="K154" s="229"/>
      <c r="L154" s="230"/>
      <c r="M154" s="231"/>
      <c r="N154" s="232"/>
      <c r="O154" s="230"/>
      <c r="P154" s="231"/>
      <c r="Q154" s="232"/>
      <c r="R154" s="233"/>
      <c r="S154" s="234"/>
      <c r="T154" s="235"/>
      <c r="U154" s="233"/>
      <c r="V154" s="236"/>
      <c r="W154" s="234"/>
      <c r="X154" s="235"/>
      <c r="Y154" s="237"/>
      <c r="Z154" s="238"/>
    </row>
    <row r="155" spans="1:26" s="239" customFormat="1" ht="28.5" customHeight="1" x14ac:dyDescent="0.3">
      <c r="A155" s="222">
        <f>IF(B155,0,MATCH(H155,ВидыНагр,0))</f>
        <v>0</v>
      </c>
      <c r="B155" s="223" t="b">
        <f>(COUNTIF(КлючОсень,D155)&lt;&gt;1)</f>
        <v>1</v>
      </c>
      <c r="C155" s="222">
        <f t="shared" si="20"/>
        <v>0</v>
      </c>
      <c r="D155" s="205" t="str">
        <f>CONCATENATE("$",TRIM(F155),"$",TRIM(G155),"$",H155,"$")</f>
        <v>$$$$</v>
      </c>
      <c r="E155" s="224"/>
      <c r="F155" s="225"/>
      <c r="G155" s="226"/>
      <c r="H155" s="227"/>
      <c r="I155" s="228"/>
      <c r="J155" s="228"/>
      <c r="K155" s="229"/>
      <c r="L155" s="230"/>
      <c r="M155" s="231"/>
      <c r="N155" s="232"/>
      <c r="O155" s="230"/>
      <c r="P155" s="231"/>
      <c r="Q155" s="232"/>
      <c r="R155" s="233"/>
      <c r="S155" s="234"/>
      <c r="T155" s="235"/>
      <c r="U155" s="233"/>
      <c r="V155" s="236"/>
      <c r="W155" s="234"/>
      <c r="X155" s="235"/>
      <c r="Y155" s="237"/>
      <c r="Z155" s="238"/>
    </row>
    <row r="156" spans="1:26" s="239" customFormat="1" ht="28.5" customHeight="1" x14ac:dyDescent="0.3">
      <c r="A156" s="222">
        <f>IF(B156,0,MATCH(H156,ВидыНагр,0))</f>
        <v>0</v>
      </c>
      <c r="B156" s="223" t="b">
        <f>(COUNTIF(КлючОсень,D156)&lt;&gt;1)</f>
        <v>1</v>
      </c>
      <c r="C156" s="222">
        <f t="shared" si="20"/>
        <v>0</v>
      </c>
      <c r="D156" s="205" t="str">
        <f>CONCATENATE("$",TRIM(F156),"$",TRIM(G156),"$",H156,"$")</f>
        <v>$$$$</v>
      </c>
      <c r="E156" s="224"/>
      <c r="F156" s="225"/>
      <c r="G156" s="226"/>
      <c r="H156" s="227"/>
      <c r="I156" s="228"/>
      <c r="J156" s="228"/>
      <c r="K156" s="229"/>
      <c r="L156" s="230"/>
      <c r="M156" s="231"/>
      <c r="N156" s="232"/>
      <c r="O156" s="230"/>
      <c r="P156" s="231"/>
      <c r="Q156" s="232"/>
      <c r="R156" s="233"/>
      <c r="S156" s="234"/>
      <c r="T156" s="235"/>
      <c r="U156" s="233"/>
      <c r="V156" s="236"/>
      <c r="W156" s="234"/>
      <c r="X156" s="235"/>
      <c r="Y156" s="237"/>
      <c r="Z156" s="238"/>
    </row>
    <row r="157" spans="1:26" s="239" customFormat="1" ht="28.5" customHeight="1" x14ac:dyDescent="0.3">
      <c r="A157" s="222">
        <f t="shared" ref="A157:A158" si="21">IF(B157,0,MATCH(H157,ВидыНагр,0))</f>
        <v>0</v>
      </c>
      <c r="B157" s="223" t="b">
        <f t="shared" ref="B157:B158" si="22">(COUNTIF(КлючОсень,D157)&lt;&gt;1)</f>
        <v>1</v>
      </c>
      <c r="C157" s="222">
        <f t="shared" si="20"/>
        <v>0</v>
      </c>
      <c r="D157" s="205" t="str">
        <f t="shared" ref="D157:D158" si="23">CONCATENATE("$",TRIM(F157),"$",TRIM(G157),"$",H157,"$")</f>
        <v>$$$$</v>
      </c>
      <c r="E157" s="224"/>
      <c r="F157" s="225"/>
      <c r="G157" s="226"/>
      <c r="H157" s="227"/>
      <c r="I157" s="228"/>
      <c r="J157" s="228"/>
      <c r="K157" s="229"/>
      <c r="L157" s="230"/>
      <c r="M157" s="231"/>
      <c r="N157" s="232"/>
      <c r="O157" s="230"/>
      <c r="P157" s="231"/>
      <c r="Q157" s="232"/>
      <c r="R157" s="233"/>
      <c r="S157" s="234"/>
      <c r="T157" s="235"/>
      <c r="U157" s="233"/>
      <c r="V157" s="236"/>
      <c r="W157" s="234"/>
      <c r="X157" s="235"/>
      <c r="Y157" s="237"/>
      <c r="Z157" s="238"/>
    </row>
    <row r="158" spans="1:26" s="239" customFormat="1" ht="28.5" customHeight="1" x14ac:dyDescent="0.3">
      <c r="A158" s="222">
        <f t="shared" si="21"/>
        <v>0</v>
      </c>
      <c r="B158" s="223" t="b">
        <f t="shared" si="22"/>
        <v>1</v>
      </c>
      <c r="C158" s="222">
        <f t="shared" si="20"/>
        <v>0</v>
      </c>
      <c r="D158" s="205" t="str">
        <f t="shared" si="23"/>
        <v>$$$$</v>
      </c>
      <c r="E158" s="224"/>
      <c r="F158" s="225"/>
      <c r="G158" s="226"/>
      <c r="H158" s="227"/>
      <c r="I158" s="228"/>
      <c r="J158" s="228"/>
      <c r="K158" s="229"/>
      <c r="L158" s="230"/>
      <c r="M158" s="231"/>
      <c r="N158" s="232"/>
      <c r="O158" s="230"/>
      <c r="P158" s="231"/>
      <c r="Q158" s="232"/>
      <c r="R158" s="233"/>
      <c r="S158" s="234"/>
      <c r="T158" s="235"/>
      <c r="U158" s="233"/>
      <c r="V158" s="236"/>
      <c r="W158" s="234"/>
      <c r="X158" s="235"/>
      <c r="Y158" s="237"/>
      <c r="Z158" s="238"/>
    </row>
    <row r="159" spans="1:26" s="239" customFormat="1" ht="28.5" customHeight="1" x14ac:dyDescent="0.3">
      <c r="A159" s="222">
        <f t="shared" si="14"/>
        <v>0</v>
      </c>
      <c r="B159" s="223" t="b">
        <f t="shared" si="15"/>
        <v>1</v>
      </c>
      <c r="C159" s="222">
        <f t="shared" si="16"/>
        <v>0</v>
      </c>
      <c r="D159" s="205" t="str">
        <f t="shared" si="13"/>
        <v>$$$$</v>
      </c>
      <c r="E159" s="224"/>
      <c r="F159" s="225"/>
      <c r="G159" s="226"/>
      <c r="H159" s="227"/>
      <c r="I159" s="228"/>
      <c r="J159" s="228"/>
      <c r="K159" s="229"/>
      <c r="L159" s="230"/>
      <c r="M159" s="231"/>
      <c r="N159" s="232"/>
      <c r="O159" s="230"/>
      <c r="P159" s="231"/>
      <c r="Q159" s="232"/>
      <c r="R159" s="233"/>
      <c r="S159" s="234"/>
      <c r="T159" s="235"/>
      <c r="U159" s="233"/>
      <c r="V159" s="236"/>
      <c r="W159" s="234"/>
      <c r="X159" s="235"/>
      <c r="Y159" s="237"/>
      <c r="Z159" s="238"/>
    </row>
    <row r="160" spans="1:26" x14ac:dyDescent="0.3">
      <c r="D160" s="1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</row>
  </sheetData>
  <sheetProtection algorithmName="SHA-512" hashValue="ESa0b/o78kbtQ9m2jS1zsQG/iKRz05jJl8cPWqa+2RoMomQyeJjZzcqf1hguXuT4D/rrWYxVn5AcotVjQFKUSw==" saltValue="UhqoEgGttYLpvNoVUyrJng==" spinCount="100000" sheet="1" objects="1" scenarios="1"/>
  <mergeCells count="5">
    <mergeCell ref="F2:F5"/>
    <mergeCell ref="G2:G5"/>
    <mergeCell ref="I2:J2"/>
    <mergeCell ref="I3:J3"/>
    <mergeCell ref="I4:J4"/>
  </mergeCells>
  <phoneticPr fontId="0" type="noConversion"/>
  <conditionalFormatting sqref="E7:Z159">
    <cfRule type="expression" dxfId="47" priority="3" stopIfTrue="1">
      <formula>($C7=0)</formula>
    </cfRule>
  </conditionalFormatting>
  <conditionalFormatting sqref="F7:H159">
    <cfRule type="expression" dxfId="46" priority="4" stopIfTrue="1">
      <formula>$B7</formula>
    </cfRule>
  </conditionalFormatting>
  <conditionalFormatting sqref="L6:Y6">
    <cfRule type="cellIs" dxfId="45" priority="1" stopIfTrue="1" operator="notEqual">
      <formula>0</formula>
    </cfRule>
  </conditionalFormatting>
  <conditionalFormatting sqref="F6:H6">
    <cfRule type="expression" dxfId="44" priority="2" stopIfTrue="1">
      <formula>$G$6&lt;&gt;0</formula>
    </cfRule>
  </conditionalFormatting>
  <conditionalFormatting sqref="L7:Y159">
    <cfRule type="expression" dxfId="43" priority="5" stopIfTrue="1">
      <formula>AND(NOT($B7),$C7&lt;2)</formula>
    </cfRule>
    <cfRule type="expression" dxfId="42" priority="6" stopIfTrue="1">
      <formula>AND($B7,L7&lt;&gt;0)</formula>
    </cfRule>
  </conditionalFormatting>
  <dataValidations count="4">
    <dataValidation type="list" allowBlank="1" showInputMessage="1" sqref="F7:F159">
      <formula1>OFFSET(ДисциплиныОсень,0,0,ДисциплиныОсеньКол,1)</formula1>
    </dataValidation>
    <dataValidation type="list" allowBlank="1" showInputMessage="1" sqref="G7:G159">
      <formula1>OFFSET(ГруппыОсень,0,0,ГруппыОсеньКол,1)</formula1>
    </dataValidation>
    <dataValidation type="list" allowBlank="1" showInputMessage="1" sqref="H7:H159">
      <formula1>ВидыНагр</formula1>
    </dataValidation>
    <dataValidation type="whole" allowBlank="1" showInputMessage="1" showErrorMessage="1" sqref="E7:E159">
      <formula1>1</formula1>
      <formula2>31</formula2>
    </dataValidation>
  </dataValidations>
  <printOptions horizontalCentered="1"/>
  <pageMargins left="0.39370078740157483" right="0.39370078740157483" top="1.1811023622047245" bottom="0.59055118110236227" header="0.98425196850393704" footer="0.39370078740157483"/>
  <pageSetup paperSize="9" scale="63" fitToHeight="10" orientation="landscape" r:id="rId1"/>
  <headerFooter>
    <oddHeader>&amp;L&amp;F&amp;C&amp;"Open Sans,полужирный"Месяц &amp;A &amp;"Open Sans,обычный"(с. &amp;P из &amp;N)&amp;R&amp;D  &amp;T</oddHead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5">
    <tabColor indexed="15"/>
    <outlinePr summaryBelow="0" summaryRight="0"/>
    <pageSetUpPr fitToPage="1"/>
  </sheetPr>
  <dimension ref="A1:Z160"/>
  <sheetViews>
    <sheetView zoomScale="85" zoomScaleNormal="100" workbookViewId="0">
      <pane xSplit="8" ySplit="6" topLeftCell="I7" activePane="bottomRight" state="frozen"/>
      <selection activeCell="E7" sqref="E7"/>
      <selection pane="topRight" activeCell="E7" sqref="E7"/>
      <selection pane="bottomLeft" activeCell="E7" sqref="E7"/>
      <selection pane="bottomRight" activeCell="E7" sqref="E7"/>
    </sheetView>
  </sheetViews>
  <sheetFormatPr defaultRowHeight="14.25" x14ac:dyDescent="0.3"/>
  <cols>
    <col min="1" max="3" width="4.7109375" style="4" hidden="1" customWidth="1"/>
    <col min="4" max="4" width="30.7109375" style="240" hidden="1" customWidth="1"/>
    <col min="5" max="5" width="4.7109375" style="167" customWidth="1"/>
    <col min="6" max="6" width="32.7109375" style="241" customWidth="1"/>
    <col min="7" max="7" width="18.7109375" style="241" customWidth="1"/>
    <col min="8" max="8" width="6.7109375" style="241" customWidth="1"/>
    <col min="9" max="10" width="4.7109375" style="241" customWidth="1"/>
    <col min="11" max="11" width="40.7109375" style="242" customWidth="1"/>
    <col min="12" max="25" width="6.85546875" style="167" customWidth="1"/>
    <col min="26" max="26" width="30.7109375" style="2" customWidth="1"/>
    <col min="27" max="27" width="2.7109375" style="2" customWidth="1"/>
    <col min="28" max="16384" width="9.140625" style="2"/>
  </cols>
  <sheetData>
    <row r="1" spans="1:26" ht="112.5" customHeight="1" x14ac:dyDescent="0.3">
      <c r="A1" s="169" t="s">
        <v>77</v>
      </c>
      <c r="B1" s="169" t="s">
        <v>114</v>
      </c>
      <c r="C1" s="169" t="s">
        <v>113</v>
      </c>
      <c r="D1" s="191" t="s">
        <v>76</v>
      </c>
      <c r="E1" s="192" t="s">
        <v>116</v>
      </c>
      <c r="F1" s="193" t="s">
        <v>69</v>
      </c>
      <c r="G1" s="194" t="s">
        <v>100</v>
      </c>
      <c r="H1" s="195" t="s">
        <v>109</v>
      </c>
      <c r="I1" s="196" t="s">
        <v>102</v>
      </c>
      <c r="J1" s="197" t="s">
        <v>85</v>
      </c>
      <c r="K1" s="198" t="s">
        <v>81</v>
      </c>
      <c r="L1" s="199" t="s">
        <v>0</v>
      </c>
      <c r="M1" s="200" t="s">
        <v>68</v>
      </c>
      <c r="N1" s="195" t="s">
        <v>3</v>
      </c>
      <c r="O1" s="201" t="s">
        <v>1</v>
      </c>
      <c r="P1" s="200" t="s">
        <v>4</v>
      </c>
      <c r="Q1" s="195" t="s">
        <v>62</v>
      </c>
      <c r="R1" s="199" t="s">
        <v>252</v>
      </c>
      <c r="S1" s="202" t="s">
        <v>2</v>
      </c>
      <c r="T1" s="195" t="s">
        <v>205</v>
      </c>
      <c r="U1" s="201" t="s">
        <v>253</v>
      </c>
      <c r="V1" s="199" t="s">
        <v>254</v>
      </c>
      <c r="W1" s="202" t="s">
        <v>70</v>
      </c>
      <c r="X1" s="195" t="s">
        <v>138</v>
      </c>
      <c r="Y1" s="196" t="s">
        <v>5</v>
      </c>
      <c r="Z1" s="203" t="s">
        <v>29</v>
      </c>
    </row>
    <row r="2" spans="1:26" ht="17.100000000000001" customHeight="1" x14ac:dyDescent="0.3">
      <c r="A2" s="204">
        <f>MATCH(H2,ВидыНагр,0)</f>
        <v>1</v>
      </c>
      <c r="B2" s="204"/>
      <c r="C2" s="204"/>
      <c r="D2" s="205"/>
      <c r="E2" s="206"/>
      <c r="F2" s="390" t="s">
        <v>134</v>
      </c>
      <c r="G2" s="393">
        <f>SUM(L5:Y5)</f>
        <v>0</v>
      </c>
      <c r="H2" s="309" t="s">
        <v>111</v>
      </c>
      <c r="I2" s="396">
        <f>SUM(L2:Y2)</f>
        <v>0</v>
      </c>
      <c r="J2" s="397"/>
      <c r="K2" s="289"/>
      <c r="L2" s="58">
        <f t="shared" ref="L2:Y4" si="0">SUMIF($A$7:$A$159,$A2,L$7:L$159)</f>
        <v>0</v>
      </c>
      <c r="M2" s="59">
        <f t="shared" si="0"/>
        <v>0</v>
      </c>
      <c r="N2" s="60">
        <f t="shared" si="0"/>
        <v>0</v>
      </c>
      <c r="O2" s="58">
        <f t="shared" si="0"/>
        <v>0</v>
      </c>
      <c r="P2" s="59">
        <f t="shared" si="0"/>
        <v>0</v>
      </c>
      <c r="Q2" s="60">
        <f t="shared" si="0"/>
        <v>0</v>
      </c>
      <c r="R2" s="58">
        <f t="shared" si="0"/>
        <v>0</v>
      </c>
      <c r="S2" s="62">
        <f t="shared" si="0"/>
        <v>0</v>
      </c>
      <c r="T2" s="60">
        <f t="shared" si="0"/>
        <v>0</v>
      </c>
      <c r="U2" s="58">
        <f t="shared" si="0"/>
        <v>0</v>
      </c>
      <c r="V2" s="61">
        <f t="shared" si="0"/>
        <v>0</v>
      </c>
      <c r="W2" s="62">
        <f t="shared" si="0"/>
        <v>0</v>
      </c>
      <c r="X2" s="60">
        <f t="shared" si="0"/>
        <v>0</v>
      </c>
      <c r="Y2" s="41">
        <f t="shared" si="0"/>
        <v>0</v>
      </c>
      <c r="Z2" s="207"/>
    </row>
    <row r="3" spans="1:26" ht="17.100000000000001" customHeight="1" x14ac:dyDescent="0.3">
      <c r="A3" s="204">
        <f>MATCH(H3,ВидыНагр,0)</f>
        <v>2</v>
      </c>
      <c r="B3" s="204"/>
      <c r="C3" s="204"/>
      <c r="D3" s="205"/>
      <c r="E3" s="208"/>
      <c r="F3" s="391"/>
      <c r="G3" s="394"/>
      <c r="H3" s="309" t="s">
        <v>112</v>
      </c>
      <c r="I3" s="398">
        <f>SUM(L3:Y3)</f>
        <v>0</v>
      </c>
      <c r="J3" s="399"/>
      <c r="K3" s="291"/>
      <c r="L3" s="58">
        <f t="shared" si="0"/>
        <v>0</v>
      </c>
      <c r="M3" s="59">
        <f t="shared" si="0"/>
        <v>0</v>
      </c>
      <c r="N3" s="60">
        <f t="shared" si="0"/>
        <v>0</v>
      </c>
      <c r="O3" s="58">
        <f t="shared" si="0"/>
        <v>0</v>
      </c>
      <c r="P3" s="59">
        <f t="shared" si="0"/>
        <v>0</v>
      </c>
      <c r="Q3" s="60">
        <f t="shared" si="0"/>
        <v>0</v>
      </c>
      <c r="R3" s="58">
        <f t="shared" si="0"/>
        <v>0</v>
      </c>
      <c r="S3" s="62">
        <f t="shared" si="0"/>
        <v>0</v>
      </c>
      <c r="T3" s="60">
        <f t="shared" si="0"/>
        <v>0</v>
      </c>
      <c r="U3" s="58">
        <f t="shared" si="0"/>
        <v>0</v>
      </c>
      <c r="V3" s="61">
        <f t="shared" si="0"/>
        <v>0</v>
      </c>
      <c r="W3" s="62">
        <f t="shared" si="0"/>
        <v>0</v>
      </c>
      <c r="X3" s="60">
        <f t="shared" si="0"/>
        <v>0</v>
      </c>
      <c r="Y3" s="41">
        <f t="shared" si="0"/>
        <v>0</v>
      </c>
      <c r="Z3" s="207"/>
    </row>
    <row r="4" spans="1:26" ht="17.100000000000001" customHeight="1" x14ac:dyDescent="0.3">
      <c r="A4" s="204">
        <f>MATCH(H4,ВидыНагр,0)</f>
        <v>3</v>
      </c>
      <c r="B4" s="204"/>
      <c r="C4" s="204"/>
      <c r="D4" s="205"/>
      <c r="E4" s="208"/>
      <c r="F4" s="391"/>
      <c r="G4" s="394"/>
      <c r="H4" s="310" t="s">
        <v>115</v>
      </c>
      <c r="I4" s="400">
        <f>SUM(L4:Y4)</f>
        <v>0</v>
      </c>
      <c r="J4" s="401"/>
      <c r="K4" s="293"/>
      <c r="L4" s="209">
        <f t="shared" si="0"/>
        <v>0</v>
      </c>
      <c r="M4" s="210">
        <f t="shared" si="0"/>
        <v>0</v>
      </c>
      <c r="N4" s="211">
        <f t="shared" si="0"/>
        <v>0</v>
      </c>
      <c r="O4" s="209">
        <f t="shared" si="0"/>
        <v>0</v>
      </c>
      <c r="P4" s="210">
        <f t="shared" si="0"/>
        <v>0</v>
      </c>
      <c r="Q4" s="211">
        <f t="shared" si="0"/>
        <v>0</v>
      </c>
      <c r="R4" s="209">
        <f t="shared" si="0"/>
        <v>0</v>
      </c>
      <c r="S4" s="212">
        <f t="shared" si="0"/>
        <v>0</v>
      </c>
      <c r="T4" s="211">
        <f t="shared" si="0"/>
        <v>0</v>
      </c>
      <c r="U4" s="209">
        <f t="shared" si="0"/>
        <v>0</v>
      </c>
      <c r="V4" s="213">
        <f t="shared" si="0"/>
        <v>0</v>
      </c>
      <c r="W4" s="212">
        <f t="shared" si="0"/>
        <v>0</v>
      </c>
      <c r="X4" s="211">
        <f t="shared" si="0"/>
        <v>0</v>
      </c>
      <c r="Y4" s="69">
        <f t="shared" si="0"/>
        <v>0</v>
      </c>
      <c r="Z4" s="207"/>
    </row>
    <row r="5" spans="1:26" ht="17.100000000000001" customHeight="1" x14ac:dyDescent="0.3">
      <c r="A5" s="204"/>
      <c r="B5" s="204"/>
      <c r="C5" s="204"/>
      <c r="D5" s="205"/>
      <c r="E5" s="208"/>
      <c r="F5" s="392"/>
      <c r="G5" s="395"/>
      <c r="H5" s="294" t="s">
        <v>6</v>
      </c>
      <c r="I5" s="295"/>
      <c r="J5" s="296"/>
      <c r="K5" s="297"/>
      <c r="L5" s="298">
        <f>SUM(L2:L4)</f>
        <v>0</v>
      </c>
      <c r="M5" s="299">
        <f t="shared" ref="M5:Y5" si="1">SUM(M2:M4)</f>
        <v>0</v>
      </c>
      <c r="N5" s="300">
        <f t="shared" si="1"/>
        <v>0</v>
      </c>
      <c r="O5" s="298">
        <f t="shared" si="1"/>
        <v>0</v>
      </c>
      <c r="P5" s="299">
        <f t="shared" si="1"/>
        <v>0</v>
      </c>
      <c r="Q5" s="300">
        <f t="shared" si="1"/>
        <v>0</v>
      </c>
      <c r="R5" s="298">
        <f t="shared" si="1"/>
        <v>0</v>
      </c>
      <c r="S5" s="301">
        <f t="shared" si="1"/>
        <v>0</v>
      </c>
      <c r="T5" s="300">
        <f t="shared" si="1"/>
        <v>0</v>
      </c>
      <c r="U5" s="298">
        <f t="shared" si="1"/>
        <v>0</v>
      </c>
      <c r="V5" s="302">
        <f t="shared" si="1"/>
        <v>0</v>
      </c>
      <c r="W5" s="301">
        <f t="shared" si="1"/>
        <v>0</v>
      </c>
      <c r="X5" s="300">
        <f t="shared" si="1"/>
        <v>0</v>
      </c>
      <c r="Y5" s="303">
        <f t="shared" si="1"/>
        <v>0</v>
      </c>
      <c r="Z5" s="214">
        <f>Утв_Весна</f>
        <v>0</v>
      </c>
    </row>
    <row r="6" spans="1:26" ht="17.100000000000001" customHeight="1" x14ac:dyDescent="0.3">
      <c r="A6" s="204"/>
      <c r="B6" s="204"/>
      <c r="C6" s="204"/>
      <c r="D6" s="205"/>
      <c r="E6" s="215"/>
      <c r="F6" s="304" t="s">
        <v>82</v>
      </c>
      <c r="G6" s="305">
        <f>SUM(L6:Y6)</f>
        <v>0</v>
      </c>
      <c r="H6" s="306"/>
      <c r="I6" s="307"/>
      <c r="J6" s="308"/>
      <c r="K6" s="297"/>
      <c r="L6" s="216">
        <f t="shared" ref="L6:Y6" si="2">SUM(L7:L159)-L5</f>
        <v>0</v>
      </c>
      <c r="M6" s="217">
        <f t="shared" si="2"/>
        <v>0</v>
      </c>
      <c r="N6" s="218">
        <f t="shared" si="2"/>
        <v>0</v>
      </c>
      <c r="O6" s="216">
        <f t="shared" si="2"/>
        <v>0</v>
      </c>
      <c r="P6" s="217">
        <f t="shared" si="2"/>
        <v>0</v>
      </c>
      <c r="Q6" s="218">
        <f t="shared" si="2"/>
        <v>0</v>
      </c>
      <c r="R6" s="216">
        <f t="shared" si="2"/>
        <v>0</v>
      </c>
      <c r="S6" s="219">
        <f t="shared" si="2"/>
        <v>0</v>
      </c>
      <c r="T6" s="218">
        <f t="shared" si="2"/>
        <v>0</v>
      </c>
      <c r="U6" s="216">
        <f t="shared" si="2"/>
        <v>0</v>
      </c>
      <c r="V6" s="220">
        <f t="shared" si="2"/>
        <v>0</v>
      </c>
      <c r="W6" s="219">
        <f t="shared" si="2"/>
        <v>0</v>
      </c>
      <c r="X6" s="218">
        <f t="shared" si="2"/>
        <v>0</v>
      </c>
      <c r="Y6" s="216">
        <f t="shared" si="2"/>
        <v>0</v>
      </c>
      <c r="Z6" s="221"/>
    </row>
    <row r="7" spans="1:26" s="239" customFormat="1" ht="28.5" customHeight="1" x14ac:dyDescent="0.3">
      <c r="A7" s="222">
        <f t="shared" ref="A7:A38" si="3">IF(B7,0,MATCH(H7,ВидыНагр,0))</f>
        <v>0</v>
      </c>
      <c r="B7" s="223" t="b">
        <f t="shared" ref="B7:B38" si="4">(COUNTIF(КлючВесна,D7)&lt;&gt;1)</f>
        <v>1</v>
      </c>
      <c r="C7" s="222">
        <f t="shared" ref="C7:C38" si="5">IF(COUNTA(E7:K7,Z7)&gt;0,1,0)+IF(COUNTA(L7:Y7)&gt;0,2,0)</f>
        <v>0</v>
      </c>
      <c r="D7" s="205" t="str">
        <f>CONCATENATE("$",TRIM(F7),"$",TRIM(G7),"$",H7,"$")</f>
        <v>$$$$</v>
      </c>
      <c r="E7" s="224"/>
      <c r="F7" s="225"/>
      <c r="G7" s="226"/>
      <c r="H7" s="227"/>
      <c r="I7" s="228"/>
      <c r="J7" s="228"/>
      <c r="K7" s="229"/>
      <c r="L7" s="230"/>
      <c r="M7" s="231"/>
      <c r="N7" s="232"/>
      <c r="O7" s="230"/>
      <c r="P7" s="231"/>
      <c r="Q7" s="232"/>
      <c r="R7" s="233"/>
      <c r="S7" s="234"/>
      <c r="T7" s="235"/>
      <c r="U7" s="233"/>
      <c r="V7" s="236"/>
      <c r="W7" s="234"/>
      <c r="X7" s="235"/>
      <c r="Y7" s="237"/>
      <c r="Z7" s="238"/>
    </row>
    <row r="8" spans="1:26" s="239" customFormat="1" ht="28.5" customHeight="1" x14ac:dyDescent="0.3">
      <c r="A8" s="222">
        <f t="shared" si="3"/>
        <v>0</v>
      </c>
      <c r="B8" s="223" t="b">
        <f t="shared" si="4"/>
        <v>1</v>
      </c>
      <c r="C8" s="222">
        <f t="shared" si="5"/>
        <v>0</v>
      </c>
      <c r="D8" s="205" t="str">
        <f t="shared" ref="D8:D71" si="6">CONCATENATE("$",TRIM(F8),"$",TRIM(G8),"$",H8,"$")</f>
        <v>$$$$</v>
      </c>
      <c r="E8" s="224"/>
      <c r="F8" s="225"/>
      <c r="G8" s="226"/>
      <c r="H8" s="227"/>
      <c r="I8" s="228"/>
      <c r="J8" s="228"/>
      <c r="K8" s="229"/>
      <c r="L8" s="230"/>
      <c r="M8" s="231"/>
      <c r="N8" s="232"/>
      <c r="O8" s="230"/>
      <c r="P8" s="231"/>
      <c r="Q8" s="232"/>
      <c r="R8" s="233"/>
      <c r="S8" s="234"/>
      <c r="T8" s="235"/>
      <c r="U8" s="233"/>
      <c r="V8" s="236"/>
      <c r="W8" s="234"/>
      <c r="X8" s="235"/>
      <c r="Y8" s="237"/>
      <c r="Z8" s="238"/>
    </row>
    <row r="9" spans="1:26" s="239" customFormat="1" ht="28.5" customHeight="1" x14ac:dyDescent="0.3">
      <c r="A9" s="222">
        <f t="shared" si="3"/>
        <v>0</v>
      </c>
      <c r="B9" s="223" t="b">
        <f t="shared" si="4"/>
        <v>1</v>
      </c>
      <c r="C9" s="222">
        <f t="shared" si="5"/>
        <v>0</v>
      </c>
      <c r="D9" s="205" t="str">
        <f t="shared" si="6"/>
        <v>$$$$</v>
      </c>
      <c r="E9" s="224"/>
      <c r="F9" s="225"/>
      <c r="G9" s="226"/>
      <c r="H9" s="227"/>
      <c r="I9" s="228"/>
      <c r="J9" s="228"/>
      <c r="K9" s="229"/>
      <c r="L9" s="230"/>
      <c r="M9" s="231"/>
      <c r="N9" s="232"/>
      <c r="O9" s="230"/>
      <c r="P9" s="231"/>
      <c r="Q9" s="232"/>
      <c r="R9" s="233"/>
      <c r="S9" s="234"/>
      <c r="T9" s="235"/>
      <c r="U9" s="233"/>
      <c r="V9" s="236"/>
      <c r="W9" s="234"/>
      <c r="X9" s="235"/>
      <c r="Y9" s="237"/>
      <c r="Z9" s="238"/>
    </row>
    <row r="10" spans="1:26" s="239" customFormat="1" ht="28.5" customHeight="1" x14ac:dyDescent="0.3">
      <c r="A10" s="222">
        <f t="shared" si="3"/>
        <v>0</v>
      </c>
      <c r="B10" s="223" t="b">
        <f t="shared" si="4"/>
        <v>1</v>
      </c>
      <c r="C10" s="222">
        <f t="shared" si="5"/>
        <v>0</v>
      </c>
      <c r="D10" s="205" t="str">
        <f t="shared" si="6"/>
        <v>$$$$</v>
      </c>
      <c r="E10" s="224"/>
      <c r="F10" s="225"/>
      <c r="G10" s="226"/>
      <c r="H10" s="227"/>
      <c r="I10" s="228"/>
      <c r="J10" s="228"/>
      <c r="K10" s="229"/>
      <c r="L10" s="230"/>
      <c r="M10" s="231"/>
      <c r="N10" s="232"/>
      <c r="O10" s="230"/>
      <c r="P10" s="231"/>
      <c r="Q10" s="232"/>
      <c r="R10" s="233"/>
      <c r="S10" s="234"/>
      <c r="T10" s="235"/>
      <c r="U10" s="233"/>
      <c r="V10" s="236"/>
      <c r="W10" s="234"/>
      <c r="X10" s="235"/>
      <c r="Y10" s="237"/>
      <c r="Z10" s="238"/>
    </row>
    <row r="11" spans="1:26" s="239" customFormat="1" ht="28.5" customHeight="1" x14ac:dyDescent="0.3">
      <c r="A11" s="222">
        <f t="shared" si="3"/>
        <v>0</v>
      </c>
      <c r="B11" s="223" t="b">
        <f t="shared" si="4"/>
        <v>1</v>
      </c>
      <c r="C11" s="222">
        <f t="shared" si="5"/>
        <v>0</v>
      </c>
      <c r="D11" s="205" t="str">
        <f t="shared" si="6"/>
        <v>$$$$</v>
      </c>
      <c r="E11" s="224"/>
      <c r="F11" s="225"/>
      <c r="G11" s="226"/>
      <c r="H11" s="227"/>
      <c r="I11" s="228"/>
      <c r="J11" s="228"/>
      <c r="K11" s="229"/>
      <c r="L11" s="230"/>
      <c r="M11" s="231"/>
      <c r="N11" s="232"/>
      <c r="O11" s="230"/>
      <c r="P11" s="231"/>
      <c r="Q11" s="232"/>
      <c r="R11" s="233"/>
      <c r="S11" s="234"/>
      <c r="T11" s="235"/>
      <c r="U11" s="233"/>
      <c r="V11" s="236"/>
      <c r="W11" s="234"/>
      <c r="X11" s="235"/>
      <c r="Y11" s="237"/>
      <c r="Z11" s="238"/>
    </row>
    <row r="12" spans="1:26" s="239" customFormat="1" ht="28.5" customHeight="1" x14ac:dyDescent="0.3">
      <c r="A12" s="222">
        <f t="shared" si="3"/>
        <v>0</v>
      </c>
      <c r="B12" s="223" t="b">
        <f t="shared" si="4"/>
        <v>1</v>
      </c>
      <c r="C12" s="222">
        <f t="shared" si="5"/>
        <v>0</v>
      </c>
      <c r="D12" s="205" t="str">
        <f t="shared" si="6"/>
        <v>$$$$</v>
      </c>
      <c r="E12" s="224"/>
      <c r="F12" s="225"/>
      <c r="G12" s="226"/>
      <c r="H12" s="227"/>
      <c r="I12" s="228"/>
      <c r="J12" s="228"/>
      <c r="K12" s="229"/>
      <c r="L12" s="230"/>
      <c r="M12" s="231"/>
      <c r="N12" s="232"/>
      <c r="O12" s="230"/>
      <c r="P12" s="231"/>
      <c r="Q12" s="232"/>
      <c r="R12" s="233"/>
      <c r="S12" s="234"/>
      <c r="T12" s="235"/>
      <c r="U12" s="233"/>
      <c r="V12" s="236"/>
      <c r="W12" s="234"/>
      <c r="X12" s="235"/>
      <c r="Y12" s="237"/>
      <c r="Z12" s="238"/>
    </row>
    <row r="13" spans="1:26" s="239" customFormat="1" ht="28.5" customHeight="1" x14ac:dyDescent="0.3">
      <c r="A13" s="222">
        <f t="shared" si="3"/>
        <v>0</v>
      </c>
      <c r="B13" s="223" t="b">
        <f t="shared" si="4"/>
        <v>1</v>
      </c>
      <c r="C13" s="222">
        <f t="shared" si="5"/>
        <v>0</v>
      </c>
      <c r="D13" s="205" t="str">
        <f t="shared" si="6"/>
        <v>$$$$</v>
      </c>
      <c r="E13" s="224"/>
      <c r="F13" s="225"/>
      <c r="G13" s="226"/>
      <c r="H13" s="227"/>
      <c r="I13" s="228"/>
      <c r="J13" s="228"/>
      <c r="K13" s="229"/>
      <c r="L13" s="230"/>
      <c r="M13" s="231"/>
      <c r="N13" s="232"/>
      <c r="O13" s="230"/>
      <c r="P13" s="231"/>
      <c r="Q13" s="232"/>
      <c r="R13" s="233"/>
      <c r="S13" s="234"/>
      <c r="T13" s="235"/>
      <c r="U13" s="233"/>
      <c r="V13" s="236"/>
      <c r="W13" s="234"/>
      <c r="X13" s="235"/>
      <c r="Y13" s="237"/>
      <c r="Z13" s="238"/>
    </row>
    <row r="14" spans="1:26" s="239" customFormat="1" ht="28.5" customHeight="1" x14ac:dyDescent="0.3">
      <c r="A14" s="222">
        <f t="shared" si="3"/>
        <v>0</v>
      </c>
      <c r="B14" s="223" t="b">
        <f t="shared" si="4"/>
        <v>1</v>
      </c>
      <c r="C14" s="222">
        <f t="shared" si="5"/>
        <v>0</v>
      </c>
      <c r="D14" s="205" t="str">
        <f t="shared" si="6"/>
        <v>$$$$</v>
      </c>
      <c r="E14" s="224"/>
      <c r="F14" s="225"/>
      <c r="G14" s="226"/>
      <c r="H14" s="227"/>
      <c r="I14" s="228"/>
      <c r="J14" s="228"/>
      <c r="K14" s="229"/>
      <c r="L14" s="230"/>
      <c r="M14" s="231"/>
      <c r="N14" s="232"/>
      <c r="O14" s="230"/>
      <c r="P14" s="231"/>
      <c r="Q14" s="232"/>
      <c r="R14" s="233"/>
      <c r="S14" s="234"/>
      <c r="T14" s="235"/>
      <c r="U14" s="233"/>
      <c r="V14" s="236"/>
      <c r="W14" s="234"/>
      <c r="X14" s="235"/>
      <c r="Y14" s="237"/>
      <c r="Z14" s="238"/>
    </row>
    <row r="15" spans="1:26" s="239" customFormat="1" ht="28.5" customHeight="1" x14ac:dyDescent="0.3">
      <c r="A15" s="222">
        <f t="shared" si="3"/>
        <v>0</v>
      </c>
      <c r="B15" s="223" t="b">
        <f t="shared" si="4"/>
        <v>1</v>
      </c>
      <c r="C15" s="222">
        <f t="shared" si="5"/>
        <v>0</v>
      </c>
      <c r="D15" s="205" t="str">
        <f t="shared" si="6"/>
        <v>$$$$</v>
      </c>
      <c r="E15" s="224"/>
      <c r="F15" s="225"/>
      <c r="G15" s="226"/>
      <c r="H15" s="227"/>
      <c r="I15" s="228"/>
      <c r="J15" s="228"/>
      <c r="K15" s="229"/>
      <c r="L15" s="230"/>
      <c r="M15" s="231"/>
      <c r="N15" s="232"/>
      <c r="O15" s="230"/>
      <c r="P15" s="231"/>
      <c r="Q15" s="232"/>
      <c r="R15" s="233"/>
      <c r="S15" s="234"/>
      <c r="T15" s="235"/>
      <c r="U15" s="233"/>
      <c r="V15" s="236"/>
      <c r="W15" s="234"/>
      <c r="X15" s="235"/>
      <c r="Y15" s="237"/>
      <c r="Z15" s="238"/>
    </row>
    <row r="16" spans="1:26" s="239" customFormat="1" ht="28.5" customHeight="1" x14ac:dyDescent="0.3">
      <c r="A16" s="222">
        <f t="shared" si="3"/>
        <v>0</v>
      </c>
      <c r="B16" s="223" t="b">
        <f t="shared" si="4"/>
        <v>1</v>
      </c>
      <c r="C16" s="222">
        <f t="shared" si="5"/>
        <v>0</v>
      </c>
      <c r="D16" s="205" t="str">
        <f t="shared" si="6"/>
        <v>$$$$</v>
      </c>
      <c r="E16" s="224"/>
      <c r="F16" s="225"/>
      <c r="G16" s="226"/>
      <c r="H16" s="227"/>
      <c r="I16" s="228"/>
      <c r="J16" s="228"/>
      <c r="K16" s="229"/>
      <c r="L16" s="230"/>
      <c r="M16" s="231"/>
      <c r="N16" s="232"/>
      <c r="O16" s="230"/>
      <c r="P16" s="231"/>
      <c r="Q16" s="232"/>
      <c r="R16" s="233"/>
      <c r="S16" s="234"/>
      <c r="T16" s="235"/>
      <c r="U16" s="233"/>
      <c r="V16" s="236"/>
      <c r="W16" s="234"/>
      <c r="X16" s="235"/>
      <c r="Y16" s="237"/>
      <c r="Z16" s="238"/>
    </row>
    <row r="17" spans="1:26" s="239" customFormat="1" ht="28.5" customHeight="1" x14ac:dyDescent="0.3">
      <c r="A17" s="222">
        <f t="shared" si="3"/>
        <v>0</v>
      </c>
      <c r="B17" s="223" t="b">
        <f t="shared" si="4"/>
        <v>1</v>
      </c>
      <c r="C17" s="222">
        <f t="shared" si="5"/>
        <v>0</v>
      </c>
      <c r="D17" s="205" t="str">
        <f t="shared" si="6"/>
        <v>$$$$</v>
      </c>
      <c r="E17" s="224"/>
      <c r="F17" s="225"/>
      <c r="G17" s="226"/>
      <c r="H17" s="227"/>
      <c r="I17" s="228"/>
      <c r="J17" s="228"/>
      <c r="K17" s="229"/>
      <c r="L17" s="230"/>
      <c r="M17" s="231"/>
      <c r="N17" s="232"/>
      <c r="O17" s="230"/>
      <c r="P17" s="231"/>
      <c r="Q17" s="232"/>
      <c r="R17" s="233"/>
      <c r="S17" s="234"/>
      <c r="T17" s="235"/>
      <c r="U17" s="233"/>
      <c r="V17" s="236"/>
      <c r="W17" s="234"/>
      <c r="X17" s="235"/>
      <c r="Y17" s="237"/>
      <c r="Z17" s="238"/>
    </row>
    <row r="18" spans="1:26" s="239" customFormat="1" ht="28.5" customHeight="1" x14ac:dyDescent="0.3">
      <c r="A18" s="222">
        <f t="shared" si="3"/>
        <v>0</v>
      </c>
      <c r="B18" s="223" t="b">
        <f t="shared" si="4"/>
        <v>1</v>
      </c>
      <c r="C18" s="222">
        <f t="shared" si="5"/>
        <v>0</v>
      </c>
      <c r="D18" s="205" t="str">
        <f t="shared" si="6"/>
        <v>$$$$</v>
      </c>
      <c r="E18" s="224"/>
      <c r="F18" s="225"/>
      <c r="G18" s="226"/>
      <c r="H18" s="227"/>
      <c r="I18" s="228"/>
      <c r="J18" s="228"/>
      <c r="K18" s="229"/>
      <c r="L18" s="230"/>
      <c r="M18" s="231"/>
      <c r="N18" s="232"/>
      <c r="O18" s="230"/>
      <c r="P18" s="231"/>
      <c r="Q18" s="232"/>
      <c r="R18" s="233"/>
      <c r="S18" s="234"/>
      <c r="T18" s="235"/>
      <c r="U18" s="233"/>
      <c r="V18" s="236"/>
      <c r="W18" s="234"/>
      <c r="X18" s="235"/>
      <c r="Y18" s="237"/>
      <c r="Z18" s="238"/>
    </row>
    <row r="19" spans="1:26" s="239" customFormat="1" ht="28.5" customHeight="1" x14ac:dyDescent="0.3">
      <c r="A19" s="222">
        <f t="shared" si="3"/>
        <v>0</v>
      </c>
      <c r="B19" s="223" t="b">
        <f t="shared" si="4"/>
        <v>1</v>
      </c>
      <c r="C19" s="222">
        <f t="shared" si="5"/>
        <v>0</v>
      </c>
      <c r="D19" s="205" t="str">
        <f t="shared" si="6"/>
        <v>$$$$</v>
      </c>
      <c r="E19" s="224"/>
      <c r="F19" s="225"/>
      <c r="G19" s="226"/>
      <c r="H19" s="227"/>
      <c r="I19" s="228"/>
      <c r="J19" s="228"/>
      <c r="K19" s="229"/>
      <c r="L19" s="230"/>
      <c r="M19" s="231"/>
      <c r="N19" s="232"/>
      <c r="O19" s="230"/>
      <c r="P19" s="231"/>
      <c r="Q19" s="232"/>
      <c r="R19" s="233"/>
      <c r="S19" s="234"/>
      <c r="T19" s="235"/>
      <c r="U19" s="233"/>
      <c r="V19" s="236"/>
      <c r="W19" s="234"/>
      <c r="X19" s="235"/>
      <c r="Y19" s="237"/>
      <c r="Z19" s="238"/>
    </row>
    <row r="20" spans="1:26" s="239" customFormat="1" ht="28.5" customHeight="1" x14ac:dyDescent="0.3">
      <c r="A20" s="222">
        <f t="shared" si="3"/>
        <v>0</v>
      </c>
      <c r="B20" s="223" t="b">
        <f t="shared" si="4"/>
        <v>1</v>
      </c>
      <c r="C20" s="222">
        <f t="shared" si="5"/>
        <v>0</v>
      </c>
      <c r="D20" s="205" t="str">
        <f t="shared" si="6"/>
        <v>$$$$</v>
      </c>
      <c r="E20" s="224"/>
      <c r="F20" s="225"/>
      <c r="G20" s="226"/>
      <c r="H20" s="227"/>
      <c r="I20" s="228"/>
      <c r="J20" s="228"/>
      <c r="K20" s="229"/>
      <c r="L20" s="230"/>
      <c r="M20" s="231"/>
      <c r="N20" s="232"/>
      <c r="O20" s="230"/>
      <c r="P20" s="231"/>
      <c r="Q20" s="232"/>
      <c r="R20" s="233"/>
      <c r="S20" s="234"/>
      <c r="T20" s="235"/>
      <c r="U20" s="233"/>
      <c r="V20" s="236"/>
      <c r="W20" s="234"/>
      <c r="X20" s="235"/>
      <c r="Y20" s="237"/>
      <c r="Z20" s="238"/>
    </row>
    <row r="21" spans="1:26" s="239" customFormat="1" ht="28.5" customHeight="1" x14ac:dyDescent="0.3">
      <c r="A21" s="222">
        <f t="shared" si="3"/>
        <v>0</v>
      </c>
      <c r="B21" s="223" t="b">
        <f t="shared" si="4"/>
        <v>1</v>
      </c>
      <c r="C21" s="222">
        <f t="shared" si="5"/>
        <v>0</v>
      </c>
      <c r="D21" s="205" t="str">
        <f t="shared" si="6"/>
        <v>$$$$</v>
      </c>
      <c r="E21" s="224"/>
      <c r="F21" s="225"/>
      <c r="G21" s="226"/>
      <c r="H21" s="227"/>
      <c r="I21" s="228"/>
      <c r="J21" s="228"/>
      <c r="K21" s="229"/>
      <c r="L21" s="230"/>
      <c r="M21" s="231"/>
      <c r="N21" s="232"/>
      <c r="O21" s="230"/>
      <c r="P21" s="231"/>
      <c r="Q21" s="232"/>
      <c r="R21" s="233"/>
      <c r="S21" s="234"/>
      <c r="T21" s="235"/>
      <c r="U21" s="233"/>
      <c r="V21" s="236"/>
      <c r="W21" s="234"/>
      <c r="X21" s="235"/>
      <c r="Y21" s="237"/>
      <c r="Z21" s="238"/>
    </row>
    <row r="22" spans="1:26" s="239" customFormat="1" ht="28.5" customHeight="1" x14ac:dyDescent="0.3">
      <c r="A22" s="222">
        <f t="shared" si="3"/>
        <v>0</v>
      </c>
      <c r="B22" s="223" t="b">
        <f t="shared" si="4"/>
        <v>1</v>
      </c>
      <c r="C22" s="222">
        <f t="shared" si="5"/>
        <v>0</v>
      </c>
      <c r="D22" s="205" t="str">
        <f t="shared" si="6"/>
        <v>$$$$</v>
      </c>
      <c r="E22" s="224"/>
      <c r="F22" s="225"/>
      <c r="G22" s="226"/>
      <c r="H22" s="227"/>
      <c r="I22" s="228"/>
      <c r="J22" s="228"/>
      <c r="K22" s="229"/>
      <c r="L22" s="230"/>
      <c r="M22" s="231"/>
      <c r="N22" s="232"/>
      <c r="O22" s="230"/>
      <c r="P22" s="231"/>
      <c r="Q22" s="232"/>
      <c r="R22" s="233"/>
      <c r="S22" s="234"/>
      <c r="T22" s="235"/>
      <c r="U22" s="233"/>
      <c r="V22" s="236"/>
      <c r="W22" s="234"/>
      <c r="X22" s="235"/>
      <c r="Y22" s="237"/>
      <c r="Z22" s="238"/>
    </row>
    <row r="23" spans="1:26" s="239" customFormat="1" ht="28.5" customHeight="1" x14ac:dyDescent="0.3">
      <c r="A23" s="222">
        <f t="shared" si="3"/>
        <v>0</v>
      </c>
      <c r="B23" s="223" t="b">
        <f t="shared" si="4"/>
        <v>1</v>
      </c>
      <c r="C23" s="222">
        <f t="shared" si="5"/>
        <v>0</v>
      </c>
      <c r="D23" s="205" t="str">
        <f t="shared" si="6"/>
        <v>$$$$</v>
      </c>
      <c r="E23" s="224"/>
      <c r="F23" s="225"/>
      <c r="G23" s="226"/>
      <c r="H23" s="227"/>
      <c r="I23" s="228"/>
      <c r="J23" s="228"/>
      <c r="K23" s="229"/>
      <c r="L23" s="230"/>
      <c r="M23" s="231"/>
      <c r="N23" s="232"/>
      <c r="O23" s="230"/>
      <c r="P23" s="231"/>
      <c r="Q23" s="232"/>
      <c r="R23" s="233"/>
      <c r="S23" s="234"/>
      <c r="T23" s="235"/>
      <c r="U23" s="233"/>
      <c r="V23" s="236"/>
      <c r="W23" s="234"/>
      <c r="X23" s="235"/>
      <c r="Y23" s="237"/>
      <c r="Z23" s="238"/>
    </row>
    <row r="24" spans="1:26" s="239" customFormat="1" ht="28.5" customHeight="1" x14ac:dyDescent="0.3">
      <c r="A24" s="222">
        <f t="shared" si="3"/>
        <v>0</v>
      </c>
      <c r="B24" s="223" t="b">
        <f t="shared" si="4"/>
        <v>1</v>
      </c>
      <c r="C24" s="222">
        <f t="shared" si="5"/>
        <v>0</v>
      </c>
      <c r="D24" s="205" t="str">
        <f t="shared" si="6"/>
        <v>$$$$</v>
      </c>
      <c r="E24" s="224"/>
      <c r="F24" s="225"/>
      <c r="G24" s="226"/>
      <c r="H24" s="227"/>
      <c r="I24" s="228"/>
      <c r="J24" s="228"/>
      <c r="K24" s="229"/>
      <c r="L24" s="230"/>
      <c r="M24" s="231"/>
      <c r="N24" s="232"/>
      <c r="O24" s="230"/>
      <c r="P24" s="231"/>
      <c r="Q24" s="232"/>
      <c r="R24" s="233"/>
      <c r="S24" s="234"/>
      <c r="T24" s="235"/>
      <c r="U24" s="233"/>
      <c r="V24" s="236"/>
      <c r="W24" s="234"/>
      <c r="X24" s="235"/>
      <c r="Y24" s="237"/>
      <c r="Z24" s="238"/>
    </row>
    <row r="25" spans="1:26" s="239" customFormat="1" ht="28.5" customHeight="1" x14ac:dyDescent="0.3">
      <c r="A25" s="222">
        <f t="shared" si="3"/>
        <v>0</v>
      </c>
      <c r="B25" s="223" t="b">
        <f t="shared" si="4"/>
        <v>1</v>
      </c>
      <c r="C25" s="222">
        <f t="shared" si="5"/>
        <v>0</v>
      </c>
      <c r="D25" s="205" t="str">
        <f t="shared" si="6"/>
        <v>$$$$</v>
      </c>
      <c r="E25" s="224"/>
      <c r="F25" s="225"/>
      <c r="G25" s="226"/>
      <c r="H25" s="227"/>
      <c r="I25" s="228"/>
      <c r="J25" s="228"/>
      <c r="K25" s="229"/>
      <c r="L25" s="230"/>
      <c r="M25" s="231"/>
      <c r="N25" s="232"/>
      <c r="O25" s="230"/>
      <c r="P25" s="231"/>
      <c r="Q25" s="232"/>
      <c r="R25" s="233"/>
      <c r="S25" s="234"/>
      <c r="T25" s="235"/>
      <c r="U25" s="233"/>
      <c r="V25" s="236"/>
      <c r="W25" s="234"/>
      <c r="X25" s="235"/>
      <c r="Y25" s="237"/>
      <c r="Z25" s="238"/>
    </row>
    <row r="26" spans="1:26" s="239" customFormat="1" ht="28.5" customHeight="1" x14ac:dyDescent="0.3">
      <c r="A26" s="222">
        <f t="shared" si="3"/>
        <v>0</v>
      </c>
      <c r="B26" s="223" t="b">
        <f t="shared" si="4"/>
        <v>1</v>
      </c>
      <c r="C26" s="222">
        <f t="shared" si="5"/>
        <v>0</v>
      </c>
      <c r="D26" s="205" t="str">
        <f t="shared" si="6"/>
        <v>$$$$</v>
      </c>
      <c r="E26" s="224"/>
      <c r="F26" s="225"/>
      <c r="G26" s="226"/>
      <c r="H26" s="227"/>
      <c r="I26" s="228"/>
      <c r="J26" s="228"/>
      <c r="K26" s="229"/>
      <c r="L26" s="230"/>
      <c r="M26" s="231"/>
      <c r="N26" s="232"/>
      <c r="O26" s="230"/>
      <c r="P26" s="231"/>
      <c r="Q26" s="232"/>
      <c r="R26" s="233"/>
      <c r="S26" s="234"/>
      <c r="T26" s="235"/>
      <c r="U26" s="233"/>
      <c r="V26" s="236"/>
      <c r="W26" s="234"/>
      <c r="X26" s="235"/>
      <c r="Y26" s="237"/>
      <c r="Z26" s="238"/>
    </row>
    <row r="27" spans="1:26" s="239" customFormat="1" ht="28.5" customHeight="1" x14ac:dyDescent="0.3">
      <c r="A27" s="222">
        <f t="shared" si="3"/>
        <v>0</v>
      </c>
      <c r="B27" s="223" t="b">
        <f t="shared" si="4"/>
        <v>1</v>
      </c>
      <c r="C27" s="222">
        <f t="shared" si="5"/>
        <v>0</v>
      </c>
      <c r="D27" s="205" t="str">
        <f t="shared" si="6"/>
        <v>$$$$</v>
      </c>
      <c r="E27" s="224"/>
      <c r="F27" s="225"/>
      <c r="G27" s="226"/>
      <c r="H27" s="227"/>
      <c r="I27" s="228"/>
      <c r="J27" s="228"/>
      <c r="K27" s="229"/>
      <c r="L27" s="230"/>
      <c r="M27" s="231"/>
      <c r="N27" s="232"/>
      <c r="O27" s="230"/>
      <c r="P27" s="231"/>
      <c r="Q27" s="232"/>
      <c r="R27" s="233"/>
      <c r="S27" s="234"/>
      <c r="T27" s="235"/>
      <c r="U27" s="233"/>
      <c r="V27" s="236"/>
      <c r="W27" s="234"/>
      <c r="X27" s="235"/>
      <c r="Y27" s="237"/>
      <c r="Z27" s="238"/>
    </row>
    <row r="28" spans="1:26" s="239" customFormat="1" ht="28.5" customHeight="1" x14ac:dyDescent="0.3">
      <c r="A28" s="222">
        <f t="shared" si="3"/>
        <v>0</v>
      </c>
      <c r="B28" s="223" t="b">
        <f t="shared" si="4"/>
        <v>1</v>
      </c>
      <c r="C28" s="222">
        <f t="shared" si="5"/>
        <v>0</v>
      </c>
      <c r="D28" s="205" t="str">
        <f t="shared" si="6"/>
        <v>$$$$</v>
      </c>
      <c r="E28" s="224"/>
      <c r="F28" s="225"/>
      <c r="G28" s="226"/>
      <c r="H28" s="227"/>
      <c r="I28" s="228"/>
      <c r="J28" s="228"/>
      <c r="K28" s="229"/>
      <c r="L28" s="230"/>
      <c r="M28" s="231"/>
      <c r="N28" s="232"/>
      <c r="O28" s="230"/>
      <c r="P28" s="231"/>
      <c r="Q28" s="232"/>
      <c r="R28" s="233"/>
      <c r="S28" s="234"/>
      <c r="T28" s="235"/>
      <c r="U28" s="233"/>
      <c r="V28" s="236"/>
      <c r="W28" s="234"/>
      <c r="X28" s="235"/>
      <c r="Y28" s="237"/>
      <c r="Z28" s="238"/>
    </row>
    <row r="29" spans="1:26" s="239" customFormat="1" ht="28.5" customHeight="1" x14ac:dyDescent="0.3">
      <c r="A29" s="222">
        <f t="shared" si="3"/>
        <v>0</v>
      </c>
      <c r="B29" s="223" t="b">
        <f t="shared" si="4"/>
        <v>1</v>
      </c>
      <c r="C29" s="222">
        <f t="shared" si="5"/>
        <v>0</v>
      </c>
      <c r="D29" s="205" t="str">
        <f t="shared" si="6"/>
        <v>$$$$</v>
      </c>
      <c r="E29" s="224"/>
      <c r="F29" s="225"/>
      <c r="G29" s="226"/>
      <c r="H29" s="227"/>
      <c r="I29" s="228"/>
      <c r="J29" s="228"/>
      <c r="K29" s="229"/>
      <c r="L29" s="230"/>
      <c r="M29" s="231"/>
      <c r="N29" s="232"/>
      <c r="O29" s="230"/>
      <c r="P29" s="231"/>
      <c r="Q29" s="232"/>
      <c r="R29" s="233"/>
      <c r="S29" s="234"/>
      <c r="T29" s="235"/>
      <c r="U29" s="233"/>
      <c r="V29" s="236"/>
      <c r="W29" s="234"/>
      <c r="X29" s="235"/>
      <c r="Y29" s="237"/>
      <c r="Z29" s="238"/>
    </row>
    <row r="30" spans="1:26" s="239" customFormat="1" ht="28.5" customHeight="1" x14ac:dyDescent="0.3">
      <c r="A30" s="222">
        <f t="shared" si="3"/>
        <v>0</v>
      </c>
      <c r="B30" s="223" t="b">
        <f t="shared" si="4"/>
        <v>1</v>
      </c>
      <c r="C30" s="222">
        <f t="shared" si="5"/>
        <v>0</v>
      </c>
      <c r="D30" s="205" t="str">
        <f t="shared" si="6"/>
        <v>$$$$</v>
      </c>
      <c r="E30" s="224"/>
      <c r="F30" s="225"/>
      <c r="G30" s="226"/>
      <c r="H30" s="227"/>
      <c r="I30" s="228"/>
      <c r="J30" s="228"/>
      <c r="K30" s="229"/>
      <c r="L30" s="230"/>
      <c r="M30" s="231"/>
      <c r="N30" s="232"/>
      <c r="O30" s="230"/>
      <c r="P30" s="231"/>
      <c r="Q30" s="232"/>
      <c r="R30" s="233"/>
      <c r="S30" s="234"/>
      <c r="T30" s="235"/>
      <c r="U30" s="233"/>
      <c r="V30" s="236"/>
      <c r="W30" s="234"/>
      <c r="X30" s="235"/>
      <c r="Y30" s="237"/>
      <c r="Z30" s="238"/>
    </row>
    <row r="31" spans="1:26" s="239" customFormat="1" ht="28.5" customHeight="1" x14ac:dyDescent="0.3">
      <c r="A31" s="222">
        <f t="shared" si="3"/>
        <v>0</v>
      </c>
      <c r="B31" s="223" t="b">
        <f t="shared" si="4"/>
        <v>1</v>
      </c>
      <c r="C31" s="222">
        <f t="shared" si="5"/>
        <v>0</v>
      </c>
      <c r="D31" s="205" t="str">
        <f t="shared" si="6"/>
        <v>$$$$</v>
      </c>
      <c r="E31" s="224"/>
      <c r="F31" s="225"/>
      <c r="G31" s="226"/>
      <c r="H31" s="227"/>
      <c r="I31" s="228"/>
      <c r="J31" s="228"/>
      <c r="K31" s="229"/>
      <c r="L31" s="230"/>
      <c r="M31" s="231"/>
      <c r="N31" s="232"/>
      <c r="O31" s="230"/>
      <c r="P31" s="231"/>
      <c r="Q31" s="232"/>
      <c r="R31" s="233"/>
      <c r="S31" s="234"/>
      <c r="T31" s="235"/>
      <c r="U31" s="233"/>
      <c r="V31" s="236"/>
      <c r="W31" s="234"/>
      <c r="X31" s="235"/>
      <c r="Y31" s="237"/>
      <c r="Z31" s="238"/>
    </row>
    <row r="32" spans="1:26" s="239" customFormat="1" ht="28.5" customHeight="1" x14ac:dyDescent="0.3">
      <c r="A32" s="222">
        <f t="shared" si="3"/>
        <v>0</v>
      </c>
      <c r="B32" s="223" t="b">
        <f t="shared" si="4"/>
        <v>1</v>
      </c>
      <c r="C32" s="222">
        <f t="shared" si="5"/>
        <v>0</v>
      </c>
      <c r="D32" s="205" t="str">
        <f t="shared" si="6"/>
        <v>$$$$</v>
      </c>
      <c r="E32" s="224"/>
      <c r="F32" s="225"/>
      <c r="G32" s="226"/>
      <c r="H32" s="227"/>
      <c r="I32" s="228"/>
      <c r="J32" s="228"/>
      <c r="K32" s="229"/>
      <c r="L32" s="230"/>
      <c r="M32" s="231"/>
      <c r="N32" s="232"/>
      <c r="O32" s="230"/>
      <c r="P32" s="231"/>
      <c r="Q32" s="232"/>
      <c r="R32" s="233"/>
      <c r="S32" s="234"/>
      <c r="T32" s="235"/>
      <c r="U32" s="233"/>
      <c r="V32" s="236"/>
      <c r="W32" s="234"/>
      <c r="X32" s="235"/>
      <c r="Y32" s="237"/>
      <c r="Z32" s="238"/>
    </row>
    <row r="33" spans="1:26" s="239" customFormat="1" ht="28.5" customHeight="1" x14ac:dyDescent="0.3">
      <c r="A33" s="222">
        <f t="shared" si="3"/>
        <v>0</v>
      </c>
      <c r="B33" s="223" t="b">
        <f t="shared" si="4"/>
        <v>1</v>
      </c>
      <c r="C33" s="222">
        <f t="shared" si="5"/>
        <v>0</v>
      </c>
      <c r="D33" s="205" t="str">
        <f t="shared" si="6"/>
        <v>$$$$</v>
      </c>
      <c r="E33" s="224"/>
      <c r="F33" s="225"/>
      <c r="G33" s="226"/>
      <c r="H33" s="227"/>
      <c r="I33" s="228"/>
      <c r="J33" s="228"/>
      <c r="K33" s="229"/>
      <c r="L33" s="230"/>
      <c r="M33" s="231"/>
      <c r="N33" s="232"/>
      <c r="O33" s="230"/>
      <c r="P33" s="231"/>
      <c r="Q33" s="232"/>
      <c r="R33" s="233"/>
      <c r="S33" s="234"/>
      <c r="T33" s="235"/>
      <c r="U33" s="233"/>
      <c r="V33" s="236"/>
      <c r="W33" s="234"/>
      <c r="X33" s="235"/>
      <c r="Y33" s="237"/>
      <c r="Z33" s="238"/>
    </row>
    <row r="34" spans="1:26" s="239" customFormat="1" ht="28.5" customHeight="1" x14ac:dyDescent="0.3">
      <c r="A34" s="222">
        <f t="shared" si="3"/>
        <v>0</v>
      </c>
      <c r="B34" s="223" t="b">
        <f t="shared" si="4"/>
        <v>1</v>
      </c>
      <c r="C34" s="222">
        <f t="shared" si="5"/>
        <v>0</v>
      </c>
      <c r="D34" s="205" t="str">
        <f t="shared" si="6"/>
        <v>$$$$</v>
      </c>
      <c r="E34" s="224"/>
      <c r="F34" s="225"/>
      <c r="G34" s="226"/>
      <c r="H34" s="227"/>
      <c r="I34" s="228"/>
      <c r="J34" s="228"/>
      <c r="K34" s="229"/>
      <c r="L34" s="230"/>
      <c r="M34" s="231"/>
      <c r="N34" s="232"/>
      <c r="O34" s="230"/>
      <c r="P34" s="231"/>
      <c r="Q34" s="232"/>
      <c r="R34" s="233"/>
      <c r="S34" s="234"/>
      <c r="T34" s="235"/>
      <c r="U34" s="233"/>
      <c r="V34" s="236"/>
      <c r="W34" s="234"/>
      <c r="X34" s="235"/>
      <c r="Y34" s="237"/>
      <c r="Z34" s="238"/>
    </row>
    <row r="35" spans="1:26" s="239" customFormat="1" ht="28.5" customHeight="1" x14ac:dyDescent="0.3">
      <c r="A35" s="222">
        <f t="shared" si="3"/>
        <v>0</v>
      </c>
      <c r="B35" s="223" t="b">
        <f t="shared" si="4"/>
        <v>1</v>
      </c>
      <c r="C35" s="222">
        <f t="shared" si="5"/>
        <v>0</v>
      </c>
      <c r="D35" s="205" t="str">
        <f t="shared" si="6"/>
        <v>$$$$</v>
      </c>
      <c r="E35" s="224"/>
      <c r="F35" s="225"/>
      <c r="G35" s="226"/>
      <c r="H35" s="227"/>
      <c r="I35" s="228"/>
      <c r="J35" s="228"/>
      <c r="K35" s="229"/>
      <c r="L35" s="230"/>
      <c r="M35" s="231"/>
      <c r="N35" s="232"/>
      <c r="O35" s="230"/>
      <c r="P35" s="231"/>
      <c r="Q35" s="232"/>
      <c r="R35" s="233"/>
      <c r="S35" s="234"/>
      <c r="T35" s="235"/>
      <c r="U35" s="233"/>
      <c r="V35" s="236"/>
      <c r="W35" s="234"/>
      <c r="X35" s="235"/>
      <c r="Y35" s="237"/>
      <c r="Z35" s="238"/>
    </row>
    <row r="36" spans="1:26" s="239" customFormat="1" ht="28.5" customHeight="1" x14ac:dyDescent="0.3">
      <c r="A36" s="222">
        <f t="shared" si="3"/>
        <v>0</v>
      </c>
      <c r="B36" s="223" t="b">
        <f t="shared" si="4"/>
        <v>1</v>
      </c>
      <c r="C36" s="222">
        <f t="shared" si="5"/>
        <v>0</v>
      </c>
      <c r="D36" s="205" t="str">
        <f t="shared" si="6"/>
        <v>$$$$</v>
      </c>
      <c r="E36" s="224"/>
      <c r="F36" s="225"/>
      <c r="G36" s="226"/>
      <c r="H36" s="227"/>
      <c r="I36" s="228"/>
      <c r="J36" s="228"/>
      <c r="K36" s="229"/>
      <c r="L36" s="230"/>
      <c r="M36" s="231"/>
      <c r="N36" s="232"/>
      <c r="O36" s="230"/>
      <c r="P36" s="231"/>
      <c r="Q36" s="232"/>
      <c r="R36" s="233"/>
      <c r="S36" s="234"/>
      <c r="T36" s="235"/>
      <c r="U36" s="233"/>
      <c r="V36" s="236"/>
      <c r="W36" s="234"/>
      <c r="X36" s="235"/>
      <c r="Y36" s="237"/>
      <c r="Z36" s="238"/>
    </row>
    <row r="37" spans="1:26" s="239" customFormat="1" ht="28.5" customHeight="1" x14ac:dyDescent="0.3">
      <c r="A37" s="222">
        <f t="shared" si="3"/>
        <v>0</v>
      </c>
      <c r="B37" s="223" t="b">
        <f t="shared" si="4"/>
        <v>1</v>
      </c>
      <c r="C37" s="222">
        <f t="shared" si="5"/>
        <v>0</v>
      </c>
      <c r="D37" s="205" t="str">
        <f t="shared" si="6"/>
        <v>$$$$</v>
      </c>
      <c r="E37" s="224"/>
      <c r="F37" s="225"/>
      <c r="G37" s="226"/>
      <c r="H37" s="227"/>
      <c r="I37" s="228"/>
      <c r="J37" s="228"/>
      <c r="K37" s="229"/>
      <c r="L37" s="230"/>
      <c r="M37" s="231"/>
      <c r="N37" s="232"/>
      <c r="O37" s="230"/>
      <c r="P37" s="231"/>
      <c r="Q37" s="232"/>
      <c r="R37" s="233"/>
      <c r="S37" s="234"/>
      <c r="T37" s="235"/>
      <c r="U37" s="233"/>
      <c r="V37" s="236"/>
      <c r="W37" s="234"/>
      <c r="X37" s="235"/>
      <c r="Y37" s="237"/>
      <c r="Z37" s="238"/>
    </row>
    <row r="38" spans="1:26" s="239" customFormat="1" ht="28.5" customHeight="1" x14ac:dyDescent="0.3">
      <c r="A38" s="222">
        <f t="shared" si="3"/>
        <v>0</v>
      </c>
      <c r="B38" s="223" t="b">
        <f t="shared" si="4"/>
        <v>1</v>
      </c>
      <c r="C38" s="222">
        <f t="shared" si="5"/>
        <v>0</v>
      </c>
      <c r="D38" s="205" t="str">
        <f t="shared" si="6"/>
        <v>$$$$</v>
      </c>
      <c r="E38" s="224"/>
      <c r="F38" s="225"/>
      <c r="G38" s="226"/>
      <c r="H38" s="227"/>
      <c r="I38" s="228"/>
      <c r="J38" s="228"/>
      <c r="K38" s="229"/>
      <c r="L38" s="230"/>
      <c r="M38" s="231"/>
      <c r="N38" s="232"/>
      <c r="O38" s="230"/>
      <c r="P38" s="231"/>
      <c r="Q38" s="232"/>
      <c r="R38" s="233"/>
      <c r="S38" s="234"/>
      <c r="T38" s="235"/>
      <c r="U38" s="233"/>
      <c r="V38" s="236"/>
      <c r="W38" s="234"/>
      <c r="X38" s="235"/>
      <c r="Y38" s="237"/>
      <c r="Z38" s="238"/>
    </row>
    <row r="39" spans="1:26" s="239" customFormat="1" ht="28.5" customHeight="1" x14ac:dyDescent="0.3">
      <c r="A39" s="222">
        <f t="shared" ref="A39:A70" si="7">IF(B39,0,MATCH(H39,ВидыНагр,0))</f>
        <v>0</v>
      </c>
      <c r="B39" s="223" t="b">
        <f t="shared" ref="B39:B70" si="8">(COUNTIF(КлючВесна,D39)&lt;&gt;1)</f>
        <v>1</v>
      </c>
      <c r="C39" s="222">
        <f t="shared" ref="C39:C70" si="9">IF(COUNTA(E39:K39,Z39)&gt;0,1,0)+IF(COUNTA(L39:Y39)&gt;0,2,0)</f>
        <v>0</v>
      </c>
      <c r="D39" s="205" t="str">
        <f t="shared" si="6"/>
        <v>$$$$</v>
      </c>
      <c r="E39" s="224"/>
      <c r="F39" s="225"/>
      <c r="G39" s="226"/>
      <c r="H39" s="227"/>
      <c r="I39" s="228"/>
      <c r="J39" s="228"/>
      <c r="K39" s="229"/>
      <c r="L39" s="230"/>
      <c r="M39" s="231"/>
      <c r="N39" s="232"/>
      <c r="O39" s="230"/>
      <c r="P39" s="231"/>
      <c r="Q39" s="232"/>
      <c r="R39" s="233"/>
      <c r="S39" s="234"/>
      <c r="T39" s="235"/>
      <c r="U39" s="233"/>
      <c r="V39" s="236"/>
      <c r="W39" s="234"/>
      <c r="X39" s="235"/>
      <c r="Y39" s="237"/>
      <c r="Z39" s="238"/>
    </row>
    <row r="40" spans="1:26" s="239" customFormat="1" ht="28.5" customHeight="1" x14ac:dyDescent="0.3">
      <c r="A40" s="222">
        <f t="shared" si="7"/>
        <v>0</v>
      </c>
      <c r="B40" s="223" t="b">
        <f t="shared" si="8"/>
        <v>1</v>
      </c>
      <c r="C40" s="222">
        <f t="shared" si="9"/>
        <v>0</v>
      </c>
      <c r="D40" s="205" t="str">
        <f t="shared" si="6"/>
        <v>$$$$</v>
      </c>
      <c r="E40" s="224"/>
      <c r="F40" s="225"/>
      <c r="G40" s="226"/>
      <c r="H40" s="227"/>
      <c r="I40" s="228"/>
      <c r="J40" s="228"/>
      <c r="K40" s="229"/>
      <c r="L40" s="230"/>
      <c r="M40" s="231"/>
      <c r="N40" s="232"/>
      <c r="O40" s="230"/>
      <c r="P40" s="231"/>
      <c r="Q40" s="232"/>
      <c r="R40" s="233"/>
      <c r="S40" s="234"/>
      <c r="T40" s="235"/>
      <c r="U40" s="233"/>
      <c r="V40" s="236"/>
      <c r="W40" s="234"/>
      <c r="X40" s="235"/>
      <c r="Y40" s="237"/>
      <c r="Z40" s="238"/>
    </row>
    <row r="41" spans="1:26" s="239" customFormat="1" ht="28.5" customHeight="1" x14ac:dyDescent="0.3">
      <c r="A41" s="222">
        <f t="shared" si="7"/>
        <v>0</v>
      </c>
      <c r="B41" s="223" t="b">
        <f t="shared" si="8"/>
        <v>1</v>
      </c>
      <c r="C41" s="222">
        <f t="shared" si="9"/>
        <v>0</v>
      </c>
      <c r="D41" s="205" t="str">
        <f t="shared" si="6"/>
        <v>$$$$</v>
      </c>
      <c r="E41" s="224"/>
      <c r="F41" s="225"/>
      <c r="G41" s="226"/>
      <c r="H41" s="227"/>
      <c r="I41" s="228"/>
      <c r="J41" s="228"/>
      <c r="K41" s="229"/>
      <c r="L41" s="230"/>
      <c r="M41" s="231"/>
      <c r="N41" s="232"/>
      <c r="O41" s="230"/>
      <c r="P41" s="231"/>
      <c r="Q41" s="232"/>
      <c r="R41" s="233"/>
      <c r="S41" s="234"/>
      <c r="T41" s="235"/>
      <c r="U41" s="233"/>
      <c r="V41" s="236"/>
      <c r="W41" s="234"/>
      <c r="X41" s="235"/>
      <c r="Y41" s="237"/>
      <c r="Z41" s="238"/>
    </row>
    <row r="42" spans="1:26" s="239" customFormat="1" ht="28.5" customHeight="1" x14ac:dyDescent="0.3">
      <c r="A42" s="222">
        <f t="shared" si="7"/>
        <v>0</v>
      </c>
      <c r="B42" s="223" t="b">
        <f t="shared" si="8"/>
        <v>1</v>
      </c>
      <c r="C42" s="222">
        <f t="shared" si="9"/>
        <v>0</v>
      </c>
      <c r="D42" s="205" t="str">
        <f t="shared" si="6"/>
        <v>$$$$</v>
      </c>
      <c r="E42" s="224"/>
      <c r="F42" s="225"/>
      <c r="G42" s="226"/>
      <c r="H42" s="227"/>
      <c r="I42" s="228"/>
      <c r="J42" s="228"/>
      <c r="K42" s="229"/>
      <c r="L42" s="230"/>
      <c r="M42" s="231"/>
      <c r="N42" s="232"/>
      <c r="O42" s="230"/>
      <c r="P42" s="231"/>
      <c r="Q42" s="232"/>
      <c r="R42" s="233"/>
      <c r="S42" s="234"/>
      <c r="T42" s="235"/>
      <c r="U42" s="233"/>
      <c r="V42" s="236"/>
      <c r="W42" s="234"/>
      <c r="X42" s="235"/>
      <c r="Y42" s="237"/>
      <c r="Z42" s="238"/>
    </row>
    <row r="43" spans="1:26" s="239" customFormat="1" ht="28.5" customHeight="1" x14ac:dyDescent="0.3">
      <c r="A43" s="222">
        <f t="shared" si="7"/>
        <v>0</v>
      </c>
      <c r="B43" s="223" t="b">
        <f t="shared" si="8"/>
        <v>1</v>
      </c>
      <c r="C43" s="222">
        <f t="shared" si="9"/>
        <v>0</v>
      </c>
      <c r="D43" s="205" t="str">
        <f t="shared" si="6"/>
        <v>$$$$</v>
      </c>
      <c r="E43" s="224"/>
      <c r="F43" s="225"/>
      <c r="G43" s="226"/>
      <c r="H43" s="227"/>
      <c r="I43" s="228"/>
      <c r="J43" s="228"/>
      <c r="K43" s="229"/>
      <c r="L43" s="230"/>
      <c r="M43" s="231"/>
      <c r="N43" s="232"/>
      <c r="O43" s="230"/>
      <c r="P43" s="231"/>
      <c r="Q43" s="232"/>
      <c r="R43" s="233"/>
      <c r="S43" s="234"/>
      <c r="T43" s="235"/>
      <c r="U43" s="233"/>
      <c r="V43" s="236"/>
      <c r="W43" s="234"/>
      <c r="X43" s="235"/>
      <c r="Y43" s="237"/>
      <c r="Z43" s="238"/>
    </row>
    <row r="44" spans="1:26" s="239" customFormat="1" ht="28.5" customHeight="1" x14ac:dyDescent="0.3">
      <c r="A44" s="222">
        <f t="shared" si="7"/>
        <v>0</v>
      </c>
      <c r="B44" s="223" t="b">
        <f t="shared" si="8"/>
        <v>1</v>
      </c>
      <c r="C44" s="222">
        <f t="shared" si="9"/>
        <v>0</v>
      </c>
      <c r="D44" s="205" t="str">
        <f t="shared" si="6"/>
        <v>$$$$</v>
      </c>
      <c r="E44" s="224"/>
      <c r="F44" s="225"/>
      <c r="G44" s="226"/>
      <c r="H44" s="227"/>
      <c r="I44" s="228"/>
      <c r="J44" s="228"/>
      <c r="K44" s="229"/>
      <c r="L44" s="230"/>
      <c r="M44" s="231"/>
      <c r="N44" s="232"/>
      <c r="O44" s="230"/>
      <c r="P44" s="231"/>
      <c r="Q44" s="232"/>
      <c r="R44" s="233"/>
      <c r="S44" s="234"/>
      <c r="T44" s="235"/>
      <c r="U44" s="233"/>
      <c r="V44" s="236"/>
      <c r="W44" s="234"/>
      <c r="X44" s="235"/>
      <c r="Y44" s="237"/>
      <c r="Z44" s="238"/>
    </row>
    <row r="45" spans="1:26" s="239" customFormat="1" ht="28.5" customHeight="1" x14ac:dyDescent="0.3">
      <c r="A45" s="222">
        <f t="shared" si="7"/>
        <v>0</v>
      </c>
      <c r="B45" s="223" t="b">
        <f t="shared" si="8"/>
        <v>1</v>
      </c>
      <c r="C45" s="222">
        <f t="shared" si="9"/>
        <v>0</v>
      </c>
      <c r="D45" s="205" t="str">
        <f t="shared" si="6"/>
        <v>$$$$</v>
      </c>
      <c r="E45" s="224"/>
      <c r="F45" s="225"/>
      <c r="G45" s="226"/>
      <c r="H45" s="227"/>
      <c r="I45" s="228"/>
      <c r="J45" s="228"/>
      <c r="K45" s="229"/>
      <c r="L45" s="230"/>
      <c r="M45" s="231"/>
      <c r="N45" s="232"/>
      <c r="O45" s="230"/>
      <c r="P45" s="231"/>
      <c r="Q45" s="232"/>
      <c r="R45" s="233"/>
      <c r="S45" s="234"/>
      <c r="T45" s="235"/>
      <c r="U45" s="233"/>
      <c r="V45" s="236"/>
      <c r="W45" s="234"/>
      <c r="X45" s="235"/>
      <c r="Y45" s="237"/>
      <c r="Z45" s="238"/>
    </row>
    <row r="46" spans="1:26" s="239" customFormat="1" ht="28.5" customHeight="1" x14ac:dyDescent="0.3">
      <c r="A46" s="222">
        <f t="shared" si="7"/>
        <v>0</v>
      </c>
      <c r="B46" s="223" t="b">
        <f t="shared" si="8"/>
        <v>1</v>
      </c>
      <c r="C46" s="222">
        <f t="shared" si="9"/>
        <v>0</v>
      </c>
      <c r="D46" s="205" t="str">
        <f t="shared" si="6"/>
        <v>$$$$</v>
      </c>
      <c r="E46" s="224"/>
      <c r="F46" s="225"/>
      <c r="G46" s="226"/>
      <c r="H46" s="227"/>
      <c r="I46" s="228"/>
      <c r="J46" s="228"/>
      <c r="K46" s="229"/>
      <c r="L46" s="230"/>
      <c r="M46" s="231"/>
      <c r="N46" s="232"/>
      <c r="O46" s="230"/>
      <c r="P46" s="231"/>
      <c r="Q46" s="232"/>
      <c r="R46" s="233"/>
      <c r="S46" s="234"/>
      <c r="T46" s="235"/>
      <c r="U46" s="233"/>
      <c r="V46" s="236"/>
      <c r="W46" s="234"/>
      <c r="X46" s="235"/>
      <c r="Y46" s="237"/>
      <c r="Z46" s="238"/>
    </row>
    <row r="47" spans="1:26" s="239" customFormat="1" ht="28.5" customHeight="1" x14ac:dyDescent="0.3">
      <c r="A47" s="222">
        <f t="shared" si="7"/>
        <v>0</v>
      </c>
      <c r="B47" s="223" t="b">
        <f t="shared" si="8"/>
        <v>1</v>
      </c>
      <c r="C47" s="222">
        <f t="shared" si="9"/>
        <v>0</v>
      </c>
      <c r="D47" s="205" t="str">
        <f t="shared" si="6"/>
        <v>$$$$</v>
      </c>
      <c r="E47" s="224"/>
      <c r="F47" s="225"/>
      <c r="G47" s="226"/>
      <c r="H47" s="227"/>
      <c r="I47" s="228"/>
      <c r="J47" s="228"/>
      <c r="K47" s="229"/>
      <c r="L47" s="230"/>
      <c r="M47" s="231"/>
      <c r="N47" s="232"/>
      <c r="O47" s="230"/>
      <c r="P47" s="231"/>
      <c r="Q47" s="232"/>
      <c r="R47" s="233"/>
      <c r="S47" s="234"/>
      <c r="T47" s="235"/>
      <c r="U47" s="233"/>
      <c r="V47" s="236"/>
      <c r="W47" s="234"/>
      <c r="X47" s="235"/>
      <c r="Y47" s="237"/>
      <c r="Z47" s="238"/>
    </row>
    <row r="48" spans="1:26" s="239" customFormat="1" ht="28.5" customHeight="1" x14ac:dyDescent="0.3">
      <c r="A48" s="222">
        <f t="shared" si="7"/>
        <v>0</v>
      </c>
      <c r="B48" s="223" t="b">
        <f t="shared" si="8"/>
        <v>1</v>
      </c>
      <c r="C48" s="222">
        <f t="shared" si="9"/>
        <v>0</v>
      </c>
      <c r="D48" s="205" t="str">
        <f t="shared" si="6"/>
        <v>$$$$</v>
      </c>
      <c r="E48" s="224"/>
      <c r="F48" s="225"/>
      <c r="G48" s="226"/>
      <c r="H48" s="227"/>
      <c r="I48" s="228"/>
      <c r="J48" s="228"/>
      <c r="K48" s="229"/>
      <c r="L48" s="230"/>
      <c r="M48" s="231"/>
      <c r="N48" s="232"/>
      <c r="O48" s="230"/>
      <c r="P48" s="231"/>
      <c r="Q48" s="232"/>
      <c r="R48" s="233"/>
      <c r="S48" s="234"/>
      <c r="T48" s="235"/>
      <c r="U48" s="233"/>
      <c r="V48" s="236"/>
      <c r="W48" s="234"/>
      <c r="X48" s="235"/>
      <c r="Y48" s="237"/>
      <c r="Z48" s="238"/>
    </row>
    <row r="49" spans="1:26" s="239" customFormat="1" ht="28.5" customHeight="1" x14ac:dyDescent="0.3">
      <c r="A49" s="222">
        <f t="shared" si="7"/>
        <v>0</v>
      </c>
      <c r="B49" s="223" t="b">
        <f t="shared" si="8"/>
        <v>1</v>
      </c>
      <c r="C49" s="222">
        <f t="shared" si="9"/>
        <v>0</v>
      </c>
      <c r="D49" s="205" t="str">
        <f t="shared" si="6"/>
        <v>$$$$</v>
      </c>
      <c r="E49" s="224"/>
      <c r="F49" s="225"/>
      <c r="G49" s="226"/>
      <c r="H49" s="227"/>
      <c r="I49" s="228"/>
      <c r="J49" s="228"/>
      <c r="K49" s="229"/>
      <c r="L49" s="230"/>
      <c r="M49" s="231"/>
      <c r="N49" s="232"/>
      <c r="O49" s="230"/>
      <c r="P49" s="231"/>
      <c r="Q49" s="232"/>
      <c r="R49" s="233"/>
      <c r="S49" s="234"/>
      <c r="T49" s="235"/>
      <c r="U49" s="233"/>
      <c r="V49" s="236"/>
      <c r="W49" s="234"/>
      <c r="X49" s="235"/>
      <c r="Y49" s="237"/>
      <c r="Z49" s="238"/>
    </row>
    <row r="50" spans="1:26" s="239" customFormat="1" ht="28.5" customHeight="1" x14ac:dyDescent="0.3">
      <c r="A50" s="222">
        <f t="shared" si="7"/>
        <v>0</v>
      </c>
      <c r="B50" s="223" t="b">
        <f t="shared" si="8"/>
        <v>1</v>
      </c>
      <c r="C50" s="222">
        <f t="shared" si="9"/>
        <v>0</v>
      </c>
      <c r="D50" s="205" t="str">
        <f t="shared" si="6"/>
        <v>$$$$</v>
      </c>
      <c r="E50" s="224"/>
      <c r="F50" s="225"/>
      <c r="G50" s="226"/>
      <c r="H50" s="227"/>
      <c r="I50" s="228"/>
      <c r="J50" s="228"/>
      <c r="K50" s="229"/>
      <c r="L50" s="230"/>
      <c r="M50" s="231"/>
      <c r="N50" s="232"/>
      <c r="O50" s="230"/>
      <c r="P50" s="231"/>
      <c r="Q50" s="232"/>
      <c r="R50" s="233"/>
      <c r="S50" s="234"/>
      <c r="T50" s="235"/>
      <c r="U50" s="233"/>
      <c r="V50" s="236"/>
      <c r="W50" s="234"/>
      <c r="X50" s="235"/>
      <c r="Y50" s="237"/>
      <c r="Z50" s="238"/>
    </row>
    <row r="51" spans="1:26" s="239" customFormat="1" ht="28.5" customHeight="1" x14ac:dyDescent="0.3">
      <c r="A51" s="222">
        <f t="shared" si="7"/>
        <v>0</v>
      </c>
      <c r="B51" s="223" t="b">
        <f t="shared" si="8"/>
        <v>1</v>
      </c>
      <c r="C51" s="222">
        <f t="shared" si="9"/>
        <v>0</v>
      </c>
      <c r="D51" s="205" t="str">
        <f t="shared" si="6"/>
        <v>$$$$</v>
      </c>
      <c r="E51" s="224"/>
      <c r="F51" s="225"/>
      <c r="G51" s="226"/>
      <c r="H51" s="227"/>
      <c r="I51" s="228"/>
      <c r="J51" s="228"/>
      <c r="K51" s="229"/>
      <c r="L51" s="230"/>
      <c r="M51" s="231"/>
      <c r="N51" s="232"/>
      <c r="O51" s="230"/>
      <c r="P51" s="231"/>
      <c r="Q51" s="232"/>
      <c r="R51" s="233"/>
      <c r="S51" s="234"/>
      <c r="T51" s="235"/>
      <c r="U51" s="233"/>
      <c r="V51" s="236"/>
      <c r="W51" s="234"/>
      <c r="X51" s="235"/>
      <c r="Y51" s="237"/>
      <c r="Z51" s="238"/>
    </row>
    <row r="52" spans="1:26" s="239" customFormat="1" ht="28.5" customHeight="1" x14ac:dyDescent="0.3">
      <c r="A52" s="222">
        <f t="shared" si="7"/>
        <v>0</v>
      </c>
      <c r="B52" s="223" t="b">
        <f t="shared" si="8"/>
        <v>1</v>
      </c>
      <c r="C52" s="222">
        <f t="shared" si="9"/>
        <v>0</v>
      </c>
      <c r="D52" s="205" t="str">
        <f t="shared" si="6"/>
        <v>$$$$</v>
      </c>
      <c r="E52" s="224"/>
      <c r="F52" s="225"/>
      <c r="G52" s="226"/>
      <c r="H52" s="227"/>
      <c r="I52" s="228"/>
      <c r="J52" s="228"/>
      <c r="K52" s="229"/>
      <c r="L52" s="230"/>
      <c r="M52" s="231"/>
      <c r="N52" s="232"/>
      <c r="O52" s="230"/>
      <c r="P52" s="231"/>
      <c r="Q52" s="232"/>
      <c r="R52" s="233"/>
      <c r="S52" s="234"/>
      <c r="T52" s="235"/>
      <c r="U52" s="233"/>
      <c r="V52" s="236"/>
      <c r="W52" s="234"/>
      <c r="X52" s="235"/>
      <c r="Y52" s="237"/>
      <c r="Z52" s="238"/>
    </row>
    <row r="53" spans="1:26" s="239" customFormat="1" ht="28.5" customHeight="1" x14ac:dyDescent="0.3">
      <c r="A53" s="222">
        <f t="shared" si="7"/>
        <v>0</v>
      </c>
      <c r="B53" s="223" t="b">
        <f t="shared" si="8"/>
        <v>1</v>
      </c>
      <c r="C53" s="222">
        <f t="shared" si="9"/>
        <v>0</v>
      </c>
      <c r="D53" s="205" t="str">
        <f t="shared" si="6"/>
        <v>$$$$</v>
      </c>
      <c r="E53" s="224"/>
      <c r="F53" s="225"/>
      <c r="G53" s="226"/>
      <c r="H53" s="227"/>
      <c r="I53" s="228"/>
      <c r="J53" s="228"/>
      <c r="K53" s="229"/>
      <c r="L53" s="230"/>
      <c r="M53" s="231"/>
      <c r="N53" s="232"/>
      <c r="O53" s="230"/>
      <c r="P53" s="231"/>
      <c r="Q53" s="232"/>
      <c r="R53" s="233"/>
      <c r="S53" s="234"/>
      <c r="T53" s="235"/>
      <c r="U53" s="233"/>
      <c r="V53" s="236"/>
      <c r="W53" s="234"/>
      <c r="X53" s="235"/>
      <c r="Y53" s="237"/>
      <c r="Z53" s="238"/>
    </row>
    <row r="54" spans="1:26" s="239" customFormat="1" ht="28.5" customHeight="1" x14ac:dyDescent="0.3">
      <c r="A54" s="222">
        <f t="shared" si="7"/>
        <v>0</v>
      </c>
      <c r="B54" s="223" t="b">
        <f t="shared" si="8"/>
        <v>1</v>
      </c>
      <c r="C54" s="222">
        <f t="shared" si="9"/>
        <v>0</v>
      </c>
      <c r="D54" s="205" t="str">
        <f t="shared" si="6"/>
        <v>$$$$</v>
      </c>
      <c r="E54" s="224"/>
      <c r="F54" s="225"/>
      <c r="G54" s="226"/>
      <c r="H54" s="227"/>
      <c r="I54" s="228"/>
      <c r="J54" s="228"/>
      <c r="K54" s="229"/>
      <c r="L54" s="230"/>
      <c r="M54" s="231"/>
      <c r="N54" s="232"/>
      <c r="O54" s="230"/>
      <c r="P54" s="231"/>
      <c r="Q54" s="232"/>
      <c r="R54" s="233"/>
      <c r="S54" s="234"/>
      <c r="T54" s="235"/>
      <c r="U54" s="233"/>
      <c r="V54" s="236"/>
      <c r="W54" s="234"/>
      <c r="X54" s="235"/>
      <c r="Y54" s="237"/>
      <c r="Z54" s="238"/>
    </row>
    <row r="55" spans="1:26" s="239" customFormat="1" ht="28.5" customHeight="1" x14ac:dyDescent="0.3">
      <c r="A55" s="222">
        <f t="shared" si="7"/>
        <v>0</v>
      </c>
      <c r="B55" s="223" t="b">
        <f t="shared" si="8"/>
        <v>1</v>
      </c>
      <c r="C55" s="222">
        <f t="shared" si="9"/>
        <v>0</v>
      </c>
      <c r="D55" s="205" t="str">
        <f t="shared" si="6"/>
        <v>$$$$</v>
      </c>
      <c r="E55" s="224"/>
      <c r="F55" s="225"/>
      <c r="G55" s="226"/>
      <c r="H55" s="227"/>
      <c r="I55" s="228"/>
      <c r="J55" s="228"/>
      <c r="K55" s="229"/>
      <c r="L55" s="230"/>
      <c r="M55" s="231"/>
      <c r="N55" s="232"/>
      <c r="O55" s="230"/>
      <c r="P55" s="231"/>
      <c r="Q55" s="232"/>
      <c r="R55" s="233"/>
      <c r="S55" s="234"/>
      <c r="T55" s="235"/>
      <c r="U55" s="233"/>
      <c r="V55" s="236"/>
      <c r="W55" s="234"/>
      <c r="X55" s="235"/>
      <c r="Y55" s="237"/>
      <c r="Z55" s="238"/>
    </row>
    <row r="56" spans="1:26" s="239" customFormat="1" ht="28.5" customHeight="1" x14ac:dyDescent="0.3">
      <c r="A56" s="222">
        <f t="shared" si="7"/>
        <v>0</v>
      </c>
      <c r="B56" s="223" t="b">
        <f t="shared" si="8"/>
        <v>1</v>
      </c>
      <c r="C56" s="222">
        <f t="shared" si="9"/>
        <v>0</v>
      </c>
      <c r="D56" s="205" t="str">
        <f t="shared" si="6"/>
        <v>$$$$</v>
      </c>
      <c r="E56" s="224"/>
      <c r="F56" s="225"/>
      <c r="G56" s="226"/>
      <c r="H56" s="227"/>
      <c r="I56" s="228"/>
      <c r="J56" s="228"/>
      <c r="K56" s="229"/>
      <c r="L56" s="230"/>
      <c r="M56" s="231"/>
      <c r="N56" s="232"/>
      <c r="O56" s="230"/>
      <c r="P56" s="231"/>
      <c r="Q56" s="232"/>
      <c r="R56" s="233"/>
      <c r="S56" s="234"/>
      <c r="T56" s="235"/>
      <c r="U56" s="233"/>
      <c r="V56" s="236"/>
      <c r="W56" s="234"/>
      <c r="X56" s="235"/>
      <c r="Y56" s="237"/>
      <c r="Z56" s="238"/>
    </row>
    <row r="57" spans="1:26" s="239" customFormat="1" ht="28.5" customHeight="1" x14ac:dyDescent="0.3">
      <c r="A57" s="222">
        <f t="shared" si="7"/>
        <v>0</v>
      </c>
      <c r="B57" s="223" t="b">
        <f t="shared" si="8"/>
        <v>1</v>
      </c>
      <c r="C57" s="222">
        <f t="shared" si="9"/>
        <v>0</v>
      </c>
      <c r="D57" s="205" t="str">
        <f t="shared" si="6"/>
        <v>$$$$</v>
      </c>
      <c r="E57" s="224"/>
      <c r="F57" s="225"/>
      <c r="G57" s="226"/>
      <c r="H57" s="227"/>
      <c r="I57" s="228"/>
      <c r="J57" s="228"/>
      <c r="K57" s="229"/>
      <c r="L57" s="230"/>
      <c r="M57" s="231"/>
      <c r="N57" s="232"/>
      <c r="O57" s="230"/>
      <c r="P57" s="231"/>
      <c r="Q57" s="232"/>
      <c r="R57" s="233"/>
      <c r="S57" s="234"/>
      <c r="T57" s="235"/>
      <c r="U57" s="233"/>
      <c r="V57" s="236"/>
      <c r="W57" s="234"/>
      <c r="X57" s="235"/>
      <c r="Y57" s="237"/>
      <c r="Z57" s="238"/>
    </row>
    <row r="58" spans="1:26" s="239" customFormat="1" ht="28.5" customHeight="1" x14ac:dyDescent="0.3">
      <c r="A58" s="222">
        <f t="shared" si="7"/>
        <v>0</v>
      </c>
      <c r="B58" s="223" t="b">
        <f t="shared" si="8"/>
        <v>1</v>
      </c>
      <c r="C58" s="222">
        <f t="shared" si="9"/>
        <v>0</v>
      </c>
      <c r="D58" s="205" t="str">
        <f t="shared" si="6"/>
        <v>$$$$</v>
      </c>
      <c r="E58" s="224"/>
      <c r="F58" s="225"/>
      <c r="G58" s="226"/>
      <c r="H58" s="227"/>
      <c r="I58" s="228"/>
      <c r="J58" s="228"/>
      <c r="K58" s="229"/>
      <c r="L58" s="230"/>
      <c r="M58" s="231"/>
      <c r="N58" s="232"/>
      <c r="O58" s="230"/>
      <c r="P58" s="231"/>
      <c r="Q58" s="232"/>
      <c r="R58" s="233"/>
      <c r="S58" s="234"/>
      <c r="T58" s="235"/>
      <c r="U58" s="233"/>
      <c r="V58" s="236"/>
      <c r="W58" s="234"/>
      <c r="X58" s="235"/>
      <c r="Y58" s="237"/>
      <c r="Z58" s="238"/>
    </row>
    <row r="59" spans="1:26" s="239" customFormat="1" ht="28.5" customHeight="1" x14ac:dyDescent="0.3">
      <c r="A59" s="222">
        <f t="shared" si="7"/>
        <v>0</v>
      </c>
      <c r="B59" s="223" t="b">
        <f t="shared" si="8"/>
        <v>1</v>
      </c>
      <c r="C59" s="222">
        <f t="shared" si="9"/>
        <v>0</v>
      </c>
      <c r="D59" s="205" t="str">
        <f t="shared" si="6"/>
        <v>$$$$</v>
      </c>
      <c r="E59" s="224"/>
      <c r="F59" s="225"/>
      <c r="G59" s="226"/>
      <c r="H59" s="227"/>
      <c r="I59" s="228"/>
      <c r="J59" s="228"/>
      <c r="K59" s="229"/>
      <c r="L59" s="230"/>
      <c r="M59" s="231"/>
      <c r="N59" s="232"/>
      <c r="O59" s="230"/>
      <c r="P59" s="231"/>
      <c r="Q59" s="232"/>
      <c r="R59" s="233"/>
      <c r="S59" s="234"/>
      <c r="T59" s="235"/>
      <c r="U59" s="233"/>
      <c r="V59" s="236"/>
      <c r="W59" s="234"/>
      <c r="X59" s="235"/>
      <c r="Y59" s="237"/>
      <c r="Z59" s="238"/>
    </row>
    <row r="60" spans="1:26" s="239" customFormat="1" ht="28.5" customHeight="1" x14ac:dyDescent="0.3">
      <c r="A60" s="222">
        <f t="shared" si="7"/>
        <v>0</v>
      </c>
      <c r="B60" s="223" t="b">
        <f t="shared" si="8"/>
        <v>1</v>
      </c>
      <c r="C60" s="222">
        <f t="shared" si="9"/>
        <v>0</v>
      </c>
      <c r="D60" s="205" t="str">
        <f t="shared" si="6"/>
        <v>$$$$</v>
      </c>
      <c r="E60" s="224"/>
      <c r="F60" s="225"/>
      <c r="G60" s="226"/>
      <c r="H60" s="227"/>
      <c r="I60" s="228"/>
      <c r="J60" s="228"/>
      <c r="K60" s="229"/>
      <c r="L60" s="230"/>
      <c r="M60" s="231"/>
      <c r="N60" s="232"/>
      <c r="O60" s="230"/>
      <c r="P60" s="231"/>
      <c r="Q60" s="232"/>
      <c r="R60" s="233"/>
      <c r="S60" s="234"/>
      <c r="T60" s="235"/>
      <c r="U60" s="233"/>
      <c r="V60" s="236"/>
      <c r="W60" s="234"/>
      <c r="X60" s="235"/>
      <c r="Y60" s="237"/>
      <c r="Z60" s="238"/>
    </row>
    <row r="61" spans="1:26" s="239" customFormat="1" ht="28.5" customHeight="1" x14ac:dyDescent="0.3">
      <c r="A61" s="222">
        <f t="shared" si="7"/>
        <v>0</v>
      </c>
      <c r="B61" s="223" t="b">
        <f t="shared" si="8"/>
        <v>1</v>
      </c>
      <c r="C61" s="222">
        <f t="shared" si="9"/>
        <v>0</v>
      </c>
      <c r="D61" s="205" t="str">
        <f t="shared" si="6"/>
        <v>$$$$</v>
      </c>
      <c r="E61" s="224"/>
      <c r="F61" s="225"/>
      <c r="G61" s="226"/>
      <c r="H61" s="227"/>
      <c r="I61" s="228"/>
      <c r="J61" s="228"/>
      <c r="K61" s="229"/>
      <c r="L61" s="230"/>
      <c r="M61" s="231"/>
      <c r="N61" s="232"/>
      <c r="O61" s="230"/>
      <c r="P61" s="231"/>
      <c r="Q61" s="232"/>
      <c r="R61" s="233"/>
      <c r="S61" s="234"/>
      <c r="T61" s="235"/>
      <c r="U61" s="233"/>
      <c r="V61" s="236"/>
      <c r="W61" s="234"/>
      <c r="X61" s="235"/>
      <c r="Y61" s="237"/>
      <c r="Z61" s="238"/>
    </row>
    <row r="62" spans="1:26" s="239" customFormat="1" ht="28.5" customHeight="1" x14ac:dyDescent="0.3">
      <c r="A62" s="222">
        <f t="shared" si="7"/>
        <v>0</v>
      </c>
      <c r="B62" s="223" t="b">
        <f t="shared" si="8"/>
        <v>1</v>
      </c>
      <c r="C62" s="222">
        <f t="shared" si="9"/>
        <v>0</v>
      </c>
      <c r="D62" s="205" t="str">
        <f t="shared" si="6"/>
        <v>$$$$</v>
      </c>
      <c r="E62" s="224"/>
      <c r="F62" s="225"/>
      <c r="G62" s="226"/>
      <c r="H62" s="227"/>
      <c r="I62" s="228"/>
      <c r="J62" s="228"/>
      <c r="K62" s="229"/>
      <c r="L62" s="230"/>
      <c r="M62" s="231"/>
      <c r="N62" s="232"/>
      <c r="O62" s="230"/>
      <c r="P62" s="231"/>
      <c r="Q62" s="232"/>
      <c r="R62" s="233"/>
      <c r="S62" s="234"/>
      <c r="T62" s="235"/>
      <c r="U62" s="233"/>
      <c r="V62" s="236"/>
      <c r="W62" s="234"/>
      <c r="X62" s="235"/>
      <c r="Y62" s="237"/>
      <c r="Z62" s="238"/>
    </row>
    <row r="63" spans="1:26" s="239" customFormat="1" ht="28.5" customHeight="1" x14ac:dyDescent="0.3">
      <c r="A63" s="222">
        <f t="shared" si="7"/>
        <v>0</v>
      </c>
      <c r="B63" s="223" t="b">
        <f t="shared" si="8"/>
        <v>1</v>
      </c>
      <c r="C63" s="222">
        <f t="shared" si="9"/>
        <v>0</v>
      </c>
      <c r="D63" s="205" t="str">
        <f t="shared" si="6"/>
        <v>$$$$</v>
      </c>
      <c r="E63" s="224"/>
      <c r="F63" s="225"/>
      <c r="G63" s="226"/>
      <c r="H63" s="227"/>
      <c r="I63" s="228"/>
      <c r="J63" s="228"/>
      <c r="K63" s="229"/>
      <c r="L63" s="230"/>
      <c r="M63" s="231"/>
      <c r="N63" s="232"/>
      <c r="O63" s="230"/>
      <c r="P63" s="231"/>
      <c r="Q63" s="232"/>
      <c r="R63" s="233"/>
      <c r="S63" s="234"/>
      <c r="T63" s="235"/>
      <c r="U63" s="233"/>
      <c r="V63" s="236"/>
      <c r="W63" s="234"/>
      <c r="X63" s="235"/>
      <c r="Y63" s="237"/>
      <c r="Z63" s="238"/>
    </row>
    <row r="64" spans="1:26" s="239" customFormat="1" ht="28.5" customHeight="1" x14ac:dyDescent="0.3">
      <c r="A64" s="222">
        <f t="shared" si="7"/>
        <v>0</v>
      </c>
      <c r="B64" s="223" t="b">
        <f t="shared" si="8"/>
        <v>1</v>
      </c>
      <c r="C64" s="222">
        <f t="shared" si="9"/>
        <v>0</v>
      </c>
      <c r="D64" s="205" t="str">
        <f t="shared" si="6"/>
        <v>$$$$</v>
      </c>
      <c r="E64" s="224"/>
      <c r="F64" s="225"/>
      <c r="G64" s="226"/>
      <c r="H64" s="227"/>
      <c r="I64" s="228"/>
      <c r="J64" s="228"/>
      <c r="K64" s="229"/>
      <c r="L64" s="230"/>
      <c r="M64" s="231"/>
      <c r="N64" s="232"/>
      <c r="O64" s="230"/>
      <c r="P64" s="231"/>
      <c r="Q64" s="232"/>
      <c r="R64" s="233"/>
      <c r="S64" s="234"/>
      <c r="T64" s="235"/>
      <c r="U64" s="233"/>
      <c r="V64" s="236"/>
      <c r="W64" s="234"/>
      <c r="X64" s="235"/>
      <c r="Y64" s="237"/>
      <c r="Z64" s="238"/>
    </row>
    <row r="65" spans="1:26" s="239" customFormat="1" ht="28.5" customHeight="1" x14ac:dyDescent="0.3">
      <c r="A65" s="222">
        <f t="shared" si="7"/>
        <v>0</v>
      </c>
      <c r="B65" s="223" t="b">
        <f t="shared" si="8"/>
        <v>1</v>
      </c>
      <c r="C65" s="222">
        <f t="shared" si="9"/>
        <v>0</v>
      </c>
      <c r="D65" s="205" t="str">
        <f t="shared" si="6"/>
        <v>$$$$</v>
      </c>
      <c r="E65" s="224"/>
      <c r="F65" s="225"/>
      <c r="G65" s="226"/>
      <c r="H65" s="227"/>
      <c r="I65" s="228"/>
      <c r="J65" s="228"/>
      <c r="K65" s="229"/>
      <c r="L65" s="230"/>
      <c r="M65" s="231"/>
      <c r="N65" s="232"/>
      <c r="O65" s="230"/>
      <c r="P65" s="231"/>
      <c r="Q65" s="232"/>
      <c r="R65" s="233"/>
      <c r="S65" s="234"/>
      <c r="T65" s="235"/>
      <c r="U65" s="233"/>
      <c r="V65" s="236"/>
      <c r="W65" s="234"/>
      <c r="X65" s="235"/>
      <c r="Y65" s="237"/>
      <c r="Z65" s="238"/>
    </row>
    <row r="66" spans="1:26" s="239" customFormat="1" ht="28.5" customHeight="1" x14ac:dyDescent="0.3">
      <c r="A66" s="222">
        <f t="shared" si="7"/>
        <v>0</v>
      </c>
      <c r="B66" s="223" t="b">
        <f t="shared" si="8"/>
        <v>1</v>
      </c>
      <c r="C66" s="222">
        <f t="shared" si="9"/>
        <v>0</v>
      </c>
      <c r="D66" s="205" t="str">
        <f t="shared" si="6"/>
        <v>$$$$</v>
      </c>
      <c r="E66" s="224"/>
      <c r="F66" s="225"/>
      <c r="G66" s="226"/>
      <c r="H66" s="227"/>
      <c r="I66" s="228"/>
      <c r="J66" s="228"/>
      <c r="K66" s="229"/>
      <c r="L66" s="230"/>
      <c r="M66" s="231"/>
      <c r="N66" s="232"/>
      <c r="O66" s="230"/>
      <c r="P66" s="231"/>
      <c r="Q66" s="232"/>
      <c r="R66" s="233"/>
      <c r="S66" s="234"/>
      <c r="T66" s="235"/>
      <c r="U66" s="233"/>
      <c r="V66" s="236"/>
      <c r="W66" s="234"/>
      <c r="X66" s="235"/>
      <c r="Y66" s="237"/>
      <c r="Z66" s="238"/>
    </row>
    <row r="67" spans="1:26" s="239" customFormat="1" ht="28.5" customHeight="1" x14ac:dyDescent="0.3">
      <c r="A67" s="222">
        <f t="shared" si="7"/>
        <v>0</v>
      </c>
      <c r="B67" s="223" t="b">
        <f t="shared" si="8"/>
        <v>1</v>
      </c>
      <c r="C67" s="222">
        <f t="shared" si="9"/>
        <v>0</v>
      </c>
      <c r="D67" s="205" t="str">
        <f t="shared" si="6"/>
        <v>$$$$</v>
      </c>
      <c r="E67" s="224"/>
      <c r="F67" s="225"/>
      <c r="G67" s="226"/>
      <c r="H67" s="227"/>
      <c r="I67" s="228"/>
      <c r="J67" s="228"/>
      <c r="K67" s="229"/>
      <c r="L67" s="230"/>
      <c r="M67" s="231"/>
      <c r="N67" s="232"/>
      <c r="O67" s="230"/>
      <c r="P67" s="231"/>
      <c r="Q67" s="232"/>
      <c r="R67" s="233"/>
      <c r="S67" s="234"/>
      <c r="T67" s="235"/>
      <c r="U67" s="233"/>
      <c r="V67" s="236"/>
      <c r="W67" s="234"/>
      <c r="X67" s="235"/>
      <c r="Y67" s="237"/>
      <c r="Z67" s="238"/>
    </row>
    <row r="68" spans="1:26" s="239" customFormat="1" ht="28.5" customHeight="1" x14ac:dyDescent="0.3">
      <c r="A68" s="222">
        <f t="shared" si="7"/>
        <v>0</v>
      </c>
      <c r="B68" s="223" t="b">
        <f t="shared" si="8"/>
        <v>1</v>
      </c>
      <c r="C68" s="222">
        <f t="shared" si="9"/>
        <v>0</v>
      </c>
      <c r="D68" s="205" t="str">
        <f t="shared" si="6"/>
        <v>$$$$</v>
      </c>
      <c r="E68" s="224"/>
      <c r="F68" s="225"/>
      <c r="G68" s="226"/>
      <c r="H68" s="227"/>
      <c r="I68" s="228"/>
      <c r="J68" s="228"/>
      <c r="K68" s="229"/>
      <c r="L68" s="230"/>
      <c r="M68" s="231"/>
      <c r="N68" s="232"/>
      <c r="O68" s="230"/>
      <c r="P68" s="231"/>
      <c r="Q68" s="232"/>
      <c r="R68" s="233"/>
      <c r="S68" s="234"/>
      <c r="T68" s="235"/>
      <c r="U68" s="233"/>
      <c r="V68" s="236"/>
      <c r="W68" s="234"/>
      <c r="X68" s="235"/>
      <c r="Y68" s="237"/>
      <c r="Z68" s="238"/>
    </row>
    <row r="69" spans="1:26" s="239" customFormat="1" ht="28.5" customHeight="1" x14ac:dyDescent="0.3">
      <c r="A69" s="222">
        <f t="shared" si="7"/>
        <v>0</v>
      </c>
      <c r="B69" s="223" t="b">
        <f t="shared" si="8"/>
        <v>1</v>
      </c>
      <c r="C69" s="222">
        <f t="shared" si="9"/>
        <v>0</v>
      </c>
      <c r="D69" s="205" t="str">
        <f t="shared" si="6"/>
        <v>$$$$</v>
      </c>
      <c r="E69" s="224"/>
      <c r="F69" s="225"/>
      <c r="G69" s="226"/>
      <c r="H69" s="227"/>
      <c r="I69" s="228"/>
      <c r="J69" s="228"/>
      <c r="K69" s="229"/>
      <c r="L69" s="230"/>
      <c r="M69" s="231"/>
      <c r="N69" s="232"/>
      <c r="O69" s="230"/>
      <c r="P69" s="231"/>
      <c r="Q69" s="232"/>
      <c r="R69" s="233"/>
      <c r="S69" s="234"/>
      <c r="T69" s="235"/>
      <c r="U69" s="233"/>
      <c r="V69" s="236"/>
      <c r="W69" s="234"/>
      <c r="X69" s="235"/>
      <c r="Y69" s="237"/>
      <c r="Z69" s="238"/>
    </row>
    <row r="70" spans="1:26" s="239" customFormat="1" ht="28.5" customHeight="1" x14ac:dyDescent="0.3">
      <c r="A70" s="222">
        <f t="shared" si="7"/>
        <v>0</v>
      </c>
      <c r="B70" s="223" t="b">
        <f t="shared" si="8"/>
        <v>1</v>
      </c>
      <c r="C70" s="222">
        <f t="shared" si="9"/>
        <v>0</v>
      </c>
      <c r="D70" s="205" t="str">
        <f t="shared" si="6"/>
        <v>$$$$</v>
      </c>
      <c r="E70" s="224"/>
      <c r="F70" s="225"/>
      <c r="G70" s="226"/>
      <c r="H70" s="227"/>
      <c r="I70" s="228"/>
      <c r="J70" s="228"/>
      <c r="K70" s="229"/>
      <c r="L70" s="230"/>
      <c r="M70" s="231"/>
      <c r="N70" s="232"/>
      <c r="O70" s="230"/>
      <c r="P70" s="231"/>
      <c r="Q70" s="232"/>
      <c r="R70" s="233"/>
      <c r="S70" s="234"/>
      <c r="T70" s="235"/>
      <c r="U70" s="233"/>
      <c r="V70" s="236"/>
      <c r="W70" s="234"/>
      <c r="X70" s="235"/>
      <c r="Y70" s="237"/>
      <c r="Z70" s="238"/>
    </row>
    <row r="71" spans="1:26" s="239" customFormat="1" ht="28.5" customHeight="1" x14ac:dyDescent="0.3">
      <c r="A71" s="222">
        <f t="shared" ref="A71:A102" si="10">IF(B71,0,MATCH(H71,ВидыНагр,0))</f>
        <v>0</v>
      </c>
      <c r="B71" s="223" t="b">
        <f t="shared" ref="B71:B102" si="11">(COUNTIF(КлючВесна,D71)&lt;&gt;1)</f>
        <v>1</v>
      </c>
      <c r="C71" s="222">
        <f t="shared" ref="C71:C102" si="12">IF(COUNTA(E71:K71,Z71)&gt;0,1,0)+IF(COUNTA(L71:Y71)&gt;0,2,0)</f>
        <v>0</v>
      </c>
      <c r="D71" s="205" t="str">
        <f t="shared" si="6"/>
        <v>$$$$</v>
      </c>
      <c r="E71" s="224"/>
      <c r="F71" s="225"/>
      <c r="G71" s="226"/>
      <c r="H71" s="227"/>
      <c r="I71" s="228"/>
      <c r="J71" s="228"/>
      <c r="K71" s="229"/>
      <c r="L71" s="230"/>
      <c r="M71" s="231"/>
      <c r="N71" s="232"/>
      <c r="O71" s="230"/>
      <c r="P71" s="231"/>
      <c r="Q71" s="232"/>
      <c r="R71" s="233"/>
      <c r="S71" s="234"/>
      <c r="T71" s="235"/>
      <c r="U71" s="233"/>
      <c r="V71" s="236"/>
      <c r="W71" s="234"/>
      <c r="X71" s="235"/>
      <c r="Y71" s="237"/>
      <c r="Z71" s="238"/>
    </row>
    <row r="72" spans="1:26" s="239" customFormat="1" ht="28.5" customHeight="1" x14ac:dyDescent="0.3">
      <c r="A72" s="222">
        <f t="shared" si="10"/>
        <v>0</v>
      </c>
      <c r="B72" s="223" t="b">
        <f t="shared" si="11"/>
        <v>1</v>
      </c>
      <c r="C72" s="222">
        <f t="shared" si="12"/>
        <v>0</v>
      </c>
      <c r="D72" s="205" t="str">
        <f t="shared" ref="D72:D159" si="13">CONCATENATE("$",TRIM(F72),"$",TRIM(G72),"$",H72,"$")</f>
        <v>$$$$</v>
      </c>
      <c r="E72" s="224"/>
      <c r="F72" s="225"/>
      <c r="G72" s="226"/>
      <c r="H72" s="227"/>
      <c r="I72" s="228"/>
      <c r="J72" s="228"/>
      <c r="K72" s="229"/>
      <c r="L72" s="230"/>
      <c r="M72" s="231"/>
      <c r="N72" s="232"/>
      <c r="O72" s="230"/>
      <c r="P72" s="231"/>
      <c r="Q72" s="232"/>
      <c r="R72" s="233"/>
      <c r="S72" s="234"/>
      <c r="T72" s="235"/>
      <c r="U72" s="233"/>
      <c r="V72" s="236"/>
      <c r="W72" s="234"/>
      <c r="X72" s="235"/>
      <c r="Y72" s="237"/>
      <c r="Z72" s="238"/>
    </row>
    <row r="73" spans="1:26" s="239" customFormat="1" ht="28.5" customHeight="1" x14ac:dyDescent="0.3">
      <c r="A73" s="222">
        <f t="shared" si="10"/>
        <v>0</v>
      </c>
      <c r="B73" s="223" t="b">
        <f t="shared" si="11"/>
        <v>1</v>
      </c>
      <c r="C73" s="222">
        <f t="shared" si="12"/>
        <v>0</v>
      </c>
      <c r="D73" s="205" t="str">
        <f t="shared" si="13"/>
        <v>$$$$</v>
      </c>
      <c r="E73" s="224"/>
      <c r="F73" s="225"/>
      <c r="G73" s="226"/>
      <c r="H73" s="227"/>
      <c r="I73" s="228"/>
      <c r="J73" s="228"/>
      <c r="K73" s="229"/>
      <c r="L73" s="230"/>
      <c r="M73" s="231"/>
      <c r="N73" s="232"/>
      <c r="O73" s="230"/>
      <c r="P73" s="231"/>
      <c r="Q73" s="232"/>
      <c r="R73" s="233"/>
      <c r="S73" s="234"/>
      <c r="T73" s="235"/>
      <c r="U73" s="233"/>
      <c r="V73" s="236"/>
      <c r="W73" s="234"/>
      <c r="X73" s="235"/>
      <c r="Y73" s="237"/>
      <c r="Z73" s="238"/>
    </row>
    <row r="74" spans="1:26" s="239" customFormat="1" ht="28.5" customHeight="1" x14ac:dyDescent="0.3">
      <c r="A74" s="222">
        <f t="shared" si="10"/>
        <v>0</v>
      </c>
      <c r="B74" s="223" t="b">
        <f t="shared" si="11"/>
        <v>1</v>
      </c>
      <c r="C74" s="222">
        <f t="shared" si="12"/>
        <v>0</v>
      </c>
      <c r="D74" s="205" t="str">
        <f t="shared" si="13"/>
        <v>$$$$</v>
      </c>
      <c r="E74" s="224"/>
      <c r="F74" s="225"/>
      <c r="G74" s="226"/>
      <c r="H74" s="227"/>
      <c r="I74" s="228"/>
      <c r="J74" s="228"/>
      <c r="K74" s="229"/>
      <c r="L74" s="230"/>
      <c r="M74" s="231"/>
      <c r="N74" s="232"/>
      <c r="O74" s="230"/>
      <c r="P74" s="231"/>
      <c r="Q74" s="232"/>
      <c r="R74" s="233"/>
      <c r="S74" s="234"/>
      <c r="T74" s="235"/>
      <c r="U74" s="233"/>
      <c r="V74" s="236"/>
      <c r="W74" s="234"/>
      <c r="X74" s="235"/>
      <c r="Y74" s="237"/>
      <c r="Z74" s="238"/>
    </row>
    <row r="75" spans="1:26" s="239" customFormat="1" ht="28.5" customHeight="1" x14ac:dyDescent="0.3">
      <c r="A75" s="222">
        <f t="shared" si="10"/>
        <v>0</v>
      </c>
      <c r="B75" s="223" t="b">
        <f t="shared" si="11"/>
        <v>1</v>
      </c>
      <c r="C75" s="222">
        <f t="shared" si="12"/>
        <v>0</v>
      </c>
      <c r="D75" s="205" t="str">
        <f t="shared" si="13"/>
        <v>$$$$</v>
      </c>
      <c r="E75" s="224"/>
      <c r="F75" s="225"/>
      <c r="G75" s="226"/>
      <c r="H75" s="227"/>
      <c r="I75" s="228"/>
      <c r="J75" s="228"/>
      <c r="K75" s="229"/>
      <c r="L75" s="230"/>
      <c r="M75" s="231"/>
      <c r="N75" s="232"/>
      <c r="O75" s="230"/>
      <c r="P75" s="231"/>
      <c r="Q75" s="232"/>
      <c r="R75" s="233"/>
      <c r="S75" s="234"/>
      <c r="T75" s="235"/>
      <c r="U75" s="233"/>
      <c r="V75" s="236"/>
      <c r="W75" s="234"/>
      <c r="X75" s="235"/>
      <c r="Y75" s="237"/>
      <c r="Z75" s="238"/>
    </row>
    <row r="76" spans="1:26" s="239" customFormat="1" ht="28.5" customHeight="1" x14ac:dyDescent="0.3">
      <c r="A76" s="222">
        <f t="shared" si="10"/>
        <v>0</v>
      </c>
      <c r="B76" s="223" t="b">
        <f t="shared" si="11"/>
        <v>1</v>
      </c>
      <c r="C76" s="222">
        <f t="shared" si="12"/>
        <v>0</v>
      </c>
      <c r="D76" s="205" t="str">
        <f t="shared" si="13"/>
        <v>$$$$</v>
      </c>
      <c r="E76" s="224"/>
      <c r="F76" s="225"/>
      <c r="G76" s="226"/>
      <c r="H76" s="227"/>
      <c r="I76" s="228"/>
      <c r="J76" s="228"/>
      <c r="K76" s="229"/>
      <c r="L76" s="230"/>
      <c r="M76" s="231"/>
      <c r="N76" s="232"/>
      <c r="O76" s="230"/>
      <c r="P76" s="231"/>
      <c r="Q76" s="232"/>
      <c r="R76" s="233"/>
      <c r="S76" s="234"/>
      <c r="T76" s="235"/>
      <c r="U76" s="233"/>
      <c r="V76" s="236"/>
      <c r="W76" s="234"/>
      <c r="X76" s="235"/>
      <c r="Y76" s="237"/>
      <c r="Z76" s="238"/>
    </row>
    <row r="77" spans="1:26" s="239" customFormat="1" ht="28.5" customHeight="1" x14ac:dyDescent="0.3">
      <c r="A77" s="222">
        <f t="shared" si="10"/>
        <v>0</v>
      </c>
      <c r="B77" s="223" t="b">
        <f t="shared" si="11"/>
        <v>1</v>
      </c>
      <c r="C77" s="222">
        <f t="shared" si="12"/>
        <v>0</v>
      </c>
      <c r="D77" s="205" t="str">
        <f t="shared" si="13"/>
        <v>$$$$</v>
      </c>
      <c r="E77" s="224"/>
      <c r="F77" s="225"/>
      <c r="G77" s="226"/>
      <c r="H77" s="227"/>
      <c r="I77" s="228"/>
      <c r="J77" s="228"/>
      <c r="K77" s="229"/>
      <c r="L77" s="230"/>
      <c r="M77" s="231"/>
      <c r="N77" s="232"/>
      <c r="O77" s="230"/>
      <c r="P77" s="231"/>
      <c r="Q77" s="232"/>
      <c r="R77" s="233"/>
      <c r="S77" s="234"/>
      <c r="T77" s="235"/>
      <c r="U77" s="233"/>
      <c r="V77" s="236"/>
      <c r="W77" s="234"/>
      <c r="X77" s="235"/>
      <c r="Y77" s="237"/>
      <c r="Z77" s="238"/>
    </row>
    <row r="78" spans="1:26" s="239" customFormat="1" ht="28.5" customHeight="1" x14ac:dyDescent="0.3">
      <c r="A78" s="222">
        <f t="shared" si="10"/>
        <v>0</v>
      </c>
      <c r="B78" s="223" t="b">
        <f t="shared" si="11"/>
        <v>1</v>
      </c>
      <c r="C78" s="222">
        <f t="shared" si="12"/>
        <v>0</v>
      </c>
      <c r="D78" s="205" t="str">
        <f t="shared" si="13"/>
        <v>$$$$</v>
      </c>
      <c r="E78" s="224"/>
      <c r="F78" s="225"/>
      <c r="G78" s="226"/>
      <c r="H78" s="227"/>
      <c r="I78" s="228"/>
      <c r="J78" s="228"/>
      <c r="K78" s="229"/>
      <c r="L78" s="230"/>
      <c r="M78" s="231"/>
      <c r="N78" s="232"/>
      <c r="O78" s="230"/>
      <c r="P78" s="231"/>
      <c r="Q78" s="232"/>
      <c r="R78" s="233"/>
      <c r="S78" s="234"/>
      <c r="T78" s="235"/>
      <c r="U78" s="233"/>
      <c r="V78" s="236"/>
      <c r="W78" s="234"/>
      <c r="X78" s="235"/>
      <c r="Y78" s="237"/>
      <c r="Z78" s="238"/>
    </row>
    <row r="79" spans="1:26" s="239" customFormat="1" ht="28.5" customHeight="1" x14ac:dyDescent="0.3">
      <c r="A79" s="222">
        <f t="shared" si="10"/>
        <v>0</v>
      </c>
      <c r="B79" s="223" t="b">
        <f t="shared" si="11"/>
        <v>1</v>
      </c>
      <c r="C79" s="222">
        <f t="shared" si="12"/>
        <v>0</v>
      </c>
      <c r="D79" s="205" t="str">
        <f t="shared" si="13"/>
        <v>$$$$</v>
      </c>
      <c r="E79" s="224"/>
      <c r="F79" s="225"/>
      <c r="G79" s="226"/>
      <c r="H79" s="227"/>
      <c r="I79" s="228"/>
      <c r="J79" s="228"/>
      <c r="K79" s="229"/>
      <c r="L79" s="230"/>
      <c r="M79" s="231"/>
      <c r="N79" s="232"/>
      <c r="O79" s="230"/>
      <c r="P79" s="231"/>
      <c r="Q79" s="232"/>
      <c r="R79" s="233"/>
      <c r="S79" s="234"/>
      <c r="T79" s="235"/>
      <c r="U79" s="233"/>
      <c r="V79" s="236"/>
      <c r="W79" s="234"/>
      <c r="X79" s="235"/>
      <c r="Y79" s="237"/>
      <c r="Z79" s="238"/>
    </row>
    <row r="80" spans="1:26" s="239" customFormat="1" ht="28.5" customHeight="1" x14ac:dyDescent="0.3">
      <c r="A80" s="222">
        <f t="shared" si="10"/>
        <v>0</v>
      </c>
      <c r="B80" s="223" t="b">
        <f t="shared" si="11"/>
        <v>1</v>
      </c>
      <c r="C80" s="222">
        <f t="shared" si="12"/>
        <v>0</v>
      </c>
      <c r="D80" s="205" t="str">
        <f t="shared" si="13"/>
        <v>$$$$</v>
      </c>
      <c r="E80" s="224"/>
      <c r="F80" s="225"/>
      <c r="G80" s="226"/>
      <c r="H80" s="227"/>
      <c r="I80" s="228"/>
      <c r="J80" s="228"/>
      <c r="K80" s="229"/>
      <c r="L80" s="230"/>
      <c r="M80" s="231"/>
      <c r="N80" s="232"/>
      <c r="O80" s="230"/>
      <c r="P80" s="231"/>
      <c r="Q80" s="232"/>
      <c r="R80" s="233"/>
      <c r="S80" s="234"/>
      <c r="T80" s="235"/>
      <c r="U80" s="233"/>
      <c r="V80" s="236"/>
      <c r="W80" s="234"/>
      <c r="X80" s="235"/>
      <c r="Y80" s="237"/>
      <c r="Z80" s="238"/>
    </row>
    <row r="81" spans="1:26" s="239" customFormat="1" ht="28.5" customHeight="1" x14ac:dyDescent="0.3">
      <c r="A81" s="222">
        <f t="shared" si="10"/>
        <v>0</v>
      </c>
      <c r="B81" s="223" t="b">
        <f t="shared" si="11"/>
        <v>1</v>
      </c>
      <c r="C81" s="222">
        <f t="shared" si="12"/>
        <v>0</v>
      </c>
      <c r="D81" s="205" t="str">
        <f t="shared" si="13"/>
        <v>$$$$</v>
      </c>
      <c r="E81" s="224"/>
      <c r="F81" s="225"/>
      <c r="G81" s="226"/>
      <c r="H81" s="227"/>
      <c r="I81" s="228"/>
      <c r="J81" s="228"/>
      <c r="K81" s="229"/>
      <c r="L81" s="230"/>
      <c r="M81" s="231"/>
      <c r="N81" s="232"/>
      <c r="O81" s="230"/>
      <c r="P81" s="231"/>
      <c r="Q81" s="232"/>
      <c r="R81" s="233"/>
      <c r="S81" s="234"/>
      <c r="T81" s="235"/>
      <c r="U81" s="233"/>
      <c r="V81" s="236"/>
      <c r="W81" s="234"/>
      <c r="X81" s="235"/>
      <c r="Y81" s="237"/>
      <c r="Z81" s="238"/>
    </row>
    <row r="82" spans="1:26" s="239" customFormat="1" ht="28.5" customHeight="1" x14ac:dyDescent="0.3">
      <c r="A82" s="222">
        <f t="shared" si="10"/>
        <v>0</v>
      </c>
      <c r="B82" s="223" t="b">
        <f t="shared" si="11"/>
        <v>1</v>
      </c>
      <c r="C82" s="222">
        <f t="shared" si="12"/>
        <v>0</v>
      </c>
      <c r="D82" s="205" t="str">
        <f t="shared" si="13"/>
        <v>$$$$</v>
      </c>
      <c r="E82" s="224"/>
      <c r="F82" s="225"/>
      <c r="G82" s="226"/>
      <c r="H82" s="227"/>
      <c r="I82" s="228"/>
      <c r="J82" s="228"/>
      <c r="K82" s="229"/>
      <c r="L82" s="230"/>
      <c r="M82" s="231"/>
      <c r="N82" s="232"/>
      <c r="O82" s="230"/>
      <c r="P82" s="231"/>
      <c r="Q82" s="232"/>
      <c r="R82" s="233"/>
      <c r="S82" s="234"/>
      <c r="T82" s="235"/>
      <c r="U82" s="233"/>
      <c r="V82" s="236"/>
      <c r="W82" s="234"/>
      <c r="X82" s="235"/>
      <c r="Y82" s="237"/>
      <c r="Z82" s="238"/>
    </row>
    <row r="83" spans="1:26" s="239" customFormat="1" ht="28.5" customHeight="1" x14ac:dyDescent="0.3">
      <c r="A83" s="222">
        <f t="shared" si="10"/>
        <v>0</v>
      </c>
      <c r="B83" s="223" t="b">
        <f t="shared" si="11"/>
        <v>1</v>
      </c>
      <c r="C83" s="222">
        <f t="shared" si="12"/>
        <v>0</v>
      </c>
      <c r="D83" s="205" t="str">
        <f t="shared" si="13"/>
        <v>$$$$</v>
      </c>
      <c r="E83" s="224"/>
      <c r="F83" s="225"/>
      <c r="G83" s="226"/>
      <c r="H83" s="227"/>
      <c r="I83" s="228"/>
      <c r="J83" s="228"/>
      <c r="K83" s="229"/>
      <c r="L83" s="230"/>
      <c r="M83" s="231"/>
      <c r="N83" s="232"/>
      <c r="O83" s="230"/>
      <c r="P83" s="231"/>
      <c r="Q83" s="232"/>
      <c r="R83" s="233"/>
      <c r="S83" s="234"/>
      <c r="T83" s="235"/>
      <c r="U83" s="233"/>
      <c r="V83" s="236"/>
      <c r="W83" s="234"/>
      <c r="X83" s="235"/>
      <c r="Y83" s="237"/>
      <c r="Z83" s="238"/>
    </row>
    <row r="84" spans="1:26" s="239" customFormat="1" ht="28.5" customHeight="1" x14ac:dyDescent="0.3">
      <c r="A84" s="222">
        <f t="shared" si="10"/>
        <v>0</v>
      </c>
      <c r="B84" s="223" t="b">
        <f t="shared" si="11"/>
        <v>1</v>
      </c>
      <c r="C84" s="222">
        <f t="shared" si="12"/>
        <v>0</v>
      </c>
      <c r="D84" s="205" t="str">
        <f t="shared" si="13"/>
        <v>$$$$</v>
      </c>
      <c r="E84" s="224"/>
      <c r="F84" s="225"/>
      <c r="G84" s="226"/>
      <c r="H84" s="227"/>
      <c r="I84" s="228"/>
      <c r="J84" s="228"/>
      <c r="K84" s="229"/>
      <c r="L84" s="230"/>
      <c r="M84" s="231"/>
      <c r="N84" s="232"/>
      <c r="O84" s="230"/>
      <c r="P84" s="231"/>
      <c r="Q84" s="232"/>
      <c r="R84" s="233"/>
      <c r="S84" s="234"/>
      <c r="T84" s="235"/>
      <c r="U84" s="233"/>
      <c r="V84" s="236"/>
      <c r="W84" s="234"/>
      <c r="X84" s="235"/>
      <c r="Y84" s="237"/>
      <c r="Z84" s="238"/>
    </row>
    <row r="85" spans="1:26" s="239" customFormat="1" ht="28.5" customHeight="1" x14ac:dyDescent="0.3">
      <c r="A85" s="222">
        <f t="shared" si="10"/>
        <v>0</v>
      </c>
      <c r="B85" s="223" t="b">
        <f t="shared" si="11"/>
        <v>1</v>
      </c>
      <c r="C85" s="222">
        <f t="shared" si="12"/>
        <v>0</v>
      </c>
      <c r="D85" s="205" t="str">
        <f t="shared" si="13"/>
        <v>$$$$</v>
      </c>
      <c r="E85" s="224"/>
      <c r="F85" s="225"/>
      <c r="G85" s="226"/>
      <c r="H85" s="227"/>
      <c r="I85" s="228"/>
      <c r="J85" s="228"/>
      <c r="K85" s="229"/>
      <c r="L85" s="230"/>
      <c r="M85" s="231"/>
      <c r="N85" s="232"/>
      <c r="O85" s="230"/>
      <c r="P85" s="231"/>
      <c r="Q85" s="232"/>
      <c r="R85" s="233"/>
      <c r="S85" s="234"/>
      <c r="T85" s="235"/>
      <c r="U85" s="233"/>
      <c r="V85" s="236"/>
      <c r="W85" s="234"/>
      <c r="X85" s="235"/>
      <c r="Y85" s="237"/>
      <c r="Z85" s="238"/>
    </row>
    <row r="86" spans="1:26" s="239" customFormat="1" ht="28.5" customHeight="1" x14ac:dyDescent="0.3">
      <c r="A86" s="222">
        <f t="shared" si="10"/>
        <v>0</v>
      </c>
      <c r="B86" s="223" t="b">
        <f t="shared" si="11"/>
        <v>1</v>
      </c>
      <c r="C86" s="222">
        <f t="shared" si="12"/>
        <v>0</v>
      </c>
      <c r="D86" s="205" t="str">
        <f t="shared" si="13"/>
        <v>$$$$</v>
      </c>
      <c r="E86" s="224"/>
      <c r="F86" s="225"/>
      <c r="G86" s="226"/>
      <c r="H86" s="227"/>
      <c r="I86" s="228"/>
      <c r="J86" s="228"/>
      <c r="K86" s="229"/>
      <c r="L86" s="230"/>
      <c r="M86" s="231"/>
      <c r="N86" s="232"/>
      <c r="O86" s="230"/>
      <c r="P86" s="231"/>
      <c r="Q86" s="232"/>
      <c r="R86" s="233"/>
      <c r="S86" s="234"/>
      <c r="T86" s="235"/>
      <c r="U86" s="233"/>
      <c r="V86" s="236"/>
      <c r="W86" s="234"/>
      <c r="X86" s="235"/>
      <c r="Y86" s="237"/>
      <c r="Z86" s="238"/>
    </row>
    <row r="87" spans="1:26" s="239" customFormat="1" ht="28.5" customHeight="1" x14ac:dyDescent="0.3">
      <c r="A87" s="222">
        <f t="shared" si="10"/>
        <v>0</v>
      </c>
      <c r="B87" s="223" t="b">
        <f t="shared" si="11"/>
        <v>1</v>
      </c>
      <c r="C87" s="222">
        <f t="shared" si="12"/>
        <v>0</v>
      </c>
      <c r="D87" s="205" t="str">
        <f t="shared" si="13"/>
        <v>$$$$</v>
      </c>
      <c r="E87" s="224"/>
      <c r="F87" s="225"/>
      <c r="G87" s="226"/>
      <c r="H87" s="227"/>
      <c r="I87" s="228"/>
      <c r="J87" s="228"/>
      <c r="K87" s="229"/>
      <c r="L87" s="230"/>
      <c r="M87" s="231"/>
      <c r="N87" s="232"/>
      <c r="O87" s="230"/>
      <c r="P87" s="231"/>
      <c r="Q87" s="232"/>
      <c r="R87" s="233"/>
      <c r="S87" s="234"/>
      <c r="T87" s="235"/>
      <c r="U87" s="233"/>
      <c r="V87" s="236"/>
      <c r="W87" s="234"/>
      <c r="X87" s="235"/>
      <c r="Y87" s="237"/>
      <c r="Z87" s="238"/>
    </row>
    <row r="88" spans="1:26" s="239" customFormat="1" ht="28.5" customHeight="1" x14ac:dyDescent="0.3">
      <c r="A88" s="222">
        <f t="shared" si="10"/>
        <v>0</v>
      </c>
      <c r="B88" s="223" t="b">
        <f t="shared" si="11"/>
        <v>1</v>
      </c>
      <c r="C88" s="222">
        <f t="shared" si="12"/>
        <v>0</v>
      </c>
      <c r="D88" s="205" t="str">
        <f t="shared" si="13"/>
        <v>$$$$</v>
      </c>
      <c r="E88" s="224"/>
      <c r="F88" s="225"/>
      <c r="G88" s="226"/>
      <c r="H88" s="227"/>
      <c r="I88" s="228"/>
      <c r="J88" s="228"/>
      <c r="K88" s="229"/>
      <c r="L88" s="230"/>
      <c r="M88" s="231"/>
      <c r="N88" s="232"/>
      <c r="O88" s="230"/>
      <c r="P88" s="231"/>
      <c r="Q88" s="232"/>
      <c r="R88" s="233"/>
      <c r="S88" s="234"/>
      <c r="T88" s="235"/>
      <c r="U88" s="233"/>
      <c r="V88" s="236"/>
      <c r="W88" s="234"/>
      <c r="X88" s="235"/>
      <c r="Y88" s="237"/>
      <c r="Z88" s="238"/>
    </row>
    <row r="89" spans="1:26" s="239" customFormat="1" ht="28.5" customHeight="1" x14ac:dyDescent="0.3">
      <c r="A89" s="222">
        <f t="shared" si="10"/>
        <v>0</v>
      </c>
      <c r="B89" s="223" t="b">
        <f t="shared" si="11"/>
        <v>1</v>
      </c>
      <c r="C89" s="222">
        <f t="shared" si="12"/>
        <v>0</v>
      </c>
      <c r="D89" s="205" t="str">
        <f t="shared" si="13"/>
        <v>$$$$</v>
      </c>
      <c r="E89" s="224"/>
      <c r="F89" s="225"/>
      <c r="G89" s="226"/>
      <c r="H89" s="227"/>
      <c r="I89" s="228"/>
      <c r="J89" s="228"/>
      <c r="K89" s="229"/>
      <c r="L89" s="230"/>
      <c r="M89" s="231"/>
      <c r="N89" s="232"/>
      <c r="O89" s="230"/>
      <c r="P89" s="231"/>
      <c r="Q89" s="232"/>
      <c r="R89" s="233"/>
      <c r="S89" s="234"/>
      <c r="T89" s="235"/>
      <c r="U89" s="233"/>
      <c r="V89" s="236"/>
      <c r="W89" s="234"/>
      <c r="X89" s="235"/>
      <c r="Y89" s="237"/>
      <c r="Z89" s="238"/>
    </row>
    <row r="90" spans="1:26" s="239" customFormat="1" ht="28.5" customHeight="1" x14ac:dyDescent="0.3">
      <c r="A90" s="222">
        <f t="shared" si="10"/>
        <v>0</v>
      </c>
      <c r="B90" s="223" t="b">
        <f t="shared" si="11"/>
        <v>1</v>
      </c>
      <c r="C90" s="222">
        <f t="shared" si="12"/>
        <v>0</v>
      </c>
      <c r="D90" s="205" t="str">
        <f t="shared" si="13"/>
        <v>$$$$</v>
      </c>
      <c r="E90" s="224"/>
      <c r="F90" s="225"/>
      <c r="G90" s="226"/>
      <c r="H90" s="227"/>
      <c r="I90" s="228"/>
      <c r="J90" s="228"/>
      <c r="K90" s="229"/>
      <c r="L90" s="230"/>
      <c r="M90" s="231"/>
      <c r="N90" s="232"/>
      <c r="O90" s="230"/>
      <c r="P90" s="231"/>
      <c r="Q90" s="232"/>
      <c r="R90" s="233"/>
      <c r="S90" s="234"/>
      <c r="T90" s="235"/>
      <c r="U90" s="233"/>
      <c r="V90" s="236"/>
      <c r="W90" s="234"/>
      <c r="X90" s="235"/>
      <c r="Y90" s="237"/>
      <c r="Z90" s="238"/>
    </row>
    <row r="91" spans="1:26" s="239" customFormat="1" ht="28.5" customHeight="1" x14ac:dyDescent="0.3">
      <c r="A91" s="222">
        <f t="shared" si="10"/>
        <v>0</v>
      </c>
      <c r="B91" s="223" t="b">
        <f t="shared" si="11"/>
        <v>1</v>
      </c>
      <c r="C91" s="222">
        <f t="shared" si="12"/>
        <v>0</v>
      </c>
      <c r="D91" s="205" t="str">
        <f t="shared" si="13"/>
        <v>$$$$</v>
      </c>
      <c r="E91" s="224"/>
      <c r="F91" s="225"/>
      <c r="G91" s="226"/>
      <c r="H91" s="227"/>
      <c r="I91" s="228"/>
      <c r="J91" s="228"/>
      <c r="K91" s="229"/>
      <c r="L91" s="230"/>
      <c r="M91" s="231"/>
      <c r="N91" s="232"/>
      <c r="O91" s="230"/>
      <c r="P91" s="231"/>
      <c r="Q91" s="232"/>
      <c r="R91" s="233"/>
      <c r="S91" s="234"/>
      <c r="T91" s="235"/>
      <c r="U91" s="233"/>
      <c r="V91" s="236"/>
      <c r="W91" s="234"/>
      <c r="X91" s="235"/>
      <c r="Y91" s="237"/>
      <c r="Z91" s="238"/>
    </row>
    <row r="92" spans="1:26" s="239" customFormat="1" ht="28.5" customHeight="1" x14ac:dyDescent="0.3">
      <c r="A92" s="222">
        <f t="shared" si="10"/>
        <v>0</v>
      </c>
      <c r="B92" s="223" t="b">
        <f t="shared" si="11"/>
        <v>1</v>
      </c>
      <c r="C92" s="222">
        <f t="shared" si="12"/>
        <v>0</v>
      </c>
      <c r="D92" s="205" t="str">
        <f t="shared" si="13"/>
        <v>$$$$</v>
      </c>
      <c r="E92" s="224"/>
      <c r="F92" s="225"/>
      <c r="G92" s="226"/>
      <c r="H92" s="227"/>
      <c r="I92" s="228"/>
      <c r="J92" s="228"/>
      <c r="K92" s="229"/>
      <c r="L92" s="230"/>
      <c r="M92" s="231"/>
      <c r="N92" s="232"/>
      <c r="O92" s="230"/>
      <c r="P92" s="231"/>
      <c r="Q92" s="232"/>
      <c r="R92" s="233"/>
      <c r="S92" s="234"/>
      <c r="T92" s="235"/>
      <c r="U92" s="233"/>
      <c r="V92" s="236"/>
      <c r="W92" s="234"/>
      <c r="X92" s="235"/>
      <c r="Y92" s="237"/>
      <c r="Z92" s="238"/>
    </row>
    <row r="93" spans="1:26" s="239" customFormat="1" ht="28.5" customHeight="1" x14ac:dyDescent="0.3">
      <c r="A93" s="222">
        <f t="shared" si="10"/>
        <v>0</v>
      </c>
      <c r="B93" s="223" t="b">
        <f t="shared" si="11"/>
        <v>1</v>
      </c>
      <c r="C93" s="222">
        <f t="shared" si="12"/>
        <v>0</v>
      </c>
      <c r="D93" s="205" t="str">
        <f t="shared" si="13"/>
        <v>$$$$</v>
      </c>
      <c r="E93" s="224"/>
      <c r="F93" s="225"/>
      <c r="G93" s="226"/>
      <c r="H93" s="227"/>
      <c r="I93" s="228"/>
      <c r="J93" s="228"/>
      <c r="K93" s="229"/>
      <c r="L93" s="230"/>
      <c r="M93" s="231"/>
      <c r="N93" s="232"/>
      <c r="O93" s="230"/>
      <c r="P93" s="231"/>
      <c r="Q93" s="232"/>
      <c r="R93" s="233"/>
      <c r="S93" s="234"/>
      <c r="T93" s="235"/>
      <c r="U93" s="233"/>
      <c r="V93" s="236"/>
      <c r="W93" s="234"/>
      <c r="X93" s="235"/>
      <c r="Y93" s="237"/>
      <c r="Z93" s="238"/>
    </row>
    <row r="94" spans="1:26" s="239" customFormat="1" ht="28.5" customHeight="1" x14ac:dyDescent="0.3">
      <c r="A94" s="222">
        <f t="shared" si="10"/>
        <v>0</v>
      </c>
      <c r="B94" s="223" t="b">
        <f t="shared" si="11"/>
        <v>1</v>
      </c>
      <c r="C94" s="222">
        <f t="shared" si="12"/>
        <v>0</v>
      </c>
      <c r="D94" s="205" t="str">
        <f t="shared" si="13"/>
        <v>$$$$</v>
      </c>
      <c r="E94" s="224"/>
      <c r="F94" s="225"/>
      <c r="G94" s="226"/>
      <c r="H94" s="227"/>
      <c r="I94" s="228"/>
      <c r="J94" s="228"/>
      <c r="K94" s="229"/>
      <c r="L94" s="230"/>
      <c r="M94" s="231"/>
      <c r="N94" s="232"/>
      <c r="O94" s="230"/>
      <c r="P94" s="231"/>
      <c r="Q94" s="232"/>
      <c r="R94" s="233"/>
      <c r="S94" s="234"/>
      <c r="T94" s="235"/>
      <c r="U94" s="233"/>
      <c r="V94" s="236"/>
      <c r="W94" s="234"/>
      <c r="X94" s="235"/>
      <c r="Y94" s="237"/>
      <c r="Z94" s="238"/>
    </row>
    <row r="95" spans="1:26" s="239" customFormat="1" ht="28.5" customHeight="1" x14ac:dyDescent="0.3">
      <c r="A95" s="222">
        <f t="shared" si="10"/>
        <v>0</v>
      </c>
      <c r="B95" s="223" t="b">
        <f t="shared" si="11"/>
        <v>1</v>
      </c>
      <c r="C95" s="222">
        <f t="shared" si="12"/>
        <v>0</v>
      </c>
      <c r="D95" s="205" t="str">
        <f t="shared" si="13"/>
        <v>$$$$</v>
      </c>
      <c r="E95" s="224"/>
      <c r="F95" s="225"/>
      <c r="G95" s="226"/>
      <c r="H95" s="227"/>
      <c r="I95" s="228"/>
      <c r="J95" s="228"/>
      <c r="K95" s="229"/>
      <c r="L95" s="230"/>
      <c r="M95" s="231"/>
      <c r="N95" s="232"/>
      <c r="O95" s="230"/>
      <c r="P95" s="231"/>
      <c r="Q95" s="232"/>
      <c r="R95" s="233"/>
      <c r="S95" s="234"/>
      <c r="T95" s="235"/>
      <c r="U95" s="233"/>
      <c r="V95" s="236"/>
      <c r="W95" s="234"/>
      <c r="X95" s="235"/>
      <c r="Y95" s="237"/>
      <c r="Z95" s="238"/>
    </row>
    <row r="96" spans="1:26" s="239" customFormat="1" ht="28.5" customHeight="1" x14ac:dyDescent="0.3">
      <c r="A96" s="222">
        <f t="shared" si="10"/>
        <v>0</v>
      </c>
      <c r="B96" s="223" t="b">
        <f t="shared" si="11"/>
        <v>1</v>
      </c>
      <c r="C96" s="222">
        <f t="shared" si="12"/>
        <v>0</v>
      </c>
      <c r="D96" s="205" t="str">
        <f t="shared" si="13"/>
        <v>$$$$</v>
      </c>
      <c r="E96" s="224"/>
      <c r="F96" s="225"/>
      <c r="G96" s="226"/>
      <c r="H96" s="227"/>
      <c r="I96" s="228"/>
      <c r="J96" s="228"/>
      <c r="K96" s="229"/>
      <c r="L96" s="230"/>
      <c r="M96" s="231"/>
      <c r="N96" s="232"/>
      <c r="O96" s="230"/>
      <c r="P96" s="231"/>
      <c r="Q96" s="232"/>
      <c r="R96" s="233"/>
      <c r="S96" s="234"/>
      <c r="T96" s="235"/>
      <c r="U96" s="233"/>
      <c r="V96" s="236"/>
      <c r="W96" s="234"/>
      <c r="X96" s="235"/>
      <c r="Y96" s="237"/>
      <c r="Z96" s="238"/>
    </row>
    <row r="97" spans="1:26" s="239" customFormat="1" ht="28.5" customHeight="1" x14ac:dyDescent="0.3">
      <c r="A97" s="222">
        <f t="shared" si="10"/>
        <v>0</v>
      </c>
      <c r="B97" s="223" t="b">
        <f t="shared" si="11"/>
        <v>1</v>
      </c>
      <c r="C97" s="222">
        <f t="shared" si="12"/>
        <v>0</v>
      </c>
      <c r="D97" s="205" t="str">
        <f t="shared" si="13"/>
        <v>$$$$</v>
      </c>
      <c r="E97" s="224"/>
      <c r="F97" s="225"/>
      <c r="G97" s="226"/>
      <c r="H97" s="227"/>
      <c r="I97" s="228"/>
      <c r="J97" s="228"/>
      <c r="K97" s="229"/>
      <c r="L97" s="230"/>
      <c r="M97" s="231"/>
      <c r="N97" s="232"/>
      <c r="O97" s="230"/>
      <c r="P97" s="231"/>
      <c r="Q97" s="232"/>
      <c r="R97" s="233"/>
      <c r="S97" s="234"/>
      <c r="T97" s="235"/>
      <c r="U97" s="233"/>
      <c r="V97" s="236"/>
      <c r="W97" s="234"/>
      <c r="X97" s="235"/>
      <c r="Y97" s="237"/>
      <c r="Z97" s="238"/>
    </row>
    <row r="98" spans="1:26" s="239" customFormat="1" ht="28.5" customHeight="1" x14ac:dyDescent="0.3">
      <c r="A98" s="222">
        <f t="shared" si="10"/>
        <v>0</v>
      </c>
      <c r="B98" s="223" t="b">
        <f t="shared" si="11"/>
        <v>1</v>
      </c>
      <c r="C98" s="222">
        <f t="shared" si="12"/>
        <v>0</v>
      </c>
      <c r="D98" s="205" t="str">
        <f t="shared" si="13"/>
        <v>$$$$</v>
      </c>
      <c r="E98" s="224"/>
      <c r="F98" s="225"/>
      <c r="G98" s="226"/>
      <c r="H98" s="227"/>
      <c r="I98" s="228"/>
      <c r="J98" s="228"/>
      <c r="K98" s="229"/>
      <c r="L98" s="230"/>
      <c r="M98" s="231"/>
      <c r="N98" s="232"/>
      <c r="O98" s="230"/>
      <c r="P98" s="231"/>
      <c r="Q98" s="232"/>
      <c r="R98" s="233"/>
      <c r="S98" s="234"/>
      <c r="T98" s="235"/>
      <c r="U98" s="233"/>
      <c r="V98" s="236"/>
      <c r="W98" s="234"/>
      <c r="X98" s="235"/>
      <c r="Y98" s="237"/>
      <c r="Z98" s="238"/>
    </row>
    <row r="99" spans="1:26" s="239" customFormat="1" ht="28.5" customHeight="1" x14ac:dyDescent="0.3">
      <c r="A99" s="222">
        <f t="shared" si="10"/>
        <v>0</v>
      </c>
      <c r="B99" s="223" t="b">
        <f t="shared" si="11"/>
        <v>1</v>
      </c>
      <c r="C99" s="222">
        <f t="shared" si="12"/>
        <v>0</v>
      </c>
      <c r="D99" s="205" t="str">
        <f t="shared" si="13"/>
        <v>$$$$</v>
      </c>
      <c r="E99" s="224"/>
      <c r="F99" s="225"/>
      <c r="G99" s="226"/>
      <c r="H99" s="227"/>
      <c r="I99" s="228"/>
      <c r="J99" s="228"/>
      <c r="K99" s="229"/>
      <c r="L99" s="230"/>
      <c r="M99" s="231"/>
      <c r="N99" s="232"/>
      <c r="O99" s="230"/>
      <c r="P99" s="231"/>
      <c r="Q99" s="232"/>
      <c r="R99" s="233"/>
      <c r="S99" s="234"/>
      <c r="T99" s="235"/>
      <c r="U99" s="233"/>
      <c r="V99" s="236"/>
      <c r="W99" s="234"/>
      <c r="X99" s="235"/>
      <c r="Y99" s="237"/>
      <c r="Z99" s="238"/>
    </row>
    <row r="100" spans="1:26" s="239" customFormat="1" ht="28.5" customHeight="1" x14ac:dyDescent="0.3">
      <c r="A100" s="222">
        <f t="shared" si="10"/>
        <v>0</v>
      </c>
      <c r="B100" s="223" t="b">
        <f t="shared" si="11"/>
        <v>1</v>
      </c>
      <c r="C100" s="222">
        <f t="shared" si="12"/>
        <v>0</v>
      </c>
      <c r="D100" s="205" t="str">
        <f t="shared" si="13"/>
        <v>$$$$</v>
      </c>
      <c r="E100" s="224"/>
      <c r="F100" s="225"/>
      <c r="G100" s="226"/>
      <c r="H100" s="227"/>
      <c r="I100" s="228"/>
      <c r="J100" s="228"/>
      <c r="K100" s="229"/>
      <c r="L100" s="230"/>
      <c r="M100" s="231"/>
      <c r="N100" s="232"/>
      <c r="O100" s="230"/>
      <c r="P100" s="231"/>
      <c r="Q100" s="232"/>
      <c r="R100" s="233"/>
      <c r="S100" s="234"/>
      <c r="T100" s="235"/>
      <c r="U100" s="233"/>
      <c r="V100" s="236"/>
      <c r="W100" s="234"/>
      <c r="X100" s="235"/>
      <c r="Y100" s="237"/>
      <c r="Z100" s="238"/>
    </row>
    <row r="101" spans="1:26" s="239" customFormat="1" ht="28.5" customHeight="1" x14ac:dyDescent="0.3">
      <c r="A101" s="222">
        <f t="shared" si="10"/>
        <v>0</v>
      </c>
      <c r="B101" s="223" t="b">
        <f t="shared" si="11"/>
        <v>1</v>
      </c>
      <c r="C101" s="222">
        <f t="shared" si="12"/>
        <v>0</v>
      </c>
      <c r="D101" s="205" t="str">
        <f t="shared" si="13"/>
        <v>$$$$</v>
      </c>
      <c r="E101" s="224"/>
      <c r="F101" s="225"/>
      <c r="G101" s="226"/>
      <c r="H101" s="227"/>
      <c r="I101" s="228"/>
      <c r="J101" s="228"/>
      <c r="K101" s="229"/>
      <c r="L101" s="230"/>
      <c r="M101" s="231"/>
      <c r="N101" s="232"/>
      <c r="O101" s="230"/>
      <c r="P101" s="231"/>
      <c r="Q101" s="232"/>
      <c r="R101" s="233"/>
      <c r="S101" s="234"/>
      <c r="T101" s="235"/>
      <c r="U101" s="233"/>
      <c r="V101" s="236"/>
      <c r="W101" s="234"/>
      <c r="X101" s="235"/>
      <c r="Y101" s="237"/>
      <c r="Z101" s="238"/>
    </row>
    <row r="102" spans="1:26" s="239" customFormat="1" ht="28.5" customHeight="1" x14ac:dyDescent="0.3">
      <c r="A102" s="222">
        <f t="shared" si="10"/>
        <v>0</v>
      </c>
      <c r="B102" s="223" t="b">
        <f t="shared" si="11"/>
        <v>1</v>
      </c>
      <c r="C102" s="222">
        <f t="shared" si="12"/>
        <v>0</v>
      </c>
      <c r="D102" s="205" t="str">
        <f t="shared" si="13"/>
        <v>$$$$</v>
      </c>
      <c r="E102" s="224"/>
      <c r="F102" s="225"/>
      <c r="G102" s="226"/>
      <c r="H102" s="227"/>
      <c r="I102" s="228"/>
      <c r="J102" s="228"/>
      <c r="K102" s="229"/>
      <c r="L102" s="230"/>
      <c r="M102" s="231"/>
      <c r="N102" s="232"/>
      <c r="O102" s="230"/>
      <c r="P102" s="231"/>
      <c r="Q102" s="232"/>
      <c r="R102" s="233"/>
      <c r="S102" s="234"/>
      <c r="T102" s="235"/>
      <c r="U102" s="233"/>
      <c r="V102" s="236"/>
      <c r="W102" s="234"/>
      <c r="X102" s="235"/>
      <c r="Y102" s="237"/>
      <c r="Z102" s="238"/>
    </row>
    <row r="103" spans="1:26" s="239" customFormat="1" ht="28.5" customHeight="1" x14ac:dyDescent="0.3">
      <c r="A103" s="222">
        <f t="shared" ref="A103:A159" si="14">IF(B103,0,MATCH(H103,ВидыНагр,0))</f>
        <v>0</v>
      </c>
      <c r="B103" s="223" t="b">
        <f t="shared" ref="B103:B159" si="15">(COUNTIF(КлючВесна,D103)&lt;&gt;1)</f>
        <v>1</v>
      </c>
      <c r="C103" s="222">
        <f t="shared" ref="C103:C159" si="16">IF(COUNTA(E103:K103,Z103)&gt;0,1,0)+IF(COUNTA(L103:Y103)&gt;0,2,0)</f>
        <v>0</v>
      </c>
      <c r="D103" s="205" t="str">
        <f t="shared" si="13"/>
        <v>$$$$</v>
      </c>
      <c r="E103" s="224"/>
      <c r="F103" s="225"/>
      <c r="G103" s="226"/>
      <c r="H103" s="227"/>
      <c r="I103" s="228"/>
      <c r="J103" s="228"/>
      <c r="K103" s="229"/>
      <c r="L103" s="230"/>
      <c r="M103" s="231"/>
      <c r="N103" s="232"/>
      <c r="O103" s="230"/>
      <c r="P103" s="231"/>
      <c r="Q103" s="232"/>
      <c r="R103" s="233"/>
      <c r="S103" s="234"/>
      <c r="T103" s="235"/>
      <c r="U103" s="233"/>
      <c r="V103" s="236"/>
      <c r="W103" s="234"/>
      <c r="X103" s="235"/>
      <c r="Y103" s="237"/>
      <c r="Z103" s="238"/>
    </row>
    <row r="104" spans="1:26" s="239" customFormat="1" ht="28.5" customHeight="1" x14ac:dyDescent="0.3">
      <c r="A104" s="222">
        <f t="shared" si="14"/>
        <v>0</v>
      </c>
      <c r="B104" s="223" t="b">
        <f t="shared" si="15"/>
        <v>1</v>
      </c>
      <c r="C104" s="222">
        <f t="shared" si="16"/>
        <v>0</v>
      </c>
      <c r="D104" s="205" t="str">
        <f t="shared" si="13"/>
        <v>$$$$</v>
      </c>
      <c r="E104" s="224"/>
      <c r="F104" s="225"/>
      <c r="G104" s="226"/>
      <c r="H104" s="227"/>
      <c r="I104" s="228"/>
      <c r="J104" s="228"/>
      <c r="K104" s="229"/>
      <c r="L104" s="230"/>
      <c r="M104" s="231"/>
      <c r="N104" s="232"/>
      <c r="O104" s="230"/>
      <c r="P104" s="231"/>
      <c r="Q104" s="232"/>
      <c r="R104" s="233"/>
      <c r="S104" s="234"/>
      <c r="T104" s="235"/>
      <c r="U104" s="233"/>
      <c r="V104" s="236"/>
      <c r="W104" s="234"/>
      <c r="X104" s="235"/>
      <c r="Y104" s="237"/>
      <c r="Z104" s="238"/>
    </row>
    <row r="105" spans="1:26" s="239" customFormat="1" ht="28.5" customHeight="1" x14ac:dyDescent="0.3">
      <c r="A105" s="222">
        <f t="shared" si="14"/>
        <v>0</v>
      </c>
      <c r="B105" s="223" t="b">
        <f t="shared" si="15"/>
        <v>1</v>
      </c>
      <c r="C105" s="222">
        <f t="shared" si="16"/>
        <v>0</v>
      </c>
      <c r="D105" s="205" t="str">
        <f t="shared" si="13"/>
        <v>$$$$</v>
      </c>
      <c r="E105" s="224"/>
      <c r="F105" s="225"/>
      <c r="G105" s="226"/>
      <c r="H105" s="227"/>
      <c r="I105" s="228"/>
      <c r="J105" s="228"/>
      <c r="K105" s="229"/>
      <c r="L105" s="230"/>
      <c r="M105" s="231"/>
      <c r="N105" s="232"/>
      <c r="O105" s="230"/>
      <c r="P105" s="231"/>
      <c r="Q105" s="232"/>
      <c r="R105" s="233"/>
      <c r="S105" s="234"/>
      <c r="T105" s="235"/>
      <c r="U105" s="233"/>
      <c r="V105" s="236"/>
      <c r="W105" s="234"/>
      <c r="X105" s="235"/>
      <c r="Y105" s="237"/>
      <c r="Z105" s="238"/>
    </row>
    <row r="106" spans="1:26" s="239" customFormat="1" ht="28.5" customHeight="1" x14ac:dyDescent="0.3">
      <c r="A106" s="222">
        <f t="shared" si="14"/>
        <v>0</v>
      </c>
      <c r="B106" s="223" t="b">
        <f t="shared" si="15"/>
        <v>1</v>
      </c>
      <c r="C106" s="222">
        <f t="shared" si="16"/>
        <v>0</v>
      </c>
      <c r="D106" s="205" t="str">
        <f t="shared" si="13"/>
        <v>$$$$</v>
      </c>
      <c r="E106" s="224"/>
      <c r="F106" s="225"/>
      <c r="G106" s="226"/>
      <c r="H106" s="227"/>
      <c r="I106" s="228"/>
      <c r="J106" s="228"/>
      <c r="K106" s="229"/>
      <c r="L106" s="230"/>
      <c r="M106" s="231"/>
      <c r="N106" s="232"/>
      <c r="O106" s="230"/>
      <c r="P106" s="231"/>
      <c r="Q106" s="232"/>
      <c r="R106" s="233"/>
      <c r="S106" s="234"/>
      <c r="T106" s="235"/>
      <c r="U106" s="233"/>
      <c r="V106" s="236"/>
      <c r="W106" s="234"/>
      <c r="X106" s="235"/>
      <c r="Y106" s="237"/>
      <c r="Z106" s="238"/>
    </row>
    <row r="107" spans="1:26" s="239" customFormat="1" ht="28.5" customHeight="1" x14ac:dyDescent="0.3">
      <c r="A107" s="222">
        <f>IF(B107,0,MATCH(H107,ВидыНагр,0))</f>
        <v>0</v>
      </c>
      <c r="B107" s="223" t="b">
        <f>(COUNTIF(КлючВесна,D107)&lt;&gt;1)</f>
        <v>1</v>
      </c>
      <c r="C107" s="222">
        <f t="shared" si="16"/>
        <v>0</v>
      </c>
      <c r="D107" s="205" t="str">
        <f>CONCATENATE("$",TRIM(F107),"$",TRIM(G107),"$",H107,"$")</f>
        <v>$$$$</v>
      </c>
      <c r="E107" s="224"/>
      <c r="F107" s="225"/>
      <c r="G107" s="226"/>
      <c r="H107" s="227"/>
      <c r="I107" s="228"/>
      <c r="J107" s="228"/>
      <c r="K107" s="229"/>
      <c r="L107" s="230"/>
      <c r="M107" s="231"/>
      <c r="N107" s="232"/>
      <c r="O107" s="230"/>
      <c r="P107" s="231"/>
      <c r="Q107" s="232"/>
      <c r="R107" s="233"/>
      <c r="S107" s="234"/>
      <c r="T107" s="235"/>
      <c r="U107" s="233"/>
      <c r="V107" s="236"/>
      <c r="W107" s="234"/>
      <c r="X107" s="235"/>
      <c r="Y107" s="237"/>
      <c r="Z107" s="238"/>
    </row>
    <row r="108" spans="1:26" s="239" customFormat="1" ht="28.5" customHeight="1" x14ac:dyDescent="0.3">
      <c r="A108" s="222">
        <f>IF(B108,0,MATCH(H108,ВидыНагр,0))</f>
        <v>0</v>
      </c>
      <c r="B108" s="223" t="b">
        <f>(COUNTIF(КлючВесна,D108)&lt;&gt;1)</f>
        <v>1</v>
      </c>
      <c r="C108" s="222">
        <f t="shared" si="16"/>
        <v>0</v>
      </c>
      <c r="D108" s="205" t="str">
        <f>CONCATENATE("$",TRIM(F108),"$",TRIM(G108),"$",H108,"$")</f>
        <v>$$$$</v>
      </c>
      <c r="E108" s="224"/>
      <c r="F108" s="225"/>
      <c r="G108" s="226"/>
      <c r="H108" s="227"/>
      <c r="I108" s="228"/>
      <c r="J108" s="228"/>
      <c r="K108" s="229"/>
      <c r="L108" s="230"/>
      <c r="M108" s="231"/>
      <c r="N108" s="232"/>
      <c r="O108" s="230"/>
      <c r="P108" s="231"/>
      <c r="Q108" s="232"/>
      <c r="R108" s="233"/>
      <c r="S108" s="234"/>
      <c r="T108" s="235"/>
      <c r="U108" s="233"/>
      <c r="V108" s="236"/>
      <c r="W108" s="234"/>
      <c r="X108" s="235"/>
      <c r="Y108" s="237"/>
      <c r="Z108" s="238"/>
    </row>
    <row r="109" spans="1:26" s="239" customFormat="1" ht="28.5" customHeight="1" x14ac:dyDescent="0.3">
      <c r="A109" s="222">
        <f t="shared" si="14"/>
        <v>0</v>
      </c>
      <c r="B109" s="223" t="b">
        <f t="shared" si="15"/>
        <v>1</v>
      </c>
      <c r="C109" s="222">
        <f t="shared" si="16"/>
        <v>0</v>
      </c>
      <c r="D109" s="205" t="str">
        <f t="shared" si="13"/>
        <v>$$$$</v>
      </c>
      <c r="E109" s="224"/>
      <c r="F109" s="225"/>
      <c r="G109" s="226"/>
      <c r="H109" s="227"/>
      <c r="I109" s="228"/>
      <c r="J109" s="228"/>
      <c r="K109" s="229"/>
      <c r="L109" s="230"/>
      <c r="M109" s="231"/>
      <c r="N109" s="232"/>
      <c r="O109" s="230"/>
      <c r="P109" s="231"/>
      <c r="Q109" s="232"/>
      <c r="R109" s="233"/>
      <c r="S109" s="234"/>
      <c r="T109" s="235"/>
      <c r="U109" s="233"/>
      <c r="V109" s="236"/>
      <c r="W109" s="234"/>
      <c r="X109" s="235"/>
      <c r="Y109" s="237"/>
      <c r="Z109" s="238"/>
    </row>
    <row r="110" spans="1:26" s="239" customFormat="1" ht="28.5" customHeight="1" x14ac:dyDescent="0.3">
      <c r="A110" s="222">
        <f t="shared" si="14"/>
        <v>0</v>
      </c>
      <c r="B110" s="223" t="b">
        <f t="shared" si="15"/>
        <v>1</v>
      </c>
      <c r="C110" s="222">
        <f t="shared" si="16"/>
        <v>0</v>
      </c>
      <c r="D110" s="205" t="str">
        <f t="shared" si="13"/>
        <v>$$$$</v>
      </c>
      <c r="E110" s="224"/>
      <c r="F110" s="225"/>
      <c r="G110" s="226"/>
      <c r="H110" s="227"/>
      <c r="I110" s="228"/>
      <c r="J110" s="228"/>
      <c r="K110" s="229"/>
      <c r="L110" s="230"/>
      <c r="M110" s="231"/>
      <c r="N110" s="232"/>
      <c r="O110" s="230"/>
      <c r="P110" s="231"/>
      <c r="Q110" s="232"/>
      <c r="R110" s="233"/>
      <c r="S110" s="234"/>
      <c r="T110" s="235"/>
      <c r="U110" s="233"/>
      <c r="V110" s="236"/>
      <c r="W110" s="234"/>
      <c r="X110" s="235"/>
      <c r="Y110" s="237"/>
      <c r="Z110" s="238"/>
    </row>
    <row r="111" spans="1:26" s="239" customFormat="1" ht="28.5" customHeight="1" x14ac:dyDescent="0.3">
      <c r="A111" s="222">
        <f t="shared" si="14"/>
        <v>0</v>
      </c>
      <c r="B111" s="223" t="b">
        <f t="shared" si="15"/>
        <v>1</v>
      </c>
      <c r="C111" s="222">
        <f t="shared" si="16"/>
        <v>0</v>
      </c>
      <c r="D111" s="205" t="str">
        <f t="shared" si="13"/>
        <v>$$$$</v>
      </c>
      <c r="E111" s="224"/>
      <c r="F111" s="225"/>
      <c r="G111" s="226"/>
      <c r="H111" s="227"/>
      <c r="I111" s="228"/>
      <c r="J111" s="228"/>
      <c r="K111" s="229"/>
      <c r="L111" s="230"/>
      <c r="M111" s="231"/>
      <c r="N111" s="232"/>
      <c r="O111" s="230"/>
      <c r="P111" s="231"/>
      <c r="Q111" s="232"/>
      <c r="R111" s="233"/>
      <c r="S111" s="234"/>
      <c r="T111" s="235"/>
      <c r="U111" s="233"/>
      <c r="V111" s="236"/>
      <c r="W111" s="234"/>
      <c r="X111" s="235"/>
      <c r="Y111" s="237"/>
      <c r="Z111" s="238"/>
    </row>
    <row r="112" spans="1:26" s="239" customFormat="1" ht="28.5" customHeight="1" x14ac:dyDescent="0.3">
      <c r="A112" s="222">
        <f t="shared" si="14"/>
        <v>0</v>
      </c>
      <c r="B112" s="223" t="b">
        <f t="shared" si="15"/>
        <v>1</v>
      </c>
      <c r="C112" s="222">
        <f t="shared" si="16"/>
        <v>0</v>
      </c>
      <c r="D112" s="205" t="str">
        <f t="shared" si="13"/>
        <v>$$$$</v>
      </c>
      <c r="E112" s="224"/>
      <c r="F112" s="225"/>
      <c r="G112" s="226"/>
      <c r="H112" s="227"/>
      <c r="I112" s="228"/>
      <c r="J112" s="228"/>
      <c r="K112" s="229"/>
      <c r="L112" s="230"/>
      <c r="M112" s="231"/>
      <c r="N112" s="232"/>
      <c r="O112" s="230"/>
      <c r="P112" s="231"/>
      <c r="Q112" s="232"/>
      <c r="R112" s="233"/>
      <c r="S112" s="234"/>
      <c r="T112" s="235"/>
      <c r="U112" s="233"/>
      <c r="V112" s="236"/>
      <c r="W112" s="234"/>
      <c r="X112" s="235"/>
      <c r="Y112" s="237"/>
      <c r="Z112" s="238"/>
    </row>
    <row r="113" spans="1:26" s="239" customFormat="1" ht="28.5" customHeight="1" x14ac:dyDescent="0.3">
      <c r="A113" s="222">
        <f t="shared" si="14"/>
        <v>0</v>
      </c>
      <c r="B113" s="223" t="b">
        <f t="shared" si="15"/>
        <v>1</v>
      </c>
      <c r="C113" s="222">
        <f t="shared" si="16"/>
        <v>0</v>
      </c>
      <c r="D113" s="205" t="str">
        <f t="shared" si="13"/>
        <v>$$$$</v>
      </c>
      <c r="E113" s="224"/>
      <c r="F113" s="225"/>
      <c r="G113" s="226"/>
      <c r="H113" s="227"/>
      <c r="I113" s="228"/>
      <c r="J113" s="228"/>
      <c r="K113" s="229"/>
      <c r="L113" s="230"/>
      <c r="M113" s="231"/>
      <c r="N113" s="232"/>
      <c r="O113" s="230"/>
      <c r="P113" s="231"/>
      <c r="Q113" s="232"/>
      <c r="R113" s="233"/>
      <c r="S113" s="234"/>
      <c r="T113" s="235"/>
      <c r="U113" s="233"/>
      <c r="V113" s="236"/>
      <c r="W113" s="234"/>
      <c r="X113" s="235"/>
      <c r="Y113" s="237"/>
      <c r="Z113" s="238"/>
    </row>
    <row r="114" spans="1:26" s="239" customFormat="1" ht="28.5" customHeight="1" x14ac:dyDescent="0.3">
      <c r="A114" s="222">
        <f t="shared" si="14"/>
        <v>0</v>
      </c>
      <c r="B114" s="223" t="b">
        <f t="shared" si="15"/>
        <v>1</v>
      </c>
      <c r="C114" s="222">
        <f t="shared" si="16"/>
        <v>0</v>
      </c>
      <c r="D114" s="205" t="str">
        <f t="shared" si="13"/>
        <v>$$$$</v>
      </c>
      <c r="E114" s="224"/>
      <c r="F114" s="225"/>
      <c r="G114" s="226"/>
      <c r="H114" s="227"/>
      <c r="I114" s="228"/>
      <c r="J114" s="228"/>
      <c r="K114" s="229"/>
      <c r="L114" s="230"/>
      <c r="M114" s="231"/>
      <c r="N114" s="232"/>
      <c r="O114" s="230"/>
      <c r="P114" s="231"/>
      <c r="Q114" s="232"/>
      <c r="R114" s="233"/>
      <c r="S114" s="234"/>
      <c r="T114" s="235"/>
      <c r="U114" s="233"/>
      <c r="V114" s="236"/>
      <c r="W114" s="234"/>
      <c r="X114" s="235"/>
      <c r="Y114" s="237"/>
      <c r="Z114" s="238"/>
    </row>
    <row r="115" spans="1:26" s="239" customFormat="1" ht="28.5" customHeight="1" x14ac:dyDescent="0.3">
      <c r="A115" s="222">
        <f t="shared" si="14"/>
        <v>0</v>
      </c>
      <c r="B115" s="223" t="b">
        <f t="shared" si="15"/>
        <v>1</v>
      </c>
      <c r="C115" s="222">
        <f t="shared" si="16"/>
        <v>0</v>
      </c>
      <c r="D115" s="205" t="str">
        <f t="shared" si="13"/>
        <v>$$$$</v>
      </c>
      <c r="E115" s="224"/>
      <c r="F115" s="225"/>
      <c r="G115" s="226"/>
      <c r="H115" s="227"/>
      <c r="I115" s="228"/>
      <c r="J115" s="228"/>
      <c r="K115" s="229"/>
      <c r="L115" s="230"/>
      <c r="M115" s="231"/>
      <c r="N115" s="232"/>
      <c r="O115" s="230"/>
      <c r="P115" s="231"/>
      <c r="Q115" s="232"/>
      <c r="R115" s="233"/>
      <c r="S115" s="234"/>
      <c r="T115" s="235"/>
      <c r="U115" s="233"/>
      <c r="V115" s="236"/>
      <c r="W115" s="234"/>
      <c r="X115" s="235"/>
      <c r="Y115" s="237"/>
      <c r="Z115" s="238"/>
    </row>
    <row r="116" spans="1:26" s="239" customFormat="1" ht="28.5" customHeight="1" x14ac:dyDescent="0.3">
      <c r="A116" s="222">
        <f t="shared" si="14"/>
        <v>0</v>
      </c>
      <c r="B116" s="223" t="b">
        <f t="shared" si="15"/>
        <v>1</v>
      </c>
      <c r="C116" s="222">
        <f t="shared" si="16"/>
        <v>0</v>
      </c>
      <c r="D116" s="205" t="str">
        <f t="shared" si="13"/>
        <v>$$$$</v>
      </c>
      <c r="E116" s="224"/>
      <c r="F116" s="225"/>
      <c r="G116" s="226"/>
      <c r="H116" s="227"/>
      <c r="I116" s="228"/>
      <c r="J116" s="228"/>
      <c r="K116" s="229"/>
      <c r="L116" s="230"/>
      <c r="M116" s="231"/>
      <c r="N116" s="232"/>
      <c r="O116" s="230"/>
      <c r="P116" s="231"/>
      <c r="Q116" s="232"/>
      <c r="R116" s="233"/>
      <c r="S116" s="234"/>
      <c r="T116" s="235"/>
      <c r="U116" s="233"/>
      <c r="V116" s="236"/>
      <c r="W116" s="234"/>
      <c r="X116" s="235"/>
      <c r="Y116" s="237"/>
      <c r="Z116" s="238"/>
    </row>
    <row r="117" spans="1:26" s="239" customFormat="1" ht="28.5" customHeight="1" x14ac:dyDescent="0.3">
      <c r="A117" s="222">
        <f t="shared" si="14"/>
        <v>0</v>
      </c>
      <c r="B117" s="223" t="b">
        <f t="shared" si="15"/>
        <v>1</v>
      </c>
      <c r="C117" s="222">
        <f t="shared" si="16"/>
        <v>0</v>
      </c>
      <c r="D117" s="205" t="str">
        <f t="shared" si="13"/>
        <v>$$$$</v>
      </c>
      <c r="E117" s="224"/>
      <c r="F117" s="225"/>
      <c r="G117" s="226"/>
      <c r="H117" s="227"/>
      <c r="I117" s="228"/>
      <c r="J117" s="228"/>
      <c r="K117" s="229"/>
      <c r="L117" s="230"/>
      <c r="M117" s="231"/>
      <c r="N117" s="232"/>
      <c r="O117" s="230"/>
      <c r="P117" s="231"/>
      <c r="Q117" s="232"/>
      <c r="R117" s="233"/>
      <c r="S117" s="234"/>
      <c r="T117" s="235"/>
      <c r="U117" s="233"/>
      <c r="V117" s="236"/>
      <c r="W117" s="234"/>
      <c r="X117" s="235"/>
      <c r="Y117" s="237"/>
      <c r="Z117" s="238"/>
    </row>
    <row r="118" spans="1:26" s="239" customFormat="1" ht="28.5" customHeight="1" x14ac:dyDescent="0.3">
      <c r="A118" s="222">
        <f t="shared" si="14"/>
        <v>0</v>
      </c>
      <c r="B118" s="223" t="b">
        <f t="shared" si="15"/>
        <v>1</v>
      </c>
      <c r="C118" s="222">
        <f t="shared" si="16"/>
        <v>0</v>
      </c>
      <c r="D118" s="205" t="str">
        <f t="shared" si="13"/>
        <v>$$$$</v>
      </c>
      <c r="E118" s="224"/>
      <c r="F118" s="225"/>
      <c r="G118" s="226"/>
      <c r="H118" s="227"/>
      <c r="I118" s="228"/>
      <c r="J118" s="228"/>
      <c r="K118" s="229"/>
      <c r="L118" s="230"/>
      <c r="M118" s="231"/>
      <c r="N118" s="232"/>
      <c r="O118" s="230"/>
      <c r="P118" s="231"/>
      <c r="Q118" s="232"/>
      <c r="R118" s="233"/>
      <c r="S118" s="234"/>
      <c r="T118" s="235"/>
      <c r="U118" s="233"/>
      <c r="V118" s="236"/>
      <c r="W118" s="234"/>
      <c r="X118" s="235"/>
      <c r="Y118" s="237"/>
      <c r="Z118" s="238"/>
    </row>
    <row r="119" spans="1:26" s="239" customFormat="1" ht="28.5" customHeight="1" x14ac:dyDescent="0.3">
      <c r="A119" s="222">
        <f t="shared" si="14"/>
        <v>0</v>
      </c>
      <c r="B119" s="223" t="b">
        <f t="shared" si="15"/>
        <v>1</v>
      </c>
      <c r="C119" s="222">
        <f t="shared" si="16"/>
        <v>0</v>
      </c>
      <c r="D119" s="205" t="str">
        <f t="shared" si="13"/>
        <v>$$$$</v>
      </c>
      <c r="E119" s="224"/>
      <c r="F119" s="225"/>
      <c r="G119" s="226"/>
      <c r="H119" s="227"/>
      <c r="I119" s="228"/>
      <c r="J119" s="228"/>
      <c r="K119" s="229"/>
      <c r="L119" s="230"/>
      <c r="M119" s="231"/>
      <c r="N119" s="232"/>
      <c r="O119" s="230"/>
      <c r="P119" s="231"/>
      <c r="Q119" s="232"/>
      <c r="R119" s="233"/>
      <c r="S119" s="234"/>
      <c r="T119" s="235"/>
      <c r="U119" s="233"/>
      <c r="V119" s="236"/>
      <c r="W119" s="234"/>
      <c r="X119" s="235"/>
      <c r="Y119" s="237"/>
      <c r="Z119" s="238"/>
    </row>
    <row r="120" spans="1:26" s="239" customFormat="1" ht="28.5" customHeight="1" x14ac:dyDescent="0.3">
      <c r="A120" s="222">
        <f t="shared" si="14"/>
        <v>0</v>
      </c>
      <c r="B120" s="223" t="b">
        <f t="shared" si="15"/>
        <v>1</v>
      </c>
      <c r="C120" s="222">
        <f t="shared" si="16"/>
        <v>0</v>
      </c>
      <c r="D120" s="205" t="str">
        <f t="shared" ref="D120:D154" si="17">CONCATENATE("$",TRIM(F120),"$",TRIM(G120),"$",H120,"$")</f>
        <v>$$$$</v>
      </c>
      <c r="E120" s="224"/>
      <c r="F120" s="225"/>
      <c r="G120" s="226"/>
      <c r="H120" s="227"/>
      <c r="I120" s="228"/>
      <c r="J120" s="228"/>
      <c r="K120" s="229"/>
      <c r="L120" s="230"/>
      <c r="M120" s="231"/>
      <c r="N120" s="232"/>
      <c r="O120" s="230"/>
      <c r="P120" s="231"/>
      <c r="Q120" s="232"/>
      <c r="R120" s="233"/>
      <c r="S120" s="234"/>
      <c r="T120" s="235"/>
      <c r="U120" s="233"/>
      <c r="V120" s="236"/>
      <c r="W120" s="234"/>
      <c r="X120" s="235"/>
      <c r="Y120" s="237"/>
      <c r="Z120" s="238"/>
    </row>
    <row r="121" spans="1:26" s="239" customFormat="1" ht="28.5" customHeight="1" x14ac:dyDescent="0.3">
      <c r="A121" s="222">
        <f t="shared" si="14"/>
        <v>0</v>
      </c>
      <c r="B121" s="223" t="b">
        <f t="shared" si="15"/>
        <v>1</v>
      </c>
      <c r="C121" s="222">
        <f t="shared" si="16"/>
        <v>0</v>
      </c>
      <c r="D121" s="205" t="str">
        <f t="shared" si="17"/>
        <v>$$$$</v>
      </c>
      <c r="E121" s="224"/>
      <c r="F121" s="225"/>
      <c r="G121" s="226"/>
      <c r="H121" s="227"/>
      <c r="I121" s="228"/>
      <c r="J121" s="228"/>
      <c r="K121" s="229"/>
      <c r="L121" s="230"/>
      <c r="M121" s="231"/>
      <c r="N121" s="232"/>
      <c r="O121" s="230"/>
      <c r="P121" s="231"/>
      <c r="Q121" s="232"/>
      <c r="R121" s="233"/>
      <c r="S121" s="234"/>
      <c r="T121" s="235"/>
      <c r="U121" s="233"/>
      <c r="V121" s="236"/>
      <c r="W121" s="234"/>
      <c r="X121" s="235"/>
      <c r="Y121" s="237"/>
      <c r="Z121" s="238"/>
    </row>
    <row r="122" spans="1:26" s="239" customFormat="1" ht="28.5" customHeight="1" x14ac:dyDescent="0.3">
      <c r="A122" s="222">
        <f t="shared" si="14"/>
        <v>0</v>
      </c>
      <c r="B122" s="223" t="b">
        <f t="shared" si="15"/>
        <v>1</v>
      </c>
      <c r="C122" s="222">
        <f t="shared" si="16"/>
        <v>0</v>
      </c>
      <c r="D122" s="205" t="str">
        <f t="shared" si="17"/>
        <v>$$$$</v>
      </c>
      <c r="E122" s="224"/>
      <c r="F122" s="225"/>
      <c r="G122" s="226"/>
      <c r="H122" s="227"/>
      <c r="I122" s="228"/>
      <c r="J122" s="228"/>
      <c r="K122" s="229"/>
      <c r="L122" s="230"/>
      <c r="M122" s="231"/>
      <c r="N122" s="232"/>
      <c r="O122" s="230"/>
      <c r="P122" s="231"/>
      <c r="Q122" s="232"/>
      <c r="R122" s="233"/>
      <c r="S122" s="234"/>
      <c r="T122" s="235"/>
      <c r="U122" s="233"/>
      <c r="V122" s="236"/>
      <c r="W122" s="234"/>
      <c r="X122" s="235"/>
      <c r="Y122" s="237"/>
      <c r="Z122" s="238"/>
    </row>
    <row r="123" spans="1:26" s="239" customFormat="1" ht="28.5" customHeight="1" x14ac:dyDescent="0.3">
      <c r="A123" s="222">
        <f t="shared" si="14"/>
        <v>0</v>
      </c>
      <c r="B123" s="223" t="b">
        <f t="shared" si="15"/>
        <v>1</v>
      </c>
      <c r="C123" s="222">
        <f t="shared" si="16"/>
        <v>0</v>
      </c>
      <c r="D123" s="205" t="str">
        <f t="shared" si="17"/>
        <v>$$$$</v>
      </c>
      <c r="E123" s="224"/>
      <c r="F123" s="225"/>
      <c r="G123" s="226"/>
      <c r="H123" s="227"/>
      <c r="I123" s="228"/>
      <c r="J123" s="228"/>
      <c r="K123" s="229"/>
      <c r="L123" s="230"/>
      <c r="M123" s="231"/>
      <c r="N123" s="232"/>
      <c r="O123" s="230"/>
      <c r="P123" s="231"/>
      <c r="Q123" s="232"/>
      <c r="R123" s="233"/>
      <c r="S123" s="234"/>
      <c r="T123" s="235"/>
      <c r="U123" s="233"/>
      <c r="V123" s="236"/>
      <c r="W123" s="234"/>
      <c r="X123" s="235"/>
      <c r="Y123" s="237"/>
      <c r="Z123" s="238"/>
    </row>
    <row r="124" spans="1:26" s="239" customFormat="1" ht="28.5" customHeight="1" x14ac:dyDescent="0.3">
      <c r="A124" s="222">
        <f t="shared" si="14"/>
        <v>0</v>
      </c>
      <c r="B124" s="223" t="b">
        <f t="shared" si="15"/>
        <v>1</v>
      </c>
      <c r="C124" s="222">
        <f t="shared" si="16"/>
        <v>0</v>
      </c>
      <c r="D124" s="205" t="str">
        <f t="shared" si="17"/>
        <v>$$$$</v>
      </c>
      <c r="E124" s="224"/>
      <c r="F124" s="225"/>
      <c r="G124" s="226"/>
      <c r="H124" s="227"/>
      <c r="I124" s="228"/>
      <c r="J124" s="228"/>
      <c r="K124" s="229"/>
      <c r="L124" s="230"/>
      <c r="M124" s="231"/>
      <c r="N124" s="232"/>
      <c r="O124" s="230"/>
      <c r="P124" s="231"/>
      <c r="Q124" s="232"/>
      <c r="R124" s="233"/>
      <c r="S124" s="234"/>
      <c r="T124" s="235"/>
      <c r="U124" s="233"/>
      <c r="V124" s="236"/>
      <c r="W124" s="234"/>
      <c r="X124" s="235"/>
      <c r="Y124" s="237"/>
      <c r="Z124" s="238"/>
    </row>
    <row r="125" spans="1:26" s="239" customFormat="1" ht="28.5" customHeight="1" x14ac:dyDescent="0.3">
      <c r="A125" s="222">
        <f t="shared" si="14"/>
        <v>0</v>
      </c>
      <c r="B125" s="223" t="b">
        <f t="shared" si="15"/>
        <v>1</v>
      </c>
      <c r="C125" s="222">
        <f t="shared" si="16"/>
        <v>0</v>
      </c>
      <c r="D125" s="205" t="str">
        <f t="shared" si="17"/>
        <v>$$$$</v>
      </c>
      <c r="E125" s="224"/>
      <c r="F125" s="225"/>
      <c r="G125" s="226"/>
      <c r="H125" s="227"/>
      <c r="I125" s="228"/>
      <c r="J125" s="228"/>
      <c r="K125" s="229"/>
      <c r="L125" s="230"/>
      <c r="M125" s="231"/>
      <c r="N125" s="232"/>
      <c r="O125" s="230"/>
      <c r="P125" s="231"/>
      <c r="Q125" s="232"/>
      <c r="R125" s="233"/>
      <c r="S125" s="234"/>
      <c r="T125" s="235"/>
      <c r="U125" s="233"/>
      <c r="V125" s="236"/>
      <c r="W125" s="234"/>
      <c r="X125" s="235"/>
      <c r="Y125" s="237"/>
      <c r="Z125" s="238"/>
    </row>
    <row r="126" spans="1:26" s="239" customFormat="1" ht="28.5" customHeight="1" x14ac:dyDescent="0.3">
      <c r="A126" s="222">
        <f t="shared" si="14"/>
        <v>0</v>
      </c>
      <c r="B126" s="223" t="b">
        <f t="shared" si="15"/>
        <v>1</v>
      </c>
      <c r="C126" s="222">
        <f t="shared" si="16"/>
        <v>0</v>
      </c>
      <c r="D126" s="205" t="str">
        <f t="shared" si="17"/>
        <v>$$$$</v>
      </c>
      <c r="E126" s="224"/>
      <c r="F126" s="225"/>
      <c r="G126" s="226"/>
      <c r="H126" s="227"/>
      <c r="I126" s="228"/>
      <c r="J126" s="228"/>
      <c r="K126" s="229"/>
      <c r="L126" s="230"/>
      <c r="M126" s="231"/>
      <c r="N126" s="232"/>
      <c r="O126" s="230"/>
      <c r="P126" s="231"/>
      <c r="Q126" s="232"/>
      <c r="R126" s="233"/>
      <c r="S126" s="234"/>
      <c r="T126" s="235"/>
      <c r="U126" s="233"/>
      <c r="V126" s="236"/>
      <c r="W126" s="234"/>
      <c r="X126" s="235"/>
      <c r="Y126" s="237"/>
      <c r="Z126" s="238"/>
    </row>
    <row r="127" spans="1:26" s="239" customFormat="1" ht="28.5" customHeight="1" x14ac:dyDescent="0.3">
      <c r="A127" s="222">
        <f t="shared" si="14"/>
        <v>0</v>
      </c>
      <c r="B127" s="223" t="b">
        <f t="shared" si="15"/>
        <v>1</v>
      </c>
      <c r="C127" s="222">
        <f t="shared" si="16"/>
        <v>0</v>
      </c>
      <c r="D127" s="205" t="str">
        <f t="shared" si="17"/>
        <v>$$$$</v>
      </c>
      <c r="E127" s="224"/>
      <c r="F127" s="225"/>
      <c r="G127" s="226"/>
      <c r="H127" s="227"/>
      <c r="I127" s="228"/>
      <c r="J127" s="228"/>
      <c r="K127" s="229"/>
      <c r="L127" s="230"/>
      <c r="M127" s="231"/>
      <c r="N127" s="232"/>
      <c r="O127" s="230"/>
      <c r="P127" s="231"/>
      <c r="Q127" s="232"/>
      <c r="R127" s="233"/>
      <c r="S127" s="234"/>
      <c r="T127" s="235"/>
      <c r="U127" s="233"/>
      <c r="V127" s="236"/>
      <c r="W127" s="234"/>
      <c r="X127" s="235"/>
      <c r="Y127" s="237"/>
      <c r="Z127" s="238"/>
    </row>
    <row r="128" spans="1:26" s="239" customFormat="1" ht="28.5" customHeight="1" x14ac:dyDescent="0.3">
      <c r="A128" s="222">
        <f t="shared" si="14"/>
        <v>0</v>
      </c>
      <c r="B128" s="223" t="b">
        <f t="shared" si="15"/>
        <v>1</v>
      </c>
      <c r="C128" s="222">
        <f t="shared" si="16"/>
        <v>0</v>
      </c>
      <c r="D128" s="205" t="str">
        <f t="shared" si="17"/>
        <v>$$$$</v>
      </c>
      <c r="E128" s="224"/>
      <c r="F128" s="225"/>
      <c r="G128" s="226"/>
      <c r="H128" s="227"/>
      <c r="I128" s="228"/>
      <c r="J128" s="228"/>
      <c r="K128" s="229"/>
      <c r="L128" s="230"/>
      <c r="M128" s="231"/>
      <c r="N128" s="232"/>
      <c r="O128" s="230"/>
      <c r="P128" s="231"/>
      <c r="Q128" s="232"/>
      <c r="R128" s="233"/>
      <c r="S128" s="234"/>
      <c r="T128" s="235"/>
      <c r="U128" s="233"/>
      <c r="V128" s="236"/>
      <c r="W128" s="234"/>
      <c r="X128" s="235"/>
      <c r="Y128" s="237"/>
      <c r="Z128" s="238"/>
    </row>
    <row r="129" spans="1:26" s="239" customFormat="1" ht="28.5" customHeight="1" x14ac:dyDescent="0.3">
      <c r="A129" s="222">
        <f t="shared" si="14"/>
        <v>0</v>
      </c>
      <c r="B129" s="223" t="b">
        <f t="shared" si="15"/>
        <v>1</v>
      </c>
      <c r="C129" s="222">
        <f t="shared" si="16"/>
        <v>0</v>
      </c>
      <c r="D129" s="205" t="str">
        <f t="shared" si="17"/>
        <v>$$$$</v>
      </c>
      <c r="E129" s="224"/>
      <c r="F129" s="225"/>
      <c r="G129" s="226"/>
      <c r="H129" s="227"/>
      <c r="I129" s="228"/>
      <c r="J129" s="228"/>
      <c r="K129" s="229"/>
      <c r="L129" s="230"/>
      <c r="M129" s="231"/>
      <c r="N129" s="232"/>
      <c r="O129" s="230"/>
      <c r="P129" s="231"/>
      <c r="Q129" s="232"/>
      <c r="R129" s="233"/>
      <c r="S129" s="234"/>
      <c r="T129" s="235"/>
      <c r="U129" s="233"/>
      <c r="V129" s="236"/>
      <c r="W129" s="234"/>
      <c r="X129" s="235"/>
      <c r="Y129" s="237"/>
      <c r="Z129" s="238"/>
    </row>
    <row r="130" spans="1:26" s="239" customFormat="1" ht="28.5" customHeight="1" x14ac:dyDescent="0.3">
      <c r="A130" s="222">
        <f t="shared" si="14"/>
        <v>0</v>
      </c>
      <c r="B130" s="223" t="b">
        <f t="shared" si="15"/>
        <v>1</v>
      </c>
      <c r="C130" s="222">
        <f t="shared" si="16"/>
        <v>0</v>
      </c>
      <c r="D130" s="205" t="str">
        <f t="shared" si="17"/>
        <v>$$$$</v>
      </c>
      <c r="E130" s="224"/>
      <c r="F130" s="225"/>
      <c r="G130" s="226"/>
      <c r="H130" s="227"/>
      <c r="I130" s="228"/>
      <c r="J130" s="228"/>
      <c r="K130" s="229"/>
      <c r="L130" s="230"/>
      <c r="M130" s="231"/>
      <c r="N130" s="232"/>
      <c r="O130" s="230"/>
      <c r="P130" s="231"/>
      <c r="Q130" s="232"/>
      <c r="R130" s="233"/>
      <c r="S130" s="234"/>
      <c r="T130" s="235"/>
      <c r="U130" s="233"/>
      <c r="V130" s="236"/>
      <c r="W130" s="234"/>
      <c r="X130" s="235"/>
      <c r="Y130" s="237"/>
      <c r="Z130" s="238"/>
    </row>
    <row r="131" spans="1:26" s="239" customFormat="1" ht="28.5" customHeight="1" x14ac:dyDescent="0.3">
      <c r="A131" s="222">
        <f t="shared" si="14"/>
        <v>0</v>
      </c>
      <c r="B131" s="223" t="b">
        <f t="shared" si="15"/>
        <v>1</v>
      </c>
      <c r="C131" s="222">
        <f t="shared" si="16"/>
        <v>0</v>
      </c>
      <c r="D131" s="205" t="str">
        <f t="shared" si="17"/>
        <v>$$$$</v>
      </c>
      <c r="E131" s="224"/>
      <c r="F131" s="225"/>
      <c r="G131" s="226"/>
      <c r="H131" s="227"/>
      <c r="I131" s="228"/>
      <c r="J131" s="228"/>
      <c r="K131" s="229"/>
      <c r="L131" s="230"/>
      <c r="M131" s="231"/>
      <c r="N131" s="232"/>
      <c r="O131" s="230"/>
      <c r="P131" s="231"/>
      <c r="Q131" s="232"/>
      <c r="R131" s="233"/>
      <c r="S131" s="234"/>
      <c r="T131" s="235"/>
      <c r="U131" s="233"/>
      <c r="V131" s="236"/>
      <c r="W131" s="234"/>
      <c r="X131" s="235"/>
      <c r="Y131" s="237"/>
      <c r="Z131" s="238"/>
    </row>
    <row r="132" spans="1:26" s="239" customFormat="1" ht="28.5" customHeight="1" x14ac:dyDescent="0.3">
      <c r="A132" s="222">
        <f t="shared" si="14"/>
        <v>0</v>
      </c>
      <c r="B132" s="223" t="b">
        <f t="shared" si="15"/>
        <v>1</v>
      </c>
      <c r="C132" s="222">
        <f t="shared" si="16"/>
        <v>0</v>
      </c>
      <c r="D132" s="205" t="str">
        <f t="shared" si="17"/>
        <v>$$$$</v>
      </c>
      <c r="E132" s="224"/>
      <c r="F132" s="225"/>
      <c r="G132" s="226"/>
      <c r="H132" s="227"/>
      <c r="I132" s="228"/>
      <c r="J132" s="228"/>
      <c r="K132" s="229"/>
      <c r="L132" s="230"/>
      <c r="M132" s="231"/>
      <c r="N132" s="232"/>
      <c r="O132" s="230"/>
      <c r="P132" s="231"/>
      <c r="Q132" s="232"/>
      <c r="R132" s="233"/>
      <c r="S132" s="234"/>
      <c r="T132" s="235"/>
      <c r="U132" s="233"/>
      <c r="V132" s="236"/>
      <c r="W132" s="234"/>
      <c r="X132" s="235"/>
      <c r="Y132" s="237"/>
      <c r="Z132" s="238"/>
    </row>
    <row r="133" spans="1:26" s="239" customFormat="1" ht="28.5" customHeight="1" x14ac:dyDescent="0.3">
      <c r="A133" s="222">
        <f t="shared" si="14"/>
        <v>0</v>
      </c>
      <c r="B133" s="223" t="b">
        <f t="shared" si="15"/>
        <v>1</v>
      </c>
      <c r="C133" s="222">
        <f t="shared" si="16"/>
        <v>0</v>
      </c>
      <c r="D133" s="205" t="str">
        <f t="shared" si="17"/>
        <v>$$$$</v>
      </c>
      <c r="E133" s="224"/>
      <c r="F133" s="225"/>
      <c r="G133" s="226"/>
      <c r="H133" s="227"/>
      <c r="I133" s="228"/>
      <c r="J133" s="228"/>
      <c r="K133" s="229"/>
      <c r="L133" s="230"/>
      <c r="M133" s="231"/>
      <c r="N133" s="232"/>
      <c r="O133" s="230"/>
      <c r="P133" s="231"/>
      <c r="Q133" s="232"/>
      <c r="R133" s="233"/>
      <c r="S133" s="234"/>
      <c r="T133" s="235"/>
      <c r="U133" s="233"/>
      <c r="V133" s="236"/>
      <c r="W133" s="234"/>
      <c r="X133" s="235"/>
      <c r="Y133" s="237"/>
      <c r="Z133" s="238"/>
    </row>
    <row r="134" spans="1:26" s="239" customFormat="1" ht="28.5" customHeight="1" x14ac:dyDescent="0.3">
      <c r="A134" s="222">
        <f t="shared" si="14"/>
        <v>0</v>
      </c>
      <c r="B134" s="223" t="b">
        <f t="shared" si="15"/>
        <v>1</v>
      </c>
      <c r="C134" s="222">
        <f t="shared" si="16"/>
        <v>0</v>
      </c>
      <c r="D134" s="205" t="str">
        <f t="shared" si="17"/>
        <v>$$$$</v>
      </c>
      <c r="E134" s="224"/>
      <c r="F134" s="225"/>
      <c r="G134" s="226"/>
      <c r="H134" s="227"/>
      <c r="I134" s="228"/>
      <c r="J134" s="228"/>
      <c r="K134" s="229"/>
      <c r="L134" s="230"/>
      <c r="M134" s="231"/>
      <c r="N134" s="232"/>
      <c r="O134" s="230"/>
      <c r="P134" s="231"/>
      <c r="Q134" s="232"/>
      <c r="R134" s="233"/>
      <c r="S134" s="234"/>
      <c r="T134" s="235"/>
      <c r="U134" s="233"/>
      <c r="V134" s="236"/>
      <c r="W134" s="234"/>
      <c r="X134" s="235"/>
      <c r="Y134" s="237"/>
      <c r="Z134" s="238"/>
    </row>
    <row r="135" spans="1:26" s="239" customFormat="1" ht="28.5" customHeight="1" x14ac:dyDescent="0.3">
      <c r="A135" s="222">
        <f t="shared" si="14"/>
        <v>0</v>
      </c>
      <c r="B135" s="223" t="b">
        <f t="shared" si="15"/>
        <v>1</v>
      </c>
      <c r="C135" s="222">
        <f t="shared" si="16"/>
        <v>0</v>
      </c>
      <c r="D135" s="205" t="str">
        <f t="shared" si="17"/>
        <v>$$$$</v>
      </c>
      <c r="E135" s="224"/>
      <c r="F135" s="225"/>
      <c r="G135" s="226"/>
      <c r="H135" s="227"/>
      <c r="I135" s="228"/>
      <c r="J135" s="228"/>
      <c r="K135" s="229"/>
      <c r="L135" s="230"/>
      <c r="M135" s="231"/>
      <c r="N135" s="232"/>
      <c r="O135" s="230"/>
      <c r="P135" s="231"/>
      <c r="Q135" s="232"/>
      <c r="R135" s="233"/>
      <c r="S135" s="234"/>
      <c r="T135" s="235"/>
      <c r="U135" s="233"/>
      <c r="V135" s="236"/>
      <c r="W135" s="234"/>
      <c r="X135" s="235"/>
      <c r="Y135" s="237"/>
      <c r="Z135" s="238"/>
    </row>
    <row r="136" spans="1:26" s="239" customFormat="1" ht="28.5" customHeight="1" x14ac:dyDescent="0.3">
      <c r="A136" s="222">
        <f t="shared" si="14"/>
        <v>0</v>
      </c>
      <c r="B136" s="223" t="b">
        <f t="shared" si="15"/>
        <v>1</v>
      </c>
      <c r="C136" s="222">
        <f t="shared" si="16"/>
        <v>0</v>
      </c>
      <c r="D136" s="205" t="str">
        <f t="shared" si="17"/>
        <v>$$$$</v>
      </c>
      <c r="E136" s="224"/>
      <c r="F136" s="225"/>
      <c r="G136" s="226"/>
      <c r="H136" s="227"/>
      <c r="I136" s="228"/>
      <c r="J136" s="228"/>
      <c r="K136" s="229"/>
      <c r="L136" s="230"/>
      <c r="M136" s="231"/>
      <c r="N136" s="232"/>
      <c r="O136" s="230"/>
      <c r="P136" s="231"/>
      <c r="Q136" s="232"/>
      <c r="R136" s="233"/>
      <c r="S136" s="234"/>
      <c r="T136" s="235"/>
      <c r="U136" s="233"/>
      <c r="V136" s="236"/>
      <c r="W136" s="234"/>
      <c r="X136" s="235"/>
      <c r="Y136" s="237"/>
      <c r="Z136" s="238"/>
    </row>
    <row r="137" spans="1:26" s="239" customFormat="1" ht="28.5" customHeight="1" x14ac:dyDescent="0.3">
      <c r="A137" s="222">
        <f t="shared" si="14"/>
        <v>0</v>
      </c>
      <c r="B137" s="223" t="b">
        <f t="shared" si="15"/>
        <v>1</v>
      </c>
      <c r="C137" s="222">
        <f t="shared" si="16"/>
        <v>0</v>
      </c>
      <c r="D137" s="205" t="str">
        <f t="shared" si="17"/>
        <v>$$$$</v>
      </c>
      <c r="E137" s="224"/>
      <c r="F137" s="225"/>
      <c r="G137" s="226"/>
      <c r="H137" s="227"/>
      <c r="I137" s="228"/>
      <c r="J137" s="228"/>
      <c r="K137" s="229"/>
      <c r="L137" s="230"/>
      <c r="M137" s="231"/>
      <c r="N137" s="232"/>
      <c r="O137" s="230"/>
      <c r="P137" s="231"/>
      <c r="Q137" s="232"/>
      <c r="R137" s="233"/>
      <c r="S137" s="234"/>
      <c r="T137" s="235"/>
      <c r="U137" s="233"/>
      <c r="V137" s="236"/>
      <c r="W137" s="234"/>
      <c r="X137" s="235"/>
      <c r="Y137" s="237"/>
      <c r="Z137" s="238"/>
    </row>
    <row r="138" spans="1:26" s="239" customFormat="1" ht="28.5" customHeight="1" x14ac:dyDescent="0.3">
      <c r="A138" s="222">
        <f t="shared" si="14"/>
        <v>0</v>
      </c>
      <c r="B138" s="223" t="b">
        <f t="shared" si="15"/>
        <v>1</v>
      </c>
      <c r="C138" s="222">
        <f t="shared" si="16"/>
        <v>0</v>
      </c>
      <c r="D138" s="205" t="str">
        <f t="shared" si="17"/>
        <v>$$$$</v>
      </c>
      <c r="E138" s="224"/>
      <c r="F138" s="225"/>
      <c r="G138" s="226"/>
      <c r="H138" s="227"/>
      <c r="I138" s="228"/>
      <c r="J138" s="228"/>
      <c r="K138" s="229"/>
      <c r="L138" s="230"/>
      <c r="M138" s="231"/>
      <c r="N138" s="232"/>
      <c r="O138" s="230"/>
      <c r="P138" s="231"/>
      <c r="Q138" s="232"/>
      <c r="R138" s="233"/>
      <c r="S138" s="234"/>
      <c r="T138" s="235"/>
      <c r="U138" s="233"/>
      <c r="V138" s="236"/>
      <c r="W138" s="234"/>
      <c r="X138" s="235"/>
      <c r="Y138" s="237"/>
      <c r="Z138" s="238"/>
    </row>
    <row r="139" spans="1:26" s="239" customFormat="1" ht="28.5" customHeight="1" x14ac:dyDescent="0.3">
      <c r="A139" s="222">
        <f t="shared" si="14"/>
        <v>0</v>
      </c>
      <c r="B139" s="223" t="b">
        <f t="shared" si="15"/>
        <v>1</v>
      </c>
      <c r="C139" s="222">
        <f t="shared" si="16"/>
        <v>0</v>
      </c>
      <c r="D139" s="205" t="str">
        <f t="shared" si="17"/>
        <v>$$$$</v>
      </c>
      <c r="E139" s="224"/>
      <c r="F139" s="225"/>
      <c r="G139" s="226"/>
      <c r="H139" s="227"/>
      <c r="I139" s="228"/>
      <c r="J139" s="228"/>
      <c r="K139" s="229"/>
      <c r="L139" s="230"/>
      <c r="M139" s="231"/>
      <c r="N139" s="232"/>
      <c r="O139" s="230"/>
      <c r="P139" s="231"/>
      <c r="Q139" s="232"/>
      <c r="R139" s="233"/>
      <c r="S139" s="234"/>
      <c r="T139" s="235"/>
      <c r="U139" s="233"/>
      <c r="V139" s="236"/>
      <c r="W139" s="234"/>
      <c r="X139" s="235"/>
      <c r="Y139" s="237"/>
      <c r="Z139" s="238"/>
    </row>
    <row r="140" spans="1:26" s="239" customFormat="1" ht="28.5" customHeight="1" x14ac:dyDescent="0.3">
      <c r="A140" s="222">
        <f t="shared" si="14"/>
        <v>0</v>
      </c>
      <c r="B140" s="223" t="b">
        <f t="shared" si="15"/>
        <v>1</v>
      </c>
      <c r="C140" s="222">
        <f t="shared" si="16"/>
        <v>0</v>
      </c>
      <c r="D140" s="205" t="str">
        <f t="shared" si="17"/>
        <v>$$$$</v>
      </c>
      <c r="E140" s="224"/>
      <c r="F140" s="225"/>
      <c r="G140" s="226"/>
      <c r="H140" s="227"/>
      <c r="I140" s="228"/>
      <c r="J140" s="228"/>
      <c r="K140" s="229"/>
      <c r="L140" s="230"/>
      <c r="M140" s="231"/>
      <c r="N140" s="232"/>
      <c r="O140" s="230"/>
      <c r="P140" s="231"/>
      <c r="Q140" s="232"/>
      <c r="R140" s="233"/>
      <c r="S140" s="234"/>
      <c r="T140" s="235"/>
      <c r="U140" s="233"/>
      <c r="V140" s="236"/>
      <c r="W140" s="234"/>
      <c r="X140" s="235"/>
      <c r="Y140" s="237"/>
      <c r="Z140" s="238"/>
    </row>
    <row r="141" spans="1:26" s="239" customFormat="1" ht="28.5" customHeight="1" x14ac:dyDescent="0.3">
      <c r="A141" s="222">
        <f t="shared" si="14"/>
        <v>0</v>
      </c>
      <c r="B141" s="223" t="b">
        <f t="shared" si="15"/>
        <v>1</v>
      </c>
      <c r="C141" s="222">
        <f t="shared" si="16"/>
        <v>0</v>
      </c>
      <c r="D141" s="205" t="str">
        <f t="shared" si="17"/>
        <v>$$$$</v>
      </c>
      <c r="E141" s="224"/>
      <c r="F141" s="225"/>
      <c r="G141" s="226"/>
      <c r="H141" s="227"/>
      <c r="I141" s="228"/>
      <c r="J141" s="228"/>
      <c r="K141" s="229"/>
      <c r="L141" s="230"/>
      <c r="M141" s="231"/>
      <c r="N141" s="232"/>
      <c r="O141" s="230"/>
      <c r="P141" s="231"/>
      <c r="Q141" s="232"/>
      <c r="R141" s="233"/>
      <c r="S141" s="234"/>
      <c r="T141" s="235"/>
      <c r="U141" s="233"/>
      <c r="V141" s="236"/>
      <c r="W141" s="234"/>
      <c r="X141" s="235"/>
      <c r="Y141" s="237"/>
      <c r="Z141" s="238"/>
    </row>
    <row r="142" spans="1:26" s="239" customFormat="1" ht="28.5" customHeight="1" x14ac:dyDescent="0.3">
      <c r="A142" s="222">
        <f t="shared" si="14"/>
        <v>0</v>
      </c>
      <c r="B142" s="223" t="b">
        <f t="shared" si="15"/>
        <v>1</v>
      </c>
      <c r="C142" s="222">
        <f t="shared" si="16"/>
        <v>0</v>
      </c>
      <c r="D142" s="205" t="str">
        <f t="shared" si="17"/>
        <v>$$$$</v>
      </c>
      <c r="E142" s="224"/>
      <c r="F142" s="225"/>
      <c r="G142" s="226"/>
      <c r="H142" s="227"/>
      <c r="I142" s="228"/>
      <c r="J142" s="228"/>
      <c r="K142" s="229"/>
      <c r="L142" s="230"/>
      <c r="M142" s="231"/>
      <c r="N142" s="232"/>
      <c r="O142" s="230"/>
      <c r="P142" s="231"/>
      <c r="Q142" s="232"/>
      <c r="R142" s="233"/>
      <c r="S142" s="234"/>
      <c r="T142" s="235"/>
      <c r="U142" s="233"/>
      <c r="V142" s="236"/>
      <c r="W142" s="234"/>
      <c r="X142" s="235"/>
      <c r="Y142" s="237"/>
      <c r="Z142" s="238"/>
    </row>
    <row r="143" spans="1:26" s="239" customFormat="1" ht="28.5" customHeight="1" x14ac:dyDescent="0.3">
      <c r="A143" s="222">
        <f t="shared" si="14"/>
        <v>0</v>
      </c>
      <c r="B143" s="223" t="b">
        <f t="shared" si="15"/>
        <v>1</v>
      </c>
      <c r="C143" s="222">
        <f t="shared" si="16"/>
        <v>0</v>
      </c>
      <c r="D143" s="205" t="str">
        <f t="shared" si="17"/>
        <v>$$$$</v>
      </c>
      <c r="E143" s="224"/>
      <c r="F143" s="225"/>
      <c r="G143" s="226"/>
      <c r="H143" s="227"/>
      <c r="I143" s="228"/>
      <c r="J143" s="228"/>
      <c r="K143" s="229"/>
      <c r="L143" s="230"/>
      <c r="M143" s="231"/>
      <c r="N143" s="232"/>
      <c r="O143" s="230"/>
      <c r="P143" s="231"/>
      <c r="Q143" s="232"/>
      <c r="R143" s="233"/>
      <c r="S143" s="234"/>
      <c r="T143" s="235"/>
      <c r="U143" s="233"/>
      <c r="V143" s="236"/>
      <c r="W143" s="234"/>
      <c r="X143" s="235"/>
      <c r="Y143" s="237"/>
      <c r="Z143" s="238"/>
    </row>
    <row r="144" spans="1:26" s="239" customFormat="1" ht="28.5" customHeight="1" x14ac:dyDescent="0.3">
      <c r="A144" s="222">
        <f t="shared" si="14"/>
        <v>0</v>
      </c>
      <c r="B144" s="223" t="b">
        <f t="shared" si="15"/>
        <v>1</v>
      </c>
      <c r="C144" s="222">
        <f t="shared" si="16"/>
        <v>0</v>
      </c>
      <c r="D144" s="205" t="str">
        <f t="shared" si="17"/>
        <v>$$$$</v>
      </c>
      <c r="E144" s="224"/>
      <c r="F144" s="225"/>
      <c r="G144" s="226"/>
      <c r="H144" s="227"/>
      <c r="I144" s="228"/>
      <c r="J144" s="228"/>
      <c r="K144" s="229"/>
      <c r="L144" s="230"/>
      <c r="M144" s="231"/>
      <c r="N144" s="232"/>
      <c r="O144" s="230"/>
      <c r="P144" s="231"/>
      <c r="Q144" s="232"/>
      <c r="R144" s="233"/>
      <c r="S144" s="234"/>
      <c r="T144" s="235"/>
      <c r="U144" s="233"/>
      <c r="V144" s="236"/>
      <c r="W144" s="234"/>
      <c r="X144" s="235"/>
      <c r="Y144" s="237"/>
      <c r="Z144" s="238"/>
    </row>
    <row r="145" spans="1:26" s="239" customFormat="1" ht="28.5" customHeight="1" x14ac:dyDescent="0.3">
      <c r="A145" s="222">
        <f t="shared" si="14"/>
        <v>0</v>
      </c>
      <c r="B145" s="223" t="b">
        <f t="shared" si="15"/>
        <v>1</v>
      </c>
      <c r="C145" s="222">
        <f t="shared" si="16"/>
        <v>0</v>
      </c>
      <c r="D145" s="205" t="str">
        <f t="shared" si="17"/>
        <v>$$$$</v>
      </c>
      <c r="E145" s="224"/>
      <c r="F145" s="225"/>
      <c r="G145" s="226"/>
      <c r="H145" s="227"/>
      <c r="I145" s="228"/>
      <c r="J145" s="228"/>
      <c r="K145" s="229"/>
      <c r="L145" s="230"/>
      <c r="M145" s="231"/>
      <c r="N145" s="232"/>
      <c r="O145" s="230"/>
      <c r="P145" s="231"/>
      <c r="Q145" s="232"/>
      <c r="R145" s="233"/>
      <c r="S145" s="234"/>
      <c r="T145" s="235"/>
      <c r="U145" s="233"/>
      <c r="V145" s="236"/>
      <c r="W145" s="234"/>
      <c r="X145" s="235"/>
      <c r="Y145" s="237"/>
      <c r="Z145" s="238"/>
    </row>
    <row r="146" spans="1:26" s="239" customFormat="1" ht="28.5" customHeight="1" x14ac:dyDescent="0.3">
      <c r="A146" s="222">
        <f t="shared" si="14"/>
        <v>0</v>
      </c>
      <c r="B146" s="223" t="b">
        <f t="shared" si="15"/>
        <v>1</v>
      </c>
      <c r="C146" s="222">
        <f t="shared" si="16"/>
        <v>0</v>
      </c>
      <c r="D146" s="205" t="str">
        <f t="shared" si="17"/>
        <v>$$$$</v>
      </c>
      <c r="E146" s="224"/>
      <c r="F146" s="225"/>
      <c r="G146" s="226"/>
      <c r="H146" s="227"/>
      <c r="I146" s="228"/>
      <c r="J146" s="228"/>
      <c r="K146" s="229"/>
      <c r="L146" s="230"/>
      <c r="M146" s="231"/>
      <c r="N146" s="232"/>
      <c r="O146" s="230"/>
      <c r="P146" s="231"/>
      <c r="Q146" s="232"/>
      <c r="R146" s="233"/>
      <c r="S146" s="234"/>
      <c r="T146" s="235"/>
      <c r="U146" s="233"/>
      <c r="V146" s="236"/>
      <c r="W146" s="234"/>
      <c r="X146" s="235"/>
      <c r="Y146" s="237"/>
      <c r="Z146" s="238"/>
    </row>
    <row r="147" spans="1:26" s="239" customFormat="1" ht="28.5" customHeight="1" x14ac:dyDescent="0.3">
      <c r="A147" s="222">
        <f t="shared" si="14"/>
        <v>0</v>
      </c>
      <c r="B147" s="223" t="b">
        <f t="shared" si="15"/>
        <v>1</v>
      </c>
      <c r="C147" s="222">
        <f t="shared" si="16"/>
        <v>0</v>
      </c>
      <c r="D147" s="205" t="str">
        <f t="shared" si="17"/>
        <v>$$$$</v>
      </c>
      <c r="E147" s="224"/>
      <c r="F147" s="225"/>
      <c r="G147" s="226"/>
      <c r="H147" s="227"/>
      <c r="I147" s="228"/>
      <c r="J147" s="228"/>
      <c r="K147" s="229"/>
      <c r="L147" s="230"/>
      <c r="M147" s="231"/>
      <c r="N147" s="232"/>
      <c r="O147" s="230"/>
      <c r="P147" s="231"/>
      <c r="Q147" s="232"/>
      <c r="R147" s="233"/>
      <c r="S147" s="234"/>
      <c r="T147" s="235"/>
      <c r="U147" s="233"/>
      <c r="V147" s="236"/>
      <c r="W147" s="234"/>
      <c r="X147" s="235"/>
      <c r="Y147" s="237"/>
      <c r="Z147" s="238"/>
    </row>
    <row r="148" spans="1:26" s="239" customFormat="1" ht="28.5" customHeight="1" x14ac:dyDescent="0.3">
      <c r="A148" s="222">
        <f t="shared" si="14"/>
        <v>0</v>
      </c>
      <c r="B148" s="223" t="b">
        <f t="shared" si="15"/>
        <v>1</v>
      </c>
      <c r="C148" s="222">
        <f t="shared" si="16"/>
        <v>0</v>
      </c>
      <c r="D148" s="205" t="str">
        <f t="shared" si="17"/>
        <v>$$$$</v>
      </c>
      <c r="E148" s="224"/>
      <c r="F148" s="225"/>
      <c r="G148" s="226"/>
      <c r="H148" s="227"/>
      <c r="I148" s="228"/>
      <c r="J148" s="228"/>
      <c r="K148" s="229"/>
      <c r="L148" s="230"/>
      <c r="M148" s="231"/>
      <c r="N148" s="232"/>
      <c r="O148" s="230"/>
      <c r="P148" s="231"/>
      <c r="Q148" s="232"/>
      <c r="R148" s="233"/>
      <c r="S148" s="234"/>
      <c r="T148" s="235"/>
      <c r="U148" s="233"/>
      <c r="V148" s="236"/>
      <c r="W148" s="234"/>
      <c r="X148" s="235"/>
      <c r="Y148" s="237"/>
      <c r="Z148" s="238"/>
    </row>
    <row r="149" spans="1:26" s="239" customFormat="1" ht="28.5" customHeight="1" x14ac:dyDescent="0.3">
      <c r="A149" s="222">
        <f t="shared" si="14"/>
        <v>0</v>
      </c>
      <c r="B149" s="223" t="b">
        <f t="shared" si="15"/>
        <v>1</v>
      </c>
      <c r="C149" s="222">
        <f t="shared" si="16"/>
        <v>0</v>
      </c>
      <c r="D149" s="205" t="str">
        <f t="shared" si="17"/>
        <v>$$$$</v>
      </c>
      <c r="E149" s="224"/>
      <c r="F149" s="225"/>
      <c r="G149" s="226"/>
      <c r="H149" s="227"/>
      <c r="I149" s="228"/>
      <c r="J149" s="228"/>
      <c r="K149" s="229"/>
      <c r="L149" s="230"/>
      <c r="M149" s="231"/>
      <c r="N149" s="232"/>
      <c r="O149" s="230"/>
      <c r="P149" s="231"/>
      <c r="Q149" s="232"/>
      <c r="R149" s="233"/>
      <c r="S149" s="234"/>
      <c r="T149" s="235"/>
      <c r="U149" s="233"/>
      <c r="V149" s="236"/>
      <c r="W149" s="234"/>
      <c r="X149" s="235"/>
      <c r="Y149" s="237"/>
      <c r="Z149" s="238"/>
    </row>
    <row r="150" spans="1:26" s="239" customFormat="1" ht="28.5" customHeight="1" x14ac:dyDescent="0.3">
      <c r="A150" s="222">
        <f t="shared" si="14"/>
        <v>0</v>
      </c>
      <c r="B150" s="223" t="b">
        <f t="shared" si="15"/>
        <v>1</v>
      </c>
      <c r="C150" s="222">
        <f t="shared" si="16"/>
        <v>0</v>
      </c>
      <c r="D150" s="205" t="str">
        <f t="shared" si="17"/>
        <v>$$$$</v>
      </c>
      <c r="E150" s="224"/>
      <c r="F150" s="225"/>
      <c r="G150" s="226"/>
      <c r="H150" s="227"/>
      <c r="I150" s="228"/>
      <c r="J150" s="228"/>
      <c r="K150" s="229"/>
      <c r="L150" s="230"/>
      <c r="M150" s="231"/>
      <c r="N150" s="232"/>
      <c r="O150" s="230"/>
      <c r="P150" s="231"/>
      <c r="Q150" s="232"/>
      <c r="R150" s="233"/>
      <c r="S150" s="234"/>
      <c r="T150" s="235"/>
      <c r="U150" s="233"/>
      <c r="V150" s="236"/>
      <c r="W150" s="234"/>
      <c r="X150" s="235"/>
      <c r="Y150" s="237"/>
      <c r="Z150" s="238"/>
    </row>
    <row r="151" spans="1:26" s="239" customFormat="1" ht="28.5" customHeight="1" x14ac:dyDescent="0.3">
      <c r="A151" s="222">
        <f t="shared" ref="A151:A154" si="18">IF(B151,0,MATCH(H151,ВидыНагр,0))</f>
        <v>0</v>
      </c>
      <c r="B151" s="223" t="b">
        <f t="shared" ref="B151:B154" si="19">(COUNTIF(КлючВесна,D151)&lt;&gt;1)</f>
        <v>1</v>
      </c>
      <c r="C151" s="222">
        <f t="shared" ref="C151:C158" si="20">IF(COUNTA(E151:K151,Z151)&gt;0,1,0)+IF(COUNTA(L151:Y151)&gt;0,2,0)</f>
        <v>0</v>
      </c>
      <c r="D151" s="205" t="str">
        <f t="shared" si="17"/>
        <v>$$$$</v>
      </c>
      <c r="E151" s="224"/>
      <c r="F151" s="225"/>
      <c r="G151" s="226"/>
      <c r="H151" s="227"/>
      <c r="I151" s="228"/>
      <c r="J151" s="228"/>
      <c r="K151" s="229"/>
      <c r="L151" s="230"/>
      <c r="M151" s="231"/>
      <c r="N151" s="232"/>
      <c r="O151" s="230"/>
      <c r="P151" s="231"/>
      <c r="Q151" s="232"/>
      <c r="R151" s="233"/>
      <c r="S151" s="234"/>
      <c r="T151" s="235"/>
      <c r="U151" s="233"/>
      <c r="V151" s="236"/>
      <c r="W151" s="234"/>
      <c r="X151" s="235"/>
      <c r="Y151" s="237"/>
      <c r="Z151" s="238"/>
    </row>
    <row r="152" spans="1:26" s="239" customFormat="1" ht="28.5" customHeight="1" x14ac:dyDescent="0.3">
      <c r="A152" s="222">
        <f t="shared" si="18"/>
        <v>0</v>
      </c>
      <c r="B152" s="223" t="b">
        <f t="shared" si="19"/>
        <v>1</v>
      </c>
      <c r="C152" s="222">
        <f t="shared" si="20"/>
        <v>0</v>
      </c>
      <c r="D152" s="205" t="str">
        <f t="shared" si="17"/>
        <v>$$$$</v>
      </c>
      <c r="E152" s="224"/>
      <c r="F152" s="225"/>
      <c r="G152" s="226"/>
      <c r="H152" s="227"/>
      <c r="I152" s="228"/>
      <c r="J152" s="228"/>
      <c r="K152" s="229"/>
      <c r="L152" s="230"/>
      <c r="M152" s="231"/>
      <c r="N152" s="232"/>
      <c r="O152" s="230"/>
      <c r="P152" s="231"/>
      <c r="Q152" s="232"/>
      <c r="R152" s="233"/>
      <c r="S152" s="234"/>
      <c r="T152" s="235"/>
      <c r="U152" s="233"/>
      <c r="V152" s="236"/>
      <c r="W152" s="234"/>
      <c r="X152" s="235"/>
      <c r="Y152" s="237"/>
      <c r="Z152" s="238"/>
    </row>
    <row r="153" spans="1:26" s="239" customFormat="1" ht="28.5" customHeight="1" x14ac:dyDescent="0.3">
      <c r="A153" s="222">
        <f t="shared" si="18"/>
        <v>0</v>
      </c>
      <c r="B153" s="223" t="b">
        <f t="shared" si="19"/>
        <v>1</v>
      </c>
      <c r="C153" s="222">
        <f t="shared" si="20"/>
        <v>0</v>
      </c>
      <c r="D153" s="205" t="str">
        <f t="shared" si="17"/>
        <v>$$$$</v>
      </c>
      <c r="E153" s="224"/>
      <c r="F153" s="225"/>
      <c r="G153" s="226"/>
      <c r="H153" s="227"/>
      <c r="I153" s="228"/>
      <c r="J153" s="228"/>
      <c r="K153" s="229"/>
      <c r="L153" s="230"/>
      <c r="M153" s="231"/>
      <c r="N153" s="232"/>
      <c r="O153" s="230"/>
      <c r="P153" s="231"/>
      <c r="Q153" s="232"/>
      <c r="R153" s="233"/>
      <c r="S153" s="234"/>
      <c r="T153" s="235"/>
      <c r="U153" s="233"/>
      <c r="V153" s="236"/>
      <c r="W153" s="234"/>
      <c r="X153" s="235"/>
      <c r="Y153" s="237"/>
      <c r="Z153" s="238"/>
    </row>
    <row r="154" spans="1:26" s="239" customFormat="1" ht="28.5" customHeight="1" x14ac:dyDescent="0.3">
      <c r="A154" s="222">
        <f t="shared" si="18"/>
        <v>0</v>
      </c>
      <c r="B154" s="223" t="b">
        <f t="shared" si="19"/>
        <v>1</v>
      </c>
      <c r="C154" s="222">
        <f t="shared" si="20"/>
        <v>0</v>
      </c>
      <c r="D154" s="205" t="str">
        <f t="shared" si="17"/>
        <v>$$$$</v>
      </c>
      <c r="E154" s="224"/>
      <c r="F154" s="225"/>
      <c r="G154" s="226"/>
      <c r="H154" s="227"/>
      <c r="I154" s="228"/>
      <c r="J154" s="228"/>
      <c r="K154" s="229"/>
      <c r="L154" s="230"/>
      <c r="M154" s="231"/>
      <c r="N154" s="232"/>
      <c r="O154" s="230"/>
      <c r="P154" s="231"/>
      <c r="Q154" s="232"/>
      <c r="R154" s="233"/>
      <c r="S154" s="234"/>
      <c r="T154" s="235"/>
      <c r="U154" s="233"/>
      <c r="V154" s="236"/>
      <c r="W154" s="234"/>
      <c r="X154" s="235"/>
      <c r="Y154" s="237"/>
      <c r="Z154" s="238"/>
    </row>
    <row r="155" spans="1:26" s="239" customFormat="1" ht="28.5" customHeight="1" x14ac:dyDescent="0.3">
      <c r="A155" s="222">
        <f>IF(B155,0,MATCH(H155,ВидыНагр,0))</f>
        <v>0</v>
      </c>
      <c r="B155" s="223" t="b">
        <f>(COUNTIF(КлючВесна,D155)&lt;&gt;1)</f>
        <v>1</v>
      </c>
      <c r="C155" s="222">
        <f t="shared" si="20"/>
        <v>0</v>
      </c>
      <c r="D155" s="205" t="str">
        <f>CONCATENATE("$",TRIM(F155),"$",TRIM(G155),"$",H155,"$")</f>
        <v>$$$$</v>
      </c>
      <c r="E155" s="224"/>
      <c r="F155" s="225"/>
      <c r="G155" s="226"/>
      <c r="H155" s="227"/>
      <c r="I155" s="228"/>
      <c r="J155" s="228"/>
      <c r="K155" s="229"/>
      <c r="L155" s="230"/>
      <c r="M155" s="231"/>
      <c r="N155" s="232"/>
      <c r="O155" s="230"/>
      <c r="P155" s="231"/>
      <c r="Q155" s="232"/>
      <c r="R155" s="233"/>
      <c r="S155" s="234"/>
      <c r="T155" s="235"/>
      <c r="U155" s="233"/>
      <c r="V155" s="236"/>
      <c r="W155" s="234"/>
      <c r="X155" s="235"/>
      <c r="Y155" s="237"/>
      <c r="Z155" s="238"/>
    </row>
    <row r="156" spans="1:26" s="239" customFormat="1" ht="28.5" customHeight="1" x14ac:dyDescent="0.3">
      <c r="A156" s="222">
        <f>IF(B156,0,MATCH(H156,ВидыНагр,0))</f>
        <v>0</v>
      </c>
      <c r="B156" s="223" t="b">
        <f>(COUNTIF(КлючВесна,D156)&lt;&gt;1)</f>
        <v>1</v>
      </c>
      <c r="C156" s="222">
        <f t="shared" si="20"/>
        <v>0</v>
      </c>
      <c r="D156" s="205" t="str">
        <f>CONCATENATE("$",TRIM(F156),"$",TRIM(G156),"$",H156,"$")</f>
        <v>$$$$</v>
      </c>
      <c r="E156" s="224"/>
      <c r="F156" s="225"/>
      <c r="G156" s="226"/>
      <c r="H156" s="227"/>
      <c r="I156" s="228"/>
      <c r="J156" s="228"/>
      <c r="K156" s="229"/>
      <c r="L156" s="230"/>
      <c r="M156" s="231"/>
      <c r="N156" s="232"/>
      <c r="O156" s="230"/>
      <c r="P156" s="231"/>
      <c r="Q156" s="232"/>
      <c r="R156" s="233"/>
      <c r="S156" s="234"/>
      <c r="T156" s="235"/>
      <c r="U156" s="233"/>
      <c r="V156" s="236"/>
      <c r="W156" s="234"/>
      <c r="X156" s="235"/>
      <c r="Y156" s="237"/>
      <c r="Z156" s="238"/>
    </row>
    <row r="157" spans="1:26" s="239" customFormat="1" ht="28.5" customHeight="1" x14ac:dyDescent="0.3">
      <c r="A157" s="222">
        <f t="shared" ref="A157:A158" si="21">IF(B157,0,MATCH(H157,ВидыНагр,0))</f>
        <v>0</v>
      </c>
      <c r="B157" s="223" t="b">
        <f t="shared" ref="B157:B158" si="22">(COUNTIF(КлючВесна,D157)&lt;&gt;1)</f>
        <v>1</v>
      </c>
      <c r="C157" s="222">
        <f t="shared" si="20"/>
        <v>0</v>
      </c>
      <c r="D157" s="205" t="str">
        <f t="shared" ref="D157:D158" si="23">CONCATENATE("$",TRIM(F157),"$",TRIM(G157),"$",H157,"$")</f>
        <v>$$$$</v>
      </c>
      <c r="E157" s="224"/>
      <c r="F157" s="225"/>
      <c r="G157" s="226"/>
      <c r="H157" s="227"/>
      <c r="I157" s="228"/>
      <c r="J157" s="228"/>
      <c r="K157" s="229"/>
      <c r="L157" s="230"/>
      <c r="M157" s="231"/>
      <c r="N157" s="232"/>
      <c r="O157" s="230"/>
      <c r="P157" s="231"/>
      <c r="Q157" s="232"/>
      <c r="R157" s="233"/>
      <c r="S157" s="234"/>
      <c r="T157" s="235"/>
      <c r="U157" s="233"/>
      <c r="V157" s="236"/>
      <c r="W157" s="234"/>
      <c r="X157" s="235"/>
      <c r="Y157" s="237"/>
      <c r="Z157" s="238"/>
    </row>
    <row r="158" spans="1:26" s="239" customFormat="1" ht="28.5" customHeight="1" x14ac:dyDescent="0.3">
      <c r="A158" s="222">
        <f t="shared" si="21"/>
        <v>0</v>
      </c>
      <c r="B158" s="223" t="b">
        <f t="shared" si="22"/>
        <v>1</v>
      </c>
      <c r="C158" s="222">
        <f t="shared" si="20"/>
        <v>0</v>
      </c>
      <c r="D158" s="205" t="str">
        <f t="shared" si="23"/>
        <v>$$$$</v>
      </c>
      <c r="E158" s="224"/>
      <c r="F158" s="225"/>
      <c r="G158" s="226"/>
      <c r="H158" s="227"/>
      <c r="I158" s="228"/>
      <c r="J158" s="228"/>
      <c r="K158" s="229"/>
      <c r="L158" s="230"/>
      <c r="M158" s="231"/>
      <c r="N158" s="232"/>
      <c r="O158" s="230"/>
      <c r="P158" s="231"/>
      <c r="Q158" s="232"/>
      <c r="R158" s="233"/>
      <c r="S158" s="234"/>
      <c r="T158" s="235"/>
      <c r="U158" s="233"/>
      <c r="V158" s="236"/>
      <c r="W158" s="234"/>
      <c r="X158" s="235"/>
      <c r="Y158" s="237"/>
      <c r="Z158" s="238"/>
    </row>
    <row r="159" spans="1:26" s="239" customFormat="1" ht="28.5" customHeight="1" x14ac:dyDescent="0.3">
      <c r="A159" s="222">
        <f t="shared" si="14"/>
        <v>0</v>
      </c>
      <c r="B159" s="223" t="b">
        <f t="shared" si="15"/>
        <v>1</v>
      </c>
      <c r="C159" s="222">
        <f t="shared" si="16"/>
        <v>0</v>
      </c>
      <c r="D159" s="205" t="str">
        <f t="shared" si="13"/>
        <v>$$$$</v>
      </c>
      <c r="E159" s="224"/>
      <c r="F159" s="225"/>
      <c r="G159" s="226"/>
      <c r="H159" s="227"/>
      <c r="I159" s="228"/>
      <c r="J159" s="228"/>
      <c r="K159" s="229"/>
      <c r="L159" s="230"/>
      <c r="M159" s="231"/>
      <c r="N159" s="232"/>
      <c r="O159" s="230"/>
      <c r="P159" s="231"/>
      <c r="Q159" s="232"/>
      <c r="R159" s="233"/>
      <c r="S159" s="234"/>
      <c r="T159" s="235"/>
      <c r="U159" s="233"/>
      <c r="V159" s="236"/>
      <c r="W159" s="234"/>
      <c r="X159" s="235"/>
      <c r="Y159" s="237"/>
      <c r="Z159" s="238"/>
    </row>
    <row r="160" spans="1:26" x14ac:dyDescent="0.3">
      <c r="D160" s="1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</row>
  </sheetData>
  <sheetProtection algorithmName="SHA-512" hashValue="7c4WaEInBVCiuDk4w3+TpaJX3NCM2alR7BjUY0rTR1gVH0N5MIEeAoCdjqdufBFTm2yjodZja2F41ZYfBC1PeQ==" saltValue="vAAtwkq5LPA9Sgc991uQkw==" spinCount="100000" sheet="1" objects="1" scenarios="1"/>
  <mergeCells count="5">
    <mergeCell ref="F2:F5"/>
    <mergeCell ref="G2:G5"/>
    <mergeCell ref="I2:J2"/>
    <mergeCell ref="I3:J3"/>
    <mergeCell ref="I4:J4"/>
  </mergeCells>
  <phoneticPr fontId="0" type="noConversion"/>
  <conditionalFormatting sqref="E7:Z159">
    <cfRule type="expression" dxfId="41" priority="11" stopIfTrue="1">
      <formula>($C7=0)</formula>
    </cfRule>
  </conditionalFormatting>
  <conditionalFormatting sqref="F7:H159">
    <cfRule type="expression" dxfId="40" priority="13" stopIfTrue="1">
      <formula>$B7</formula>
    </cfRule>
  </conditionalFormatting>
  <conditionalFormatting sqref="L6:Y6">
    <cfRule type="cellIs" dxfId="39" priority="8" stopIfTrue="1" operator="notEqual">
      <formula>0</formula>
    </cfRule>
  </conditionalFormatting>
  <conditionalFormatting sqref="F6:H6">
    <cfRule type="expression" dxfId="38" priority="10" stopIfTrue="1">
      <formula>$G$6&lt;&gt;0</formula>
    </cfRule>
  </conditionalFormatting>
  <conditionalFormatting sqref="L7:Y159">
    <cfRule type="expression" dxfId="37" priority="15" stopIfTrue="1">
      <formula>AND(NOT($B7),$C7&lt;2)</formula>
    </cfRule>
    <cfRule type="expression" dxfId="36" priority="16" stopIfTrue="1">
      <formula>AND($B7,L7&lt;&gt;0)</formula>
    </cfRule>
  </conditionalFormatting>
  <dataValidations count="4">
    <dataValidation type="list" allowBlank="1" showInputMessage="1" sqref="H7:H159">
      <formula1>ВидыНагр</formula1>
    </dataValidation>
    <dataValidation type="list" allowBlank="1" showInputMessage="1" sqref="G7:G159">
      <formula1>OFFSET(ГруппыВесна,0,0,ГруппыВеснаКол,1)</formula1>
    </dataValidation>
    <dataValidation type="list" allowBlank="1" showInputMessage="1" sqref="F7:F159">
      <formula1>OFFSET(ДисциплиныВесна,0,0,ДисциплиныВеснаКол,1)</formula1>
    </dataValidation>
    <dataValidation type="whole" allowBlank="1" showInputMessage="1" showErrorMessage="1" sqref="E7:E159">
      <formula1>1</formula1>
      <formula2>29</formula2>
    </dataValidation>
  </dataValidations>
  <printOptions horizontalCentered="1"/>
  <pageMargins left="0.39370078740157483" right="0.39370078740157483" top="1.1811023622047245" bottom="0.59055118110236227" header="0.98425196850393704" footer="0.39370078740157483"/>
  <pageSetup paperSize="9" scale="63" fitToHeight="10" orientation="landscape" r:id="rId1"/>
  <headerFooter>
    <oddHeader>&amp;L&amp;F&amp;C&amp;"Open Sans,полужирный"Месяц &amp;A &amp;"Open Sans,обычный"(с. &amp;P из &amp;N)&amp;R&amp;D  &amp;T</oddHeader>
  </headerFooter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6">
    <tabColor indexed="15"/>
    <outlinePr summaryBelow="0" summaryRight="0"/>
    <pageSetUpPr fitToPage="1"/>
  </sheetPr>
  <dimension ref="A1:Z160"/>
  <sheetViews>
    <sheetView zoomScale="85" zoomScaleNormal="100" workbookViewId="0">
      <pane xSplit="8" ySplit="6" topLeftCell="I7" activePane="bottomRight" state="frozen"/>
      <selection activeCell="E7" sqref="E7"/>
      <selection pane="topRight" activeCell="E7" sqref="E7"/>
      <selection pane="bottomLeft" activeCell="E7" sqref="E7"/>
      <selection pane="bottomRight" activeCell="E7" sqref="E7"/>
    </sheetView>
  </sheetViews>
  <sheetFormatPr defaultRowHeight="14.25" x14ac:dyDescent="0.3"/>
  <cols>
    <col min="1" max="3" width="4.7109375" style="4" hidden="1" customWidth="1"/>
    <col min="4" max="4" width="30.7109375" style="240" hidden="1" customWidth="1"/>
    <col min="5" max="5" width="4.7109375" style="167" customWidth="1"/>
    <col min="6" max="6" width="32.7109375" style="241" customWidth="1"/>
    <col min="7" max="7" width="18.7109375" style="241" customWidth="1"/>
    <col min="8" max="8" width="6.7109375" style="241" customWidth="1"/>
    <col min="9" max="10" width="4.7109375" style="241" customWidth="1"/>
    <col min="11" max="11" width="40.7109375" style="242" customWidth="1"/>
    <col min="12" max="25" width="6.85546875" style="167" customWidth="1"/>
    <col min="26" max="26" width="30.7109375" style="2" customWidth="1"/>
    <col min="27" max="27" width="2.7109375" style="2" customWidth="1"/>
    <col min="28" max="16384" width="9.140625" style="2"/>
  </cols>
  <sheetData>
    <row r="1" spans="1:26" ht="112.5" customHeight="1" x14ac:dyDescent="0.3">
      <c r="A1" s="169" t="s">
        <v>77</v>
      </c>
      <c r="B1" s="169" t="s">
        <v>114</v>
      </c>
      <c r="C1" s="169" t="s">
        <v>113</v>
      </c>
      <c r="D1" s="191" t="s">
        <v>76</v>
      </c>
      <c r="E1" s="192" t="s">
        <v>116</v>
      </c>
      <c r="F1" s="193" t="s">
        <v>69</v>
      </c>
      <c r="G1" s="194" t="s">
        <v>100</v>
      </c>
      <c r="H1" s="195" t="s">
        <v>109</v>
      </c>
      <c r="I1" s="196" t="s">
        <v>102</v>
      </c>
      <c r="J1" s="197" t="s">
        <v>85</v>
      </c>
      <c r="K1" s="198" t="s">
        <v>81</v>
      </c>
      <c r="L1" s="199" t="s">
        <v>0</v>
      </c>
      <c r="M1" s="200" t="s">
        <v>68</v>
      </c>
      <c r="N1" s="195" t="s">
        <v>3</v>
      </c>
      <c r="O1" s="201" t="s">
        <v>1</v>
      </c>
      <c r="P1" s="200" t="s">
        <v>4</v>
      </c>
      <c r="Q1" s="195" t="s">
        <v>62</v>
      </c>
      <c r="R1" s="199" t="s">
        <v>252</v>
      </c>
      <c r="S1" s="202" t="s">
        <v>2</v>
      </c>
      <c r="T1" s="195" t="s">
        <v>205</v>
      </c>
      <c r="U1" s="201" t="s">
        <v>253</v>
      </c>
      <c r="V1" s="199" t="s">
        <v>254</v>
      </c>
      <c r="W1" s="202" t="s">
        <v>70</v>
      </c>
      <c r="X1" s="195" t="s">
        <v>138</v>
      </c>
      <c r="Y1" s="196" t="s">
        <v>5</v>
      </c>
      <c r="Z1" s="203" t="s">
        <v>29</v>
      </c>
    </row>
    <row r="2" spans="1:26" ht="17.100000000000001" customHeight="1" x14ac:dyDescent="0.3">
      <c r="A2" s="204">
        <f>MATCH(H2,ВидыНагр,0)</f>
        <v>1</v>
      </c>
      <c r="B2" s="204"/>
      <c r="C2" s="204"/>
      <c r="D2" s="205"/>
      <c r="E2" s="206"/>
      <c r="F2" s="390" t="s">
        <v>134</v>
      </c>
      <c r="G2" s="393">
        <f>SUM(L5:Y5)</f>
        <v>0</v>
      </c>
      <c r="H2" s="309" t="s">
        <v>111</v>
      </c>
      <c r="I2" s="396">
        <f>SUM(L2:Y2)</f>
        <v>0</v>
      </c>
      <c r="J2" s="397"/>
      <c r="K2" s="289"/>
      <c r="L2" s="58">
        <f t="shared" ref="L2:Y4" si="0">SUMIF($A$7:$A$159,$A2,L$7:L$159)</f>
        <v>0</v>
      </c>
      <c r="M2" s="59">
        <f t="shared" si="0"/>
        <v>0</v>
      </c>
      <c r="N2" s="60">
        <f t="shared" si="0"/>
        <v>0</v>
      </c>
      <c r="O2" s="58">
        <f t="shared" si="0"/>
        <v>0</v>
      </c>
      <c r="P2" s="59">
        <f t="shared" si="0"/>
        <v>0</v>
      </c>
      <c r="Q2" s="60">
        <f t="shared" si="0"/>
        <v>0</v>
      </c>
      <c r="R2" s="58">
        <f t="shared" si="0"/>
        <v>0</v>
      </c>
      <c r="S2" s="62">
        <f t="shared" si="0"/>
        <v>0</v>
      </c>
      <c r="T2" s="60">
        <f t="shared" si="0"/>
        <v>0</v>
      </c>
      <c r="U2" s="58">
        <f t="shared" si="0"/>
        <v>0</v>
      </c>
      <c r="V2" s="61">
        <f t="shared" si="0"/>
        <v>0</v>
      </c>
      <c r="W2" s="62">
        <f t="shared" si="0"/>
        <v>0</v>
      </c>
      <c r="X2" s="60">
        <f t="shared" si="0"/>
        <v>0</v>
      </c>
      <c r="Y2" s="41">
        <f t="shared" si="0"/>
        <v>0</v>
      </c>
      <c r="Z2" s="207"/>
    </row>
    <row r="3" spans="1:26" ht="17.100000000000001" customHeight="1" x14ac:dyDescent="0.3">
      <c r="A3" s="204">
        <f>MATCH(H3,ВидыНагр,0)</f>
        <v>2</v>
      </c>
      <c r="B3" s="204"/>
      <c r="C3" s="204"/>
      <c r="D3" s="205"/>
      <c r="E3" s="208"/>
      <c r="F3" s="391"/>
      <c r="G3" s="394"/>
      <c r="H3" s="309" t="s">
        <v>112</v>
      </c>
      <c r="I3" s="398">
        <f>SUM(L3:Y3)</f>
        <v>0</v>
      </c>
      <c r="J3" s="399"/>
      <c r="K3" s="291"/>
      <c r="L3" s="58">
        <f t="shared" si="0"/>
        <v>0</v>
      </c>
      <c r="M3" s="59">
        <f t="shared" si="0"/>
        <v>0</v>
      </c>
      <c r="N3" s="60">
        <f t="shared" si="0"/>
        <v>0</v>
      </c>
      <c r="O3" s="58">
        <f t="shared" si="0"/>
        <v>0</v>
      </c>
      <c r="P3" s="59">
        <f t="shared" si="0"/>
        <v>0</v>
      </c>
      <c r="Q3" s="60">
        <f t="shared" si="0"/>
        <v>0</v>
      </c>
      <c r="R3" s="58">
        <f t="shared" si="0"/>
        <v>0</v>
      </c>
      <c r="S3" s="62">
        <f t="shared" si="0"/>
        <v>0</v>
      </c>
      <c r="T3" s="60">
        <f t="shared" si="0"/>
        <v>0</v>
      </c>
      <c r="U3" s="58">
        <f t="shared" si="0"/>
        <v>0</v>
      </c>
      <c r="V3" s="61">
        <f t="shared" si="0"/>
        <v>0</v>
      </c>
      <c r="W3" s="62">
        <f t="shared" si="0"/>
        <v>0</v>
      </c>
      <c r="X3" s="60">
        <f t="shared" si="0"/>
        <v>0</v>
      </c>
      <c r="Y3" s="41">
        <f t="shared" si="0"/>
        <v>0</v>
      </c>
      <c r="Z3" s="207"/>
    </row>
    <row r="4" spans="1:26" ht="17.100000000000001" customHeight="1" x14ac:dyDescent="0.3">
      <c r="A4" s="204">
        <f>MATCH(H4,ВидыНагр,0)</f>
        <v>3</v>
      </c>
      <c r="B4" s="204"/>
      <c r="C4" s="204"/>
      <c r="D4" s="205"/>
      <c r="E4" s="208"/>
      <c r="F4" s="391"/>
      <c r="G4" s="394"/>
      <c r="H4" s="310" t="s">
        <v>115</v>
      </c>
      <c r="I4" s="400">
        <f>SUM(L4:Y4)</f>
        <v>0</v>
      </c>
      <c r="J4" s="401"/>
      <c r="K4" s="293"/>
      <c r="L4" s="209">
        <f t="shared" si="0"/>
        <v>0</v>
      </c>
      <c r="M4" s="210">
        <f t="shared" si="0"/>
        <v>0</v>
      </c>
      <c r="N4" s="211">
        <f t="shared" si="0"/>
        <v>0</v>
      </c>
      <c r="O4" s="209">
        <f t="shared" si="0"/>
        <v>0</v>
      </c>
      <c r="P4" s="210">
        <f t="shared" si="0"/>
        <v>0</v>
      </c>
      <c r="Q4" s="211">
        <f t="shared" si="0"/>
        <v>0</v>
      </c>
      <c r="R4" s="209">
        <f t="shared" si="0"/>
        <v>0</v>
      </c>
      <c r="S4" s="212">
        <f t="shared" si="0"/>
        <v>0</v>
      </c>
      <c r="T4" s="211">
        <f t="shared" si="0"/>
        <v>0</v>
      </c>
      <c r="U4" s="209">
        <f t="shared" si="0"/>
        <v>0</v>
      </c>
      <c r="V4" s="213">
        <f t="shared" si="0"/>
        <v>0</v>
      </c>
      <c r="W4" s="212">
        <f t="shared" si="0"/>
        <v>0</v>
      </c>
      <c r="X4" s="211">
        <f t="shared" si="0"/>
        <v>0</v>
      </c>
      <c r="Y4" s="69">
        <f t="shared" si="0"/>
        <v>0</v>
      </c>
      <c r="Z4" s="207"/>
    </row>
    <row r="5" spans="1:26" ht="17.100000000000001" customHeight="1" x14ac:dyDescent="0.3">
      <c r="A5" s="204"/>
      <c r="B5" s="204"/>
      <c r="C5" s="204"/>
      <c r="D5" s="205"/>
      <c r="E5" s="208"/>
      <c r="F5" s="392"/>
      <c r="G5" s="395"/>
      <c r="H5" s="294" t="s">
        <v>6</v>
      </c>
      <c r="I5" s="295"/>
      <c r="J5" s="296"/>
      <c r="K5" s="297"/>
      <c r="L5" s="298">
        <f>SUM(L2:L4)</f>
        <v>0</v>
      </c>
      <c r="M5" s="299">
        <f t="shared" ref="M5:Y5" si="1">SUM(M2:M4)</f>
        <v>0</v>
      </c>
      <c r="N5" s="300">
        <f t="shared" si="1"/>
        <v>0</v>
      </c>
      <c r="O5" s="298">
        <f t="shared" si="1"/>
        <v>0</v>
      </c>
      <c r="P5" s="299">
        <f t="shared" si="1"/>
        <v>0</v>
      </c>
      <c r="Q5" s="300">
        <f t="shared" si="1"/>
        <v>0</v>
      </c>
      <c r="R5" s="298">
        <f t="shared" si="1"/>
        <v>0</v>
      </c>
      <c r="S5" s="301">
        <f t="shared" si="1"/>
        <v>0</v>
      </c>
      <c r="T5" s="300">
        <f t="shared" si="1"/>
        <v>0</v>
      </c>
      <c r="U5" s="298">
        <f t="shared" si="1"/>
        <v>0</v>
      </c>
      <c r="V5" s="302">
        <f t="shared" si="1"/>
        <v>0</v>
      </c>
      <c r="W5" s="301">
        <f t="shared" si="1"/>
        <v>0</v>
      </c>
      <c r="X5" s="300">
        <f t="shared" si="1"/>
        <v>0</v>
      </c>
      <c r="Y5" s="303">
        <f t="shared" si="1"/>
        <v>0</v>
      </c>
      <c r="Z5" s="214">
        <f>Утв_Весна</f>
        <v>0</v>
      </c>
    </row>
    <row r="6" spans="1:26" ht="17.100000000000001" customHeight="1" x14ac:dyDescent="0.3">
      <c r="A6" s="204"/>
      <c r="B6" s="204"/>
      <c r="C6" s="204"/>
      <c r="D6" s="205"/>
      <c r="E6" s="215"/>
      <c r="F6" s="304" t="s">
        <v>82</v>
      </c>
      <c r="G6" s="305">
        <f>SUM(L6:Y6)</f>
        <v>0</v>
      </c>
      <c r="H6" s="306"/>
      <c r="I6" s="307"/>
      <c r="J6" s="308"/>
      <c r="K6" s="297"/>
      <c r="L6" s="216">
        <f t="shared" ref="L6:Y6" si="2">SUM(L7:L159)-L5</f>
        <v>0</v>
      </c>
      <c r="M6" s="217">
        <f t="shared" si="2"/>
        <v>0</v>
      </c>
      <c r="N6" s="218">
        <f t="shared" si="2"/>
        <v>0</v>
      </c>
      <c r="O6" s="216">
        <f t="shared" si="2"/>
        <v>0</v>
      </c>
      <c r="P6" s="217">
        <f t="shared" si="2"/>
        <v>0</v>
      </c>
      <c r="Q6" s="218">
        <f t="shared" si="2"/>
        <v>0</v>
      </c>
      <c r="R6" s="216">
        <f t="shared" si="2"/>
        <v>0</v>
      </c>
      <c r="S6" s="219">
        <f t="shared" si="2"/>
        <v>0</v>
      </c>
      <c r="T6" s="218">
        <f t="shared" si="2"/>
        <v>0</v>
      </c>
      <c r="U6" s="216">
        <f t="shared" si="2"/>
        <v>0</v>
      </c>
      <c r="V6" s="220">
        <f t="shared" si="2"/>
        <v>0</v>
      </c>
      <c r="W6" s="219">
        <f t="shared" si="2"/>
        <v>0</v>
      </c>
      <c r="X6" s="218">
        <f t="shared" si="2"/>
        <v>0</v>
      </c>
      <c r="Y6" s="216">
        <f t="shared" si="2"/>
        <v>0</v>
      </c>
      <c r="Z6" s="221"/>
    </row>
    <row r="7" spans="1:26" s="239" customFormat="1" ht="28.5" customHeight="1" x14ac:dyDescent="0.3">
      <c r="A7" s="222">
        <f t="shared" ref="A7:A38" si="3">IF(B7,0,MATCH(H7,ВидыНагр,0))</f>
        <v>0</v>
      </c>
      <c r="B7" s="223" t="b">
        <f t="shared" ref="B7:B38" si="4">(COUNTIF(КлючВесна,D7)&lt;&gt;1)</f>
        <v>1</v>
      </c>
      <c r="C7" s="222">
        <f t="shared" ref="C7:C38" si="5">IF(COUNTA(E7:K7,Z7)&gt;0,1,0)+IF(COUNTA(L7:Y7)&gt;0,2,0)</f>
        <v>0</v>
      </c>
      <c r="D7" s="205" t="str">
        <f>CONCATENATE("$",TRIM(F7),"$",TRIM(G7),"$",H7,"$")</f>
        <v>$$$$</v>
      </c>
      <c r="E7" s="224"/>
      <c r="F7" s="225"/>
      <c r="G7" s="226"/>
      <c r="H7" s="227"/>
      <c r="I7" s="228"/>
      <c r="J7" s="228"/>
      <c r="K7" s="229"/>
      <c r="L7" s="230"/>
      <c r="M7" s="231"/>
      <c r="N7" s="232"/>
      <c r="O7" s="230"/>
      <c r="P7" s="231"/>
      <c r="Q7" s="232"/>
      <c r="R7" s="233"/>
      <c r="S7" s="234"/>
      <c r="T7" s="235"/>
      <c r="U7" s="233"/>
      <c r="V7" s="236"/>
      <c r="W7" s="234"/>
      <c r="X7" s="235"/>
      <c r="Y7" s="237"/>
      <c r="Z7" s="238"/>
    </row>
    <row r="8" spans="1:26" s="239" customFormat="1" ht="28.5" customHeight="1" x14ac:dyDescent="0.3">
      <c r="A8" s="222">
        <f t="shared" si="3"/>
        <v>0</v>
      </c>
      <c r="B8" s="223" t="b">
        <f t="shared" si="4"/>
        <v>1</v>
      </c>
      <c r="C8" s="222">
        <f t="shared" si="5"/>
        <v>0</v>
      </c>
      <c r="D8" s="205" t="str">
        <f t="shared" ref="D8:D71" si="6">CONCATENATE("$",TRIM(F8),"$",TRIM(G8),"$",H8,"$")</f>
        <v>$$$$</v>
      </c>
      <c r="E8" s="224"/>
      <c r="F8" s="225"/>
      <c r="G8" s="226"/>
      <c r="H8" s="227"/>
      <c r="I8" s="228"/>
      <c r="J8" s="228"/>
      <c r="K8" s="229"/>
      <c r="L8" s="230"/>
      <c r="M8" s="231"/>
      <c r="N8" s="232"/>
      <c r="O8" s="230"/>
      <c r="P8" s="231"/>
      <c r="Q8" s="232"/>
      <c r="R8" s="233"/>
      <c r="S8" s="234"/>
      <c r="T8" s="235"/>
      <c r="U8" s="233"/>
      <c r="V8" s="236"/>
      <c r="W8" s="234"/>
      <c r="X8" s="235"/>
      <c r="Y8" s="237"/>
      <c r="Z8" s="238"/>
    </row>
    <row r="9" spans="1:26" s="239" customFormat="1" ht="28.5" customHeight="1" x14ac:dyDescent="0.3">
      <c r="A9" s="222">
        <f t="shared" si="3"/>
        <v>0</v>
      </c>
      <c r="B9" s="223" t="b">
        <f t="shared" si="4"/>
        <v>1</v>
      </c>
      <c r="C9" s="222">
        <f t="shared" si="5"/>
        <v>0</v>
      </c>
      <c r="D9" s="205" t="str">
        <f t="shared" si="6"/>
        <v>$$$$</v>
      </c>
      <c r="E9" s="224"/>
      <c r="F9" s="225"/>
      <c r="G9" s="226"/>
      <c r="H9" s="227"/>
      <c r="I9" s="228"/>
      <c r="J9" s="228"/>
      <c r="K9" s="229"/>
      <c r="L9" s="230"/>
      <c r="M9" s="231"/>
      <c r="N9" s="232"/>
      <c r="O9" s="230"/>
      <c r="P9" s="231"/>
      <c r="Q9" s="232"/>
      <c r="R9" s="233"/>
      <c r="S9" s="234"/>
      <c r="T9" s="235"/>
      <c r="U9" s="233"/>
      <c r="V9" s="236"/>
      <c r="W9" s="234"/>
      <c r="X9" s="235"/>
      <c r="Y9" s="237"/>
      <c r="Z9" s="238"/>
    </row>
    <row r="10" spans="1:26" s="239" customFormat="1" ht="28.5" customHeight="1" x14ac:dyDescent="0.3">
      <c r="A10" s="222">
        <f t="shared" si="3"/>
        <v>0</v>
      </c>
      <c r="B10" s="223" t="b">
        <f t="shared" si="4"/>
        <v>1</v>
      </c>
      <c r="C10" s="222">
        <f t="shared" si="5"/>
        <v>0</v>
      </c>
      <c r="D10" s="205" t="str">
        <f t="shared" si="6"/>
        <v>$$$$</v>
      </c>
      <c r="E10" s="224"/>
      <c r="F10" s="225"/>
      <c r="G10" s="226"/>
      <c r="H10" s="227"/>
      <c r="I10" s="228"/>
      <c r="J10" s="228"/>
      <c r="K10" s="229"/>
      <c r="L10" s="230"/>
      <c r="M10" s="231"/>
      <c r="N10" s="232"/>
      <c r="O10" s="230"/>
      <c r="P10" s="231"/>
      <c r="Q10" s="232"/>
      <c r="R10" s="233"/>
      <c r="S10" s="234"/>
      <c r="T10" s="235"/>
      <c r="U10" s="233"/>
      <c r="V10" s="236"/>
      <c r="W10" s="234"/>
      <c r="X10" s="235"/>
      <c r="Y10" s="237"/>
      <c r="Z10" s="238"/>
    </row>
    <row r="11" spans="1:26" s="239" customFormat="1" ht="28.5" customHeight="1" x14ac:dyDescent="0.3">
      <c r="A11" s="222">
        <f t="shared" si="3"/>
        <v>0</v>
      </c>
      <c r="B11" s="223" t="b">
        <f t="shared" si="4"/>
        <v>1</v>
      </c>
      <c r="C11" s="222">
        <f t="shared" si="5"/>
        <v>0</v>
      </c>
      <c r="D11" s="205" t="str">
        <f t="shared" si="6"/>
        <v>$$$$</v>
      </c>
      <c r="E11" s="224"/>
      <c r="F11" s="225"/>
      <c r="G11" s="226"/>
      <c r="H11" s="227"/>
      <c r="I11" s="228"/>
      <c r="J11" s="228"/>
      <c r="K11" s="229"/>
      <c r="L11" s="230"/>
      <c r="M11" s="231"/>
      <c r="N11" s="232"/>
      <c r="O11" s="230"/>
      <c r="P11" s="231"/>
      <c r="Q11" s="232"/>
      <c r="R11" s="233"/>
      <c r="S11" s="234"/>
      <c r="T11" s="235"/>
      <c r="U11" s="233"/>
      <c r="V11" s="236"/>
      <c r="W11" s="234"/>
      <c r="X11" s="235"/>
      <c r="Y11" s="237"/>
      <c r="Z11" s="238"/>
    </row>
    <row r="12" spans="1:26" s="239" customFormat="1" ht="28.5" customHeight="1" x14ac:dyDescent="0.3">
      <c r="A12" s="222">
        <f t="shared" si="3"/>
        <v>0</v>
      </c>
      <c r="B12" s="223" t="b">
        <f t="shared" si="4"/>
        <v>1</v>
      </c>
      <c r="C12" s="222">
        <f t="shared" si="5"/>
        <v>0</v>
      </c>
      <c r="D12" s="205" t="str">
        <f t="shared" si="6"/>
        <v>$$$$</v>
      </c>
      <c r="E12" s="224"/>
      <c r="F12" s="225"/>
      <c r="G12" s="226"/>
      <c r="H12" s="227"/>
      <c r="I12" s="228"/>
      <c r="J12" s="228"/>
      <c r="K12" s="229"/>
      <c r="L12" s="230"/>
      <c r="M12" s="231"/>
      <c r="N12" s="232"/>
      <c r="O12" s="230"/>
      <c r="P12" s="231"/>
      <c r="Q12" s="232"/>
      <c r="R12" s="233"/>
      <c r="S12" s="234"/>
      <c r="T12" s="235"/>
      <c r="U12" s="233"/>
      <c r="V12" s="236"/>
      <c r="W12" s="234"/>
      <c r="X12" s="235"/>
      <c r="Y12" s="237"/>
      <c r="Z12" s="238"/>
    </row>
    <row r="13" spans="1:26" s="239" customFormat="1" ht="28.5" customHeight="1" x14ac:dyDescent="0.3">
      <c r="A13" s="222">
        <f t="shared" si="3"/>
        <v>0</v>
      </c>
      <c r="B13" s="223" t="b">
        <f t="shared" si="4"/>
        <v>1</v>
      </c>
      <c r="C13" s="222">
        <f t="shared" si="5"/>
        <v>0</v>
      </c>
      <c r="D13" s="205" t="str">
        <f t="shared" si="6"/>
        <v>$$$$</v>
      </c>
      <c r="E13" s="224"/>
      <c r="F13" s="225"/>
      <c r="G13" s="226"/>
      <c r="H13" s="227"/>
      <c r="I13" s="228"/>
      <c r="J13" s="228"/>
      <c r="K13" s="229"/>
      <c r="L13" s="230"/>
      <c r="M13" s="231"/>
      <c r="N13" s="232"/>
      <c r="O13" s="230"/>
      <c r="P13" s="231"/>
      <c r="Q13" s="232"/>
      <c r="R13" s="233"/>
      <c r="S13" s="234"/>
      <c r="T13" s="235"/>
      <c r="U13" s="233"/>
      <c r="V13" s="236"/>
      <c r="W13" s="234"/>
      <c r="X13" s="235"/>
      <c r="Y13" s="237"/>
      <c r="Z13" s="238"/>
    </row>
    <row r="14" spans="1:26" s="239" customFormat="1" ht="28.5" customHeight="1" x14ac:dyDescent="0.3">
      <c r="A14" s="222">
        <f t="shared" si="3"/>
        <v>0</v>
      </c>
      <c r="B14" s="223" t="b">
        <f t="shared" si="4"/>
        <v>1</v>
      </c>
      <c r="C14" s="222">
        <f t="shared" si="5"/>
        <v>0</v>
      </c>
      <c r="D14" s="205" t="str">
        <f t="shared" si="6"/>
        <v>$$$$</v>
      </c>
      <c r="E14" s="224"/>
      <c r="F14" s="225"/>
      <c r="G14" s="226"/>
      <c r="H14" s="227"/>
      <c r="I14" s="228"/>
      <c r="J14" s="228"/>
      <c r="K14" s="229"/>
      <c r="L14" s="230"/>
      <c r="M14" s="231"/>
      <c r="N14" s="232"/>
      <c r="O14" s="230"/>
      <c r="P14" s="231"/>
      <c r="Q14" s="232"/>
      <c r="R14" s="233"/>
      <c r="S14" s="234"/>
      <c r="T14" s="235"/>
      <c r="U14" s="233"/>
      <c r="V14" s="236"/>
      <c r="W14" s="234"/>
      <c r="X14" s="235"/>
      <c r="Y14" s="237"/>
      <c r="Z14" s="238"/>
    </row>
    <row r="15" spans="1:26" s="239" customFormat="1" ht="28.5" customHeight="1" x14ac:dyDescent="0.3">
      <c r="A15" s="222">
        <f t="shared" si="3"/>
        <v>0</v>
      </c>
      <c r="B15" s="223" t="b">
        <f t="shared" si="4"/>
        <v>1</v>
      </c>
      <c r="C15" s="222">
        <f t="shared" si="5"/>
        <v>0</v>
      </c>
      <c r="D15" s="205" t="str">
        <f t="shared" si="6"/>
        <v>$$$$</v>
      </c>
      <c r="E15" s="224"/>
      <c r="F15" s="225"/>
      <c r="G15" s="226"/>
      <c r="H15" s="227"/>
      <c r="I15" s="228"/>
      <c r="J15" s="228"/>
      <c r="K15" s="229"/>
      <c r="L15" s="230"/>
      <c r="M15" s="231"/>
      <c r="N15" s="232"/>
      <c r="O15" s="230"/>
      <c r="P15" s="231"/>
      <c r="Q15" s="232"/>
      <c r="R15" s="233"/>
      <c r="S15" s="234"/>
      <c r="T15" s="235"/>
      <c r="U15" s="233"/>
      <c r="V15" s="236"/>
      <c r="W15" s="234"/>
      <c r="X15" s="235"/>
      <c r="Y15" s="237"/>
      <c r="Z15" s="238"/>
    </row>
    <row r="16" spans="1:26" s="239" customFormat="1" ht="28.5" customHeight="1" x14ac:dyDescent="0.3">
      <c r="A16" s="222">
        <f t="shared" si="3"/>
        <v>0</v>
      </c>
      <c r="B16" s="223" t="b">
        <f t="shared" si="4"/>
        <v>1</v>
      </c>
      <c r="C16" s="222">
        <f t="shared" si="5"/>
        <v>0</v>
      </c>
      <c r="D16" s="205" t="str">
        <f t="shared" si="6"/>
        <v>$$$$</v>
      </c>
      <c r="E16" s="224"/>
      <c r="F16" s="225"/>
      <c r="G16" s="226"/>
      <c r="H16" s="227"/>
      <c r="I16" s="228"/>
      <c r="J16" s="228"/>
      <c r="K16" s="229"/>
      <c r="L16" s="230"/>
      <c r="M16" s="231"/>
      <c r="N16" s="232"/>
      <c r="O16" s="230"/>
      <c r="P16" s="231"/>
      <c r="Q16" s="232"/>
      <c r="R16" s="233"/>
      <c r="S16" s="234"/>
      <c r="T16" s="235"/>
      <c r="U16" s="233"/>
      <c r="V16" s="236"/>
      <c r="W16" s="234"/>
      <c r="X16" s="235"/>
      <c r="Y16" s="237"/>
      <c r="Z16" s="238"/>
    </row>
    <row r="17" spans="1:26" s="239" customFormat="1" ht="28.5" customHeight="1" x14ac:dyDescent="0.3">
      <c r="A17" s="222">
        <f t="shared" si="3"/>
        <v>0</v>
      </c>
      <c r="B17" s="223" t="b">
        <f t="shared" si="4"/>
        <v>1</v>
      </c>
      <c r="C17" s="222">
        <f t="shared" si="5"/>
        <v>0</v>
      </c>
      <c r="D17" s="205" t="str">
        <f t="shared" si="6"/>
        <v>$$$$</v>
      </c>
      <c r="E17" s="224"/>
      <c r="F17" s="225"/>
      <c r="G17" s="226"/>
      <c r="H17" s="227"/>
      <c r="I17" s="228"/>
      <c r="J17" s="228"/>
      <c r="K17" s="229"/>
      <c r="L17" s="230"/>
      <c r="M17" s="231"/>
      <c r="N17" s="232"/>
      <c r="O17" s="230"/>
      <c r="P17" s="231"/>
      <c r="Q17" s="232"/>
      <c r="R17" s="233"/>
      <c r="S17" s="234"/>
      <c r="T17" s="235"/>
      <c r="U17" s="233"/>
      <c r="V17" s="236"/>
      <c r="W17" s="234"/>
      <c r="X17" s="235"/>
      <c r="Y17" s="237"/>
      <c r="Z17" s="238"/>
    </row>
    <row r="18" spans="1:26" s="239" customFormat="1" ht="28.5" customHeight="1" x14ac:dyDescent="0.3">
      <c r="A18" s="222">
        <f t="shared" si="3"/>
        <v>0</v>
      </c>
      <c r="B18" s="223" t="b">
        <f t="shared" si="4"/>
        <v>1</v>
      </c>
      <c r="C18" s="222">
        <f t="shared" si="5"/>
        <v>0</v>
      </c>
      <c r="D18" s="205" t="str">
        <f t="shared" si="6"/>
        <v>$$$$</v>
      </c>
      <c r="E18" s="224"/>
      <c r="F18" s="225"/>
      <c r="G18" s="226"/>
      <c r="H18" s="227"/>
      <c r="I18" s="228"/>
      <c r="J18" s="228"/>
      <c r="K18" s="229"/>
      <c r="L18" s="230"/>
      <c r="M18" s="231"/>
      <c r="N18" s="232"/>
      <c r="O18" s="230"/>
      <c r="P18" s="231"/>
      <c r="Q18" s="232"/>
      <c r="R18" s="233"/>
      <c r="S18" s="234"/>
      <c r="T18" s="235"/>
      <c r="U18" s="233"/>
      <c r="V18" s="236"/>
      <c r="W18" s="234"/>
      <c r="X18" s="235"/>
      <c r="Y18" s="237"/>
      <c r="Z18" s="238"/>
    </row>
    <row r="19" spans="1:26" s="239" customFormat="1" ht="28.5" customHeight="1" x14ac:dyDescent="0.3">
      <c r="A19" s="222">
        <f t="shared" si="3"/>
        <v>0</v>
      </c>
      <c r="B19" s="223" t="b">
        <f t="shared" si="4"/>
        <v>1</v>
      </c>
      <c r="C19" s="222">
        <f t="shared" si="5"/>
        <v>0</v>
      </c>
      <c r="D19" s="205" t="str">
        <f t="shared" si="6"/>
        <v>$$$$</v>
      </c>
      <c r="E19" s="224"/>
      <c r="F19" s="225"/>
      <c r="G19" s="226"/>
      <c r="H19" s="227"/>
      <c r="I19" s="228"/>
      <c r="J19" s="228"/>
      <c r="K19" s="229"/>
      <c r="L19" s="230"/>
      <c r="M19" s="231"/>
      <c r="N19" s="232"/>
      <c r="O19" s="230"/>
      <c r="P19" s="231"/>
      <c r="Q19" s="232"/>
      <c r="R19" s="233"/>
      <c r="S19" s="234"/>
      <c r="T19" s="235"/>
      <c r="U19" s="233"/>
      <c r="V19" s="236"/>
      <c r="W19" s="234"/>
      <c r="X19" s="235"/>
      <c r="Y19" s="237"/>
      <c r="Z19" s="238"/>
    </row>
    <row r="20" spans="1:26" s="239" customFormat="1" ht="28.5" customHeight="1" x14ac:dyDescent="0.3">
      <c r="A20" s="222">
        <f t="shared" si="3"/>
        <v>0</v>
      </c>
      <c r="B20" s="223" t="b">
        <f t="shared" si="4"/>
        <v>1</v>
      </c>
      <c r="C20" s="222">
        <f t="shared" si="5"/>
        <v>0</v>
      </c>
      <c r="D20" s="205" t="str">
        <f t="shared" si="6"/>
        <v>$$$$</v>
      </c>
      <c r="E20" s="224"/>
      <c r="F20" s="225"/>
      <c r="G20" s="226"/>
      <c r="H20" s="227"/>
      <c r="I20" s="228"/>
      <c r="J20" s="228"/>
      <c r="K20" s="229"/>
      <c r="L20" s="230"/>
      <c r="M20" s="231"/>
      <c r="N20" s="232"/>
      <c r="O20" s="230"/>
      <c r="P20" s="231"/>
      <c r="Q20" s="232"/>
      <c r="R20" s="233"/>
      <c r="S20" s="234"/>
      <c r="T20" s="235"/>
      <c r="U20" s="233"/>
      <c r="V20" s="236"/>
      <c r="W20" s="234"/>
      <c r="X20" s="235"/>
      <c r="Y20" s="237"/>
      <c r="Z20" s="238"/>
    </row>
    <row r="21" spans="1:26" s="239" customFormat="1" ht="28.5" customHeight="1" x14ac:dyDescent="0.3">
      <c r="A21" s="222">
        <f t="shared" si="3"/>
        <v>0</v>
      </c>
      <c r="B21" s="223" t="b">
        <f t="shared" si="4"/>
        <v>1</v>
      </c>
      <c r="C21" s="222">
        <f t="shared" si="5"/>
        <v>0</v>
      </c>
      <c r="D21" s="205" t="str">
        <f t="shared" si="6"/>
        <v>$$$$</v>
      </c>
      <c r="E21" s="224"/>
      <c r="F21" s="225"/>
      <c r="G21" s="226"/>
      <c r="H21" s="227"/>
      <c r="I21" s="228"/>
      <c r="J21" s="228"/>
      <c r="K21" s="229"/>
      <c r="L21" s="230"/>
      <c r="M21" s="231"/>
      <c r="N21" s="232"/>
      <c r="O21" s="230"/>
      <c r="P21" s="231"/>
      <c r="Q21" s="232"/>
      <c r="R21" s="233"/>
      <c r="S21" s="234"/>
      <c r="T21" s="235"/>
      <c r="U21" s="233"/>
      <c r="V21" s="236"/>
      <c r="W21" s="234"/>
      <c r="X21" s="235"/>
      <c r="Y21" s="237"/>
      <c r="Z21" s="238"/>
    </row>
    <row r="22" spans="1:26" s="239" customFormat="1" ht="28.5" customHeight="1" x14ac:dyDescent="0.3">
      <c r="A22" s="222">
        <f t="shared" si="3"/>
        <v>0</v>
      </c>
      <c r="B22" s="223" t="b">
        <f t="shared" si="4"/>
        <v>1</v>
      </c>
      <c r="C22" s="222">
        <f t="shared" si="5"/>
        <v>0</v>
      </c>
      <c r="D22" s="205" t="str">
        <f t="shared" si="6"/>
        <v>$$$$</v>
      </c>
      <c r="E22" s="224"/>
      <c r="F22" s="225"/>
      <c r="G22" s="226"/>
      <c r="H22" s="227"/>
      <c r="I22" s="228"/>
      <c r="J22" s="228"/>
      <c r="K22" s="229"/>
      <c r="L22" s="230"/>
      <c r="M22" s="231"/>
      <c r="N22" s="232"/>
      <c r="O22" s="230"/>
      <c r="P22" s="231"/>
      <c r="Q22" s="232"/>
      <c r="R22" s="233"/>
      <c r="S22" s="234"/>
      <c r="T22" s="235"/>
      <c r="U22" s="233"/>
      <c r="V22" s="236"/>
      <c r="W22" s="234"/>
      <c r="X22" s="235"/>
      <c r="Y22" s="237"/>
      <c r="Z22" s="238"/>
    </row>
    <row r="23" spans="1:26" s="239" customFormat="1" ht="28.5" customHeight="1" x14ac:dyDescent="0.3">
      <c r="A23" s="222">
        <f t="shared" si="3"/>
        <v>0</v>
      </c>
      <c r="B23" s="223" t="b">
        <f t="shared" si="4"/>
        <v>1</v>
      </c>
      <c r="C23" s="222">
        <f t="shared" si="5"/>
        <v>0</v>
      </c>
      <c r="D23" s="205" t="str">
        <f t="shared" si="6"/>
        <v>$$$$</v>
      </c>
      <c r="E23" s="224"/>
      <c r="F23" s="225"/>
      <c r="G23" s="226"/>
      <c r="H23" s="227"/>
      <c r="I23" s="228"/>
      <c r="J23" s="228"/>
      <c r="K23" s="229"/>
      <c r="L23" s="230"/>
      <c r="M23" s="231"/>
      <c r="N23" s="232"/>
      <c r="O23" s="230"/>
      <c r="P23" s="231"/>
      <c r="Q23" s="232"/>
      <c r="R23" s="233"/>
      <c r="S23" s="234"/>
      <c r="T23" s="235"/>
      <c r="U23" s="233"/>
      <c r="V23" s="236"/>
      <c r="W23" s="234"/>
      <c r="X23" s="235"/>
      <c r="Y23" s="237"/>
      <c r="Z23" s="238"/>
    </row>
    <row r="24" spans="1:26" s="239" customFormat="1" ht="28.5" customHeight="1" x14ac:dyDescent="0.3">
      <c r="A24" s="222">
        <f t="shared" si="3"/>
        <v>0</v>
      </c>
      <c r="B24" s="223" t="b">
        <f t="shared" si="4"/>
        <v>1</v>
      </c>
      <c r="C24" s="222">
        <f t="shared" si="5"/>
        <v>0</v>
      </c>
      <c r="D24" s="205" t="str">
        <f t="shared" si="6"/>
        <v>$$$$</v>
      </c>
      <c r="E24" s="224"/>
      <c r="F24" s="225"/>
      <c r="G24" s="226"/>
      <c r="H24" s="227"/>
      <c r="I24" s="228"/>
      <c r="J24" s="228"/>
      <c r="K24" s="229"/>
      <c r="L24" s="230"/>
      <c r="M24" s="231"/>
      <c r="N24" s="232"/>
      <c r="O24" s="230"/>
      <c r="P24" s="231"/>
      <c r="Q24" s="232"/>
      <c r="R24" s="233"/>
      <c r="S24" s="234"/>
      <c r="T24" s="235"/>
      <c r="U24" s="233"/>
      <c r="V24" s="236"/>
      <c r="W24" s="234"/>
      <c r="X24" s="235"/>
      <c r="Y24" s="237"/>
      <c r="Z24" s="238"/>
    </row>
    <row r="25" spans="1:26" s="239" customFormat="1" ht="28.5" customHeight="1" x14ac:dyDescent="0.3">
      <c r="A25" s="222">
        <f t="shared" si="3"/>
        <v>0</v>
      </c>
      <c r="B25" s="223" t="b">
        <f t="shared" si="4"/>
        <v>1</v>
      </c>
      <c r="C25" s="222">
        <f t="shared" si="5"/>
        <v>0</v>
      </c>
      <c r="D25" s="205" t="str">
        <f t="shared" si="6"/>
        <v>$$$$</v>
      </c>
      <c r="E25" s="224"/>
      <c r="F25" s="225"/>
      <c r="G25" s="226"/>
      <c r="H25" s="227"/>
      <c r="I25" s="228"/>
      <c r="J25" s="228"/>
      <c r="K25" s="229"/>
      <c r="L25" s="230"/>
      <c r="M25" s="231"/>
      <c r="N25" s="232"/>
      <c r="O25" s="230"/>
      <c r="P25" s="231"/>
      <c r="Q25" s="232"/>
      <c r="R25" s="233"/>
      <c r="S25" s="234"/>
      <c r="T25" s="235"/>
      <c r="U25" s="233"/>
      <c r="V25" s="236"/>
      <c r="W25" s="234"/>
      <c r="X25" s="235"/>
      <c r="Y25" s="237"/>
      <c r="Z25" s="238"/>
    </row>
    <row r="26" spans="1:26" s="239" customFormat="1" ht="28.5" customHeight="1" x14ac:dyDescent="0.3">
      <c r="A26" s="222">
        <f t="shared" si="3"/>
        <v>0</v>
      </c>
      <c r="B26" s="223" t="b">
        <f t="shared" si="4"/>
        <v>1</v>
      </c>
      <c r="C26" s="222">
        <f t="shared" si="5"/>
        <v>0</v>
      </c>
      <c r="D26" s="205" t="str">
        <f t="shared" si="6"/>
        <v>$$$$</v>
      </c>
      <c r="E26" s="224"/>
      <c r="F26" s="225"/>
      <c r="G26" s="226"/>
      <c r="H26" s="227"/>
      <c r="I26" s="228"/>
      <c r="J26" s="228"/>
      <c r="K26" s="229"/>
      <c r="L26" s="230"/>
      <c r="M26" s="231"/>
      <c r="N26" s="232"/>
      <c r="O26" s="230"/>
      <c r="P26" s="231"/>
      <c r="Q26" s="232"/>
      <c r="R26" s="233"/>
      <c r="S26" s="234"/>
      <c r="T26" s="235"/>
      <c r="U26" s="233"/>
      <c r="V26" s="236"/>
      <c r="W26" s="234"/>
      <c r="X26" s="235"/>
      <c r="Y26" s="237"/>
      <c r="Z26" s="238"/>
    </row>
    <row r="27" spans="1:26" s="239" customFormat="1" ht="28.5" customHeight="1" x14ac:dyDescent="0.3">
      <c r="A27" s="222">
        <f t="shared" si="3"/>
        <v>0</v>
      </c>
      <c r="B27" s="223" t="b">
        <f t="shared" si="4"/>
        <v>1</v>
      </c>
      <c r="C27" s="222">
        <f t="shared" si="5"/>
        <v>0</v>
      </c>
      <c r="D27" s="205" t="str">
        <f t="shared" si="6"/>
        <v>$$$$</v>
      </c>
      <c r="E27" s="224"/>
      <c r="F27" s="225"/>
      <c r="G27" s="226"/>
      <c r="H27" s="227"/>
      <c r="I27" s="228"/>
      <c r="J27" s="228"/>
      <c r="K27" s="229"/>
      <c r="L27" s="230"/>
      <c r="M27" s="231"/>
      <c r="N27" s="232"/>
      <c r="O27" s="230"/>
      <c r="P27" s="231"/>
      <c r="Q27" s="232"/>
      <c r="R27" s="233"/>
      <c r="S27" s="234"/>
      <c r="T27" s="235"/>
      <c r="U27" s="233"/>
      <c r="V27" s="236"/>
      <c r="W27" s="234"/>
      <c r="X27" s="235"/>
      <c r="Y27" s="237"/>
      <c r="Z27" s="238"/>
    </row>
    <row r="28" spans="1:26" s="239" customFormat="1" ht="28.5" customHeight="1" x14ac:dyDescent="0.3">
      <c r="A28" s="222">
        <f t="shared" si="3"/>
        <v>0</v>
      </c>
      <c r="B28" s="223" t="b">
        <f t="shared" si="4"/>
        <v>1</v>
      </c>
      <c r="C28" s="222">
        <f t="shared" si="5"/>
        <v>0</v>
      </c>
      <c r="D28" s="205" t="str">
        <f t="shared" si="6"/>
        <v>$$$$</v>
      </c>
      <c r="E28" s="224"/>
      <c r="F28" s="225"/>
      <c r="G28" s="226"/>
      <c r="H28" s="227"/>
      <c r="I28" s="228"/>
      <c r="J28" s="228"/>
      <c r="K28" s="229"/>
      <c r="L28" s="230"/>
      <c r="M28" s="231"/>
      <c r="N28" s="232"/>
      <c r="O28" s="230"/>
      <c r="P28" s="231"/>
      <c r="Q28" s="232"/>
      <c r="R28" s="233"/>
      <c r="S28" s="234"/>
      <c r="T28" s="235"/>
      <c r="U28" s="233"/>
      <c r="V28" s="236"/>
      <c r="W28" s="234"/>
      <c r="X28" s="235"/>
      <c r="Y28" s="237"/>
      <c r="Z28" s="238"/>
    </row>
    <row r="29" spans="1:26" s="239" customFormat="1" ht="28.5" customHeight="1" x14ac:dyDescent="0.3">
      <c r="A29" s="222">
        <f t="shared" si="3"/>
        <v>0</v>
      </c>
      <c r="B29" s="223" t="b">
        <f t="shared" si="4"/>
        <v>1</v>
      </c>
      <c r="C29" s="222">
        <f t="shared" si="5"/>
        <v>0</v>
      </c>
      <c r="D29" s="205" t="str">
        <f t="shared" si="6"/>
        <v>$$$$</v>
      </c>
      <c r="E29" s="224"/>
      <c r="F29" s="225"/>
      <c r="G29" s="226"/>
      <c r="H29" s="227"/>
      <c r="I29" s="228"/>
      <c r="J29" s="228"/>
      <c r="K29" s="229"/>
      <c r="L29" s="230"/>
      <c r="M29" s="231"/>
      <c r="N29" s="232"/>
      <c r="O29" s="230"/>
      <c r="P29" s="231"/>
      <c r="Q29" s="232"/>
      <c r="R29" s="233"/>
      <c r="S29" s="234"/>
      <c r="T29" s="235"/>
      <c r="U29" s="233"/>
      <c r="V29" s="236"/>
      <c r="W29" s="234"/>
      <c r="X29" s="235"/>
      <c r="Y29" s="237"/>
      <c r="Z29" s="238"/>
    </row>
    <row r="30" spans="1:26" s="239" customFormat="1" ht="28.5" customHeight="1" x14ac:dyDescent="0.3">
      <c r="A30" s="222">
        <f t="shared" si="3"/>
        <v>0</v>
      </c>
      <c r="B30" s="223" t="b">
        <f t="shared" si="4"/>
        <v>1</v>
      </c>
      <c r="C30" s="222">
        <f t="shared" si="5"/>
        <v>0</v>
      </c>
      <c r="D30" s="205" t="str">
        <f t="shared" si="6"/>
        <v>$$$$</v>
      </c>
      <c r="E30" s="224"/>
      <c r="F30" s="225"/>
      <c r="G30" s="226"/>
      <c r="H30" s="227"/>
      <c r="I30" s="228"/>
      <c r="J30" s="228"/>
      <c r="K30" s="229"/>
      <c r="L30" s="230"/>
      <c r="M30" s="231"/>
      <c r="N30" s="232"/>
      <c r="O30" s="230"/>
      <c r="P30" s="231"/>
      <c r="Q30" s="232"/>
      <c r="R30" s="233"/>
      <c r="S30" s="234"/>
      <c r="T30" s="235"/>
      <c r="U30" s="233"/>
      <c r="V30" s="236"/>
      <c r="W30" s="234"/>
      <c r="X30" s="235"/>
      <c r="Y30" s="237"/>
      <c r="Z30" s="238"/>
    </row>
    <row r="31" spans="1:26" s="239" customFormat="1" ht="28.5" customHeight="1" x14ac:dyDescent="0.3">
      <c r="A31" s="222">
        <f t="shared" si="3"/>
        <v>0</v>
      </c>
      <c r="B31" s="223" t="b">
        <f t="shared" si="4"/>
        <v>1</v>
      </c>
      <c r="C31" s="222">
        <f t="shared" si="5"/>
        <v>0</v>
      </c>
      <c r="D31" s="205" t="str">
        <f t="shared" si="6"/>
        <v>$$$$</v>
      </c>
      <c r="E31" s="224"/>
      <c r="F31" s="225"/>
      <c r="G31" s="226"/>
      <c r="H31" s="227"/>
      <c r="I31" s="228"/>
      <c r="J31" s="228"/>
      <c r="K31" s="229"/>
      <c r="L31" s="230"/>
      <c r="M31" s="231"/>
      <c r="N31" s="232"/>
      <c r="O31" s="230"/>
      <c r="P31" s="231"/>
      <c r="Q31" s="232"/>
      <c r="R31" s="233"/>
      <c r="S31" s="234"/>
      <c r="T31" s="235"/>
      <c r="U31" s="233"/>
      <c r="V31" s="236"/>
      <c r="W31" s="234"/>
      <c r="X31" s="235"/>
      <c r="Y31" s="237"/>
      <c r="Z31" s="238"/>
    </row>
    <row r="32" spans="1:26" s="239" customFormat="1" ht="28.5" customHeight="1" x14ac:dyDescent="0.3">
      <c r="A32" s="222">
        <f t="shared" si="3"/>
        <v>0</v>
      </c>
      <c r="B32" s="223" t="b">
        <f t="shared" si="4"/>
        <v>1</v>
      </c>
      <c r="C32" s="222">
        <f t="shared" si="5"/>
        <v>0</v>
      </c>
      <c r="D32" s="205" t="str">
        <f t="shared" si="6"/>
        <v>$$$$</v>
      </c>
      <c r="E32" s="224"/>
      <c r="F32" s="225"/>
      <c r="G32" s="226"/>
      <c r="H32" s="227"/>
      <c r="I32" s="228"/>
      <c r="J32" s="228"/>
      <c r="K32" s="229"/>
      <c r="L32" s="230"/>
      <c r="M32" s="231"/>
      <c r="N32" s="232"/>
      <c r="O32" s="230"/>
      <c r="P32" s="231"/>
      <c r="Q32" s="232"/>
      <c r="R32" s="233"/>
      <c r="S32" s="234"/>
      <c r="T32" s="235"/>
      <c r="U32" s="233"/>
      <c r="V32" s="236"/>
      <c r="W32" s="234"/>
      <c r="X32" s="235"/>
      <c r="Y32" s="237"/>
      <c r="Z32" s="238"/>
    </row>
    <row r="33" spans="1:26" s="239" customFormat="1" ht="28.5" customHeight="1" x14ac:dyDescent="0.3">
      <c r="A33" s="222">
        <f t="shared" si="3"/>
        <v>0</v>
      </c>
      <c r="B33" s="223" t="b">
        <f t="shared" si="4"/>
        <v>1</v>
      </c>
      <c r="C33" s="222">
        <f t="shared" si="5"/>
        <v>0</v>
      </c>
      <c r="D33" s="205" t="str">
        <f t="shared" si="6"/>
        <v>$$$$</v>
      </c>
      <c r="E33" s="224"/>
      <c r="F33" s="225"/>
      <c r="G33" s="226"/>
      <c r="H33" s="227"/>
      <c r="I33" s="228"/>
      <c r="J33" s="228"/>
      <c r="K33" s="229"/>
      <c r="L33" s="230"/>
      <c r="M33" s="231"/>
      <c r="N33" s="232"/>
      <c r="O33" s="230"/>
      <c r="P33" s="231"/>
      <c r="Q33" s="232"/>
      <c r="R33" s="233"/>
      <c r="S33" s="234"/>
      <c r="T33" s="235"/>
      <c r="U33" s="233"/>
      <c r="V33" s="236"/>
      <c r="W33" s="234"/>
      <c r="X33" s="235"/>
      <c r="Y33" s="237"/>
      <c r="Z33" s="238"/>
    </row>
    <row r="34" spans="1:26" s="239" customFormat="1" ht="28.5" customHeight="1" x14ac:dyDescent="0.3">
      <c r="A34" s="222">
        <f t="shared" si="3"/>
        <v>0</v>
      </c>
      <c r="B34" s="223" t="b">
        <f t="shared" si="4"/>
        <v>1</v>
      </c>
      <c r="C34" s="222">
        <f t="shared" si="5"/>
        <v>0</v>
      </c>
      <c r="D34" s="205" t="str">
        <f t="shared" si="6"/>
        <v>$$$$</v>
      </c>
      <c r="E34" s="224"/>
      <c r="F34" s="225"/>
      <c r="G34" s="226"/>
      <c r="H34" s="227"/>
      <c r="I34" s="228"/>
      <c r="J34" s="228"/>
      <c r="K34" s="229"/>
      <c r="L34" s="230"/>
      <c r="M34" s="231"/>
      <c r="N34" s="232"/>
      <c r="O34" s="230"/>
      <c r="P34" s="231"/>
      <c r="Q34" s="232"/>
      <c r="R34" s="233"/>
      <c r="S34" s="234"/>
      <c r="T34" s="235"/>
      <c r="U34" s="233"/>
      <c r="V34" s="236"/>
      <c r="W34" s="234"/>
      <c r="X34" s="235"/>
      <c r="Y34" s="237"/>
      <c r="Z34" s="238"/>
    </row>
    <row r="35" spans="1:26" s="239" customFormat="1" ht="28.5" customHeight="1" x14ac:dyDescent="0.3">
      <c r="A35" s="222">
        <f t="shared" si="3"/>
        <v>0</v>
      </c>
      <c r="B35" s="223" t="b">
        <f t="shared" si="4"/>
        <v>1</v>
      </c>
      <c r="C35" s="222">
        <f t="shared" si="5"/>
        <v>0</v>
      </c>
      <c r="D35" s="205" t="str">
        <f t="shared" si="6"/>
        <v>$$$$</v>
      </c>
      <c r="E35" s="224"/>
      <c r="F35" s="225"/>
      <c r="G35" s="226"/>
      <c r="H35" s="227"/>
      <c r="I35" s="228"/>
      <c r="J35" s="228"/>
      <c r="K35" s="229"/>
      <c r="L35" s="230"/>
      <c r="M35" s="231"/>
      <c r="N35" s="232"/>
      <c r="O35" s="230"/>
      <c r="P35" s="231"/>
      <c r="Q35" s="232"/>
      <c r="R35" s="233"/>
      <c r="S35" s="234"/>
      <c r="T35" s="235"/>
      <c r="U35" s="233"/>
      <c r="V35" s="236"/>
      <c r="W35" s="234"/>
      <c r="X35" s="235"/>
      <c r="Y35" s="237"/>
      <c r="Z35" s="238"/>
    </row>
    <row r="36" spans="1:26" s="239" customFormat="1" ht="28.5" customHeight="1" x14ac:dyDescent="0.3">
      <c r="A36" s="222">
        <f t="shared" si="3"/>
        <v>0</v>
      </c>
      <c r="B36" s="223" t="b">
        <f t="shared" si="4"/>
        <v>1</v>
      </c>
      <c r="C36" s="222">
        <f t="shared" si="5"/>
        <v>0</v>
      </c>
      <c r="D36" s="205" t="str">
        <f t="shared" si="6"/>
        <v>$$$$</v>
      </c>
      <c r="E36" s="224"/>
      <c r="F36" s="225"/>
      <c r="G36" s="226"/>
      <c r="H36" s="227"/>
      <c r="I36" s="228"/>
      <c r="J36" s="228"/>
      <c r="K36" s="229"/>
      <c r="L36" s="230"/>
      <c r="M36" s="231"/>
      <c r="N36" s="232"/>
      <c r="O36" s="230"/>
      <c r="P36" s="231"/>
      <c r="Q36" s="232"/>
      <c r="R36" s="233"/>
      <c r="S36" s="234"/>
      <c r="T36" s="235"/>
      <c r="U36" s="233"/>
      <c r="V36" s="236"/>
      <c r="W36" s="234"/>
      <c r="X36" s="235"/>
      <c r="Y36" s="237"/>
      <c r="Z36" s="238"/>
    </row>
    <row r="37" spans="1:26" s="239" customFormat="1" ht="28.5" customHeight="1" x14ac:dyDescent="0.3">
      <c r="A37" s="222">
        <f t="shared" si="3"/>
        <v>0</v>
      </c>
      <c r="B37" s="223" t="b">
        <f t="shared" si="4"/>
        <v>1</v>
      </c>
      <c r="C37" s="222">
        <f t="shared" si="5"/>
        <v>0</v>
      </c>
      <c r="D37" s="205" t="str">
        <f t="shared" si="6"/>
        <v>$$$$</v>
      </c>
      <c r="E37" s="224"/>
      <c r="F37" s="225"/>
      <c r="G37" s="226"/>
      <c r="H37" s="227"/>
      <c r="I37" s="228"/>
      <c r="J37" s="228"/>
      <c r="K37" s="229"/>
      <c r="L37" s="230"/>
      <c r="M37" s="231"/>
      <c r="N37" s="232"/>
      <c r="O37" s="230"/>
      <c r="P37" s="231"/>
      <c r="Q37" s="232"/>
      <c r="R37" s="233"/>
      <c r="S37" s="234"/>
      <c r="T37" s="235"/>
      <c r="U37" s="233"/>
      <c r="V37" s="236"/>
      <c r="W37" s="234"/>
      <c r="X37" s="235"/>
      <c r="Y37" s="237"/>
      <c r="Z37" s="238"/>
    </row>
    <row r="38" spans="1:26" s="239" customFormat="1" ht="28.5" customHeight="1" x14ac:dyDescent="0.3">
      <c r="A38" s="222">
        <f t="shared" si="3"/>
        <v>0</v>
      </c>
      <c r="B38" s="223" t="b">
        <f t="shared" si="4"/>
        <v>1</v>
      </c>
      <c r="C38" s="222">
        <f t="shared" si="5"/>
        <v>0</v>
      </c>
      <c r="D38" s="205" t="str">
        <f t="shared" si="6"/>
        <v>$$$$</v>
      </c>
      <c r="E38" s="224"/>
      <c r="F38" s="225"/>
      <c r="G38" s="226"/>
      <c r="H38" s="227"/>
      <c r="I38" s="228"/>
      <c r="J38" s="228"/>
      <c r="K38" s="229"/>
      <c r="L38" s="230"/>
      <c r="M38" s="231"/>
      <c r="N38" s="232"/>
      <c r="O38" s="230"/>
      <c r="P38" s="231"/>
      <c r="Q38" s="232"/>
      <c r="R38" s="233"/>
      <c r="S38" s="234"/>
      <c r="T38" s="235"/>
      <c r="U38" s="233"/>
      <c r="V38" s="236"/>
      <c r="W38" s="234"/>
      <c r="X38" s="235"/>
      <c r="Y38" s="237"/>
      <c r="Z38" s="238"/>
    </row>
    <row r="39" spans="1:26" s="239" customFormat="1" ht="28.5" customHeight="1" x14ac:dyDescent="0.3">
      <c r="A39" s="222">
        <f t="shared" ref="A39:A70" si="7">IF(B39,0,MATCH(H39,ВидыНагр,0))</f>
        <v>0</v>
      </c>
      <c r="B39" s="223" t="b">
        <f t="shared" ref="B39:B70" si="8">(COUNTIF(КлючВесна,D39)&lt;&gt;1)</f>
        <v>1</v>
      </c>
      <c r="C39" s="222">
        <f t="shared" ref="C39:C70" si="9">IF(COUNTA(E39:K39,Z39)&gt;0,1,0)+IF(COUNTA(L39:Y39)&gt;0,2,0)</f>
        <v>0</v>
      </c>
      <c r="D39" s="205" t="str">
        <f t="shared" si="6"/>
        <v>$$$$</v>
      </c>
      <c r="E39" s="224"/>
      <c r="F39" s="225"/>
      <c r="G39" s="226"/>
      <c r="H39" s="227"/>
      <c r="I39" s="228"/>
      <c r="J39" s="228"/>
      <c r="K39" s="229"/>
      <c r="L39" s="230"/>
      <c r="M39" s="231"/>
      <c r="N39" s="232"/>
      <c r="O39" s="230"/>
      <c r="P39" s="231"/>
      <c r="Q39" s="232"/>
      <c r="R39" s="233"/>
      <c r="S39" s="234"/>
      <c r="T39" s="235"/>
      <c r="U39" s="233"/>
      <c r="V39" s="236"/>
      <c r="W39" s="234"/>
      <c r="X39" s="235"/>
      <c r="Y39" s="237"/>
      <c r="Z39" s="238"/>
    </row>
    <row r="40" spans="1:26" s="239" customFormat="1" ht="28.5" customHeight="1" x14ac:dyDescent="0.3">
      <c r="A40" s="222">
        <f t="shared" si="7"/>
        <v>0</v>
      </c>
      <c r="B40" s="223" t="b">
        <f t="shared" si="8"/>
        <v>1</v>
      </c>
      <c r="C40" s="222">
        <f t="shared" si="9"/>
        <v>0</v>
      </c>
      <c r="D40" s="205" t="str">
        <f t="shared" si="6"/>
        <v>$$$$</v>
      </c>
      <c r="E40" s="224"/>
      <c r="F40" s="225"/>
      <c r="G40" s="226"/>
      <c r="H40" s="227"/>
      <c r="I40" s="228"/>
      <c r="J40" s="228"/>
      <c r="K40" s="229"/>
      <c r="L40" s="230"/>
      <c r="M40" s="231"/>
      <c r="N40" s="232"/>
      <c r="O40" s="230"/>
      <c r="P40" s="231"/>
      <c r="Q40" s="232"/>
      <c r="R40" s="233"/>
      <c r="S40" s="234"/>
      <c r="T40" s="235"/>
      <c r="U40" s="233"/>
      <c r="V40" s="236"/>
      <c r="W40" s="234"/>
      <c r="X40" s="235"/>
      <c r="Y40" s="237"/>
      <c r="Z40" s="238"/>
    </row>
    <row r="41" spans="1:26" s="239" customFormat="1" ht="28.5" customHeight="1" x14ac:dyDescent="0.3">
      <c r="A41" s="222">
        <f t="shared" si="7"/>
        <v>0</v>
      </c>
      <c r="B41" s="223" t="b">
        <f t="shared" si="8"/>
        <v>1</v>
      </c>
      <c r="C41" s="222">
        <f t="shared" si="9"/>
        <v>0</v>
      </c>
      <c r="D41" s="205" t="str">
        <f t="shared" si="6"/>
        <v>$$$$</v>
      </c>
      <c r="E41" s="224"/>
      <c r="F41" s="225"/>
      <c r="G41" s="226"/>
      <c r="H41" s="227"/>
      <c r="I41" s="228"/>
      <c r="J41" s="228"/>
      <c r="K41" s="229"/>
      <c r="L41" s="230"/>
      <c r="M41" s="231"/>
      <c r="N41" s="232"/>
      <c r="O41" s="230"/>
      <c r="P41" s="231"/>
      <c r="Q41" s="232"/>
      <c r="R41" s="233"/>
      <c r="S41" s="234"/>
      <c r="T41" s="235"/>
      <c r="U41" s="233"/>
      <c r="V41" s="236"/>
      <c r="W41" s="234"/>
      <c r="X41" s="235"/>
      <c r="Y41" s="237"/>
      <c r="Z41" s="238"/>
    </row>
    <row r="42" spans="1:26" s="239" customFormat="1" ht="28.5" customHeight="1" x14ac:dyDescent="0.3">
      <c r="A42" s="222">
        <f t="shared" si="7"/>
        <v>0</v>
      </c>
      <c r="B42" s="223" t="b">
        <f t="shared" si="8"/>
        <v>1</v>
      </c>
      <c r="C42" s="222">
        <f t="shared" si="9"/>
        <v>0</v>
      </c>
      <c r="D42" s="205" t="str">
        <f t="shared" si="6"/>
        <v>$$$$</v>
      </c>
      <c r="E42" s="224"/>
      <c r="F42" s="225"/>
      <c r="G42" s="226"/>
      <c r="H42" s="227"/>
      <c r="I42" s="228"/>
      <c r="J42" s="228"/>
      <c r="K42" s="229"/>
      <c r="L42" s="230"/>
      <c r="M42" s="231"/>
      <c r="N42" s="232"/>
      <c r="O42" s="230"/>
      <c r="P42" s="231"/>
      <c r="Q42" s="232"/>
      <c r="R42" s="233"/>
      <c r="S42" s="234"/>
      <c r="T42" s="235"/>
      <c r="U42" s="233"/>
      <c r="V42" s="236"/>
      <c r="W42" s="234"/>
      <c r="X42" s="235"/>
      <c r="Y42" s="237"/>
      <c r="Z42" s="238"/>
    </row>
    <row r="43" spans="1:26" s="239" customFormat="1" ht="28.5" customHeight="1" x14ac:dyDescent="0.3">
      <c r="A43" s="222">
        <f t="shared" si="7"/>
        <v>0</v>
      </c>
      <c r="B43" s="223" t="b">
        <f t="shared" si="8"/>
        <v>1</v>
      </c>
      <c r="C43" s="222">
        <f t="shared" si="9"/>
        <v>0</v>
      </c>
      <c r="D43" s="205" t="str">
        <f t="shared" si="6"/>
        <v>$$$$</v>
      </c>
      <c r="E43" s="224"/>
      <c r="F43" s="225"/>
      <c r="G43" s="226"/>
      <c r="H43" s="227"/>
      <c r="I43" s="228"/>
      <c r="J43" s="228"/>
      <c r="K43" s="229"/>
      <c r="L43" s="230"/>
      <c r="M43" s="231"/>
      <c r="N43" s="232"/>
      <c r="O43" s="230"/>
      <c r="P43" s="231"/>
      <c r="Q43" s="232"/>
      <c r="R43" s="233"/>
      <c r="S43" s="234"/>
      <c r="T43" s="235"/>
      <c r="U43" s="233"/>
      <c r="V43" s="236"/>
      <c r="W43" s="234"/>
      <c r="X43" s="235"/>
      <c r="Y43" s="237"/>
      <c r="Z43" s="238"/>
    </row>
    <row r="44" spans="1:26" s="239" customFormat="1" ht="28.5" customHeight="1" x14ac:dyDescent="0.3">
      <c r="A44" s="222">
        <f t="shared" si="7"/>
        <v>0</v>
      </c>
      <c r="B44" s="223" t="b">
        <f t="shared" si="8"/>
        <v>1</v>
      </c>
      <c r="C44" s="222">
        <f t="shared" si="9"/>
        <v>0</v>
      </c>
      <c r="D44" s="205" t="str">
        <f t="shared" si="6"/>
        <v>$$$$</v>
      </c>
      <c r="E44" s="224"/>
      <c r="F44" s="225"/>
      <c r="G44" s="226"/>
      <c r="H44" s="227"/>
      <c r="I44" s="228"/>
      <c r="J44" s="228"/>
      <c r="K44" s="229"/>
      <c r="L44" s="230"/>
      <c r="M44" s="231"/>
      <c r="N44" s="232"/>
      <c r="O44" s="230"/>
      <c r="P44" s="231"/>
      <c r="Q44" s="232"/>
      <c r="R44" s="233"/>
      <c r="S44" s="234"/>
      <c r="T44" s="235"/>
      <c r="U44" s="233"/>
      <c r="V44" s="236"/>
      <c r="W44" s="234"/>
      <c r="X44" s="235"/>
      <c r="Y44" s="237"/>
      <c r="Z44" s="238"/>
    </row>
    <row r="45" spans="1:26" s="239" customFormat="1" ht="28.5" customHeight="1" x14ac:dyDescent="0.3">
      <c r="A45" s="222">
        <f t="shared" si="7"/>
        <v>0</v>
      </c>
      <c r="B45" s="223" t="b">
        <f t="shared" si="8"/>
        <v>1</v>
      </c>
      <c r="C45" s="222">
        <f t="shared" si="9"/>
        <v>0</v>
      </c>
      <c r="D45" s="205" t="str">
        <f t="shared" si="6"/>
        <v>$$$$</v>
      </c>
      <c r="E45" s="224"/>
      <c r="F45" s="225"/>
      <c r="G45" s="226"/>
      <c r="H45" s="227"/>
      <c r="I45" s="228"/>
      <c r="J45" s="228"/>
      <c r="K45" s="229"/>
      <c r="L45" s="230"/>
      <c r="M45" s="231"/>
      <c r="N45" s="232"/>
      <c r="O45" s="230"/>
      <c r="P45" s="231"/>
      <c r="Q45" s="232"/>
      <c r="R45" s="233"/>
      <c r="S45" s="234"/>
      <c r="T45" s="235"/>
      <c r="U45" s="233"/>
      <c r="V45" s="236"/>
      <c r="W45" s="234"/>
      <c r="X45" s="235"/>
      <c r="Y45" s="237"/>
      <c r="Z45" s="238"/>
    </row>
    <row r="46" spans="1:26" s="239" customFormat="1" ht="28.5" customHeight="1" x14ac:dyDescent="0.3">
      <c r="A46" s="222">
        <f t="shared" si="7"/>
        <v>0</v>
      </c>
      <c r="B46" s="223" t="b">
        <f t="shared" si="8"/>
        <v>1</v>
      </c>
      <c r="C46" s="222">
        <f t="shared" si="9"/>
        <v>0</v>
      </c>
      <c r="D46" s="205" t="str">
        <f t="shared" si="6"/>
        <v>$$$$</v>
      </c>
      <c r="E46" s="224"/>
      <c r="F46" s="225"/>
      <c r="G46" s="226"/>
      <c r="H46" s="227"/>
      <c r="I46" s="228"/>
      <c r="J46" s="228"/>
      <c r="K46" s="229"/>
      <c r="L46" s="230"/>
      <c r="M46" s="231"/>
      <c r="N46" s="232"/>
      <c r="O46" s="230"/>
      <c r="P46" s="231"/>
      <c r="Q46" s="232"/>
      <c r="R46" s="233"/>
      <c r="S46" s="234"/>
      <c r="T46" s="235"/>
      <c r="U46" s="233"/>
      <c r="V46" s="236"/>
      <c r="W46" s="234"/>
      <c r="X46" s="235"/>
      <c r="Y46" s="237"/>
      <c r="Z46" s="238"/>
    </row>
    <row r="47" spans="1:26" s="239" customFormat="1" ht="28.5" customHeight="1" x14ac:dyDescent="0.3">
      <c r="A47" s="222">
        <f t="shared" si="7"/>
        <v>0</v>
      </c>
      <c r="B47" s="223" t="b">
        <f t="shared" si="8"/>
        <v>1</v>
      </c>
      <c r="C47" s="222">
        <f t="shared" si="9"/>
        <v>0</v>
      </c>
      <c r="D47" s="205" t="str">
        <f t="shared" si="6"/>
        <v>$$$$</v>
      </c>
      <c r="E47" s="224"/>
      <c r="F47" s="225"/>
      <c r="G47" s="226"/>
      <c r="H47" s="227"/>
      <c r="I47" s="228"/>
      <c r="J47" s="228"/>
      <c r="K47" s="229"/>
      <c r="L47" s="230"/>
      <c r="M47" s="231"/>
      <c r="N47" s="232"/>
      <c r="O47" s="230"/>
      <c r="P47" s="231"/>
      <c r="Q47" s="232"/>
      <c r="R47" s="233"/>
      <c r="S47" s="234"/>
      <c r="T47" s="235"/>
      <c r="U47" s="233"/>
      <c r="V47" s="236"/>
      <c r="W47" s="234"/>
      <c r="X47" s="235"/>
      <c r="Y47" s="237"/>
      <c r="Z47" s="238"/>
    </row>
    <row r="48" spans="1:26" s="239" customFormat="1" ht="28.5" customHeight="1" x14ac:dyDescent="0.3">
      <c r="A48" s="222">
        <f t="shared" si="7"/>
        <v>0</v>
      </c>
      <c r="B48" s="223" t="b">
        <f t="shared" si="8"/>
        <v>1</v>
      </c>
      <c r="C48" s="222">
        <f t="shared" si="9"/>
        <v>0</v>
      </c>
      <c r="D48" s="205" t="str">
        <f t="shared" si="6"/>
        <v>$$$$</v>
      </c>
      <c r="E48" s="224"/>
      <c r="F48" s="225"/>
      <c r="G48" s="226"/>
      <c r="H48" s="227"/>
      <c r="I48" s="228"/>
      <c r="J48" s="228"/>
      <c r="K48" s="229"/>
      <c r="L48" s="230"/>
      <c r="M48" s="231"/>
      <c r="N48" s="232"/>
      <c r="O48" s="230"/>
      <c r="P48" s="231"/>
      <c r="Q48" s="232"/>
      <c r="R48" s="233"/>
      <c r="S48" s="234"/>
      <c r="T48" s="235"/>
      <c r="U48" s="233"/>
      <c r="V48" s="236"/>
      <c r="W48" s="234"/>
      <c r="X48" s="235"/>
      <c r="Y48" s="237"/>
      <c r="Z48" s="238"/>
    </row>
    <row r="49" spans="1:26" s="239" customFormat="1" ht="28.5" customHeight="1" x14ac:dyDescent="0.3">
      <c r="A49" s="222">
        <f t="shared" si="7"/>
        <v>0</v>
      </c>
      <c r="B49" s="223" t="b">
        <f t="shared" si="8"/>
        <v>1</v>
      </c>
      <c r="C49" s="222">
        <f t="shared" si="9"/>
        <v>0</v>
      </c>
      <c r="D49" s="205" t="str">
        <f t="shared" si="6"/>
        <v>$$$$</v>
      </c>
      <c r="E49" s="224"/>
      <c r="F49" s="225"/>
      <c r="G49" s="226"/>
      <c r="H49" s="227"/>
      <c r="I49" s="228"/>
      <c r="J49" s="228"/>
      <c r="K49" s="229"/>
      <c r="L49" s="230"/>
      <c r="M49" s="231"/>
      <c r="N49" s="232"/>
      <c r="O49" s="230"/>
      <c r="P49" s="231"/>
      <c r="Q49" s="232"/>
      <c r="R49" s="233"/>
      <c r="S49" s="234"/>
      <c r="T49" s="235"/>
      <c r="U49" s="233"/>
      <c r="V49" s="236"/>
      <c r="W49" s="234"/>
      <c r="X49" s="235"/>
      <c r="Y49" s="237"/>
      <c r="Z49" s="238"/>
    </row>
    <row r="50" spans="1:26" s="239" customFormat="1" ht="28.5" customHeight="1" x14ac:dyDescent="0.3">
      <c r="A50" s="222">
        <f t="shared" si="7"/>
        <v>0</v>
      </c>
      <c r="B50" s="223" t="b">
        <f t="shared" si="8"/>
        <v>1</v>
      </c>
      <c r="C50" s="222">
        <f t="shared" si="9"/>
        <v>0</v>
      </c>
      <c r="D50" s="205" t="str">
        <f t="shared" si="6"/>
        <v>$$$$</v>
      </c>
      <c r="E50" s="224"/>
      <c r="F50" s="225"/>
      <c r="G50" s="226"/>
      <c r="H50" s="227"/>
      <c r="I50" s="228"/>
      <c r="J50" s="228"/>
      <c r="K50" s="229"/>
      <c r="L50" s="230"/>
      <c r="M50" s="231"/>
      <c r="N50" s="232"/>
      <c r="O50" s="230"/>
      <c r="P50" s="231"/>
      <c r="Q50" s="232"/>
      <c r="R50" s="233"/>
      <c r="S50" s="234"/>
      <c r="T50" s="235"/>
      <c r="U50" s="233"/>
      <c r="V50" s="236"/>
      <c r="W50" s="234"/>
      <c r="X50" s="235"/>
      <c r="Y50" s="237"/>
      <c r="Z50" s="238"/>
    </row>
    <row r="51" spans="1:26" s="239" customFormat="1" ht="28.5" customHeight="1" x14ac:dyDescent="0.3">
      <c r="A51" s="222">
        <f t="shared" si="7"/>
        <v>0</v>
      </c>
      <c r="B51" s="223" t="b">
        <f t="shared" si="8"/>
        <v>1</v>
      </c>
      <c r="C51" s="222">
        <f t="shared" si="9"/>
        <v>0</v>
      </c>
      <c r="D51" s="205" t="str">
        <f t="shared" si="6"/>
        <v>$$$$</v>
      </c>
      <c r="E51" s="224"/>
      <c r="F51" s="225"/>
      <c r="G51" s="226"/>
      <c r="H51" s="227"/>
      <c r="I51" s="228"/>
      <c r="J51" s="228"/>
      <c r="K51" s="229"/>
      <c r="L51" s="230"/>
      <c r="M51" s="231"/>
      <c r="N51" s="232"/>
      <c r="O51" s="230"/>
      <c r="P51" s="231"/>
      <c r="Q51" s="232"/>
      <c r="R51" s="233"/>
      <c r="S51" s="234"/>
      <c r="T51" s="235"/>
      <c r="U51" s="233"/>
      <c r="V51" s="236"/>
      <c r="W51" s="234"/>
      <c r="X51" s="235"/>
      <c r="Y51" s="237"/>
      <c r="Z51" s="238"/>
    </row>
    <row r="52" spans="1:26" s="239" customFormat="1" ht="28.5" customHeight="1" x14ac:dyDescent="0.3">
      <c r="A52" s="222">
        <f t="shared" si="7"/>
        <v>0</v>
      </c>
      <c r="B52" s="223" t="b">
        <f t="shared" si="8"/>
        <v>1</v>
      </c>
      <c r="C52" s="222">
        <f t="shared" si="9"/>
        <v>0</v>
      </c>
      <c r="D52" s="205" t="str">
        <f t="shared" si="6"/>
        <v>$$$$</v>
      </c>
      <c r="E52" s="224"/>
      <c r="F52" s="225"/>
      <c r="G52" s="226"/>
      <c r="H52" s="227"/>
      <c r="I52" s="228"/>
      <c r="J52" s="228"/>
      <c r="K52" s="229"/>
      <c r="L52" s="230"/>
      <c r="M52" s="231"/>
      <c r="N52" s="232"/>
      <c r="O52" s="230"/>
      <c r="P52" s="231"/>
      <c r="Q52" s="232"/>
      <c r="R52" s="233"/>
      <c r="S52" s="234"/>
      <c r="T52" s="235"/>
      <c r="U52" s="233"/>
      <c r="V52" s="236"/>
      <c r="W52" s="234"/>
      <c r="X52" s="235"/>
      <c r="Y52" s="237"/>
      <c r="Z52" s="238"/>
    </row>
    <row r="53" spans="1:26" s="239" customFormat="1" ht="28.5" customHeight="1" x14ac:dyDescent="0.3">
      <c r="A53" s="222">
        <f t="shared" si="7"/>
        <v>0</v>
      </c>
      <c r="B53" s="223" t="b">
        <f t="shared" si="8"/>
        <v>1</v>
      </c>
      <c r="C53" s="222">
        <f t="shared" si="9"/>
        <v>0</v>
      </c>
      <c r="D53" s="205" t="str">
        <f t="shared" si="6"/>
        <v>$$$$</v>
      </c>
      <c r="E53" s="224"/>
      <c r="F53" s="225"/>
      <c r="G53" s="226"/>
      <c r="H53" s="227"/>
      <c r="I53" s="228"/>
      <c r="J53" s="228"/>
      <c r="K53" s="229"/>
      <c r="L53" s="230"/>
      <c r="M53" s="231"/>
      <c r="N53" s="232"/>
      <c r="O53" s="230"/>
      <c r="P53" s="231"/>
      <c r="Q53" s="232"/>
      <c r="R53" s="233"/>
      <c r="S53" s="234"/>
      <c r="T53" s="235"/>
      <c r="U53" s="233"/>
      <c r="V53" s="236"/>
      <c r="W53" s="234"/>
      <c r="X53" s="235"/>
      <c r="Y53" s="237"/>
      <c r="Z53" s="238"/>
    </row>
    <row r="54" spans="1:26" s="239" customFormat="1" ht="28.5" customHeight="1" x14ac:dyDescent="0.3">
      <c r="A54" s="222">
        <f t="shared" si="7"/>
        <v>0</v>
      </c>
      <c r="B54" s="223" t="b">
        <f t="shared" si="8"/>
        <v>1</v>
      </c>
      <c r="C54" s="222">
        <f t="shared" si="9"/>
        <v>0</v>
      </c>
      <c r="D54" s="205" t="str">
        <f t="shared" si="6"/>
        <v>$$$$</v>
      </c>
      <c r="E54" s="224"/>
      <c r="F54" s="225"/>
      <c r="G54" s="226"/>
      <c r="H54" s="227"/>
      <c r="I54" s="228"/>
      <c r="J54" s="228"/>
      <c r="K54" s="229"/>
      <c r="L54" s="230"/>
      <c r="M54" s="231"/>
      <c r="N54" s="232"/>
      <c r="O54" s="230"/>
      <c r="P54" s="231"/>
      <c r="Q54" s="232"/>
      <c r="R54" s="233"/>
      <c r="S54" s="234"/>
      <c r="T54" s="235"/>
      <c r="U54" s="233"/>
      <c r="V54" s="236"/>
      <c r="W54" s="234"/>
      <c r="X54" s="235"/>
      <c r="Y54" s="237"/>
      <c r="Z54" s="238"/>
    </row>
    <row r="55" spans="1:26" s="239" customFormat="1" ht="28.5" customHeight="1" x14ac:dyDescent="0.3">
      <c r="A55" s="222">
        <f t="shared" si="7"/>
        <v>0</v>
      </c>
      <c r="B55" s="223" t="b">
        <f t="shared" si="8"/>
        <v>1</v>
      </c>
      <c r="C55" s="222">
        <f t="shared" si="9"/>
        <v>0</v>
      </c>
      <c r="D55" s="205" t="str">
        <f t="shared" si="6"/>
        <v>$$$$</v>
      </c>
      <c r="E55" s="224"/>
      <c r="F55" s="225"/>
      <c r="G55" s="226"/>
      <c r="H55" s="227"/>
      <c r="I55" s="228"/>
      <c r="J55" s="228"/>
      <c r="K55" s="229"/>
      <c r="L55" s="230"/>
      <c r="M55" s="231"/>
      <c r="N55" s="232"/>
      <c r="O55" s="230"/>
      <c r="P55" s="231"/>
      <c r="Q55" s="232"/>
      <c r="R55" s="233"/>
      <c r="S55" s="234"/>
      <c r="T55" s="235"/>
      <c r="U55" s="233"/>
      <c r="V55" s="236"/>
      <c r="W55" s="234"/>
      <c r="X55" s="235"/>
      <c r="Y55" s="237"/>
      <c r="Z55" s="238"/>
    </row>
    <row r="56" spans="1:26" s="239" customFormat="1" ht="28.5" customHeight="1" x14ac:dyDescent="0.3">
      <c r="A56" s="222">
        <f t="shared" si="7"/>
        <v>0</v>
      </c>
      <c r="B56" s="223" t="b">
        <f t="shared" si="8"/>
        <v>1</v>
      </c>
      <c r="C56" s="222">
        <f t="shared" si="9"/>
        <v>0</v>
      </c>
      <c r="D56" s="205" t="str">
        <f t="shared" si="6"/>
        <v>$$$$</v>
      </c>
      <c r="E56" s="224"/>
      <c r="F56" s="225"/>
      <c r="G56" s="226"/>
      <c r="H56" s="227"/>
      <c r="I56" s="228"/>
      <c r="J56" s="228"/>
      <c r="K56" s="229"/>
      <c r="L56" s="230"/>
      <c r="M56" s="231"/>
      <c r="N56" s="232"/>
      <c r="O56" s="230"/>
      <c r="P56" s="231"/>
      <c r="Q56" s="232"/>
      <c r="R56" s="233"/>
      <c r="S56" s="234"/>
      <c r="T56" s="235"/>
      <c r="U56" s="233"/>
      <c r="V56" s="236"/>
      <c r="W56" s="234"/>
      <c r="X56" s="235"/>
      <c r="Y56" s="237"/>
      <c r="Z56" s="238"/>
    </row>
    <row r="57" spans="1:26" s="239" customFormat="1" ht="28.5" customHeight="1" x14ac:dyDescent="0.3">
      <c r="A57" s="222">
        <f t="shared" si="7"/>
        <v>0</v>
      </c>
      <c r="B57" s="223" t="b">
        <f t="shared" si="8"/>
        <v>1</v>
      </c>
      <c r="C57" s="222">
        <f t="shared" si="9"/>
        <v>0</v>
      </c>
      <c r="D57" s="205" t="str">
        <f t="shared" si="6"/>
        <v>$$$$</v>
      </c>
      <c r="E57" s="224"/>
      <c r="F57" s="225"/>
      <c r="G57" s="226"/>
      <c r="H57" s="227"/>
      <c r="I57" s="228"/>
      <c r="J57" s="228"/>
      <c r="K57" s="229"/>
      <c r="L57" s="230"/>
      <c r="M57" s="231"/>
      <c r="N57" s="232"/>
      <c r="O57" s="230"/>
      <c r="P57" s="231"/>
      <c r="Q57" s="232"/>
      <c r="R57" s="233"/>
      <c r="S57" s="234"/>
      <c r="T57" s="235"/>
      <c r="U57" s="233"/>
      <c r="V57" s="236"/>
      <c r="W57" s="234"/>
      <c r="X57" s="235"/>
      <c r="Y57" s="237"/>
      <c r="Z57" s="238"/>
    </row>
    <row r="58" spans="1:26" s="239" customFormat="1" ht="28.5" customHeight="1" x14ac:dyDescent="0.3">
      <c r="A58" s="222">
        <f t="shared" si="7"/>
        <v>0</v>
      </c>
      <c r="B58" s="223" t="b">
        <f t="shared" si="8"/>
        <v>1</v>
      </c>
      <c r="C58" s="222">
        <f t="shared" si="9"/>
        <v>0</v>
      </c>
      <c r="D58" s="205" t="str">
        <f t="shared" si="6"/>
        <v>$$$$</v>
      </c>
      <c r="E58" s="224"/>
      <c r="F58" s="225"/>
      <c r="G58" s="226"/>
      <c r="H58" s="227"/>
      <c r="I58" s="228"/>
      <c r="J58" s="228"/>
      <c r="K58" s="229"/>
      <c r="L58" s="230"/>
      <c r="M58" s="231"/>
      <c r="N58" s="232"/>
      <c r="O58" s="230"/>
      <c r="P58" s="231"/>
      <c r="Q58" s="232"/>
      <c r="R58" s="233"/>
      <c r="S58" s="234"/>
      <c r="T58" s="235"/>
      <c r="U58" s="233"/>
      <c r="V58" s="236"/>
      <c r="W58" s="234"/>
      <c r="X58" s="235"/>
      <c r="Y58" s="237"/>
      <c r="Z58" s="238"/>
    </row>
    <row r="59" spans="1:26" s="239" customFormat="1" ht="28.5" customHeight="1" x14ac:dyDescent="0.3">
      <c r="A59" s="222">
        <f t="shared" si="7"/>
        <v>0</v>
      </c>
      <c r="B59" s="223" t="b">
        <f t="shared" si="8"/>
        <v>1</v>
      </c>
      <c r="C59" s="222">
        <f t="shared" si="9"/>
        <v>0</v>
      </c>
      <c r="D59" s="205" t="str">
        <f t="shared" si="6"/>
        <v>$$$$</v>
      </c>
      <c r="E59" s="224"/>
      <c r="F59" s="225"/>
      <c r="G59" s="226"/>
      <c r="H59" s="227"/>
      <c r="I59" s="228"/>
      <c r="J59" s="228"/>
      <c r="K59" s="229"/>
      <c r="L59" s="230"/>
      <c r="M59" s="231"/>
      <c r="N59" s="232"/>
      <c r="O59" s="230"/>
      <c r="P59" s="231"/>
      <c r="Q59" s="232"/>
      <c r="R59" s="233"/>
      <c r="S59" s="234"/>
      <c r="T59" s="235"/>
      <c r="U59" s="233"/>
      <c r="V59" s="236"/>
      <c r="W59" s="234"/>
      <c r="X59" s="235"/>
      <c r="Y59" s="237"/>
      <c r="Z59" s="238"/>
    </row>
    <row r="60" spans="1:26" s="239" customFormat="1" ht="28.5" customHeight="1" x14ac:dyDescent="0.3">
      <c r="A60" s="222">
        <f t="shared" si="7"/>
        <v>0</v>
      </c>
      <c r="B60" s="223" t="b">
        <f t="shared" si="8"/>
        <v>1</v>
      </c>
      <c r="C60" s="222">
        <f t="shared" si="9"/>
        <v>0</v>
      </c>
      <c r="D60" s="205" t="str">
        <f t="shared" si="6"/>
        <v>$$$$</v>
      </c>
      <c r="E60" s="224"/>
      <c r="F60" s="225"/>
      <c r="G60" s="226"/>
      <c r="H60" s="227"/>
      <c r="I60" s="228"/>
      <c r="J60" s="228"/>
      <c r="K60" s="229"/>
      <c r="L60" s="230"/>
      <c r="M60" s="231"/>
      <c r="N60" s="232"/>
      <c r="O60" s="230"/>
      <c r="P60" s="231"/>
      <c r="Q60" s="232"/>
      <c r="R60" s="233"/>
      <c r="S60" s="234"/>
      <c r="T60" s="235"/>
      <c r="U60" s="233"/>
      <c r="V60" s="236"/>
      <c r="W60" s="234"/>
      <c r="X60" s="235"/>
      <c r="Y60" s="237"/>
      <c r="Z60" s="238"/>
    </row>
    <row r="61" spans="1:26" s="239" customFormat="1" ht="28.5" customHeight="1" x14ac:dyDescent="0.3">
      <c r="A61" s="222">
        <f t="shared" si="7"/>
        <v>0</v>
      </c>
      <c r="B61" s="223" t="b">
        <f t="shared" si="8"/>
        <v>1</v>
      </c>
      <c r="C61" s="222">
        <f t="shared" si="9"/>
        <v>0</v>
      </c>
      <c r="D61" s="205" t="str">
        <f t="shared" si="6"/>
        <v>$$$$</v>
      </c>
      <c r="E61" s="224"/>
      <c r="F61" s="225"/>
      <c r="G61" s="226"/>
      <c r="H61" s="227"/>
      <c r="I61" s="228"/>
      <c r="J61" s="228"/>
      <c r="K61" s="229"/>
      <c r="L61" s="230"/>
      <c r="M61" s="231"/>
      <c r="N61" s="232"/>
      <c r="O61" s="230"/>
      <c r="P61" s="231"/>
      <c r="Q61" s="232"/>
      <c r="R61" s="233"/>
      <c r="S61" s="234"/>
      <c r="T61" s="235"/>
      <c r="U61" s="233"/>
      <c r="V61" s="236"/>
      <c r="W61" s="234"/>
      <c r="X61" s="235"/>
      <c r="Y61" s="237"/>
      <c r="Z61" s="238"/>
    </row>
    <row r="62" spans="1:26" s="239" customFormat="1" ht="28.5" customHeight="1" x14ac:dyDescent="0.3">
      <c r="A62" s="222">
        <f t="shared" si="7"/>
        <v>0</v>
      </c>
      <c r="B62" s="223" t="b">
        <f t="shared" si="8"/>
        <v>1</v>
      </c>
      <c r="C62" s="222">
        <f t="shared" si="9"/>
        <v>0</v>
      </c>
      <c r="D62" s="205" t="str">
        <f t="shared" si="6"/>
        <v>$$$$</v>
      </c>
      <c r="E62" s="224"/>
      <c r="F62" s="225"/>
      <c r="G62" s="226"/>
      <c r="H62" s="227"/>
      <c r="I62" s="228"/>
      <c r="J62" s="228"/>
      <c r="K62" s="229"/>
      <c r="L62" s="230"/>
      <c r="M62" s="231"/>
      <c r="N62" s="232"/>
      <c r="O62" s="230"/>
      <c r="P62" s="231"/>
      <c r="Q62" s="232"/>
      <c r="R62" s="233"/>
      <c r="S62" s="234"/>
      <c r="T62" s="235"/>
      <c r="U62" s="233"/>
      <c r="V62" s="236"/>
      <c r="W62" s="234"/>
      <c r="X62" s="235"/>
      <c r="Y62" s="237"/>
      <c r="Z62" s="238"/>
    </row>
    <row r="63" spans="1:26" s="239" customFormat="1" ht="28.5" customHeight="1" x14ac:dyDescent="0.3">
      <c r="A63" s="222">
        <f t="shared" si="7"/>
        <v>0</v>
      </c>
      <c r="B63" s="223" t="b">
        <f t="shared" si="8"/>
        <v>1</v>
      </c>
      <c r="C63" s="222">
        <f t="shared" si="9"/>
        <v>0</v>
      </c>
      <c r="D63" s="205" t="str">
        <f t="shared" si="6"/>
        <v>$$$$</v>
      </c>
      <c r="E63" s="224"/>
      <c r="F63" s="225"/>
      <c r="G63" s="226"/>
      <c r="H63" s="227"/>
      <c r="I63" s="228"/>
      <c r="J63" s="228"/>
      <c r="K63" s="229"/>
      <c r="L63" s="230"/>
      <c r="M63" s="231"/>
      <c r="N63" s="232"/>
      <c r="O63" s="230"/>
      <c r="P63" s="231"/>
      <c r="Q63" s="232"/>
      <c r="R63" s="233"/>
      <c r="S63" s="234"/>
      <c r="T63" s="235"/>
      <c r="U63" s="233"/>
      <c r="V63" s="236"/>
      <c r="W63" s="234"/>
      <c r="X63" s="235"/>
      <c r="Y63" s="237"/>
      <c r="Z63" s="238"/>
    </row>
    <row r="64" spans="1:26" s="239" customFormat="1" ht="28.5" customHeight="1" x14ac:dyDescent="0.3">
      <c r="A64" s="222">
        <f t="shared" si="7"/>
        <v>0</v>
      </c>
      <c r="B64" s="223" t="b">
        <f t="shared" si="8"/>
        <v>1</v>
      </c>
      <c r="C64" s="222">
        <f t="shared" si="9"/>
        <v>0</v>
      </c>
      <c r="D64" s="205" t="str">
        <f t="shared" si="6"/>
        <v>$$$$</v>
      </c>
      <c r="E64" s="224"/>
      <c r="F64" s="225"/>
      <c r="G64" s="226"/>
      <c r="H64" s="227"/>
      <c r="I64" s="228"/>
      <c r="J64" s="228"/>
      <c r="K64" s="229"/>
      <c r="L64" s="230"/>
      <c r="M64" s="231"/>
      <c r="N64" s="232"/>
      <c r="O64" s="230"/>
      <c r="P64" s="231"/>
      <c r="Q64" s="232"/>
      <c r="R64" s="233"/>
      <c r="S64" s="234"/>
      <c r="T64" s="235"/>
      <c r="U64" s="233"/>
      <c r="V64" s="236"/>
      <c r="W64" s="234"/>
      <c r="X64" s="235"/>
      <c r="Y64" s="237"/>
      <c r="Z64" s="238"/>
    </row>
    <row r="65" spans="1:26" s="239" customFormat="1" ht="28.5" customHeight="1" x14ac:dyDescent="0.3">
      <c r="A65" s="222">
        <f t="shared" si="7"/>
        <v>0</v>
      </c>
      <c r="B65" s="223" t="b">
        <f t="shared" si="8"/>
        <v>1</v>
      </c>
      <c r="C65" s="222">
        <f t="shared" si="9"/>
        <v>0</v>
      </c>
      <c r="D65" s="205" t="str">
        <f t="shared" si="6"/>
        <v>$$$$</v>
      </c>
      <c r="E65" s="224"/>
      <c r="F65" s="225"/>
      <c r="G65" s="226"/>
      <c r="H65" s="227"/>
      <c r="I65" s="228"/>
      <c r="J65" s="228"/>
      <c r="K65" s="229"/>
      <c r="L65" s="230"/>
      <c r="M65" s="231"/>
      <c r="N65" s="232"/>
      <c r="O65" s="230"/>
      <c r="P65" s="231"/>
      <c r="Q65" s="232"/>
      <c r="R65" s="233"/>
      <c r="S65" s="234"/>
      <c r="T65" s="235"/>
      <c r="U65" s="233"/>
      <c r="V65" s="236"/>
      <c r="W65" s="234"/>
      <c r="X65" s="235"/>
      <c r="Y65" s="237"/>
      <c r="Z65" s="238"/>
    </row>
    <row r="66" spans="1:26" s="239" customFormat="1" ht="28.5" customHeight="1" x14ac:dyDescent="0.3">
      <c r="A66" s="222">
        <f t="shared" si="7"/>
        <v>0</v>
      </c>
      <c r="B66" s="223" t="b">
        <f t="shared" si="8"/>
        <v>1</v>
      </c>
      <c r="C66" s="222">
        <f t="shared" si="9"/>
        <v>0</v>
      </c>
      <c r="D66" s="205" t="str">
        <f t="shared" si="6"/>
        <v>$$$$</v>
      </c>
      <c r="E66" s="224"/>
      <c r="F66" s="225"/>
      <c r="G66" s="226"/>
      <c r="H66" s="227"/>
      <c r="I66" s="228"/>
      <c r="J66" s="228"/>
      <c r="K66" s="229"/>
      <c r="L66" s="230"/>
      <c r="M66" s="231"/>
      <c r="N66" s="232"/>
      <c r="O66" s="230"/>
      <c r="P66" s="231"/>
      <c r="Q66" s="232"/>
      <c r="R66" s="233"/>
      <c r="S66" s="234"/>
      <c r="T66" s="235"/>
      <c r="U66" s="233"/>
      <c r="V66" s="236"/>
      <c r="W66" s="234"/>
      <c r="X66" s="235"/>
      <c r="Y66" s="237"/>
      <c r="Z66" s="238"/>
    </row>
    <row r="67" spans="1:26" s="239" customFormat="1" ht="28.5" customHeight="1" x14ac:dyDescent="0.3">
      <c r="A67" s="222">
        <f t="shared" si="7"/>
        <v>0</v>
      </c>
      <c r="B67" s="223" t="b">
        <f t="shared" si="8"/>
        <v>1</v>
      </c>
      <c r="C67" s="222">
        <f t="shared" si="9"/>
        <v>0</v>
      </c>
      <c r="D67" s="205" t="str">
        <f t="shared" si="6"/>
        <v>$$$$</v>
      </c>
      <c r="E67" s="224"/>
      <c r="F67" s="225"/>
      <c r="G67" s="226"/>
      <c r="H67" s="227"/>
      <c r="I67" s="228"/>
      <c r="J67" s="228"/>
      <c r="K67" s="229"/>
      <c r="L67" s="230"/>
      <c r="M67" s="231"/>
      <c r="N67" s="232"/>
      <c r="O67" s="230"/>
      <c r="P67" s="231"/>
      <c r="Q67" s="232"/>
      <c r="R67" s="233"/>
      <c r="S67" s="234"/>
      <c r="T67" s="235"/>
      <c r="U67" s="233"/>
      <c r="V67" s="236"/>
      <c r="W67" s="234"/>
      <c r="X67" s="235"/>
      <c r="Y67" s="237"/>
      <c r="Z67" s="238"/>
    </row>
    <row r="68" spans="1:26" s="239" customFormat="1" ht="28.5" customHeight="1" x14ac:dyDescent="0.3">
      <c r="A68" s="222">
        <f t="shared" si="7"/>
        <v>0</v>
      </c>
      <c r="B68" s="223" t="b">
        <f t="shared" si="8"/>
        <v>1</v>
      </c>
      <c r="C68" s="222">
        <f t="shared" si="9"/>
        <v>0</v>
      </c>
      <c r="D68" s="205" t="str">
        <f t="shared" si="6"/>
        <v>$$$$</v>
      </c>
      <c r="E68" s="224"/>
      <c r="F68" s="225"/>
      <c r="G68" s="226"/>
      <c r="H68" s="227"/>
      <c r="I68" s="228"/>
      <c r="J68" s="228"/>
      <c r="K68" s="229"/>
      <c r="L68" s="230"/>
      <c r="M68" s="231"/>
      <c r="N68" s="232"/>
      <c r="O68" s="230"/>
      <c r="P68" s="231"/>
      <c r="Q68" s="232"/>
      <c r="R68" s="233"/>
      <c r="S68" s="234"/>
      <c r="T68" s="235"/>
      <c r="U68" s="233"/>
      <c r="V68" s="236"/>
      <c r="W68" s="234"/>
      <c r="X68" s="235"/>
      <c r="Y68" s="237"/>
      <c r="Z68" s="238"/>
    </row>
    <row r="69" spans="1:26" s="239" customFormat="1" ht="28.5" customHeight="1" x14ac:dyDescent="0.3">
      <c r="A69" s="222">
        <f t="shared" si="7"/>
        <v>0</v>
      </c>
      <c r="B69" s="223" t="b">
        <f t="shared" si="8"/>
        <v>1</v>
      </c>
      <c r="C69" s="222">
        <f t="shared" si="9"/>
        <v>0</v>
      </c>
      <c r="D69" s="205" t="str">
        <f t="shared" si="6"/>
        <v>$$$$</v>
      </c>
      <c r="E69" s="224"/>
      <c r="F69" s="225"/>
      <c r="G69" s="226"/>
      <c r="H69" s="227"/>
      <c r="I69" s="228"/>
      <c r="J69" s="228"/>
      <c r="K69" s="229"/>
      <c r="L69" s="230"/>
      <c r="M69" s="231"/>
      <c r="N69" s="232"/>
      <c r="O69" s="230"/>
      <c r="P69" s="231"/>
      <c r="Q69" s="232"/>
      <c r="R69" s="233"/>
      <c r="S69" s="234"/>
      <c r="T69" s="235"/>
      <c r="U69" s="233"/>
      <c r="V69" s="236"/>
      <c r="W69" s="234"/>
      <c r="X69" s="235"/>
      <c r="Y69" s="237"/>
      <c r="Z69" s="238"/>
    </row>
    <row r="70" spans="1:26" s="239" customFormat="1" ht="28.5" customHeight="1" x14ac:dyDescent="0.3">
      <c r="A70" s="222">
        <f t="shared" si="7"/>
        <v>0</v>
      </c>
      <c r="B70" s="223" t="b">
        <f t="shared" si="8"/>
        <v>1</v>
      </c>
      <c r="C70" s="222">
        <f t="shared" si="9"/>
        <v>0</v>
      </c>
      <c r="D70" s="205" t="str">
        <f t="shared" si="6"/>
        <v>$$$$</v>
      </c>
      <c r="E70" s="224"/>
      <c r="F70" s="225"/>
      <c r="G70" s="226"/>
      <c r="H70" s="227"/>
      <c r="I70" s="228"/>
      <c r="J70" s="228"/>
      <c r="K70" s="229"/>
      <c r="L70" s="230"/>
      <c r="M70" s="231"/>
      <c r="N70" s="232"/>
      <c r="O70" s="230"/>
      <c r="P70" s="231"/>
      <c r="Q70" s="232"/>
      <c r="R70" s="233"/>
      <c r="S70" s="234"/>
      <c r="T70" s="235"/>
      <c r="U70" s="233"/>
      <c r="V70" s="236"/>
      <c r="W70" s="234"/>
      <c r="X70" s="235"/>
      <c r="Y70" s="237"/>
      <c r="Z70" s="238"/>
    </row>
    <row r="71" spans="1:26" s="239" customFormat="1" ht="28.5" customHeight="1" x14ac:dyDescent="0.3">
      <c r="A71" s="222">
        <f t="shared" ref="A71:A102" si="10">IF(B71,0,MATCH(H71,ВидыНагр,0))</f>
        <v>0</v>
      </c>
      <c r="B71" s="223" t="b">
        <f t="shared" ref="B71:B102" si="11">(COUNTIF(КлючВесна,D71)&lt;&gt;1)</f>
        <v>1</v>
      </c>
      <c r="C71" s="222">
        <f t="shared" ref="C71:C102" si="12">IF(COUNTA(E71:K71,Z71)&gt;0,1,0)+IF(COUNTA(L71:Y71)&gt;0,2,0)</f>
        <v>0</v>
      </c>
      <c r="D71" s="205" t="str">
        <f t="shared" si="6"/>
        <v>$$$$</v>
      </c>
      <c r="E71" s="224"/>
      <c r="F71" s="225"/>
      <c r="G71" s="226"/>
      <c r="H71" s="227"/>
      <c r="I71" s="228"/>
      <c r="J71" s="228"/>
      <c r="K71" s="229"/>
      <c r="L71" s="230"/>
      <c r="M71" s="231"/>
      <c r="N71" s="232"/>
      <c r="O71" s="230"/>
      <c r="P71" s="231"/>
      <c r="Q71" s="232"/>
      <c r="R71" s="233"/>
      <c r="S71" s="234"/>
      <c r="T71" s="235"/>
      <c r="U71" s="233"/>
      <c r="V71" s="236"/>
      <c r="W71" s="234"/>
      <c r="X71" s="235"/>
      <c r="Y71" s="237"/>
      <c r="Z71" s="238"/>
    </row>
    <row r="72" spans="1:26" s="239" customFormat="1" ht="28.5" customHeight="1" x14ac:dyDescent="0.3">
      <c r="A72" s="222">
        <f t="shared" si="10"/>
        <v>0</v>
      </c>
      <c r="B72" s="223" t="b">
        <f t="shared" si="11"/>
        <v>1</v>
      </c>
      <c r="C72" s="222">
        <f t="shared" si="12"/>
        <v>0</v>
      </c>
      <c r="D72" s="205" t="str">
        <f t="shared" ref="D72:D159" si="13">CONCATENATE("$",TRIM(F72),"$",TRIM(G72),"$",H72,"$")</f>
        <v>$$$$</v>
      </c>
      <c r="E72" s="224"/>
      <c r="F72" s="225"/>
      <c r="G72" s="226"/>
      <c r="H72" s="227"/>
      <c r="I72" s="228"/>
      <c r="J72" s="228"/>
      <c r="K72" s="229"/>
      <c r="L72" s="230"/>
      <c r="M72" s="231"/>
      <c r="N72" s="232"/>
      <c r="O72" s="230"/>
      <c r="P72" s="231"/>
      <c r="Q72" s="232"/>
      <c r="R72" s="233"/>
      <c r="S72" s="234"/>
      <c r="T72" s="235"/>
      <c r="U72" s="233"/>
      <c r="V72" s="236"/>
      <c r="W72" s="234"/>
      <c r="X72" s="235"/>
      <c r="Y72" s="237"/>
      <c r="Z72" s="238"/>
    </row>
    <row r="73" spans="1:26" s="239" customFormat="1" ht="28.5" customHeight="1" x14ac:dyDescent="0.3">
      <c r="A73" s="222">
        <f t="shared" si="10"/>
        <v>0</v>
      </c>
      <c r="B73" s="223" t="b">
        <f t="shared" si="11"/>
        <v>1</v>
      </c>
      <c r="C73" s="222">
        <f t="shared" si="12"/>
        <v>0</v>
      </c>
      <c r="D73" s="205" t="str">
        <f t="shared" si="13"/>
        <v>$$$$</v>
      </c>
      <c r="E73" s="224"/>
      <c r="F73" s="225"/>
      <c r="G73" s="226"/>
      <c r="H73" s="227"/>
      <c r="I73" s="228"/>
      <c r="J73" s="228"/>
      <c r="K73" s="229"/>
      <c r="L73" s="230"/>
      <c r="M73" s="231"/>
      <c r="N73" s="232"/>
      <c r="O73" s="230"/>
      <c r="P73" s="231"/>
      <c r="Q73" s="232"/>
      <c r="R73" s="233"/>
      <c r="S73" s="234"/>
      <c r="T73" s="235"/>
      <c r="U73" s="233"/>
      <c r="V73" s="236"/>
      <c r="W73" s="234"/>
      <c r="X73" s="235"/>
      <c r="Y73" s="237"/>
      <c r="Z73" s="238"/>
    </row>
    <row r="74" spans="1:26" s="239" customFormat="1" ht="28.5" customHeight="1" x14ac:dyDescent="0.3">
      <c r="A74" s="222">
        <f t="shared" si="10"/>
        <v>0</v>
      </c>
      <c r="B74" s="223" t="b">
        <f t="shared" si="11"/>
        <v>1</v>
      </c>
      <c r="C74" s="222">
        <f t="shared" si="12"/>
        <v>0</v>
      </c>
      <c r="D74" s="205" t="str">
        <f t="shared" si="13"/>
        <v>$$$$</v>
      </c>
      <c r="E74" s="224"/>
      <c r="F74" s="225"/>
      <c r="G74" s="226"/>
      <c r="H74" s="227"/>
      <c r="I74" s="228"/>
      <c r="J74" s="228"/>
      <c r="K74" s="229"/>
      <c r="L74" s="230"/>
      <c r="M74" s="231"/>
      <c r="N74" s="232"/>
      <c r="O74" s="230"/>
      <c r="P74" s="231"/>
      <c r="Q74" s="232"/>
      <c r="R74" s="233"/>
      <c r="S74" s="234"/>
      <c r="T74" s="235"/>
      <c r="U74" s="233"/>
      <c r="V74" s="236"/>
      <c r="W74" s="234"/>
      <c r="X74" s="235"/>
      <c r="Y74" s="237"/>
      <c r="Z74" s="238"/>
    </row>
    <row r="75" spans="1:26" s="239" customFormat="1" ht="28.5" customHeight="1" x14ac:dyDescent="0.3">
      <c r="A75" s="222">
        <f t="shared" si="10"/>
        <v>0</v>
      </c>
      <c r="B75" s="223" t="b">
        <f t="shared" si="11"/>
        <v>1</v>
      </c>
      <c r="C75" s="222">
        <f t="shared" si="12"/>
        <v>0</v>
      </c>
      <c r="D75" s="205" t="str">
        <f t="shared" si="13"/>
        <v>$$$$</v>
      </c>
      <c r="E75" s="224"/>
      <c r="F75" s="225"/>
      <c r="G75" s="226"/>
      <c r="H75" s="227"/>
      <c r="I75" s="228"/>
      <c r="J75" s="228"/>
      <c r="K75" s="229"/>
      <c r="L75" s="230"/>
      <c r="M75" s="231"/>
      <c r="N75" s="232"/>
      <c r="O75" s="230"/>
      <c r="P75" s="231"/>
      <c r="Q75" s="232"/>
      <c r="R75" s="233"/>
      <c r="S75" s="234"/>
      <c r="T75" s="235"/>
      <c r="U75" s="233"/>
      <c r="V75" s="236"/>
      <c r="W75" s="234"/>
      <c r="X75" s="235"/>
      <c r="Y75" s="237"/>
      <c r="Z75" s="238"/>
    </row>
    <row r="76" spans="1:26" s="239" customFormat="1" ht="28.5" customHeight="1" x14ac:dyDescent="0.3">
      <c r="A76" s="222">
        <f t="shared" si="10"/>
        <v>0</v>
      </c>
      <c r="B76" s="223" t="b">
        <f t="shared" si="11"/>
        <v>1</v>
      </c>
      <c r="C76" s="222">
        <f t="shared" si="12"/>
        <v>0</v>
      </c>
      <c r="D76" s="205" t="str">
        <f t="shared" si="13"/>
        <v>$$$$</v>
      </c>
      <c r="E76" s="224"/>
      <c r="F76" s="225"/>
      <c r="G76" s="226"/>
      <c r="H76" s="227"/>
      <c r="I76" s="228"/>
      <c r="J76" s="228"/>
      <c r="K76" s="229"/>
      <c r="L76" s="230"/>
      <c r="M76" s="231"/>
      <c r="N76" s="232"/>
      <c r="O76" s="230"/>
      <c r="P76" s="231"/>
      <c r="Q76" s="232"/>
      <c r="R76" s="233"/>
      <c r="S76" s="234"/>
      <c r="T76" s="235"/>
      <c r="U76" s="233"/>
      <c r="V76" s="236"/>
      <c r="W76" s="234"/>
      <c r="X76" s="235"/>
      <c r="Y76" s="237"/>
      <c r="Z76" s="238"/>
    </row>
    <row r="77" spans="1:26" s="239" customFormat="1" ht="28.5" customHeight="1" x14ac:dyDescent="0.3">
      <c r="A77" s="222">
        <f t="shared" si="10"/>
        <v>0</v>
      </c>
      <c r="B77" s="223" t="b">
        <f t="shared" si="11"/>
        <v>1</v>
      </c>
      <c r="C77" s="222">
        <f t="shared" si="12"/>
        <v>0</v>
      </c>
      <c r="D77" s="205" t="str">
        <f t="shared" si="13"/>
        <v>$$$$</v>
      </c>
      <c r="E77" s="224"/>
      <c r="F77" s="225"/>
      <c r="G77" s="226"/>
      <c r="H77" s="227"/>
      <c r="I77" s="228"/>
      <c r="J77" s="228"/>
      <c r="K77" s="229"/>
      <c r="L77" s="230"/>
      <c r="M77" s="231"/>
      <c r="N77" s="232"/>
      <c r="O77" s="230"/>
      <c r="P77" s="231"/>
      <c r="Q77" s="232"/>
      <c r="R77" s="233"/>
      <c r="S77" s="234"/>
      <c r="T77" s="235"/>
      <c r="U77" s="233"/>
      <c r="V77" s="236"/>
      <c r="W77" s="234"/>
      <c r="X77" s="235"/>
      <c r="Y77" s="237"/>
      <c r="Z77" s="238"/>
    </row>
    <row r="78" spans="1:26" s="239" customFormat="1" ht="28.5" customHeight="1" x14ac:dyDescent="0.3">
      <c r="A78" s="222">
        <f t="shared" si="10"/>
        <v>0</v>
      </c>
      <c r="B78" s="223" t="b">
        <f t="shared" si="11"/>
        <v>1</v>
      </c>
      <c r="C78" s="222">
        <f t="shared" si="12"/>
        <v>0</v>
      </c>
      <c r="D78" s="205" t="str">
        <f t="shared" si="13"/>
        <v>$$$$</v>
      </c>
      <c r="E78" s="224"/>
      <c r="F78" s="225"/>
      <c r="G78" s="226"/>
      <c r="H78" s="227"/>
      <c r="I78" s="228"/>
      <c r="J78" s="228"/>
      <c r="K78" s="229"/>
      <c r="L78" s="230"/>
      <c r="M78" s="231"/>
      <c r="N78" s="232"/>
      <c r="O78" s="230"/>
      <c r="P78" s="231"/>
      <c r="Q78" s="232"/>
      <c r="R78" s="233"/>
      <c r="S78" s="234"/>
      <c r="T78" s="235"/>
      <c r="U78" s="233"/>
      <c r="V78" s="236"/>
      <c r="W78" s="234"/>
      <c r="X78" s="235"/>
      <c r="Y78" s="237"/>
      <c r="Z78" s="238"/>
    </row>
    <row r="79" spans="1:26" s="239" customFormat="1" ht="28.5" customHeight="1" x14ac:dyDescent="0.3">
      <c r="A79" s="222">
        <f t="shared" si="10"/>
        <v>0</v>
      </c>
      <c r="B79" s="223" t="b">
        <f t="shared" si="11"/>
        <v>1</v>
      </c>
      <c r="C79" s="222">
        <f t="shared" si="12"/>
        <v>0</v>
      </c>
      <c r="D79" s="205" t="str">
        <f t="shared" si="13"/>
        <v>$$$$</v>
      </c>
      <c r="E79" s="224"/>
      <c r="F79" s="225"/>
      <c r="G79" s="226"/>
      <c r="H79" s="227"/>
      <c r="I79" s="228"/>
      <c r="J79" s="228"/>
      <c r="K79" s="229"/>
      <c r="L79" s="230"/>
      <c r="M79" s="231"/>
      <c r="N79" s="232"/>
      <c r="O79" s="230"/>
      <c r="P79" s="231"/>
      <c r="Q79" s="232"/>
      <c r="R79" s="233"/>
      <c r="S79" s="234"/>
      <c r="T79" s="235"/>
      <c r="U79" s="233"/>
      <c r="V79" s="236"/>
      <c r="W79" s="234"/>
      <c r="X79" s="235"/>
      <c r="Y79" s="237"/>
      <c r="Z79" s="238"/>
    </row>
    <row r="80" spans="1:26" s="239" customFormat="1" ht="28.5" customHeight="1" x14ac:dyDescent="0.3">
      <c r="A80" s="222">
        <f t="shared" si="10"/>
        <v>0</v>
      </c>
      <c r="B80" s="223" t="b">
        <f t="shared" si="11"/>
        <v>1</v>
      </c>
      <c r="C80" s="222">
        <f t="shared" si="12"/>
        <v>0</v>
      </c>
      <c r="D80" s="205" t="str">
        <f t="shared" si="13"/>
        <v>$$$$</v>
      </c>
      <c r="E80" s="224"/>
      <c r="F80" s="225"/>
      <c r="G80" s="226"/>
      <c r="H80" s="227"/>
      <c r="I80" s="228"/>
      <c r="J80" s="228"/>
      <c r="K80" s="229"/>
      <c r="L80" s="230"/>
      <c r="M80" s="231"/>
      <c r="N80" s="232"/>
      <c r="O80" s="230"/>
      <c r="P80" s="231"/>
      <c r="Q80" s="232"/>
      <c r="R80" s="233"/>
      <c r="S80" s="234"/>
      <c r="T80" s="235"/>
      <c r="U80" s="233"/>
      <c r="V80" s="236"/>
      <c r="W80" s="234"/>
      <c r="X80" s="235"/>
      <c r="Y80" s="237"/>
      <c r="Z80" s="238"/>
    </row>
    <row r="81" spans="1:26" s="239" customFormat="1" ht="28.5" customHeight="1" x14ac:dyDescent="0.3">
      <c r="A81" s="222">
        <f t="shared" si="10"/>
        <v>0</v>
      </c>
      <c r="B81" s="223" t="b">
        <f t="shared" si="11"/>
        <v>1</v>
      </c>
      <c r="C81" s="222">
        <f t="shared" si="12"/>
        <v>0</v>
      </c>
      <c r="D81" s="205" t="str">
        <f t="shared" si="13"/>
        <v>$$$$</v>
      </c>
      <c r="E81" s="224"/>
      <c r="F81" s="225"/>
      <c r="G81" s="226"/>
      <c r="H81" s="227"/>
      <c r="I81" s="228"/>
      <c r="J81" s="228"/>
      <c r="K81" s="229"/>
      <c r="L81" s="230"/>
      <c r="M81" s="231"/>
      <c r="N81" s="232"/>
      <c r="O81" s="230"/>
      <c r="P81" s="231"/>
      <c r="Q81" s="232"/>
      <c r="R81" s="233"/>
      <c r="S81" s="234"/>
      <c r="T81" s="235"/>
      <c r="U81" s="233"/>
      <c r="V81" s="236"/>
      <c r="W81" s="234"/>
      <c r="X81" s="235"/>
      <c r="Y81" s="237"/>
      <c r="Z81" s="238"/>
    </row>
    <row r="82" spans="1:26" s="239" customFormat="1" ht="28.5" customHeight="1" x14ac:dyDescent="0.3">
      <c r="A82" s="222">
        <f t="shared" si="10"/>
        <v>0</v>
      </c>
      <c r="B82" s="223" t="b">
        <f t="shared" si="11"/>
        <v>1</v>
      </c>
      <c r="C82" s="222">
        <f t="shared" si="12"/>
        <v>0</v>
      </c>
      <c r="D82" s="205" t="str">
        <f t="shared" si="13"/>
        <v>$$$$</v>
      </c>
      <c r="E82" s="224"/>
      <c r="F82" s="225"/>
      <c r="G82" s="226"/>
      <c r="H82" s="227"/>
      <c r="I82" s="228"/>
      <c r="J82" s="228"/>
      <c r="K82" s="229"/>
      <c r="L82" s="230"/>
      <c r="M82" s="231"/>
      <c r="N82" s="232"/>
      <c r="O82" s="230"/>
      <c r="P82" s="231"/>
      <c r="Q82" s="232"/>
      <c r="R82" s="233"/>
      <c r="S82" s="234"/>
      <c r="T82" s="235"/>
      <c r="U82" s="233"/>
      <c r="V82" s="236"/>
      <c r="W82" s="234"/>
      <c r="X82" s="235"/>
      <c r="Y82" s="237"/>
      <c r="Z82" s="238"/>
    </row>
    <row r="83" spans="1:26" s="239" customFormat="1" ht="28.5" customHeight="1" x14ac:dyDescent="0.3">
      <c r="A83" s="222">
        <f t="shared" si="10"/>
        <v>0</v>
      </c>
      <c r="B83" s="223" t="b">
        <f t="shared" si="11"/>
        <v>1</v>
      </c>
      <c r="C83" s="222">
        <f t="shared" si="12"/>
        <v>0</v>
      </c>
      <c r="D83" s="205" t="str">
        <f t="shared" si="13"/>
        <v>$$$$</v>
      </c>
      <c r="E83" s="224"/>
      <c r="F83" s="225"/>
      <c r="G83" s="226"/>
      <c r="H83" s="227"/>
      <c r="I83" s="228"/>
      <c r="J83" s="228"/>
      <c r="K83" s="229"/>
      <c r="L83" s="230"/>
      <c r="M83" s="231"/>
      <c r="N83" s="232"/>
      <c r="O83" s="230"/>
      <c r="P83" s="231"/>
      <c r="Q83" s="232"/>
      <c r="R83" s="233"/>
      <c r="S83" s="234"/>
      <c r="T83" s="235"/>
      <c r="U83" s="233"/>
      <c r="V83" s="236"/>
      <c r="W83" s="234"/>
      <c r="X83" s="235"/>
      <c r="Y83" s="237"/>
      <c r="Z83" s="238"/>
    </row>
    <row r="84" spans="1:26" s="239" customFormat="1" ht="28.5" customHeight="1" x14ac:dyDescent="0.3">
      <c r="A84" s="222">
        <f t="shared" si="10"/>
        <v>0</v>
      </c>
      <c r="B84" s="223" t="b">
        <f t="shared" si="11"/>
        <v>1</v>
      </c>
      <c r="C84" s="222">
        <f t="shared" si="12"/>
        <v>0</v>
      </c>
      <c r="D84" s="205" t="str">
        <f t="shared" si="13"/>
        <v>$$$$</v>
      </c>
      <c r="E84" s="224"/>
      <c r="F84" s="225"/>
      <c r="G84" s="226"/>
      <c r="H84" s="227"/>
      <c r="I84" s="228"/>
      <c r="J84" s="228"/>
      <c r="K84" s="229"/>
      <c r="L84" s="230"/>
      <c r="M84" s="231"/>
      <c r="N84" s="232"/>
      <c r="O84" s="230"/>
      <c r="P84" s="231"/>
      <c r="Q84" s="232"/>
      <c r="R84" s="233"/>
      <c r="S84" s="234"/>
      <c r="T84" s="235"/>
      <c r="U84" s="233"/>
      <c r="V84" s="236"/>
      <c r="W84" s="234"/>
      <c r="X84" s="235"/>
      <c r="Y84" s="237"/>
      <c r="Z84" s="238"/>
    </row>
    <row r="85" spans="1:26" s="239" customFormat="1" ht="28.5" customHeight="1" x14ac:dyDescent="0.3">
      <c r="A85" s="222">
        <f t="shared" si="10"/>
        <v>0</v>
      </c>
      <c r="B85" s="223" t="b">
        <f t="shared" si="11"/>
        <v>1</v>
      </c>
      <c r="C85" s="222">
        <f t="shared" si="12"/>
        <v>0</v>
      </c>
      <c r="D85" s="205" t="str">
        <f t="shared" si="13"/>
        <v>$$$$</v>
      </c>
      <c r="E85" s="224"/>
      <c r="F85" s="225"/>
      <c r="G85" s="226"/>
      <c r="H85" s="227"/>
      <c r="I85" s="228"/>
      <c r="J85" s="228"/>
      <c r="K85" s="229"/>
      <c r="L85" s="230"/>
      <c r="M85" s="231"/>
      <c r="N85" s="232"/>
      <c r="O85" s="230"/>
      <c r="P85" s="231"/>
      <c r="Q85" s="232"/>
      <c r="R85" s="233"/>
      <c r="S85" s="234"/>
      <c r="T85" s="235"/>
      <c r="U85" s="233"/>
      <c r="V85" s="236"/>
      <c r="W85" s="234"/>
      <c r="X85" s="235"/>
      <c r="Y85" s="237"/>
      <c r="Z85" s="238"/>
    </row>
    <row r="86" spans="1:26" s="239" customFormat="1" ht="28.5" customHeight="1" x14ac:dyDescent="0.3">
      <c r="A86" s="222">
        <f t="shared" si="10"/>
        <v>0</v>
      </c>
      <c r="B86" s="223" t="b">
        <f t="shared" si="11"/>
        <v>1</v>
      </c>
      <c r="C86" s="222">
        <f t="shared" si="12"/>
        <v>0</v>
      </c>
      <c r="D86" s="205" t="str">
        <f t="shared" si="13"/>
        <v>$$$$</v>
      </c>
      <c r="E86" s="224"/>
      <c r="F86" s="225"/>
      <c r="G86" s="226"/>
      <c r="H86" s="227"/>
      <c r="I86" s="228"/>
      <c r="J86" s="228"/>
      <c r="K86" s="229"/>
      <c r="L86" s="230"/>
      <c r="M86" s="231"/>
      <c r="N86" s="232"/>
      <c r="O86" s="230"/>
      <c r="P86" s="231"/>
      <c r="Q86" s="232"/>
      <c r="R86" s="233"/>
      <c r="S86" s="234"/>
      <c r="T86" s="235"/>
      <c r="U86" s="233"/>
      <c r="V86" s="236"/>
      <c r="W86" s="234"/>
      <c r="X86" s="235"/>
      <c r="Y86" s="237"/>
      <c r="Z86" s="238"/>
    </row>
    <row r="87" spans="1:26" s="239" customFormat="1" ht="28.5" customHeight="1" x14ac:dyDescent="0.3">
      <c r="A87" s="222">
        <f t="shared" si="10"/>
        <v>0</v>
      </c>
      <c r="B87" s="223" t="b">
        <f t="shared" si="11"/>
        <v>1</v>
      </c>
      <c r="C87" s="222">
        <f t="shared" si="12"/>
        <v>0</v>
      </c>
      <c r="D87" s="205" t="str">
        <f t="shared" si="13"/>
        <v>$$$$</v>
      </c>
      <c r="E87" s="224"/>
      <c r="F87" s="225"/>
      <c r="G87" s="226"/>
      <c r="H87" s="227"/>
      <c r="I87" s="228"/>
      <c r="J87" s="228"/>
      <c r="K87" s="229"/>
      <c r="L87" s="230"/>
      <c r="M87" s="231"/>
      <c r="N87" s="232"/>
      <c r="O87" s="230"/>
      <c r="P87" s="231"/>
      <c r="Q87" s="232"/>
      <c r="R87" s="233"/>
      <c r="S87" s="234"/>
      <c r="T87" s="235"/>
      <c r="U87" s="233"/>
      <c r="V87" s="236"/>
      <c r="W87" s="234"/>
      <c r="X87" s="235"/>
      <c r="Y87" s="237"/>
      <c r="Z87" s="238"/>
    </row>
    <row r="88" spans="1:26" s="239" customFormat="1" ht="28.5" customHeight="1" x14ac:dyDescent="0.3">
      <c r="A88" s="222">
        <f t="shared" si="10"/>
        <v>0</v>
      </c>
      <c r="B88" s="223" t="b">
        <f t="shared" si="11"/>
        <v>1</v>
      </c>
      <c r="C88" s="222">
        <f t="shared" si="12"/>
        <v>0</v>
      </c>
      <c r="D88" s="205" t="str">
        <f t="shared" si="13"/>
        <v>$$$$</v>
      </c>
      <c r="E88" s="224"/>
      <c r="F88" s="225"/>
      <c r="G88" s="226"/>
      <c r="H88" s="227"/>
      <c r="I88" s="228"/>
      <c r="J88" s="228"/>
      <c r="K88" s="229"/>
      <c r="L88" s="230"/>
      <c r="M88" s="231"/>
      <c r="N88" s="232"/>
      <c r="O88" s="230"/>
      <c r="P88" s="231"/>
      <c r="Q88" s="232"/>
      <c r="R88" s="233"/>
      <c r="S88" s="234"/>
      <c r="T88" s="235"/>
      <c r="U88" s="233"/>
      <c r="V88" s="236"/>
      <c r="W88" s="234"/>
      <c r="X88" s="235"/>
      <c r="Y88" s="237"/>
      <c r="Z88" s="238"/>
    </row>
    <row r="89" spans="1:26" s="239" customFormat="1" ht="28.5" customHeight="1" x14ac:dyDescent="0.3">
      <c r="A89" s="222">
        <f t="shared" si="10"/>
        <v>0</v>
      </c>
      <c r="B89" s="223" t="b">
        <f t="shared" si="11"/>
        <v>1</v>
      </c>
      <c r="C89" s="222">
        <f t="shared" si="12"/>
        <v>0</v>
      </c>
      <c r="D89" s="205" t="str">
        <f t="shared" si="13"/>
        <v>$$$$</v>
      </c>
      <c r="E89" s="224"/>
      <c r="F89" s="225"/>
      <c r="G89" s="226"/>
      <c r="H89" s="227"/>
      <c r="I89" s="228"/>
      <c r="J89" s="228"/>
      <c r="K89" s="229"/>
      <c r="L89" s="230"/>
      <c r="M89" s="231"/>
      <c r="N89" s="232"/>
      <c r="O89" s="230"/>
      <c r="P89" s="231"/>
      <c r="Q89" s="232"/>
      <c r="R89" s="233"/>
      <c r="S89" s="234"/>
      <c r="T89" s="235"/>
      <c r="U89" s="233"/>
      <c r="V89" s="236"/>
      <c r="W89" s="234"/>
      <c r="X89" s="235"/>
      <c r="Y89" s="237"/>
      <c r="Z89" s="238"/>
    </row>
    <row r="90" spans="1:26" s="239" customFormat="1" ht="28.5" customHeight="1" x14ac:dyDescent="0.3">
      <c r="A90" s="222">
        <f t="shared" si="10"/>
        <v>0</v>
      </c>
      <c r="B90" s="223" t="b">
        <f t="shared" si="11"/>
        <v>1</v>
      </c>
      <c r="C90" s="222">
        <f t="shared" si="12"/>
        <v>0</v>
      </c>
      <c r="D90" s="205" t="str">
        <f t="shared" si="13"/>
        <v>$$$$</v>
      </c>
      <c r="E90" s="224"/>
      <c r="F90" s="225"/>
      <c r="G90" s="226"/>
      <c r="H90" s="227"/>
      <c r="I90" s="228"/>
      <c r="J90" s="228"/>
      <c r="K90" s="229"/>
      <c r="L90" s="230"/>
      <c r="M90" s="231"/>
      <c r="N90" s="232"/>
      <c r="O90" s="230"/>
      <c r="P90" s="231"/>
      <c r="Q90" s="232"/>
      <c r="R90" s="233"/>
      <c r="S90" s="234"/>
      <c r="T90" s="235"/>
      <c r="U90" s="233"/>
      <c r="V90" s="236"/>
      <c r="W90" s="234"/>
      <c r="X90" s="235"/>
      <c r="Y90" s="237"/>
      <c r="Z90" s="238"/>
    </row>
    <row r="91" spans="1:26" s="239" customFormat="1" ht="28.5" customHeight="1" x14ac:dyDescent="0.3">
      <c r="A91" s="222">
        <f t="shared" si="10"/>
        <v>0</v>
      </c>
      <c r="B91" s="223" t="b">
        <f t="shared" si="11"/>
        <v>1</v>
      </c>
      <c r="C91" s="222">
        <f t="shared" si="12"/>
        <v>0</v>
      </c>
      <c r="D91" s="205" t="str">
        <f t="shared" si="13"/>
        <v>$$$$</v>
      </c>
      <c r="E91" s="224"/>
      <c r="F91" s="225"/>
      <c r="G91" s="226"/>
      <c r="H91" s="227"/>
      <c r="I91" s="228"/>
      <c r="J91" s="228"/>
      <c r="K91" s="229"/>
      <c r="L91" s="230"/>
      <c r="M91" s="231"/>
      <c r="N91" s="232"/>
      <c r="O91" s="230"/>
      <c r="P91" s="231"/>
      <c r="Q91" s="232"/>
      <c r="R91" s="233"/>
      <c r="S91" s="234"/>
      <c r="T91" s="235"/>
      <c r="U91" s="233"/>
      <c r="V91" s="236"/>
      <c r="W91" s="234"/>
      <c r="X91" s="235"/>
      <c r="Y91" s="237"/>
      <c r="Z91" s="238"/>
    </row>
    <row r="92" spans="1:26" s="239" customFormat="1" ht="28.5" customHeight="1" x14ac:dyDescent="0.3">
      <c r="A92" s="222">
        <f t="shared" si="10"/>
        <v>0</v>
      </c>
      <c r="B92" s="223" t="b">
        <f t="shared" si="11"/>
        <v>1</v>
      </c>
      <c r="C92" s="222">
        <f t="shared" si="12"/>
        <v>0</v>
      </c>
      <c r="D92" s="205" t="str">
        <f t="shared" si="13"/>
        <v>$$$$</v>
      </c>
      <c r="E92" s="224"/>
      <c r="F92" s="225"/>
      <c r="G92" s="226"/>
      <c r="H92" s="227"/>
      <c r="I92" s="228"/>
      <c r="J92" s="228"/>
      <c r="K92" s="229"/>
      <c r="L92" s="230"/>
      <c r="M92" s="231"/>
      <c r="N92" s="232"/>
      <c r="O92" s="230"/>
      <c r="P92" s="231"/>
      <c r="Q92" s="232"/>
      <c r="R92" s="233"/>
      <c r="S92" s="234"/>
      <c r="T92" s="235"/>
      <c r="U92" s="233"/>
      <c r="V92" s="236"/>
      <c r="W92" s="234"/>
      <c r="X92" s="235"/>
      <c r="Y92" s="237"/>
      <c r="Z92" s="238"/>
    </row>
    <row r="93" spans="1:26" s="239" customFormat="1" ht="28.5" customHeight="1" x14ac:dyDescent="0.3">
      <c r="A93" s="222">
        <f t="shared" si="10"/>
        <v>0</v>
      </c>
      <c r="B93" s="223" t="b">
        <f t="shared" si="11"/>
        <v>1</v>
      </c>
      <c r="C93" s="222">
        <f t="shared" si="12"/>
        <v>0</v>
      </c>
      <c r="D93" s="205" t="str">
        <f t="shared" si="13"/>
        <v>$$$$</v>
      </c>
      <c r="E93" s="224"/>
      <c r="F93" s="225"/>
      <c r="G93" s="226"/>
      <c r="H93" s="227"/>
      <c r="I93" s="228"/>
      <c r="J93" s="228"/>
      <c r="K93" s="229"/>
      <c r="L93" s="230"/>
      <c r="M93" s="231"/>
      <c r="N93" s="232"/>
      <c r="O93" s="230"/>
      <c r="P93" s="231"/>
      <c r="Q93" s="232"/>
      <c r="R93" s="233"/>
      <c r="S93" s="234"/>
      <c r="T93" s="235"/>
      <c r="U93" s="233"/>
      <c r="V93" s="236"/>
      <c r="W93" s="234"/>
      <c r="X93" s="235"/>
      <c r="Y93" s="237"/>
      <c r="Z93" s="238"/>
    </row>
    <row r="94" spans="1:26" s="239" customFormat="1" ht="28.5" customHeight="1" x14ac:dyDescent="0.3">
      <c r="A94" s="222">
        <f t="shared" si="10"/>
        <v>0</v>
      </c>
      <c r="B94" s="223" t="b">
        <f t="shared" si="11"/>
        <v>1</v>
      </c>
      <c r="C94" s="222">
        <f t="shared" si="12"/>
        <v>0</v>
      </c>
      <c r="D94" s="205" t="str">
        <f t="shared" si="13"/>
        <v>$$$$</v>
      </c>
      <c r="E94" s="224"/>
      <c r="F94" s="225"/>
      <c r="G94" s="226"/>
      <c r="H94" s="227"/>
      <c r="I94" s="228"/>
      <c r="J94" s="228"/>
      <c r="K94" s="229"/>
      <c r="L94" s="230"/>
      <c r="M94" s="231"/>
      <c r="N94" s="232"/>
      <c r="O94" s="230"/>
      <c r="P94" s="231"/>
      <c r="Q94" s="232"/>
      <c r="R94" s="233"/>
      <c r="S94" s="234"/>
      <c r="T94" s="235"/>
      <c r="U94" s="233"/>
      <c r="V94" s="236"/>
      <c r="W94" s="234"/>
      <c r="X94" s="235"/>
      <c r="Y94" s="237"/>
      <c r="Z94" s="238"/>
    </row>
    <row r="95" spans="1:26" s="239" customFormat="1" ht="28.5" customHeight="1" x14ac:dyDescent="0.3">
      <c r="A95" s="222">
        <f t="shared" si="10"/>
        <v>0</v>
      </c>
      <c r="B95" s="223" t="b">
        <f t="shared" si="11"/>
        <v>1</v>
      </c>
      <c r="C95" s="222">
        <f t="shared" si="12"/>
        <v>0</v>
      </c>
      <c r="D95" s="205" t="str">
        <f t="shared" si="13"/>
        <v>$$$$</v>
      </c>
      <c r="E95" s="224"/>
      <c r="F95" s="225"/>
      <c r="G95" s="226"/>
      <c r="H95" s="227"/>
      <c r="I95" s="228"/>
      <c r="J95" s="228"/>
      <c r="K95" s="229"/>
      <c r="L95" s="230"/>
      <c r="M95" s="231"/>
      <c r="N95" s="232"/>
      <c r="O95" s="230"/>
      <c r="P95" s="231"/>
      <c r="Q95" s="232"/>
      <c r="R95" s="233"/>
      <c r="S95" s="234"/>
      <c r="T95" s="235"/>
      <c r="U95" s="233"/>
      <c r="V95" s="236"/>
      <c r="W95" s="234"/>
      <c r="X95" s="235"/>
      <c r="Y95" s="237"/>
      <c r="Z95" s="238"/>
    </row>
    <row r="96" spans="1:26" s="239" customFormat="1" ht="28.5" customHeight="1" x14ac:dyDescent="0.3">
      <c r="A96" s="222">
        <f t="shared" si="10"/>
        <v>0</v>
      </c>
      <c r="B96" s="223" t="b">
        <f t="shared" si="11"/>
        <v>1</v>
      </c>
      <c r="C96" s="222">
        <f t="shared" si="12"/>
        <v>0</v>
      </c>
      <c r="D96" s="205" t="str">
        <f t="shared" si="13"/>
        <v>$$$$</v>
      </c>
      <c r="E96" s="224"/>
      <c r="F96" s="225"/>
      <c r="G96" s="226"/>
      <c r="H96" s="227"/>
      <c r="I96" s="228"/>
      <c r="J96" s="228"/>
      <c r="K96" s="229"/>
      <c r="L96" s="230"/>
      <c r="M96" s="231"/>
      <c r="N96" s="232"/>
      <c r="O96" s="230"/>
      <c r="P96" s="231"/>
      <c r="Q96" s="232"/>
      <c r="R96" s="233"/>
      <c r="S96" s="234"/>
      <c r="T96" s="235"/>
      <c r="U96" s="233"/>
      <c r="V96" s="236"/>
      <c r="W96" s="234"/>
      <c r="X96" s="235"/>
      <c r="Y96" s="237"/>
      <c r="Z96" s="238"/>
    </row>
    <row r="97" spans="1:26" s="239" customFormat="1" ht="28.5" customHeight="1" x14ac:dyDescent="0.3">
      <c r="A97" s="222">
        <f t="shared" si="10"/>
        <v>0</v>
      </c>
      <c r="B97" s="223" t="b">
        <f t="shared" si="11"/>
        <v>1</v>
      </c>
      <c r="C97" s="222">
        <f t="shared" si="12"/>
        <v>0</v>
      </c>
      <c r="D97" s="205" t="str">
        <f t="shared" si="13"/>
        <v>$$$$</v>
      </c>
      <c r="E97" s="224"/>
      <c r="F97" s="225"/>
      <c r="G97" s="226"/>
      <c r="H97" s="227"/>
      <c r="I97" s="228"/>
      <c r="J97" s="228"/>
      <c r="K97" s="229"/>
      <c r="L97" s="230"/>
      <c r="M97" s="231"/>
      <c r="N97" s="232"/>
      <c r="O97" s="230"/>
      <c r="P97" s="231"/>
      <c r="Q97" s="232"/>
      <c r="R97" s="233"/>
      <c r="S97" s="234"/>
      <c r="T97" s="235"/>
      <c r="U97" s="233"/>
      <c r="V97" s="236"/>
      <c r="W97" s="234"/>
      <c r="X97" s="235"/>
      <c r="Y97" s="237"/>
      <c r="Z97" s="238"/>
    </row>
    <row r="98" spans="1:26" s="239" customFormat="1" ht="28.5" customHeight="1" x14ac:dyDescent="0.3">
      <c r="A98" s="222">
        <f t="shared" si="10"/>
        <v>0</v>
      </c>
      <c r="B98" s="223" t="b">
        <f t="shared" si="11"/>
        <v>1</v>
      </c>
      <c r="C98" s="222">
        <f t="shared" si="12"/>
        <v>0</v>
      </c>
      <c r="D98" s="205" t="str">
        <f t="shared" si="13"/>
        <v>$$$$</v>
      </c>
      <c r="E98" s="224"/>
      <c r="F98" s="225"/>
      <c r="G98" s="226"/>
      <c r="H98" s="227"/>
      <c r="I98" s="228"/>
      <c r="J98" s="228"/>
      <c r="K98" s="229"/>
      <c r="L98" s="230"/>
      <c r="M98" s="231"/>
      <c r="N98" s="232"/>
      <c r="O98" s="230"/>
      <c r="P98" s="231"/>
      <c r="Q98" s="232"/>
      <c r="R98" s="233"/>
      <c r="S98" s="234"/>
      <c r="T98" s="235"/>
      <c r="U98" s="233"/>
      <c r="V98" s="236"/>
      <c r="W98" s="234"/>
      <c r="X98" s="235"/>
      <c r="Y98" s="237"/>
      <c r="Z98" s="238"/>
    </row>
    <row r="99" spans="1:26" s="239" customFormat="1" ht="28.5" customHeight="1" x14ac:dyDescent="0.3">
      <c r="A99" s="222">
        <f t="shared" si="10"/>
        <v>0</v>
      </c>
      <c r="B99" s="223" t="b">
        <f t="shared" si="11"/>
        <v>1</v>
      </c>
      <c r="C99" s="222">
        <f t="shared" si="12"/>
        <v>0</v>
      </c>
      <c r="D99" s="205" t="str">
        <f t="shared" si="13"/>
        <v>$$$$</v>
      </c>
      <c r="E99" s="224"/>
      <c r="F99" s="225"/>
      <c r="G99" s="226"/>
      <c r="H99" s="227"/>
      <c r="I99" s="228"/>
      <c r="J99" s="228"/>
      <c r="K99" s="229"/>
      <c r="L99" s="230"/>
      <c r="M99" s="231"/>
      <c r="N99" s="232"/>
      <c r="O99" s="230"/>
      <c r="P99" s="231"/>
      <c r="Q99" s="232"/>
      <c r="R99" s="233"/>
      <c r="S99" s="234"/>
      <c r="T99" s="235"/>
      <c r="U99" s="233"/>
      <c r="V99" s="236"/>
      <c r="W99" s="234"/>
      <c r="X99" s="235"/>
      <c r="Y99" s="237"/>
      <c r="Z99" s="238"/>
    </row>
    <row r="100" spans="1:26" s="239" customFormat="1" ht="28.5" customHeight="1" x14ac:dyDescent="0.3">
      <c r="A100" s="222">
        <f t="shared" si="10"/>
        <v>0</v>
      </c>
      <c r="B100" s="223" t="b">
        <f t="shared" si="11"/>
        <v>1</v>
      </c>
      <c r="C100" s="222">
        <f t="shared" si="12"/>
        <v>0</v>
      </c>
      <c r="D100" s="205" t="str">
        <f t="shared" si="13"/>
        <v>$$$$</v>
      </c>
      <c r="E100" s="224"/>
      <c r="F100" s="225"/>
      <c r="G100" s="226"/>
      <c r="H100" s="227"/>
      <c r="I100" s="228"/>
      <c r="J100" s="228"/>
      <c r="K100" s="229"/>
      <c r="L100" s="230"/>
      <c r="M100" s="231"/>
      <c r="N100" s="232"/>
      <c r="O100" s="230"/>
      <c r="P100" s="231"/>
      <c r="Q100" s="232"/>
      <c r="R100" s="233"/>
      <c r="S100" s="234"/>
      <c r="T100" s="235"/>
      <c r="U100" s="233"/>
      <c r="V100" s="236"/>
      <c r="W100" s="234"/>
      <c r="X100" s="235"/>
      <c r="Y100" s="237"/>
      <c r="Z100" s="238"/>
    </row>
    <row r="101" spans="1:26" s="239" customFormat="1" ht="28.5" customHeight="1" x14ac:dyDescent="0.3">
      <c r="A101" s="222">
        <f t="shared" si="10"/>
        <v>0</v>
      </c>
      <c r="B101" s="223" t="b">
        <f t="shared" si="11"/>
        <v>1</v>
      </c>
      <c r="C101" s="222">
        <f t="shared" si="12"/>
        <v>0</v>
      </c>
      <c r="D101" s="205" t="str">
        <f t="shared" si="13"/>
        <v>$$$$</v>
      </c>
      <c r="E101" s="224"/>
      <c r="F101" s="225"/>
      <c r="G101" s="226"/>
      <c r="H101" s="227"/>
      <c r="I101" s="228"/>
      <c r="J101" s="228"/>
      <c r="K101" s="229"/>
      <c r="L101" s="230"/>
      <c r="M101" s="231"/>
      <c r="N101" s="232"/>
      <c r="O101" s="230"/>
      <c r="P101" s="231"/>
      <c r="Q101" s="232"/>
      <c r="R101" s="233"/>
      <c r="S101" s="234"/>
      <c r="T101" s="235"/>
      <c r="U101" s="233"/>
      <c r="V101" s="236"/>
      <c r="W101" s="234"/>
      <c r="X101" s="235"/>
      <c r="Y101" s="237"/>
      <c r="Z101" s="238"/>
    </row>
    <row r="102" spans="1:26" s="239" customFormat="1" ht="28.5" customHeight="1" x14ac:dyDescent="0.3">
      <c r="A102" s="222">
        <f t="shared" si="10"/>
        <v>0</v>
      </c>
      <c r="B102" s="223" t="b">
        <f t="shared" si="11"/>
        <v>1</v>
      </c>
      <c r="C102" s="222">
        <f t="shared" si="12"/>
        <v>0</v>
      </c>
      <c r="D102" s="205" t="str">
        <f t="shared" si="13"/>
        <v>$$$$</v>
      </c>
      <c r="E102" s="224"/>
      <c r="F102" s="225"/>
      <c r="G102" s="226"/>
      <c r="H102" s="227"/>
      <c r="I102" s="228"/>
      <c r="J102" s="228"/>
      <c r="K102" s="229"/>
      <c r="L102" s="230"/>
      <c r="M102" s="231"/>
      <c r="N102" s="232"/>
      <c r="O102" s="230"/>
      <c r="P102" s="231"/>
      <c r="Q102" s="232"/>
      <c r="R102" s="233"/>
      <c r="S102" s="234"/>
      <c r="T102" s="235"/>
      <c r="U102" s="233"/>
      <c r="V102" s="236"/>
      <c r="W102" s="234"/>
      <c r="X102" s="235"/>
      <c r="Y102" s="237"/>
      <c r="Z102" s="238"/>
    </row>
    <row r="103" spans="1:26" s="239" customFormat="1" ht="28.5" customHeight="1" x14ac:dyDescent="0.3">
      <c r="A103" s="222">
        <f t="shared" ref="A103:A159" si="14">IF(B103,0,MATCH(H103,ВидыНагр,0))</f>
        <v>0</v>
      </c>
      <c r="B103" s="223" t="b">
        <f t="shared" ref="B103:B159" si="15">(COUNTIF(КлючВесна,D103)&lt;&gt;1)</f>
        <v>1</v>
      </c>
      <c r="C103" s="222">
        <f t="shared" ref="C103:C159" si="16">IF(COUNTA(E103:K103,Z103)&gt;0,1,0)+IF(COUNTA(L103:Y103)&gt;0,2,0)</f>
        <v>0</v>
      </c>
      <c r="D103" s="205" t="str">
        <f t="shared" si="13"/>
        <v>$$$$</v>
      </c>
      <c r="E103" s="224"/>
      <c r="F103" s="225"/>
      <c r="G103" s="226"/>
      <c r="H103" s="227"/>
      <c r="I103" s="228"/>
      <c r="J103" s="228"/>
      <c r="K103" s="229"/>
      <c r="L103" s="230"/>
      <c r="M103" s="231"/>
      <c r="N103" s="232"/>
      <c r="O103" s="230"/>
      <c r="P103" s="231"/>
      <c r="Q103" s="232"/>
      <c r="R103" s="233"/>
      <c r="S103" s="234"/>
      <c r="T103" s="235"/>
      <c r="U103" s="233"/>
      <c r="V103" s="236"/>
      <c r="W103" s="234"/>
      <c r="X103" s="235"/>
      <c r="Y103" s="237"/>
      <c r="Z103" s="238"/>
    </row>
    <row r="104" spans="1:26" s="239" customFormat="1" ht="28.5" customHeight="1" x14ac:dyDescent="0.3">
      <c r="A104" s="222">
        <f t="shared" si="14"/>
        <v>0</v>
      </c>
      <c r="B104" s="223" t="b">
        <f t="shared" si="15"/>
        <v>1</v>
      </c>
      <c r="C104" s="222">
        <f t="shared" si="16"/>
        <v>0</v>
      </c>
      <c r="D104" s="205" t="str">
        <f t="shared" si="13"/>
        <v>$$$$</v>
      </c>
      <c r="E104" s="224"/>
      <c r="F104" s="225"/>
      <c r="G104" s="226"/>
      <c r="H104" s="227"/>
      <c r="I104" s="228"/>
      <c r="J104" s="228"/>
      <c r="K104" s="229"/>
      <c r="L104" s="230"/>
      <c r="M104" s="231"/>
      <c r="N104" s="232"/>
      <c r="O104" s="230"/>
      <c r="P104" s="231"/>
      <c r="Q104" s="232"/>
      <c r="R104" s="233"/>
      <c r="S104" s="234"/>
      <c r="T104" s="235"/>
      <c r="U104" s="233"/>
      <c r="V104" s="236"/>
      <c r="W104" s="234"/>
      <c r="X104" s="235"/>
      <c r="Y104" s="237"/>
      <c r="Z104" s="238"/>
    </row>
    <row r="105" spans="1:26" s="239" customFormat="1" ht="28.5" customHeight="1" x14ac:dyDescent="0.3">
      <c r="A105" s="222">
        <f t="shared" si="14"/>
        <v>0</v>
      </c>
      <c r="B105" s="223" t="b">
        <f t="shared" si="15"/>
        <v>1</v>
      </c>
      <c r="C105" s="222">
        <f t="shared" si="16"/>
        <v>0</v>
      </c>
      <c r="D105" s="205" t="str">
        <f t="shared" si="13"/>
        <v>$$$$</v>
      </c>
      <c r="E105" s="224"/>
      <c r="F105" s="225"/>
      <c r="G105" s="226"/>
      <c r="H105" s="227"/>
      <c r="I105" s="228"/>
      <c r="J105" s="228"/>
      <c r="K105" s="229"/>
      <c r="L105" s="230"/>
      <c r="M105" s="231"/>
      <c r="N105" s="232"/>
      <c r="O105" s="230"/>
      <c r="P105" s="231"/>
      <c r="Q105" s="232"/>
      <c r="R105" s="233"/>
      <c r="S105" s="234"/>
      <c r="T105" s="235"/>
      <c r="U105" s="233"/>
      <c r="V105" s="236"/>
      <c r="W105" s="234"/>
      <c r="X105" s="235"/>
      <c r="Y105" s="237"/>
      <c r="Z105" s="238"/>
    </row>
    <row r="106" spans="1:26" s="239" customFormat="1" ht="28.5" customHeight="1" x14ac:dyDescent="0.3">
      <c r="A106" s="222">
        <f t="shared" si="14"/>
        <v>0</v>
      </c>
      <c r="B106" s="223" t="b">
        <f t="shared" si="15"/>
        <v>1</v>
      </c>
      <c r="C106" s="222">
        <f t="shared" si="16"/>
        <v>0</v>
      </c>
      <c r="D106" s="205" t="str">
        <f t="shared" si="13"/>
        <v>$$$$</v>
      </c>
      <c r="E106" s="224"/>
      <c r="F106" s="225"/>
      <c r="G106" s="226"/>
      <c r="H106" s="227"/>
      <c r="I106" s="228"/>
      <c r="J106" s="228"/>
      <c r="K106" s="229"/>
      <c r="L106" s="230"/>
      <c r="M106" s="231"/>
      <c r="N106" s="232"/>
      <c r="O106" s="230"/>
      <c r="P106" s="231"/>
      <c r="Q106" s="232"/>
      <c r="R106" s="233"/>
      <c r="S106" s="234"/>
      <c r="T106" s="235"/>
      <c r="U106" s="233"/>
      <c r="V106" s="236"/>
      <c r="W106" s="234"/>
      <c r="X106" s="235"/>
      <c r="Y106" s="237"/>
      <c r="Z106" s="238"/>
    </row>
    <row r="107" spans="1:26" s="239" customFormat="1" ht="28.5" customHeight="1" x14ac:dyDescent="0.3">
      <c r="A107" s="222">
        <f>IF(B107,0,MATCH(H107,ВидыНагр,0))</f>
        <v>0</v>
      </c>
      <c r="B107" s="223" t="b">
        <f>(COUNTIF(КлючВесна,D107)&lt;&gt;1)</f>
        <v>1</v>
      </c>
      <c r="C107" s="222">
        <f t="shared" si="16"/>
        <v>0</v>
      </c>
      <c r="D107" s="205" t="str">
        <f>CONCATENATE("$",TRIM(F107),"$",TRIM(G107),"$",H107,"$")</f>
        <v>$$$$</v>
      </c>
      <c r="E107" s="224"/>
      <c r="F107" s="225"/>
      <c r="G107" s="226"/>
      <c r="H107" s="227"/>
      <c r="I107" s="228"/>
      <c r="J107" s="228"/>
      <c r="K107" s="229"/>
      <c r="L107" s="230"/>
      <c r="M107" s="231"/>
      <c r="N107" s="232"/>
      <c r="O107" s="230"/>
      <c r="P107" s="231"/>
      <c r="Q107" s="232"/>
      <c r="R107" s="233"/>
      <c r="S107" s="234"/>
      <c r="T107" s="235"/>
      <c r="U107" s="233"/>
      <c r="V107" s="236"/>
      <c r="W107" s="234"/>
      <c r="X107" s="235"/>
      <c r="Y107" s="237"/>
      <c r="Z107" s="238"/>
    </row>
    <row r="108" spans="1:26" s="239" customFormat="1" ht="28.5" customHeight="1" x14ac:dyDescent="0.3">
      <c r="A108" s="222">
        <f>IF(B108,0,MATCH(H108,ВидыНагр,0))</f>
        <v>0</v>
      </c>
      <c r="B108" s="223" t="b">
        <f>(COUNTIF(КлючВесна,D108)&lt;&gt;1)</f>
        <v>1</v>
      </c>
      <c r="C108" s="222">
        <f t="shared" si="16"/>
        <v>0</v>
      </c>
      <c r="D108" s="205" t="str">
        <f>CONCATENATE("$",TRIM(F108),"$",TRIM(G108),"$",H108,"$")</f>
        <v>$$$$</v>
      </c>
      <c r="E108" s="224"/>
      <c r="F108" s="225"/>
      <c r="G108" s="226"/>
      <c r="H108" s="227"/>
      <c r="I108" s="228"/>
      <c r="J108" s="228"/>
      <c r="K108" s="229"/>
      <c r="L108" s="230"/>
      <c r="M108" s="231"/>
      <c r="N108" s="232"/>
      <c r="O108" s="230"/>
      <c r="P108" s="231"/>
      <c r="Q108" s="232"/>
      <c r="R108" s="233"/>
      <c r="S108" s="234"/>
      <c r="T108" s="235"/>
      <c r="U108" s="233"/>
      <c r="V108" s="236"/>
      <c r="W108" s="234"/>
      <c r="X108" s="235"/>
      <c r="Y108" s="237"/>
      <c r="Z108" s="238"/>
    </row>
    <row r="109" spans="1:26" s="239" customFormat="1" ht="28.5" customHeight="1" x14ac:dyDescent="0.3">
      <c r="A109" s="222">
        <f t="shared" si="14"/>
        <v>0</v>
      </c>
      <c r="B109" s="223" t="b">
        <f t="shared" si="15"/>
        <v>1</v>
      </c>
      <c r="C109" s="222">
        <f t="shared" si="16"/>
        <v>0</v>
      </c>
      <c r="D109" s="205" t="str">
        <f t="shared" si="13"/>
        <v>$$$$</v>
      </c>
      <c r="E109" s="224"/>
      <c r="F109" s="225"/>
      <c r="G109" s="226"/>
      <c r="H109" s="227"/>
      <c r="I109" s="228"/>
      <c r="J109" s="228"/>
      <c r="K109" s="229"/>
      <c r="L109" s="230"/>
      <c r="M109" s="231"/>
      <c r="N109" s="232"/>
      <c r="O109" s="230"/>
      <c r="P109" s="231"/>
      <c r="Q109" s="232"/>
      <c r="R109" s="233"/>
      <c r="S109" s="234"/>
      <c r="T109" s="235"/>
      <c r="U109" s="233"/>
      <c r="V109" s="236"/>
      <c r="W109" s="234"/>
      <c r="X109" s="235"/>
      <c r="Y109" s="237"/>
      <c r="Z109" s="238"/>
    </row>
    <row r="110" spans="1:26" s="239" customFormat="1" ht="28.5" customHeight="1" x14ac:dyDescent="0.3">
      <c r="A110" s="222">
        <f t="shared" si="14"/>
        <v>0</v>
      </c>
      <c r="B110" s="223" t="b">
        <f t="shared" si="15"/>
        <v>1</v>
      </c>
      <c r="C110" s="222">
        <f t="shared" si="16"/>
        <v>0</v>
      </c>
      <c r="D110" s="205" t="str">
        <f t="shared" si="13"/>
        <v>$$$$</v>
      </c>
      <c r="E110" s="224"/>
      <c r="F110" s="225"/>
      <c r="G110" s="226"/>
      <c r="H110" s="227"/>
      <c r="I110" s="228"/>
      <c r="J110" s="228"/>
      <c r="K110" s="229"/>
      <c r="L110" s="230"/>
      <c r="M110" s="231"/>
      <c r="N110" s="232"/>
      <c r="O110" s="230"/>
      <c r="P110" s="231"/>
      <c r="Q110" s="232"/>
      <c r="R110" s="233"/>
      <c r="S110" s="234"/>
      <c r="T110" s="235"/>
      <c r="U110" s="233"/>
      <c r="V110" s="236"/>
      <c r="W110" s="234"/>
      <c r="X110" s="235"/>
      <c r="Y110" s="237"/>
      <c r="Z110" s="238"/>
    </row>
    <row r="111" spans="1:26" s="239" customFormat="1" ht="28.5" customHeight="1" x14ac:dyDescent="0.3">
      <c r="A111" s="222">
        <f t="shared" si="14"/>
        <v>0</v>
      </c>
      <c r="B111" s="223" t="b">
        <f t="shared" si="15"/>
        <v>1</v>
      </c>
      <c r="C111" s="222">
        <f t="shared" si="16"/>
        <v>0</v>
      </c>
      <c r="D111" s="205" t="str">
        <f t="shared" si="13"/>
        <v>$$$$</v>
      </c>
      <c r="E111" s="224"/>
      <c r="F111" s="225"/>
      <c r="G111" s="226"/>
      <c r="H111" s="227"/>
      <c r="I111" s="228"/>
      <c r="J111" s="228"/>
      <c r="K111" s="229"/>
      <c r="L111" s="230"/>
      <c r="M111" s="231"/>
      <c r="N111" s="232"/>
      <c r="O111" s="230"/>
      <c r="P111" s="231"/>
      <c r="Q111" s="232"/>
      <c r="R111" s="233"/>
      <c r="S111" s="234"/>
      <c r="T111" s="235"/>
      <c r="U111" s="233"/>
      <c r="V111" s="236"/>
      <c r="W111" s="234"/>
      <c r="X111" s="235"/>
      <c r="Y111" s="237"/>
      <c r="Z111" s="238"/>
    </row>
    <row r="112" spans="1:26" s="239" customFormat="1" ht="28.5" customHeight="1" x14ac:dyDescent="0.3">
      <c r="A112" s="222">
        <f t="shared" si="14"/>
        <v>0</v>
      </c>
      <c r="B112" s="223" t="b">
        <f t="shared" si="15"/>
        <v>1</v>
      </c>
      <c r="C112" s="222">
        <f t="shared" si="16"/>
        <v>0</v>
      </c>
      <c r="D112" s="205" t="str">
        <f t="shared" si="13"/>
        <v>$$$$</v>
      </c>
      <c r="E112" s="224"/>
      <c r="F112" s="225"/>
      <c r="G112" s="226"/>
      <c r="H112" s="227"/>
      <c r="I112" s="228"/>
      <c r="J112" s="228"/>
      <c r="K112" s="229"/>
      <c r="L112" s="230"/>
      <c r="M112" s="231"/>
      <c r="N112" s="232"/>
      <c r="O112" s="230"/>
      <c r="P112" s="231"/>
      <c r="Q112" s="232"/>
      <c r="R112" s="233"/>
      <c r="S112" s="234"/>
      <c r="T112" s="235"/>
      <c r="U112" s="233"/>
      <c r="V112" s="236"/>
      <c r="W112" s="234"/>
      <c r="X112" s="235"/>
      <c r="Y112" s="237"/>
      <c r="Z112" s="238"/>
    </row>
    <row r="113" spans="1:26" s="239" customFormat="1" ht="28.5" customHeight="1" x14ac:dyDescent="0.3">
      <c r="A113" s="222">
        <f t="shared" si="14"/>
        <v>0</v>
      </c>
      <c r="B113" s="223" t="b">
        <f t="shared" si="15"/>
        <v>1</v>
      </c>
      <c r="C113" s="222">
        <f t="shared" si="16"/>
        <v>0</v>
      </c>
      <c r="D113" s="205" t="str">
        <f t="shared" si="13"/>
        <v>$$$$</v>
      </c>
      <c r="E113" s="224"/>
      <c r="F113" s="225"/>
      <c r="G113" s="226"/>
      <c r="H113" s="227"/>
      <c r="I113" s="228"/>
      <c r="J113" s="228"/>
      <c r="K113" s="229"/>
      <c r="L113" s="230"/>
      <c r="M113" s="231"/>
      <c r="N113" s="232"/>
      <c r="O113" s="230"/>
      <c r="P113" s="231"/>
      <c r="Q113" s="232"/>
      <c r="R113" s="233"/>
      <c r="S113" s="234"/>
      <c r="T113" s="235"/>
      <c r="U113" s="233"/>
      <c r="V113" s="236"/>
      <c r="W113" s="234"/>
      <c r="X113" s="235"/>
      <c r="Y113" s="237"/>
      <c r="Z113" s="238"/>
    </row>
    <row r="114" spans="1:26" s="239" customFormat="1" ht="28.5" customHeight="1" x14ac:dyDescent="0.3">
      <c r="A114" s="222">
        <f t="shared" si="14"/>
        <v>0</v>
      </c>
      <c r="B114" s="223" t="b">
        <f t="shared" si="15"/>
        <v>1</v>
      </c>
      <c r="C114" s="222">
        <f t="shared" si="16"/>
        <v>0</v>
      </c>
      <c r="D114" s="205" t="str">
        <f t="shared" si="13"/>
        <v>$$$$</v>
      </c>
      <c r="E114" s="224"/>
      <c r="F114" s="225"/>
      <c r="G114" s="226"/>
      <c r="H114" s="227"/>
      <c r="I114" s="228"/>
      <c r="J114" s="228"/>
      <c r="K114" s="229"/>
      <c r="L114" s="230"/>
      <c r="M114" s="231"/>
      <c r="N114" s="232"/>
      <c r="O114" s="230"/>
      <c r="P114" s="231"/>
      <c r="Q114" s="232"/>
      <c r="R114" s="233"/>
      <c r="S114" s="234"/>
      <c r="T114" s="235"/>
      <c r="U114" s="233"/>
      <c r="V114" s="236"/>
      <c r="W114" s="234"/>
      <c r="X114" s="235"/>
      <c r="Y114" s="237"/>
      <c r="Z114" s="238"/>
    </row>
    <row r="115" spans="1:26" s="239" customFormat="1" ht="28.5" customHeight="1" x14ac:dyDescent="0.3">
      <c r="A115" s="222">
        <f t="shared" si="14"/>
        <v>0</v>
      </c>
      <c r="B115" s="223" t="b">
        <f t="shared" si="15"/>
        <v>1</v>
      </c>
      <c r="C115" s="222">
        <f t="shared" si="16"/>
        <v>0</v>
      </c>
      <c r="D115" s="205" t="str">
        <f t="shared" si="13"/>
        <v>$$$$</v>
      </c>
      <c r="E115" s="224"/>
      <c r="F115" s="225"/>
      <c r="G115" s="226"/>
      <c r="H115" s="227"/>
      <c r="I115" s="228"/>
      <c r="J115" s="228"/>
      <c r="K115" s="229"/>
      <c r="L115" s="230"/>
      <c r="M115" s="231"/>
      <c r="N115" s="232"/>
      <c r="O115" s="230"/>
      <c r="P115" s="231"/>
      <c r="Q115" s="232"/>
      <c r="R115" s="233"/>
      <c r="S115" s="234"/>
      <c r="T115" s="235"/>
      <c r="U115" s="233"/>
      <c r="V115" s="236"/>
      <c r="W115" s="234"/>
      <c r="X115" s="235"/>
      <c r="Y115" s="237"/>
      <c r="Z115" s="238"/>
    </row>
    <row r="116" spans="1:26" s="239" customFormat="1" ht="28.5" customHeight="1" x14ac:dyDescent="0.3">
      <c r="A116" s="222">
        <f t="shared" si="14"/>
        <v>0</v>
      </c>
      <c r="B116" s="223" t="b">
        <f t="shared" si="15"/>
        <v>1</v>
      </c>
      <c r="C116" s="222">
        <f t="shared" si="16"/>
        <v>0</v>
      </c>
      <c r="D116" s="205" t="str">
        <f t="shared" si="13"/>
        <v>$$$$</v>
      </c>
      <c r="E116" s="224"/>
      <c r="F116" s="225"/>
      <c r="G116" s="226"/>
      <c r="H116" s="227"/>
      <c r="I116" s="228"/>
      <c r="J116" s="228"/>
      <c r="K116" s="229"/>
      <c r="L116" s="230"/>
      <c r="M116" s="231"/>
      <c r="N116" s="232"/>
      <c r="O116" s="230"/>
      <c r="P116" s="231"/>
      <c r="Q116" s="232"/>
      <c r="R116" s="233"/>
      <c r="S116" s="234"/>
      <c r="T116" s="235"/>
      <c r="U116" s="233"/>
      <c r="V116" s="236"/>
      <c r="W116" s="234"/>
      <c r="X116" s="235"/>
      <c r="Y116" s="237"/>
      <c r="Z116" s="238"/>
    </row>
    <row r="117" spans="1:26" s="239" customFormat="1" ht="28.5" customHeight="1" x14ac:dyDescent="0.3">
      <c r="A117" s="222">
        <f t="shared" si="14"/>
        <v>0</v>
      </c>
      <c r="B117" s="223" t="b">
        <f t="shared" si="15"/>
        <v>1</v>
      </c>
      <c r="C117" s="222">
        <f t="shared" si="16"/>
        <v>0</v>
      </c>
      <c r="D117" s="205" t="str">
        <f t="shared" si="13"/>
        <v>$$$$</v>
      </c>
      <c r="E117" s="224"/>
      <c r="F117" s="225"/>
      <c r="G117" s="226"/>
      <c r="H117" s="227"/>
      <c r="I117" s="228"/>
      <c r="J117" s="228"/>
      <c r="K117" s="229"/>
      <c r="L117" s="230"/>
      <c r="M117" s="231"/>
      <c r="N117" s="232"/>
      <c r="O117" s="230"/>
      <c r="P117" s="231"/>
      <c r="Q117" s="232"/>
      <c r="R117" s="233"/>
      <c r="S117" s="234"/>
      <c r="T117" s="235"/>
      <c r="U117" s="233"/>
      <c r="V117" s="236"/>
      <c r="W117" s="234"/>
      <c r="X117" s="235"/>
      <c r="Y117" s="237"/>
      <c r="Z117" s="238"/>
    </row>
    <row r="118" spans="1:26" s="239" customFormat="1" ht="28.5" customHeight="1" x14ac:dyDescent="0.3">
      <c r="A118" s="222">
        <f t="shared" si="14"/>
        <v>0</v>
      </c>
      <c r="B118" s="223" t="b">
        <f t="shared" si="15"/>
        <v>1</v>
      </c>
      <c r="C118" s="222">
        <f t="shared" si="16"/>
        <v>0</v>
      </c>
      <c r="D118" s="205" t="str">
        <f t="shared" si="13"/>
        <v>$$$$</v>
      </c>
      <c r="E118" s="224"/>
      <c r="F118" s="225"/>
      <c r="G118" s="226"/>
      <c r="H118" s="227"/>
      <c r="I118" s="228"/>
      <c r="J118" s="228"/>
      <c r="K118" s="229"/>
      <c r="L118" s="230"/>
      <c r="M118" s="231"/>
      <c r="N118" s="232"/>
      <c r="O118" s="230"/>
      <c r="P118" s="231"/>
      <c r="Q118" s="232"/>
      <c r="R118" s="233"/>
      <c r="S118" s="234"/>
      <c r="T118" s="235"/>
      <c r="U118" s="233"/>
      <c r="V118" s="236"/>
      <c r="W118" s="234"/>
      <c r="X118" s="235"/>
      <c r="Y118" s="237"/>
      <c r="Z118" s="238"/>
    </row>
    <row r="119" spans="1:26" s="239" customFormat="1" ht="28.5" customHeight="1" x14ac:dyDescent="0.3">
      <c r="A119" s="222">
        <f t="shared" si="14"/>
        <v>0</v>
      </c>
      <c r="B119" s="223" t="b">
        <f t="shared" si="15"/>
        <v>1</v>
      </c>
      <c r="C119" s="222">
        <f t="shared" si="16"/>
        <v>0</v>
      </c>
      <c r="D119" s="205" t="str">
        <f t="shared" si="13"/>
        <v>$$$$</v>
      </c>
      <c r="E119" s="224"/>
      <c r="F119" s="225"/>
      <c r="G119" s="226"/>
      <c r="H119" s="227"/>
      <c r="I119" s="228"/>
      <c r="J119" s="228"/>
      <c r="K119" s="229"/>
      <c r="L119" s="230"/>
      <c r="M119" s="231"/>
      <c r="N119" s="232"/>
      <c r="O119" s="230"/>
      <c r="P119" s="231"/>
      <c r="Q119" s="232"/>
      <c r="R119" s="233"/>
      <c r="S119" s="234"/>
      <c r="T119" s="235"/>
      <c r="U119" s="233"/>
      <c r="V119" s="236"/>
      <c r="W119" s="234"/>
      <c r="X119" s="235"/>
      <c r="Y119" s="237"/>
      <c r="Z119" s="238"/>
    </row>
    <row r="120" spans="1:26" s="239" customFormat="1" ht="28.5" customHeight="1" x14ac:dyDescent="0.3">
      <c r="A120" s="222">
        <f t="shared" si="14"/>
        <v>0</v>
      </c>
      <c r="B120" s="223" t="b">
        <f t="shared" si="15"/>
        <v>1</v>
      </c>
      <c r="C120" s="222">
        <f t="shared" si="16"/>
        <v>0</v>
      </c>
      <c r="D120" s="205" t="str">
        <f t="shared" ref="D120:D154" si="17">CONCATENATE("$",TRIM(F120),"$",TRIM(G120),"$",H120,"$")</f>
        <v>$$$$</v>
      </c>
      <c r="E120" s="224"/>
      <c r="F120" s="225"/>
      <c r="G120" s="226"/>
      <c r="H120" s="227"/>
      <c r="I120" s="228"/>
      <c r="J120" s="228"/>
      <c r="K120" s="229"/>
      <c r="L120" s="230"/>
      <c r="M120" s="231"/>
      <c r="N120" s="232"/>
      <c r="O120" s="230"/>
      <c r="P120" s="231"/>
      <c r="Q120" s="232"/>
      <c r="R120" s="233"/>
      <c r="S120" s="234"/>
      <c r="T120" s="235"/>
      <c r="U120" s="233"/>
      <c r="V120" s="236"/>
      <c r="W120" s="234"/>
      <c r="X120" s="235"/>
      <c r="Y120" s="237"/>
      <c r="Z120" s="238"/>
    </row>
    <row r="121" spans="1:26" s="239" customFormat="1" ht="28.5" customHeight="1" x14ac:dyDescent="0.3">
      <c r="A121" s="222">
        <f t="shared" si="14"/>
        <v>0</v>
      </c>
      <c r="B121" s="223" t="b">
        <f t="shared" si="15"/>
        <v>1</v>
      </c>
      <c r="C121" s="222">
        <f t="shared" si="16"/>
        <v>0</v>
      </c>
      <c r="D121" s="205" t="str">
        <f t="shared" si="17"/>
        <v>$$$$</v>
      </c>
      <c r="E121" s="224"/>
      <c r="F121" s="225"/>
      <c r="G121" s="226"/>
      <c r="H121" s="227"/>
      <c r="I121" s="228"/>
      <c r="J121" s="228"/>
      <c r="K121" s="229"/>
      <c r="L121" s="230"/>
      <c r="M121" s="231"/>
      <c r="N121" s="232"/>
      <c r="O121" s="230"/>
      <c r="P121" s="231"/>
      <c r="Q121" s="232"/>
      <c r="R121" s="233"/>
      <c r="S121" s="234"/>
      <c r="T121" s="235"/>
      <c r="U121" s="233"/>
      <c r="V121" s="236"/>
      <c r="W121" s="234"/>
      <c r="X121" s="235"/>
      <c r="Y121" s="237"/>
      <c r="Z121" s="238"/>
    </row>
    <row r="122" spans="1:26" s="239" customFormat="1" ht="28.5" customHeight="1" x14ac:dyDescent="0.3">
      <c r="A122" s="222">
        <f t="shared" si="14"/>
        <v>0</v>
      </c>
      <c r="B122" s="223" t="b">
        <f t="shared" si="15"/>
        <v>1</v>
      </c>
      <c r="C122" s="222">
        <f t="shared" si="16"/>
        <v>0</v>
      </c>
      <c r="D122" s="205" t="str">
        <f t="shared" si="17"/>
        <v>$$$$</v>
      </c>
      <c r="E122" s="224"/>
      <c r="F122" s="225"/>
      <c r="G122" s="226"/>
      <c r="H122" s="227"/>
      <c r="I122" s="228"/>
      <c r="J122" s="228"/>
      <c r="K122" s="229"/>
      <c r="L122" s="230"/>
      <c r="M122" s="231"/>
      <c r="N122" s="232"/>
      <c r="O122" s="230"/>
      <c r="P122" s="231"/>
      <c r="Q122" s="232"/>
      <c r="R122" s="233"/>
      <c r="S122" s="234"/>
      <c r="T122" s="235"/>
      <c r="U122" s="233"/>
      <c r="V122" s="236"/>
      <c r="W122" s="234"/>
      <c r="X122" s="235"/>
      <c r="Y122" s="237"/>
      <c r="Z122" s="238"/>
    </row>
    <row r="123" spans="1:26" s="239" customFormat="1" ht="28.5" customHeight="1" x14ac:dyDescent="0.3">
      <c r="A123" s="222">
        <f t="shared" si="14"/>
        <v>0</v>
      </c>
      <c r="B123" s="223" t="b">
        <f t="shared" si="15"/>
        <v>1</v>
      </c>
      <c r="C123" s="222">
        <f t="shared" si="16"/>
        <v>0</v>
      </c>
      <c r="D123" s="205" t="str">
        <f t="shared" si="17"/>
        <v>$$$$</v>
      </c>
      <c r="E123" s="224"/>
      <c r="F123" s="225"/>
      <c r="G123" s="226"/>
      <c r="H123" s="227"/>
      <c r="I123" s="228"/>
      <c r="J123" s="228"/>
      <c r="K123" s="229"/>
      <c r="L123" s="230"/>
      <c r="M123" s="231"/>
      <c r="N123" s="232"/>
      <c r="O123" s="230"/>
      <c r="P123" s="231"/>
      <c r="Q123" s="232"/>
      <c r="R123" s="233"/>
      <c r="S123" s="234"/>
      <c r="T123" s="235"/>
      <c r="U123" s="233"/>
      <c r="V123" s="236"/>
      <c r="W123" s="234"/>
      <c r="X123" s="235"/>
      <c r="Y123" s="237"/>
      <c r="Z123" s="238"/>
    </row>
    <row r="124" spans="1:26" s="239" customFormat="1" ht="28.5" customHeight="1" x14ac:dyDescent="0.3">
      <c r="A124" s="222">
        <f t="shared" si="14"/>
        <v>0</v>
      </c>
      <c r="B124" s="223" t="b">
        <f t="shared" si="15"/>
        <v>1</v>
      </c>
      <c r="C124" s="222">
        <f t="shared" si="16"/>
        <v>0</v>
      </c>
      <c r="D124" s="205" t="str">
        <f t="shared" si="17"/>
        <v>$$$$</v>
      </c>
      <c r="E124" s="224"/>
      <c r="F124" s="225"/>
      <c r="G124" s="226"/>
      <c r="H124" s="227"/>
      <c r="I124" s="228"/>
      <c r="J124" s="228"/>
      <c r="K124" s="229"/>
      <c r="L124" s="230"/>
      <c r="M124" s="231"/>
      <c r="N124" s="232"/>
      <c r="O124" s="230"/>
      <c r="P124" s="231"/>
      <c r="Q124" s="232"/>
      <c r="R124" s="233"/>
      <c r="S124" s="234"/>
      <c r="T124" s="235"/>
      <c r="U124" s="233"/>
      <c r="V124" s="236"/>
      <c r="W124" s="234"/>
      <c r="X124" s="235"/>
      <c r="Y124" s="237"/>
      <c r="Z124" s="238"/>
    </row>
    <row r="125" spans="1:26" s="239" customFormat="1" ht="28.5" customHeight="1" x14ac:dyDescent="0.3">
      <c r="A125" s="222">
        <f t="shared" si="14"/>
        <v>0</v>
      </c>
      <c r="B125" s="223" t="b">
        <f t="shared" si="15"/>
        <v>1</v>
      </c>
      <c r="C125" s="222">
        <f t="shared" si="16"/>
        <v>0</v>
      </c>
      <c r="D125" s="205" t="str">
        <f t="shared" si="17"/>
        <v>$$$$</v>
      </c>
      <c r="E125" s="224"/>
      <c r="F125" s="225"/>
      <c r="G125" s="226"/>
      <c r="H125" s="227"/>
      <c r="I125" s="228"/>
      <c r="J125" s="228"/>
      <c r="K125" s="229"/>
      <c r="L125" s="230"/>
      <c r="M125" s="231"/>
      <c r="N125" s="232"/>
      <c r="O125" s="230"/>
      <c r="P125" s="231"/>
      <c r="Q125" s="232"/>
      <c r="R125" s="233"/>
      <c r="S125" s="234"/>
      <c r="T125" s="235"/>
      <c r="U125" s="233"/>
      <c r="V125" s="236"/>
      <c r="W125" s="234"/>
      <c r="X125" s="235"/>
      <c r="Y125" s="237"/>
      <c r="Z125" s="238"/>
    </row>
    <row r="126" spans="1:26" s="239" customFormat="1" ht="28.5" customHeight="1" x14ac:dyDescent="0.3">
      <c r="A126" s="222">
        <f t="shared" si="14"/>
        <v>0</v>
      </c>
      <c r="B126" s="223" t="b">
        <f t="shared" si="15"/>
        <v>1</v>
      </c>
      <c r="C126" s="222">
        <f t="shared" si="16"/>
        <v>0</v>
      </c>
      <c r="D126" s="205" t="str">
        <f t="shared" si="17"/>
        <v>$$$$</v>
      </c>
      <c r="E126" s="224"/>
      <c r="F126" s="225"/>
      <c r="G126" s="226"/>
      <c r="H126" s="227"/>
      <c r="I126" s="228"/>
      <c r="J126" s="228"/>
      <c r="K126" s="229"/>
      <c r="L126" s="230"/>
      <c r="M126" s="231"/>
      <c r="N126" s="232"/>
      <c r="O126" s="230"/>
      <c r="P126" s="231"/>
      <c r="Q126" s="232"/>
      <c r="R126" s="233"/>
      <c r="S126" s="234"/>
      <c r="T126" s="235"/>
      <c r="U126" s="233"/>
      <c r="V126" s="236"/>
      <c r="W126" s="234"/>
      <c r="X126" s="235"/>
      <c r="Y126" s="237"/>
      <c r="Z126" s="238"/>
    </row>
    <row r="127" spans="1:26" s="239" customFormat="1" ht="28.5" customHeight="1" x14ac:dyDescent="0.3">
      <c r="A127" s="222">
        <f t="shared" si="14"/>
        <v>0</v>
      </c>
      <c r="B127" s="223" t="b">
        <f t="shared" si="15"/>
        <v>1</v>
      </c>
      <c r="C127" s="222">
        <f t="shared" si="16"/>
        <v>0</v>
      </c>
      <c r="D127" s="205" t="str">
        <f t="shared" si="17"/>
        <v>$$$$</v>
      </c>
      <c r="E127" s="224"/>
      <c r="F127" s="225"/>
      <c r="G127" s="226"/>
      <c r="H127" s="227"/>
      <c r="I127" s="228"/>
      <c r="J127" s="228"/>
      <c r="K127" s="229"/>
      <c r="L127" s="230"/>
      <c r="M127" s="231"/>
      <c r="N127" s="232"/>
      <c r="O127" s="230"/>
      <c r="P127" s="231"/>
      <c r="Q127" s="232"/>
      <c r="R127" s="233"/>
      <c r="S127" s="234"/>
      <c r="T127" s="235"/>
      <c r="U127" s="233"/>
      <c r="V127" s="236"/>
      <c r="W127" s="234"/>
      <c r="X127" s="235"/>
      <c r="Y127" s="237"/>
      <c r="Z127" s="238"/>
    </row>
    <row r="128" spans="1:26" s="239" customFormat="1" ht="28.5" customHeight="1" x14ac:dyDescent="0.3">
      <c r="A128" s="222">
        <f t="shared" si="14"/>
        <v>0</v>
      </c>
      <c r="B128" s="223" t="b">
        <f t="shared" si="15"/>
        <v>1</v>
      </c>
      <c r="C128" s="222">
        <f t="shared" si="16"/>
        <v>0</v>
      </c>
      <c r="D128" s="205" t="str">
        <f t="shared" si="17"/>
        <v>$$$$</v>
      </c>
      <c r="E128" s="224"/>
      <c r="F128" s="225"/>
      <c r="G128" s="226"/>
      <c r="H128" s="227"/>
      <c r="I128" s="228"/>
      <c r="J128" s="228"/>
      <c r="K128" s="229"/>
      <c r="L128" s="230"/>
      <c r="M128" s="231"/>
      <c r="N128" s="232"/>
      <c r="O128" s="230"/>
      <c r="P128" s="231"/>
      <c r="Q128" s="232"/>
      <c r="R128" s="233"/>
      <c r="S128" s="234"/>
      <c r="T128" s="235"/>
      <c r="U128" s="233"/>
      <c r="V128" s="236"/>
      <c r="W128" s="234"/>
      <c r="X128" s="235"/>
      <c r="Y128" s="237"/>
      <c r="Z128" s="238"/>
    </row>
    <row r="129" spans="1:26" s="239" customFormat="1" ht="28.5" customHeight="1" x14ac:dyDescent="0.3">
      <c r="A129" s="222">
        <f t="shared" si="14"/>
        <v>0</v>
      </c>
      <c r="B129" s="223" t="b">
        <f t="shared" si="15"/>
        <v>1</v>
      </c>
      <c r="C129" s="222">
        <f t="shared" si="16"/>
        <v>0</v>
      </c>
      <c r="D129" s="205" t="str">
        <f t="shared" si="17"/>
        <v>$$$$</v>
      </c>
      <c r="E129" s="224"/>
      <c r="F129" s="225"/>
      <c r="G129" s="226"/>
      <c r="H129" s="227"/>
      <c r="I129" s="228"/>
      <c r="J129" s="228"/>
      <c r="K129" s="229"/>
      <c r="L129" s="230"/>
      <c r="M129" s="231"/>
      <c r="N129" s="232"/>
      <c r="O129" s="230"/>
      <c r="P129" s="231"/>
      <c r="Q129" s="232"/>
      <c r="R129" s="233"/>
      <c r="S129" s="234"/>
      <c r="T129" s="235"/>
      <c r="U129" s="233"/>
      <c r="V129" s="236"/>
      <c r="W129" s="234"/>
      <c r="X129" s="235"/>
      <c r="Y129" s="237"/>
      <c r="Z129" s="238"/>
    </row>
    <row r="130" spans="1:26" s="239" customFormat="1" ht="28.5" customHeight="1" x14ac:dyDescent="0.3">
      <c r="A130" s="222">
        <f t="shared" si="14"/>
        <v>0</v>
      </c>
      <c r="B130" s="223" t="b">
        <f t="shared" si="15"/>
        <v>1</v>
      </c>
      <c r="C130" s="222">
        <f t="shared" si="16"/>
        <v>0</v>
      </c>
      <c r="D130" s="205" t="str">
        <f t="shared" si="17"/>
        <v>$$$$</v>
      </c>
      <c r="E130" s="224"/>
      <c r="F130" s="225"/>
      <c r="G130" s="226"/>
      <c r="H130" s="227"/>
      <c r="I130" s="228"/>
      <c r="J130" s="228"/>
      <c r="K130" s="229"/>
      <c r="L130" s="230"/>
      <c r="M130" s="231"/>
      <c r="N130" s="232"/>
      <c r="O130" s="230"/>
      <c r="P130" s="231"/>
      <c r="Q130" s="232"/>
      <c r="R130" s="233"/>
      <c r="S130" s="234"/>
      <c r="T130" s="235"/>
      <c r="U130" s="233"/>
      <c r="V130" s="236"/>
      <c r="W130" s="234"/>
      <c r="X130" s="235"/>
      <c r="Y130" s="237"/>
      <c r="Z130" s="238"/>
    </row>
    <row r="131" spans="1:26" s="239" customFormat="1" ht="28.5" customHeight="1" x14ac:dyDescent="0.3">
      <c r="A131" s="222">
        <f t="shared" si="14"/>
        <v>0</v>
      </c>
      <c r="B131" s="223" t="b">
        <f t="shared" si="15"/>
        <v>1</v>
      </c>
      <c r="C131" s="222">
        <f t="shared" si="16"/>
        <v>0</v>
      </c>
      <c r="D131" s="205" t="str">
        <f t="shared" si="17"/>
        <v>$$$$</v>
      </c>
      <c r="E131" s="224"/>
      <c r="F131" s="225"/>
      <c r="G131" s="226"/>
      <c r="H131" s="227"/>
      <c r="I131" s="228"/>
      <c r="J131" s="228"/>
      <c r="K131" s="229"/>
      <c r="L131" s="230"/>
      <c r="M131" s="231"/>
      <c r="N131" s="232"/>
      <c r="O131" s="230"/>
      <c r="P131" s="231"/>
      <c r="Q131" s="232"/>
      <c r="R131" s="233"/>
      <c r="S131" s="234"/>
      <c r="T131" s="235"/>
      <c r="U131" s="233"/>
      <c r="V131" s="236"/>
      <c r="W131" s="234"/>
      <c r="X131" s="235"/>
      <c r="Y131" s="237"/>
      <c r="Z131" s="238"/>
    </row>
    <row r="132" spans="1:26" s="239" customFormat="1" ht="28.5" customHeight="1" x14ac:dyDescent="0.3">
      <c r="A132" s="222">
        <f t="shared" si="14"/>
        <v>0</v>
      </c>
      <c r="B132" s="223" t="b">
        <f t="shared" si="15"/>
        <v>1</v>
      </c>
      <c r="C132" s="222">
        <f t="shared" si="16"/>
        <v>0</v>
      </c>
      <c r="D132" s="205" t="str">
        <f t="shared" si="17"/>
        <v>$$$$</v>
      </c>
      <c r="E132" s="224"/>
      <c r="F132" s="225"/>
      <c r="G132" s="226"/>
      <c r="H132" s="227"/>
      <c r="I132" s="228"/>
      <c r="J132" s="228"/>
      <c r="K132" s="229"/>
      <c r="L132" s="230"/>
      <c r="M132" s="231"/>
      <c r="N132" s="232"/>
      <c r="O132" s="230"/>
      <c r="P132" s="231"/>
      <c r="Q132" s="232"/>
      <c r="R132" s="233"/>
      <c r="S132" s="234"/>
      <c r="T132" s="235"/>
      <c r="U132" s="233"/>
      <c r="V132" s="236"/>
      <c r="W132" s="234"/>
      <c r="X132" s="235"/>
      <c r="Y132" s="237"/>
      <c r="Z132" s="238"/>
    </row>
    <row r="133" spans="1:26" s="239" customFormat="1" ht="28.5" customHeight="1" x14ac:dyDescent="0.3">
      <c r="A133" s="222">
        <f t="shared" si="14"/>
        <v>0</v>
      </c>
      <c r="B133" s="223" t="b">
        <f t="shared" si="15"/>
        <v>1</v>
      </c>
      <c r="C133" s="222">
        <f t="shared" si="16"/>
        <v>0</v>
      </c>
      <c r="D133" s="205" t="str">
        <f t="shared" si="17"/>
        <v>$$$$</v>
      </c>
      <c r="E133" s="224"/>
      <c r="F133" s="225"/>
      <c r="G133" s="226"/>
      <c r="H133" s="227"/>
      <c r="I133" s="228"/>
      <c r="J133" s="228"/>
      <c r="K133" s="229"/>
      <c r="L133" s="230"/>
      <c r="M133" s="231"/>
      <c r="N133" s="232"/>
      <c r="O133" s="230"/>
      <c r="P133" s="231"/>
      <c r="Q133" s="232"/>
      <c r="R133" s="233"/>
      <c r="S133" s="234"/>
      <c r="T133" s="235"/>
      <c r="U133" s="233"/>
      <c r="V133" s="236"/>
      <c r="W133" s="234"/>
      <c r="X133" s="235"/>
      <c r="Y133" s="237"/>
      <c r="Z133" s="238"/>
    </row>
    <row r="134" spans="1:26" s="239" customFormat="1" ht="28.5" customHeight="1" x14ac:dyDescent="0.3">
      <c r="A134" s="222">
        <f t="shared" si="14"/>
        <v>0</v>
      </c>
      <c r="B134" s="223" t="b">
        <f t="shared" si="15"/>
        <v>1</v>
      </c>
      <c r="C134" s="222">
        <f t="shared" si="16"/>
        <v>0</v>
      </c>
      <c r="D134" s="205" t="str">
        <f t="shared" si="17"/>
        <v>$$$$</v>
      </c>
      <c r="E134" s="224"/>
      <c r="F134" s="225"/>
      <c r="G134" s="226"/>
      <c r="H134" s="227"/>
      <c r="I134" s="228"/>
      <c r="J134" s="228"/>
      <c r="K134" s="229"/>
      <c r="L134" s="230"/>
      <c r="M134" s="231"/>
      <c r="N134" s="232"/>
      <c r="O134" s="230"/>
      <c r="P134" s="231"/>
      <c r="Q134" s="232"/>
      <c r="R134" s="233"/>
      <c r="S134" s="234"/>
      <c r="T134" s="235"/>
      <c r="U134" s="233"/>
      <c r="V134" s="236"/>
      <c r="W134" s="234"/>
      <c r="X134" s="235"/>
      <c r="Y134" s="237"/>
      <c r="Z134" s="238"/>
    </row>
    <row r="135" spans="1:26" s="239" customFormat="1" ht="28.5" customHeight="1" x14ac:dyDescent="0.3">
      <c r="A135" s="222">
        <f t="shared" si="14"/>
        <v>0</v>
      </c>
      <c r="B135" s="223" t="b">
        <f t="shared" si="15"/>
        <v>1</v>
      </c>
      <c r="C135" s="222">
        <f t="shared" si="16"/>
        <v>0</v>
      </c>
      <c r="D135" s="205" t="str">
        <f t="shared" si="17"/>
        <v>$$$$</v>
      </c>
      <c r="E135" s="224"/>
      <c r="F135" s="225"/>
      <c r="G135" s="226"/>
      <c r="H135" s="227"/>
      <c r="I135" s="228"/>
      <c r="J135" s="228"/>
      <c r="K135" s="229"/>
      <c r="L135" s="230"/>
      <c r="M135" s="231"/>
      <c r="N135" s="232"/>
      <c r="O135" s="230"/>
      <c r="P135" s="231"/>
      <c r="Q135" s="232"/>
      <c r="R135" s="233"/>
      <c r="S135" s="234"/>
      <c r="T135" s="235"/>
      <c r="U135" s="233"/>
      <c r="V135" s="236"/>
      <c r="W135" s="234"/>
      <c r="X135" s="235"/>
      <c r="Y135" s="237"/>
      <c r="Z135" s="238"/>
    </row>
    <row r="136" spans="1:26" s="239" customFormat="1" ht="28.5" customHeight="1" x14ac:dyDescent="0.3">
      <c r="A136" s="222">
        <f t="shared" si="14"/>
        <v>0</v>
      </c>
      <c r="B136" s="223" t="b">
        <f t="shared" si="15"/>
        <v>1</v>
      </c>
      <c r="C136" s="222">
        <f t="shared" si="16"/>
        <v>0</v>
      </c>
      <c r="D136" s="205" t="str">
        <f t="shared" si="17"/>
        <v>$$$$</v>
      </c>
      <c r="E136" s="224"/>
      <c r="F136" s="225"/>
      <c r="G136" s="226"/>
      <c r="H136" s="227"/>
      <c r="I136" s="228"/>
      <c r="J136" s="228"/>
      <c r="K136" s="229"/>
      <c r="L136" s="230"/>
      <c r="M136" s="231"/>
      <c r="N136" s="232"/>
      <c r="O136" s="230"/>
      <c r="P136" s="231"/>
      <c r="Q136" s="232"/>
      <c r="R136" s="233"/>
      <c r="S136" s="234"/>
      <c r="T136" s="235"/>
      <c r="U136" s="233"/>
      <c r="V136" s="236"/>
      <c r="W136" s="234"/>
      <c r="X136" s="235"/>
      <c r="Y136" s="237"/>
      <c r="Z136" s="238"/>
    </row>
    <row r="137" spans="1:26" s="239" customFormat="1" ht="28.5" customHeight="1" x14ac:dyDescent="0.3">
      <c r="A137" s="222">
        <f t="shared" si="14"/>
        <v>0</v>
      </c>
      <c r="B137" s="223" t="b">
        <f t="shared" si="15"/>
        <v>1</v>
      </c>
      <c r="C137" s="222">
        <f t="shared" si="16"/>
        <v>0</v>
      </c>
      <c r="D137" s="205" t="str">
        <f t="shared" si="17"/>
        <v>$$$$</v>
      </c>
      <c r="E137" s="224"/>
      <c r="F137" s="225"/>
      <c r="G137" s="226"/>
      <c r="H137" s="227"/>
      <c r="I137" s="228"/>
      <c r="J137" s="228"/>
      <c r="K137" s="229"/>
      <c r="L137" s="230"/>
      <c r="M137" s="231"/>
      <c r="N137" s="232"/>
      <c r="O137" s="230"/>
      <c r="P137" s="231"/>
      <c r="Q137" s="232"/>
      <c r="R137" s="233"/>
      <c r="S137" s="234"/>
      <c r="T137" s="235"/>
      <c r="U137" s="233"/>
      <c r="V137" s="236"/>
      <c r="W137" s="234"/>
      <c r="X137" s="235"/>
      <c r="Y137" s="237"/>
      <c r="Z137" s="238"/>
    </row>
    <row r="138" spans="1:26" s="239" customFormat="1" ht="28.5" customHeight="1" x14ac:dyDescent="0.3">
      <c r="A138" s="222">
        <f t="shared" si="14"/>
        <v>0</v>
      </c>
      <c r="B138" s="223" t="b">
        <f t="shared" si="15"/>
        <v>1</v>
      </c>
      <c r="C138" s="222">
        <f t="shared" si="16"/>
        <v>0</v>
      </c>
      <c r="D138" s="205" t="str">
        <f t="shared" si="17"/>
        <v>$$$$</v>
      </c>
      <c r="E138" s="224"/>
      <c r="F138" s="225"/>
      <c r="G138" s="226"/>
      <c r="H138" s="227"/>
      <c r="I138" s="228"/>
      <c r="J138" s="228"/>
      <c r="K138" s="229"/>
      <c r="L138" s="230"/>
      <c r="M138" s="231"/>
      <c r="N138" s="232"/>
      <c r="O138" s="230"/>
      <c r="P138" s="231"/>
      <c r="Q138" s="232"/>
      <c r="R138" s="233"/>
      <c r="S138" s="234"/>
      <c r="T138" s="235"/>
      <c r="U138" s="233"/>
      <c r="V138" s="236"/>
      <c r="W138" s="234"/>
      <c r="X138" s="235"/>
      <c r="Y138" s="237"/>
      <c r="Z138" s="238"/>
    </row>
    <row r="139" spans="1:26" s="239" customFormat="1" ht="28.5" customHeight="1" x14ac:dyDescent="0.3">
      <c r="A139" s="222">
        <f t="shared" si="14"/>
        <v>0</v>
      </c>
      <c r="B139" s="223" t="b">
        <f t="shared" si="15"/>
        <v>1</v>
      </c>
      <c r="C139" s="222">
        <f t="shared" si="16"/>
        <v>0</v>
      </c>
      <c r="D139" s="205" t="str">
        <f t="shared" si="17"/>
        <v>$$$$</v>
      </c>
      <c r="E139" s="224"/>
      <c r="F139" s="225"/>
      <c r="G139" s="226"/>
      <c r="H139" s="227"/>
      <c r="I139" s="228"/>
      <c r="J139" s="228"/>
      <c r="K139" s="229"/>
      <c r="L139" s="230"/>
      <c r="M139" s="231"/>
      <c r="N139" s="232"/>
      <c r="O139" s="230"/>
      <c r="P139" s="231"/>
      <c r="Q139" s="232"/>
      <c r="R139" s="233"/>
      <c r="S139" s="234"/>
      <c r="T139" s="235"/>
      <c r="U139" s="233"/>
      <c r="V139" s="236"/>
      <c r="W139" s="234"/>
      <c r="X139" s="235"/>
      <c r="Y139" s="237"/>
      <c r="Z139" s="238"/>
    </row>
    <row r="140" spans="1:26" s="239" customFormat="1" ht="28.5" customHeight="1" x14ac:dyDescent="0.3">
      <c r="A140" s="222">
        <f t="shared" si="14"/>
        <v>0</v>
      </c>
      <c r="B140" s="223" t="b">
        <f t="shared" si="15"/>
        <v>1</v>
      </c>
      <c r="C140" s="222">
        <f t="shared" si="16"/>
        <v>0</v>
      </c>
      <c r="D140" s="205" t="str">
        <f t="shared" si="17"/>
        <v>$$$$</v>
      </c>
      <c r="E140" s="224"/>
      <c r="F140" s="225"/>
      <c r="G140" s="226"/>
      <c r="H140" s="227"/>
      <c r="I140" s="228"/>
      <c r="J140" s="228"/>
      <c r="K140" s="229"/>
      <c r="L140" s="230"/>
      <c r="M140" s="231"/>
      <c r="N140" s="232"/>
      <c r="O140" s="230"/>
      <c r="P140" s="231"/>
      <c r="Q140" s="232"/>
      <c r="R140" s="233"/>
      <c r="S140" s="234"/>
      <c r="T140" s="235"/>
      <c r="U140" s="233"/>
      <c r="V140" s="236"/>
      <c r="W140" s="234"/>
      <c r="X140" s="235"/>
      <c r="Y140" s="237"/>
      <c r="Z140" s="238"/>
    </row>
    <row r="141" spans="1:26" s="239" customFormat="1" ht="28.5" customHeight="1" x14ac:dyDescent="0.3">
      <c r="A141" s="222">
        <f t="shared" si="14"/>
        <v>0</v>
      </c>
      <c r="B141" s="223" t="b">
        <f t="shared" si="15"/>
        <v>1</v>
      </c>
      <c r="C141" s="222">
        <f t="shared" si="16"/>
        <v>0</v>
      </c>
      <c r="D141" s="205" t="str">
        <f t="shared" si="17"/>
        <v>$$$$</v>
      </c>
      <c r="E141" s="224"/>
      <c r="F141" s="225"/>
      <c r="G141" s="226"/>
      <c r="H141" s="227"/>
      <c r="I141" s="228"/>
      <c r="J141" s="228"/>
      <c r="K141" s="229"/>
      <c r="L141" s="230"/>
      <c r="M141" s="231"/>
      <c r="N141" s="232"/>
      <c r="O141" s="230"/>
      <c r="P141" s="231"/>
      <c r="Q141" s="232"/>
      <c r="R141" s="233"/>
      <c r="S141" s="234"/>
      <c r="T141" s="235"/>
      <c r="U141" s="233"/>
      <c r="V141" s="236"/>
      <c r="W141" s="234"/>
      <c r="X141" s="235"/>
      <c r="Y141" s="237"/>
      <c r="Z141" s="238"/>
    </row>
    <row r="142" spans="1:26" s="239" customFormat="1" ht="28.5" customHeight="1" x14ac:dyDescent="0.3">
      <c r="A142" s="222">
        <f t="shared" si="14"/>
        <v>0</v>
      </c>
      <c r="B142" s="223" t="b">
        <f t="shared" si="15"/>
        <v>1</v>
      </c>
      <c r="C142" s="222">
        <f t="shared" si="16"/>
        <v>0</v>
      </c>
      <c r="D142" s="205" t="str">
        <f t="shared" si="17"/>
        <v>$$$$</v>
      </c>
      <c r="E142" s="224"/>
      <c r="F142" s="225"/>
      <c r="G142" s="226"/>
      <c r="H142" s="227"/>
      <c r="I142" s="228"/>
      <c r="J142" s="228"/>
      <c r="K142" s="229"/>
      <c r="L142" s="230"/>
      <c r="M142" s="231"/>
      <c r="N142" s="232"/>
      <c r="O142" s="230"/>
      <c r="P142" s="231"/>
      <c r="Q142" s="232"/>
      <c r="R142" s="233"/>
      <c r="S142" s="234"/>
      <c r="T142" s="235"/>
      <c r="U142" s="233"/>
      <c r="V142" s="236"/>
      <c r="W142" s="234"/>
      <c r="X142" s="235"/>
      <c r="Y142" s="237"/>
      <c r="Z142" s="238"/>
    </row>
    <row r="143" spans="1:26" s="239" customFormat="1" ht="28.5" customHeight="1" x14ac:dyDescent="0.3">
      <c r="A143" s="222">
        <f t="shared" si="14"/>
        <v>0</v>
      </c>
      <c r="B143" s="223" t="b">
        <f t="shared" si="15"/>
        <v>1</v>
      </c>
      <c r="C143" s="222">
        <f t="shared" si="16"/>
        <v>0</v>
      </c>
      <c r="D143" s="205" t="str">
        <f t="shared" si="17"/>
        <v>$$$$</v>
      </c>
      <c r="E143" s="224"/>
      <c r="F143" s="225"/>
      <c r="G143" s="226"/>
      <c r="H143" s="227"/>
      <c r="I143" s="228"/>
      <c r="J143" s="228"/>
      <c r="K143" s="229"/>
      <c r="L143" s="230"/>
      <c r="M143" s="231"/>
      <c r="N143" s="232"/>
      <c r="O143" s="230"/>
      <c r="P143" s="231"/>
      <c r="Q143" s="232"/>
      <c r="R143" s="233"/>
      <c r="S143" s="234"/>
      <c r="T143" s="235"/>
      <c r="U143" s="233"/>
      <c r="V143" s="236"/>
      <c r="W143" s="234"/>
      <c r="X143" s="235"/>
      <c r="Y143" s="237"/>
      <c r="Z143" s="238"/>
    </row>
    <row r="144" spans="1:26" s="239" customFormat="1" ht="28.5" customHeight="1" x14ac:dyDescent="0.3">
      <c r="A144" s="222">
        <f t="shared" si="14"/>
        <v>0</v>
      </c>
      <c r="B144" s="223" t="b">
        <f t="shared" si="15"/>
        <v>1</v>
      </c>
      <c r="C144" s="222">
        <f t="shared" si="16"/>
        <v>0</v>
      </c>
      <c r="D144" s="205" t="str">
        <f t="shared" si="17"/>
        <v>$$$$</v>
      </c>
      <c r="E144" s="224"/>
      <c r="F144" s="225"/>
      <c r="G144" s="226"/>
      <c r="H144" s="227"/>
      <c r="I144" s="228"/>
      <c r="J144" s="228"/>
      <c r="K144" s="229"/>
      <c r="L144" s="230"/>
      <c r="M144" s="231"/>
      <c r="N144" s="232"/>
      <c r="O144" s="230"/>
      <c r="P144" s="231"/>
      <c r="Q144" s="232"/>
      <c r="R144" s="233"/>
      <c r="S144" s="234"/>
      <c r="T144" s="235"/>
      <c r="U144" s="233"/>
      <c r="V144" s="236"/>
      <c r="W144" s="234"/>
      <c r="X144" s="235"/>
      <c r="Y144" s="237"/>
      <c r="Z144" s="238"/>
    </row>
    <row r="145" spans="1:26" s="239" customFormat="1" ht="28.5" customHeight="1" x14ac:dyDescent="0.3">
      <c r="A145" s="222">
        <f t="shared" si="14"/>
        <v>0</v>
      </c>
      <c r="B145" s="223" t="b">
        <f t="shared" si="15"/>
        <v>1</v>
      </c>
      <c r="C145" s="222">
        <f t="shared" si="16"/>
        <v>0</v>
      </c>
      <c r="D145" s="205" t="str">
        <f t="shared" si="17"/>
        <v>$$$$</v>
      </c>
      <c r="E145" s="224"/>
      <c r="F145" s="225"/>
      <c r="G145" s="226"/>
      <c r="H145" s="227"/>
      <c r="I145" s="228"/>
      <c r="J145" s="228"/>
      <c r="K145" s="229"/>
      <c r="L145" s="230"/>
      <c r="M145" s="231"/>
      <c r="N145" s="232"/>
      <c r="O145" s="230"/>
      <c r="P145" s="231"/>
      <c r="Q145" s="232"/>
      <c r="R145" s="233"/>
      <c r="S145" s="234"/>
      <c r="T145" s="235"/>
      <c r="U145" s="233"/>
      <c r="V145" s="236"/>
      <c r="W145" s="234"/>
      <c r="X145" s="235"/>
      <c r="Y145" s="237"/>
      <c r="Z145" s="238"/>
    </row>
    <row r="146" spans="1:26" s="239" customFormat="1" ht="28.5" customHeight="1" x14ac:dyDescent="0.3">
      <c r="A146" s="222">
        <f t="shared" si="14"/>
        <v>0</v>
      </c>
      <c r="B146" s="223" t="b">
        <f t="shared" si="15"/>
        <v>1</v>
      </c>
      <c r="C146" s="222">
        <f t="shared" si="16"/>
        <v>0</v>
      </c>
      <c r="D146" s="205" t="str">
        <f t="shared" si="17"/>
        <v>$$$$</v>
      </c>
      <c r="E146" s="224"/>
      <c r="F146" s="225"/>
      <c r="G146" s="226"/>
      <c r="H146" s="227"/>
      <c r="I146" s="228"/>
      <c r="J146" s="228"/>
      <c r="K146" s="229"/>
      <c r="L146" s="230"/>
      <c r="M146" s="231"/>
      <c r="N146" s="232"/>
      <c r="O146" s="230"/>
      <c r="P146" s="231"/>
      <c r="Q146" s="232"/>
      <c r="R146" s="233"/>
      <c r="S146" s="234"/>
      <c r="T146" s="235"/>
      <c r="U146" s="233"/>
      <c r="V146" s="236"/>
      <c r="W146" s="234"/>
      <c r="X146" s="235"/>
      <c r="Y146" s="237"/>
      <c r="Z146" s="238"/>
    </row>
    <row r="147" spans="1:26" s="239" customFormat="1" ht="28.5" customHeight="1" x14ac:dyDescent="0.3">
      <c r="A147" s="222">
        <f t="shared" si="14"/>
        <v>0</v>
      </c>
      <c r="B147" s="223" t="b">
        <f t="shared" si="15"/>
        <v>1</v>
      </c>
      <c r="C147" s="222">
        <f t="shared" si="16"/>
        <v>0</v>
      </c>
      <c r="D147" s="205" t="str">
        <f t="shared" si="17"/>
        <v>$$$$</v>
      </c>
      <c r="E147" s="224"/>
      <c r="F147" s="225"/>
      <c r="G147" s="226"/>
      <c r="H147" s="227"/>
      <c r="I147" s="228"/>
      <c r="J147" s="228"/>
      <c r="K147" s="229"/>
      <c r="L147" s="230"/>
      <c r="M147" s="231"/>
      <c r="N147" s="232"/>
      <c r="O147" s="230"/>
      <c r="P147" s="231"/>
      <c r="Q147" s="232"/>
      <c r="R147" s="233"/>
      <c r="S147" s="234"/>
      <c r="T147" s="235"/>
      <c r="U147" s="233"/>
      <c r="V147" s="236"/>
      <c r="W147" s="234"/>
      <c r="X147" s="235"/>
      <c r="Y147" s="237"/>
      <c r="Z147" s="238"/>
    </row>
    <row r="148" spans="1:26" s="239" customFormat="1" ht="28.5" customHeight="1" x14ac:dyDescent="0.3">
      <c r="A148" s="222">
        <f t="shared" si="14"/>
        <v>0</v>
      </c>
      <c r="B148" s="223" t="b">
        <f t="shared" si="15"/>
        <v>1</v>
      </c>
      <c r="C148" s="222">
        <f t="shared" si="16"/>
        <v>0</v>
      </c>
      <c r="D148" s="205" t="str">
        <f t="shared" si="17"/>
        <v>$$$$</v>
      </c>
      <c r="E148" s="224"/>
      <c r="F148" s="225"/>
      <c r="G148" s="226"/>
      <c r="H148" s="227"/>
      <c r="I148" s="228"/>
      <c r="J148" s="228"/>
      <c r="K148" s="229"/>
      <c r="L148" s="230"/>
      <c r="M148" s="231"/>
      <c r="N148" s="232"/>
      <c r="O148" s="230"/>
      <c r="P148" s="231"/>
      <c r="Q148" s="232"/>
      <c r="R148" s="233"/>
      <c r="S148" s="234"/>
      <c r="T148" s="235"/>
      <c r="U148" s="233"/>
      <c r="V148" s="236"/>
      <c r="W148" s="234"/>
      <c r="X148" s="235"/>
      <c r="Y148" s="237"/>
      <c r="Z148" s="238"/>
    </row>
    <row r="149" spans="1:26" s="239" customFormat="1" ht="28.5" customHeight="1" x14ac:dyDescent="0.3">
      <c r="A149" s="222">
        <f t="shared" si="14"/>
        <v>0</v>
      </c>
      <c r="B149" s="223" t="b">
        <f t="shared" si="15"/>
        <v>1</v>
      </c>
      <c r="C149" s="222">
        <f t="shared" si="16"/>
        <v>0</v>
      </c>
      <c r="D149" s="205" t="str">
        <f t="shared" si="17"/>
        <v>$$$$</v>
      </c>
      <c r="E149" s="224"/>
      <c r="F149" s="225"/>
      <c r="G149" s="226"/>
      <c r="H149" s="227"/>
      <c r="I149" s="228"/>
      <c r="J149" s="228"/>
      <c r="K149" s="229"/>
      <c r="L149" s="230"/>
      <c r="M149" s="231"/>
      <c r="N149" s="232"/>
      <c r="O149" s="230"/>
      <c r="P149" s="231"/>
      <c r="Q149" s="232"/>
      <c r="R149" s="233"/>
      <c r="S149" s="234"/>
      <c r="T149" s="235"/>
      <c r="U149" s="233"/>
      <c r="V149" s="236"/>
      <c r="W149" s="234"/>
      <c r="X149" s="235"/>
      <c r="Y149" s="237"/>
      <c r="Z149" s="238"/>
    </row>
    <row r="150" spans="1:26" s="239" customFormat="1" ht="28.5" customHeight="1" x14ac:dyDescent="0.3">
      <c r="A150" s="222">
        <f t="shared" si="14"/>
        <v>0</v>
      </c>
      <c r="B150" s="223" t="b">
        <f t="shared" si="15"/>
        <v>1</v>
      </c>
      <c r="C150" s="222">
        <f t="shared" si="16"/>
        <v>0</v>
      </c>
      <c r="D150" s="205" t="str">
        <f t="shared" si="17"/>
        <v>$$$$</v>
      </c>
      <c r="E150" s="224"/>
      <c r="F150" s="225"/>
      <c r="G150" s="226"/>
      <c r="H150" s="227"/>
      <c r="I150" s="228"/>
      <c r="J150" s="228"/>
      <c r="K150" s="229"/>
      <c r="L150" s="230"/>
      <c r="M150" s="231"/>
      <c r="N150" s="232"/>
      <c r="O150" s="230"/>
      <c r="P150" s="231"/>
      <c r="Q150" s="232"/>
      <c r="R150" s="233"/>
      <c r="S150" s="234"/>
      <c r="T150" s="235"/>
      <c r="U150" s="233"/>
      <c r="V150" s="236"/>
      <c r="W150" s="234"/>
      <c r="X150" s="235"/>
      <c r="Y150" s="237"/>
      <c r="Z150" s="238"/>
    </row>
    <row r="151" spans="1:26" s="239" customFormat="1" ht="28.5" customHeight="1" x14ac:dyDescent="0.3">
      <c r="A151" s="222">
        <f t="shared" ref="A151:A154" si="18">IF(B151,0,MATCH(H151,ВидыНагр,0))</f>
        <v>0</v>
      </c>
      <c r="B151" s="223" t="b">
        <f t="shared" ref="B151:B154" si="19">(COUNTIF(КлючВесна,D151)&lt;&gt;1)</f>
        <v>1</v>
      </c>
      <c r="C151" s="222">
        <f t="shared" ref="C151:C158" si="20">IF(COUNTA(E151:K151,Z151)&gt;0,1,0)+IF(COUNTA(L151:Y151)&gt;0,2,0)</f>
        <v>0</v>
      </c>
      <c r="D151" s="205" t="str">
        <f t="shared" si="17"/>
        <v>$$$$</v>
      </c>
      <c r="E151" s="224"/>
      <c r="F151" s="225"/>
      <c r="G151" s="226"/>
      <c r="H151" s="227"/>
      <c r="I151" s="228"/>
      <c r="J151" s="228"/>
      <c r="K151" s="229"/>
      <c r="L151" s="230"/>
      <c r="M151" s="231"/>
      <c r="N151" s="232"/>
      <c r="O151" s="230"/>
      <c r="P151" s="231"/>
      <c r="Q151" s="232"/>
      <c r="R151" s="233"/>
      <c r="S151" s="234"/>
      <c r="T151" s="235"/>
      <c r="U151" s="233"/>
      <c r="V151" s="236"/>
      <c r="W151" s="234"/>
      <c r="X151" s="235"/>
      <c r="Y151" s="237"/>
      <c r="Z151" s="238"/>
    </row>
    <row r="152" spans="1:26" s="239" customFormat="1" ht="28.5" customHeight="1" x14ac:dyDescent="0.3">
      <c r="A152" s="222">
        <f t="shared" si="18"/>
        <v>0</v>
      </c>
      <c r="B152" s="223" t="b">
        <f t="shared" si="19"/>
        <v>1</v>
      </c>
      <c r="C152" s="222">
        <f t="shared" si="20"/>
        <v>0</v>
      </c>
      <c r="D152" s="205" t="str">
        <f t="shared" si="17"/>
        <v>$$$$</v>
      </c>
      <c r="E152" s="224"/>
      <c r="F152" s="225"/>
      <c r="G152" s="226"/>
      <c r="H152" s="227"/>
      <c r="I152" s="228"/>
      <c r="J152" s="228"/>
      <c r="K152" s="229"/>
      <c r="L152" s="230"/>
      <c r="M152" s="231"/>
      <c r="N152" s="232"/>
      <c r="O152" s="230"/>
      <c r="P152" s="231"/>
      <c r="Q152" s="232"/>
      <c r="R152" s="233"/>
      <c r="S152" s="234"/>
      <c r="T152" s="235"/>
      <c r="U152" s="233"/>
      <c r="V152" s="236"/>
      <c r="W152" s="234"/>
      <c r="X152" s="235"/>
      <c r="Y152" s="237"/>
      <c r="Z152" s="238"/>
    </row>
    <row r="153" spans="1:26" s="239" customFormat="1" ht="28.5" customHeight="1" x14ac:dyDescent="0.3">
      <c r="A153" s="222">
        <f t="shared" si="18"/>
        <v>0</v>
      </c>
      <c r="B153" s="223" t="b">
        <f t="shared" si="19"/>
        <v>1</v>
      </c>
      <c r="C153" s="222">
        <f t="shared" si="20"/>
        <v>0</v>
      </c>
      <c r="D153" s="205" t="str">
        <f t="shared" si="17"/>
        <v>$$$$</v>
      </c>
      <c r="E153" s="224"/>
      <c r="F153" s="225"/>
      <c r="G153" s="226"/>
      <c r="H153" s="227"/>
      <c r="I153" s="228"/>
      <c r="J153" s="228"/>
      <c r="K153" s="229"/>
      <c r="L153" s="230"/>
      <c r="M153" s="231"/>
      <c r="N153" s="232"/>
      <c r="O153" s="230"/>
      <c r="P153" s="231"/>
      <c r="Q153" s="232"/>
      <c r="R153" s="233"/>
      <c r="S153" s="234"/>
      <c r="T153" s="235"/>
      <c r="U153" s="233"/>
      <c r="V153" s="236"/>
      <c r="W153" s="234"/>
      <c r="X153" s="235"/>
      <c r="Y153" s="237"/>
      <c r="Z153" s="238"/>
    </row>
    <row r="154" spans="1:26" s="239" customFormat="1" ht="28.5" customHeight="1" x14ac:dyDescent="0.3">
      <c r="A154" s="222">
        <f t="shared" si="18"/>
        <v>0</v>
      </c>
      <c r="B154" s="223" t="b">
        <f t="shared" si="19"/>
        <v>1</v>
      </c>
      <c r="C154" s="222">
        <f t="shared" si="20"/>
        <v>0</v>
      </c>
      <c r="D154" s="205" t="str">
        <f t="shared" si="17"/>
        <v>$$$$</v>
      </c>
      <c r="E154" s="224"/>
      <c r="F154" s="225"/>
      <c r="G154" s="226"/>
      <c r="H154" s="227"/>
      <c r="I154" s="228"/>
      <c r="J154" s="228"/>
      <c r="K154" s="229"/>
      <c r="L154" s="230"/>
      <c r="M154" s="231"/>
      <c r="N154" s="232"/>
      <c r="O154" s="230"/>
      <c r="P154" s="231"/>
      <c r="Q154" s="232"/>
      <c r="R154" s="233"/>
      <c r="S154" s="234"/>
      <c r="T154" s="235"/>
      <c r="U154" s="233"/>
      <c r="V154" s="236"/>
      <c r="W154" s="234"/>
      <c r="X154" s="235"/>
      <c r="Y154" s="237"/>
      <c r="Z154" s="238"/>
    </row>
    <row r="155" spans="1:26" s="239" customFormat="1" ht="28.5" customHeight="1" x14ac:dyDescent="0.3">
      <c r="A155" s="222">
        <f>IF(B155,0,MATCH(H155,ВидыНагр,0))</f>
        <v>0</v>
      </c>
      <c r="B155" s="223" t="b">
        <f>(COUNTIF(КлючВесна,D155)&lt;&gt;1)</f>
        <v>1</v>
      </c>
      <c r="C155" s="222">
        <f t="shared" si="20"/>
        <v>0</v>
      </c>
      <c r="D155" s="205" t="str">
        <f>CONCATENATE("$",TRIM(F155),"$",TRIM(G155),"$",H155,"$")</f>
        <v>$$$$</v>
      </c>
      <c r="E155" s="224"/>
      <c r="F155" s="225"/>
      <c r="G155" s="226"/>
      <c r="H155" s="227"/>
      <c r="I155" s="228"/>
      <c r="J155" s="228"/>
      <c r="K155" s="229"/>
      <c r="L155" s="230"/>
      <c r="M155" s="231"/>
      <c r="N155" s="232"/>
      <c r="O155" s="230"/>
      <c r="P155" s="231"/>
      <c r="Q155" s="232"/>
      <c r="R155" s="233"/>
      <c r="S155" s="234"/>
      <c r="T155" s="235"/>
      <c r="U155" s="233"/>
      <c r="V155" s="236"/>
      <c r="W155" s="234"/>
      <c r="X155" s="235"/>
      <c r="Y155" s="237"/>
      <c r="Z155" s="238"/>
    </row>
    <row r="156" spans="1:26" s="239" customFormat="1" ht="28.5" customHeight="1" x14ac:dyDescent="0.3">
      <c r="A156" s="222">
        <f>IF(B156,0,MATCH(H156,ВидыНагр,0))</f>
        <v>0</v>
      </c>
      <c r="B156" s="223" t="b">
        <f>(COUNTIF(КлючВесна,D156)&lt;&gt;1)</f>
        <v>1</v>
      </c>
      <c r="C156" s="222">
        <f t="shared" si="20"/>
        <v>0</v>
      </c>
      <c r="D156" s="205" t="str">
        <f>CONCATENATE("$",TRIM(F156),"$",TRIM(G156),"$",H156,"$")</f>
        <v>$$$$</v>
      </c>
      <c r="E156" s="224"/>
      <c r="F156" s="225"/>
      <c r="G156" s="226"/>
      <c r="H156" s="227"/>
      <c r="I156" s="228"/>
      <c r="J156" s="228"/>
      <c r="K156" s="229"/>
      <c r="L156" s="230"/>
      <c r="M156" s="231"/>
      <c r="N156" s="232"/>
      <c r="O156" s="230"/>
      <c r="P156" s="231"/>
      <c r="Q156" s="232"/>
      <c r="R156" s="233"/>
      <c r="S156" s="234"/>
      <c r="T156" s="235"/>
      <c r="U156" s="233"/>
      <c r="V156" s="236"/>
      <c r="W156" s="234"/>
      <c r="X156" s="235"/>
      <c r="Y156" s="237"/>
      <c r="Z156" s="238"/>
    </row>
    <row r="157" spans="1:26" s="239" customFormat="1" ht="28.5" customHeight="1" x14ac:dyDescent="0.3">
      <c r="A157" s="222">
        <f t="shared" ref="A157:A158" si="21">IF(B157,0,MATCH(H157,ВидыНагр,0))</f>
        <v>0</v>
      </c>
      <c r="B157" s="223" t="b">
        <f t="shared" ref="B157:B158" si="22">(COUNTIF(КлючВесна,D157)&lt;&gt;1)</f>
        <v>1</v>
      </c>
      <c r="C157" s="222">
        <f t="shared" si="20"/>
        <v>0</v>
      </c>
      <c r="D157" s="205" t="str">
        <f t="shared" ref="D157:D158" si="23">CONCATENATE("$",TRIM(F157),"$",TRIM(G157),"$",H157,"$")</f>
        <v>$$$$</v>
      </c>
      <c r="E157" s="224"/>
      <c r="F157" s="225"/>
      <c r="G157" s="226"/>
      <c r="H157" s="227"/>
      <c r="I157" s="228"/>
      <c r="J157" s="228"/>
      <c r="K157" s="229"/>
      <c r="L157" s="230"/>
      <c r="M157" s="231"/>
      <c r="N157" s="232"/>
      <c r="O157" s="230"/>
      <c r="P157" s="231"/>
      <c r="Q157" s="232"/>
      <c r="R157" s="233"/>
      <c r="S157" s="234"/>
      <c r="T157" s="235"/>
      <c r="U157" s="233"/>
      <c r="V157" s="236"/>
      <c r="W157" s="234"/>
      <c r="X157" s="235"/>
      <c r="Y157" s="237"/>
      <c r="Z157" s="238"/>
    </row>
    <row r="158" spans="1:26" s="239" customFormat="1" ht="28.5" customHeight="1" x14ac:dyDescent="0.3">
      <c r="A158" s="222">
        <f t="shared" si="21"/>
        <v>0</v>
      </c>
      <c r="B158" s="223" t="b">
        <f t="shared" si="22"/>
        <v>1</v>
      </c>
      <c r="C158" s="222">
        <f t="shared" si="20"/>
        <v>0</v>
      </c>
      <c r="D158" s="205" t="str">
        <f t="shared" si="23"/>
        <v>$$$$</v>
      </c>
      <c r="E158" s="224"/>
      <c r="F158" s="225"/>
      <c r="G158" s="226"/>
      <c r="H158" s="227"/>
      <c r="I158" s="228"/>
      <c r="J158" s="228"/>
      <c r="K158" s="229"/>
      <c r="L158" s="230"/>
      <c r="M158" s="231"/>
      <c r="N158" s="232"/>
      <c r="O158" s="230"/>
      <c r="P158" s="231"/>
      <c r="Q158" s="232"/>
      <c r="R158" s="233"/>
      <c r="S158" s="234"/>
      <c r="T158" s="235"/>
      <c r="U158" s="233"/>
      <c r="V158" s="236"/>
      <c r="W158" s="234"/>
      <c r="X158" s="235"/>
      <c r="Y158" s="237"/>
      <c r="Z158" s="238"/>
    </row>
    <row r="159" spans="1:26" s="239" customFormat="1" ht="28.5" customHeight="1" x14ac:dyDescent="0.3">
      <c r="A159" s="222">
        <f t="shared" si="14"/>
        <v>0</v>
      </c>
      <c r="B159" s="223" t="b">
        <f t="shared" si="15"/>
        <v>1</v>
      </c>
      <c r="C159" s="222">
        <f t="shared" si="16"/>
        <v>0</v>
      </c>
      <c r="D159" s="205" t="str">
        <f t="shared" si="13"/>
        <v>$$$$</v>
      </c>
      <c r="E159" s="224"/>
      <c r="F159" s="225"/>
      <c r="G159" s="226"/>
      <c r="H159" s="227"/>
      <c r="I159" s="228"/>
      <c r="J159" s="228"/>
      <c r="K159" s="229"/>
      <c r="L159" s="230"/>
      <c r="M159" s="231"/>
      <c r="N159" s="232"/>
      <c r="O159" s="230"/>
      <c r="P159" s="231"/>
      <c r="Q159" s="232"/>
      <c r="R159" s="233"/>
      <c r="S159" s="234"/>
      <c r="T159" s="235"/>
      <c r="U159" s="233"/>
      <c r="V159" s="236"/>
      <c r="W159" s="234"/>
      <c r="X159" s="235"/>
      <c r="Y159" s="237"/>
      <c r="Z159" s="238"/>
    </row>
    <row r="160" spans="1:26" x14ac:dyDescent="0.3">
      <c r="D160" s="1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</row>
  </sheetData>
  <sheetProtection algorithmName="SHA-512" hashValue="swpR/tetFg28Xd3Yuo3IsUjfU1uYdYhZAmlC63TlIwAN5gPjeYqUG4WNxmpHfvV3Jt2eDKlpUSuxoGRk0Iza1Q==" saltValue="NWmew0e70IsTDs+DR3iW3g==" spinCount="100000" sheet="1" objects="1" scenarios="1"/>
  <mergeCells count="5">
    <mergeCell ref="F2:F5"/>
    <mergeCell ref="G2:G5"/>
    <mergeCell ref="I2:J2"/>
    <mergeCell ref="I3:J3"/>
    <mergeCell ref="I4:J4"/>
  </mergeCells>
  <phoneticPr fontId="0" type="noConversion"/>
  <conditionalFormatting sqref="E7:Z159">
    <cfRule type="expression" dxfId="35" priority="3" stopIfTrue="1">
      <formula>($C7=0)</formula>
    </cfRule>
  </conditionalFormatting>
  <conditionalFormatting sqref="F7:H159">
    <cfRule type="expression" dxfId="34" priority="4" stopIfTrue="1">
      <formula>$B7</formula>
    </cfRule>
  </conditionalFormatting>
  <conditionalFormatting sqref="L6:Y6">
    <cfRule type="cellIs" dxfId="33" priority="1" stopIfTrue="1" operator="notEqual">
      <formula>0</formula>
    </cfRule>
  </conditionalFormatting>
  <conditionalFormatting sqref="F6:H6">
    <cfRule type="expression" dxfId="32" priority="2" stopIfTrue="1">
      <formula>$G$6&lt;&gt;0</formula>
    </cfRule>
  </conditionalFormatting>
  <conditionalFormatting sqref="L7:Y159">
    <cfRule type="expression" dxfId="31" priority="5" stopIfTrue="1">
      <formula>AND(NOT($B7),$C7&lt;2)</formula>
    </cfRule>
    <cfRule type="expression" dxfId="30" priority="6" stopIfTrue="1">
      <formula>AND($B7,L7&lt;&gt;0)</formula>
    </cfRule>
  </conditionalFormatting>
  <dataValidations count="4">
    <dataValidation type="list" allowBlank="1" showInputMessage="1" sqref="F7:F159">
      <formula1>OFFSET(ДисциплиныВесна,0,0,ДисциплиныВеснаКол,1)</formula1>
    </dataValidation>
    <dataValidation type="list" allowBlank="1" showInputMessage="1" sqref="G7:G159">
      <formula1>OFFSET(ГруппыВесна,0,0,ГруппыВеснаКол,1)</formula1>
    </dataValidation>
    <dataValidation type="list" allowBlank="1" showInputMessage="1" sqref="H7:H159">
      <formula1>ВидыНагр</formula1>
    </dataValidation>
    <dataValidation type="whole" allowBlank="1" showInputMessage="1" showErrorMessage="1" sqref="E7:E159">
      <formula1>1</formula1>
      <formula2>31</formula2>
    </dataValidation>
  </dataValidations>
  <printOptions horizontalCentered="1"/>
  <pageMargins left="0.39370078740157483" right="0.39370078740157483" top="1.1811023622047245" bottom="0.59055118110236227" header="0.98425196850393704" footer="0.39370078740157483"/>
  <pageSetup paperSize="9" scale="63" fitToHeight="10" orientation="landscape" r:id="rId1"/>
  <headerFooter>
    <oddHeader>&amp;L&amp;F&amp;C&amp;"Open Sans,полужирный"Месяц &amp;A &amp;"Open Sans,обычный"(с. &amp;P из &amp;N)&amp;R&amp;D  &amp;T</oddHeader>
  </headerFooter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7">
    <tabColor indexed="15"/>
    <outlinePr summaryBelow="0" summaryRight="0"/>
    <pageSetUpPr fitToPage="1"/>
  </sheetPr>
  <dimension ref="A1:Z160"/>
  <sheetViews>
    <sheetView zoomScale="85" zoomScaleNormal="100" workbookViewId="0">
      <pane xSplit="8" ySplit="6" topLeftCell="I7" activePane="bottomRight" state="frozen"/>
      <selection activeCell="E7" sqref="E7"/>
      <selection pane="topRight" activeCell="E7" sqref="E7"/>
      <selection pane="bottomLeft" activeCell="E7" sqref="E7"/>
      <selection pane="bottomRight" activeCell="E7" sqref="E7"/>
    </sheetView>
  </sheetViews>
  <sheetFormatPr defaultRowHeight="14.25" x14ac:dyDescent="0.3"/>
  <cols>
    <col min="1" max="3" width="4.7109375" style="4" hidden="1" customWidth="1"/>
    <col min="4" max="4" width="30.7109375" style="240" hidden="1" customWidth="1"/>
    <col min="5" max="5" width="4.7109375" style="167" customWidth="1"/>
    <col min="6" max="6" width="32.7109375" style="241" customWidth="1"/>
    <col min="7" max="7" width="18.7109375" style="241" customWidth="1"/>
    <col min="8" max="8" width="6.7109375" style="241" customWidth="1"/>
    <col min="9" max="10" width="4.7109375" style="241" customWidth="1"/>
    <col min="11" max="11" width="40.7109375" style="242" customWidth="1"/>
    <col min="12" max="25" width="6.85546875" style="167" customWidth="1"/>
    <col min="26" max="26" width="30.7109375" style="2" customWidth="1"/>
    <col min="27" max="27" width="2.7109375" style="2" customWidth="1"/>
    <col min="28" max="16384" width="9.140625" style="2"/>
  </cols>
  <sheetData>
    <row r="1" spans="1:26" ht="112.5" customHeight="1" x14ac:dyDescent="0.3">
      <c r="A1" s="169" t="s">
        <v>77</v>
      </c>
      <c r="B1" s="169" t="s">
        <v>114</v>
      </c>
      <c r="C1" s="169" t="s">
        <v>113</v>
      </c>
      <c r="D1" s="191" t="s">
        <v>76</v>
      </c>
      <c r="E1" s="192" t="s">
        <v>116</v>
      </c>
      <c r="F1" s="193" t="s">
        <v>69</v>
      </c>
      <c r="G1" s="194" t="s">
        <v>100</v>
      </c>
      <c r="H1" s="195" t="s">
        <v>109</v>
      </c>
      <c r="I1" s="196" t="s">
        <v>102</v>
      </c>
      <c r="J1" s="197" t="s">
        <v>85</v>
      </c>
      <c r="K1" s="198" t="s">
        <v>81</v>
      </c>
      <c r="L1" s="199" t="s">
        <v>0</v>
      </c>
      <c r="M1" s="200" t="s">
        <v>68</v>
      </c>
      <c r="N1" s="195" t="s">
        <v>3</v>
      </c>
      <c r="O1" s="201" t="s">
        <v>1</v>
      </c>
      <c r="P1" s="200" t="s">
        <v>4</v>
      </c>
      <c r="Q1" s="195" t="s">
        <v>62</v>
      </c>
      <c r="R1" s="199" t="s">
        <v>252</v>
      </c>
      <c r="S1" s="202" t="s">
        <v>2</v>
      </c>
      <c r="T1" s="195" t="s">
        <v>205</v>
      </c>
      <c r="U1" s="201" t="s">
        <v>253</v>
      </c>
      <c r="V1" s="199" t="s">
        <v>254</v>
      </c>
      <c r="W1" s="202" t="s">
        <v>70</v>
      </c>
      <c r="X1" s="195" t="s">
        <v>138</v>
      </c>
      <c r="Y1" s="196" t="s">
        <v>5</v>
      </c>
      <c r="Z1" s="203" t="s">
        <v>29</v>
      </c>
    </row>
    <row r="2" spans="1:26" ht="17.100000000000001" customHeight="1" x14ac:dyDescent="0.3">
      <c r="A2" s="204">
        <f>MATCH(H2,ВидыНагр,0)</f>
        <v>1</v>
      </c>
      <c r="B2" s="204"/>
      <c r="C2" s="204"/>
      <c r="D2" s="205"/>
      <c r="E2" s="206"/>
      <c r="F2" s="390" t="s">
        <v>134</v>
      </c>
      <c r="G2" s="393">
        <f>SUM(L5:Y5)</f>
        <v>0</v>
      </c>
      <c r="H2" s="309" t="s">
        <v>111</v>
      </c>
      <c r="I2" s="396">
        <f>SUM(L2:Y2)</f>
        <v>0</v>
      </c>
      <c r="J2" s="397"/>
      <c r="K2" s="289"/>
      <c r="L2" s="58">
        <f t="shared" ref="L2:Y4" si="0">SUMIF($A$7:$A$159,$A2,L$7:L$159)</f>
        <v>0</v>
      </c>
      <c r="M2" s="59">
        <f t="shared" si="0"/>
        <v>0</v>
      </c>
      <c r="N2" s="60">
        <f t="shared" si="0"/>
        <v>0</v>
      </c>
      <c r="O2" s="58">
        <f t="shared" si="0"/>
        <v>0</v>
      </c>
      <c r="P2" s="59">
        <f t="shared" si="0"/>
        <v>0</v>
      </c>
      <c r="Q2" s="60">
        <f t="shared" si="0"/>
        <v>0</v>
      </c>
      <c r="R2" s="58">
        <f t="shared" si="0"/>
        <v>0</v>
      </c>
      <c r="S2" s="62">
        <f t="shared" si="0"/>
        <v>0</v>
      </c>
      <c r="T2" s="60">
        <f t="shared" si="0"/>
        <v>0</v>
      </c>
      <c r="U2" s="58">
        <f t="shared" si="0"/>
        <v>0</v>
      </c>
      <c r="V2" s="61">
        <f t="shared" si="0"/>
        <v>0</v>
      </c>
      <c r="W2" s="62">
        <f t="shared" si="0"/>
        <v>0</v>
      </c>
      <c r="X2" s="60">
        <f t="shared" si="0"/>
        <v>0</v>
      </c>
      <c r="Y2" s="41">
        <f t="shared" si="0"/>
        <v>0</v>
      </c>
      <c r="Z2" s="207"/>
    </row>
    <row r="3" spans="1:26" ht="17.100000000000001" customHeight="1" x14ac:dyDescent="0.3">
      <c r="A3" s="204">
        <f>MATCH(H3,ВидыНагр,0)</f>
        <v>2</v>
      </c>
      <c r="B3" s="204"/>
      <c r="C3" s="204"/>
      <c r="D3" s="205"/>
      <c r="E3" s="208"/>
      <c r="F3" s="391"/>
      <c r="G3" s="394"/>
      <c r="H3" s="309" t="s">
        <v>112</v>
      </c>
      <c r="I3" s="398">
        <f>SUM(L3:Y3)</f>
        <v>0</v>
      </c>
      <c r="J3" s="399"/>
      <c r="K3" s="291"/>
      <c r="L3" s="58">
        <f t="shared" si="0"/>
        <v>0</v>
      </c>
      <c r="M3" s="59">
        <f t="shared" si="0"/>
        <v>0</v>
      </c>
      <c r="N3" s="60">
        <f t="shared" si="0"/>
        <v>0</v>
      </c>
      <c r="O3" s="58">
        <f t="shared" si="0"/>
        <v>0</v>
      </c>
      <c r="P3" s="59">
        <f t="shared" si="0"/>
        <v>0</v>
      </c>
      <c r="Q3" s="60">
        <f t="shared" si="0"/>
        <v>0</v>
      </c>
      <c r="R3" s="58">
        <f t="shared" si="0"/>
        <v>0</v>
      </c>
      <c r="S3" s="62">
        <f t="shared" si="0"/>
        <v>0</v>
      </c>
      <c r="T3" s="60">
        <f t="shared" si="0"/>
        <v>0</v>
      </c>
      <c r="U3" s="58">
        <f t="shared" si="0"/>
        <v>0</v>
      </c>
      <c r="V3" s="61">
        <f t="shared" si="0"/>
        <v>0</v>
      </c>
      <c r="W3" s="62">
        <f t="shared" si="0"/>
        <v>0</v>
      </c>
      <c r="X3" s="60">
        <f t="shared" si="0"/>
        <v>0</v>
      </c>
      <c r="Y3" s="41">
        <f t="shared" si="0"/>
        <v>0</v>
      </c>
      <c r="Z3" s="207"/>
    </row>
    <row r="4" spans="1:26" ht="17.100000000000001" customHeight="1" x14ac:dyDescent="0.3">
      <c r="A4" s="204">
        <f>MATCH(H4,ВидыНагр,0)</f>
        <v>3</v>
      </c>
      <c r="B4" s="204"/>
      <c r="C4" s="204"/>
      <c r="D4" s="205"/>
      <c r="E4" s="208"/>
      <c r="F4" s="391"/>
      <c r="G4" s="394"/>
      <c r="H4" s="310" t="s">
        <v>115</v>
      </c>
      <c r="I4" s="400">
        <f>SUM(L4:Y4)</f>
        <v>0</v>
      </c>
      <c r="J4" s="401"/>
      <c r="K4" s="293"/>
      <c r="L4" s="209">
        <f t="shared" si="0"/>
        <v>0</v>
      </c>
      <c r="M4" s="210">
        <f t="shared" si="0"/>
        <v>0</v>
      </c>
      <c r="N4" s="211">
        <f t="shared" si="0"/>
        <v>0</v>
      </c>
      <c r="O4" s="209">
        <f t="shared" si="0"/>
        <v>0</v>
      </c>
      <c r="P4" s="210">
        <f t="shared" si="0"/>
        <v>0</v>
      </c>
      <c r="Q4" s="211">
        <f t="shared" si="0"/>
        <v>0</v>
      </c>
      <c r="R4" s="209">
        <f t="shared" si="0"/>
        <v>0</v>
      </c>
      <c r="S4" s="212">
        <f t="shared" si="0"/>
        <v>0</v>
      </c>
      <c r="T4" s="211">
        <f t="shared" si="0"/>
        <v>0</v>
      </c>
      <c r="U4" s="209">
        <f t="shared" si="0"/>
        <v>0</v>
      </c>
      <c r="V4" s="213">
        <f t="shared" si="0"/>
        <v>0</v>
      </c>
      <c r="W4" s="212">
        <f t="shared" si="0"/>
        <v>0</v>
      </c>
      <c r="X4" s="211">
        <f t="shared" si="0"/>
        <v>0</v>
      </c>
      <c r="Y4" s="69">
        <f t="shared" si="0"/>
        <v>0</v>
      </c>
      <c r="Z4" s="207"/>
    </row>
    <row r="5" spans="1:26" ht="17.100000000000001" customHeight="1" x14ac:dyDescent="0.3">
      <c r="A5" s="204"/>
      <c r="B5" s="204"/>
      <c r="C5" s="204"/>
      <c r="D5" s="205"/>
      <c r="E5" s="208"/>
      <c r="F5" s="392"/>
      <c r="G5" s="395"/>
      <c r="H5" s="294" t="s">
        <v>6</v>
      </c>
      <c r="I5" s="295"/>
      <c r="J5" s="296"/>
      <c r="K5" s="297"/>
      <c r="L5" s="298">
        <f>SUM(L2:L4)</f>
        <v>0</v>
      </c>
      <c r="M5" s="299">
        <f t="shared" ref="M5:Y5" si="1">SUM(M2:M4)</f>
        <v>0</v>
      </c>
      <c r="N5" s="300">
        <f t="shared" si="1"/>
        <v>0</v>
      </c>
      <c r="O5" s="298">
        <f t="shared" si="1"/>
        <v>0</v>
      </c>
      <c r="P5" s="299">
        <f t="shared" si="1"/>
        <v>0</v>
      </c>
      <c r="Q5" s="300">
        <f t="shared" si="1"/>
        <v>0</v>
      </c>
      <c r="R5" s="298">
        <f t="shared" si="1"/>
        <v>0</v>
      </c>
      <c r="S5" s="301">
        <f t="shared" si="1"/>
        <v>0</v>
      </c>
      <c r="T5" s="300">
        <f t="shared" si="1"/>
        <v>0</v>
      </c>
      <c r="U5" s="298">
        <f t="shared" si="1"/>
        <v>0</v>
      </c>
      <c r="V5" s="302">
        <f t="shared" si="1"/>
        <v>0</v>
      </c>
      <c r="W5" s="301">
        <f t="shared" si="1"/>
        <v>0</v>
      </c>
      <c r="X5" s="300">
        <f t="shared" si="1"/>
        <v>0</v>
      </c>
      <c r="Y5" s="303">
        <f t="shared" si="1"/>
        <v>0</v>
      </c>
      <c r="Z5" s="214">
        <f>Утв_Весна</f>
        <v>0</v>
      </c>
    </row>
    <row r="6" spans="1:26" ht="17.100000000000001" customHeight="1" x14ac:dyDescent="0.3">
      <c r="A6" s="204"/>
      <c r="B6" s="204"/>
      <c r="C6" s="204"/>
      <c r="D6" s="205"/>
      <c r="E6" s="215"/>
      <c r="F6" s="304" t="s">
        <v>82</v>
      </c>
      <c r="G6" s="305">
        <f>SUM(L6:Y6)</f>
        <v>0</v>
      </c>
      <c r="H6" s="306"/>
      <c r="I6" s="307"/>
      <c r="J6" s="308"/>
      <c r="K6" s="297"/>
      <c r="L6" s="216">
        <f t="shared" ref="L6:Y6" si="2">SUM(L7:L159)-L5</f>
        <v>0</v>
      </c>
      <c r="M6" s="217">
        <f t="shared" si="2"/>
        <v>0</v>
      </c>
      <c r="N6" s="218">
        <f t="shared" si="2"/>
        <v>0</v>
      </c>
      <c r="O6" s="216">
        <f t="shared" si="2"/>
        <v>0</v>
      </c>
      <c r="P6" s="217">
        <f t="shared" si="2"/>
        <v>0</v>
      </c>
      <c r="Q6" s="218">
        <f t="shared" si="2"/>
        <v>0</v>
      </c>
      <c r="R6" s="216">
        <f t="shared" si="2"/>
        <v>0</v>
      </c>
      <c r="S6" s="219">
        <f t="shared" si="2"/>
        <v>0</v>
      </c>
      <c r="T6" s="218">
        <f t="shared" si="2"/>
        <v>0</v>
      </c>
      <c r="U6" s="216">
        <f t="shared" si="2"/>
        <v>0</v>
      </c>
      <c r="V6" s="220">
        <f t="shared" si="2"/>
        <v>0</v>
      </c>
      <c r="W6" s="219">
        <f t="shared" si="2"/>
        <v>0</v>
      </c>
      <c r="X6" s="218">
        <f t="shared" si="2"/>
        <v>0</v>
      </c>
      <c r="Y6" s="216">
        <f t="shared" si="2"/>
        <v>0</v>
      </c>
      <c r="Z6" s="221"/>
    </row>
    <row r="7" spans="1:26" s="239" customFormat="1" ht="28.5" customHeight="1" x14ac:dyDescent="0.3">
      <c r="A7" s="222">
        <f t="shared" ref="A7:A38" si="3">IF(B7,0,MATCH(H7,ВидыНагр,0))</f>
        <v>0</v>
      </c>
      <c r="B7" s="223" t="b">
        <f t="shared" ref="B7:B38" si="4">(COUNTIF(КлючВесна,D7)&lt;&gt;1)</f>
        <v>1</v>
      </c>
      <c r="C7" s="222">
        <f t="shared" ref="C7:C38" si="5">IF(COUNTA(E7:K7,Z7)&gt;0,1,0)+IF(COUNTA(L7:Y7)&gt;0,2,0)</f>
        <v>0</v>
      </c>
      <c r="D7" s="205" t="str">
        <f>CONCATENATE("$",TRIM(F7),"$",TRIM(G7),"$",H7,"$")</f>
        <v>$$$$</v>
      </c>
      <c r="E7" s="224"/>
      <c r="F7" s="225"/>
      <c r="G7" s="226"/>
      <c r="H7" s="227"/>
      <c r="I7" s="228"/>
      <c r="J7" s="228"/>
      <c r="K7" s="229"/>
      <c r="L7" s="230"/>
      <c r="M7" s="231"/>
      <c r="N7" s="232"/>
      <c r="O7" s="230"/>
      <c r="P7" s="231"/>
      <c r="Q7" s="232"/>
      <c r="R7" s="233"/>
      <c r="S7" s="234"/>
      <c r="T7" s="235"/>
      <c r="U7" s="233"/>
      <c r="V7" s="236"/>
      <c r="W7" s="234"/>
      <c r="X7" s="235"/>
      <c r="Y7" s="237"/>
      <c r="Z7" s="238"/>
    </row>
    <row r="8" spans="1:26" s="239" customFormat="1" ht="28.5" customHeight="1" x14ac:dyDescent="0.3">
      <c r="A8" s="222">
        <f t="shared" si="3"/>
        <v>0</v>
      </c>
      <c r="B8" s="223" t="b">
        <f t="shared" si="4"/>
        <v>1</v>
      </c>
      <c r="C8" s="222">
        <f t="shared" si="5"/>
        <v>0</v>
      </c>
      <c r="D8" s="205" t="str">
        <f t="shared" ref="D8:D71" si="6">CONCATENATE("$",TRIM(F8),"$",TRIM(G8),"$",H8,"$")</f>
        <v>$$$$</v>
      </c>
      <c r="E8" s="224"/>
      <c r="F8" s="225"/>
      <c r="G8" s="226"/>
      <c r="H8" s="227"/>
      <c r="I8" s="228"/>
      <c r="J8" s="228"/>
      <c r="K8" s="229"/>
      <c r="L8" s="230"/>
      <c r="M8" s="231"/>
      <c r="N8" s="232"/>
      <c r="O8" s="230"/>
      <c r="P8" s="231"/>
      <c r="Q8" s="232"/>
      <c r="R8" s="233"/>
      <c r="S8" s="234"/>
      <c r="T8" s="235"/>
      <c r="U8" s="233"/>
      <c r="V8" s="236"/>
      <c r="W8" s="234"/>
      <c r="X8" s="235"/>
      <c r="Y8" s="237"/>
      <c r="Z8" s="238"/>
    </row>
    <row r="9" spans="1:26" s="239" customFormat="1" ht="28.5" customHeight="1" x14ac:dyDescent="0.3">
      <c r="A9" s="222">
        <f t="shared" si="3"/>
        <v>0</v>
      </c>
      <c r="B9" s="223" t="b">
        <f t="shared" si="4"/>
        <v>1</v>
      </c>
      <c r="C9" s="222">
        <f t="shared" si="5"/>
        <v>0</v>
      </c>
      <c r="D9" s="205" t="str">
        <f t="shared" si="6"/>
        <v>$$$$</v>
      </c>
      <c r="E9" s="224"/>
      <c r="F9" s="225"/>
      <c r="G9" s="226"/>
      <c r="H9" s="227"/>
      <c r="I9" s="228"/>
      <c r="J9" s="228"/>
      <c r="K9" s="229"/>
      <c r="L9" s="230"/>
      <c r="M9" s="231"/>
      <c r="N9" s="232"/>
      <c r="O9" s="230"/>
      <c r="P9" s="231"/>
      <c r="Q9" s="232"/>
      <c r="R9" s="233"/>
      <c r="S9" s="234"/>
      <c r="T9" s="235"/>
      <c r="U9" s="233"/>
      <c r="V9" s="236"/>
      <c r="W9" s="234"/>
      <c r="X9" s="235"/>
      <c r="Y9" s="237"/>
      <c r="Z9" s="238"/>
    </row>
    <row r="10" spans="1:26" s="239" customFormat="1" ht="28.5" customHeight="1" x14ac:dyDescent="0.3">
      <c r="A10" s="222">
        <f t="shared" si="3"/>
        <v>0</v>
      </c>
      <c r="B10" s="223" t="b">
        <f t="shared" si="4"/>
        <v>1</v>
      </c>
      <c r="C10" s="222">
        <f t="shared" si="5"/>
        <v>0</v>
      </c>
      <c r="D10" s="205" t="str">
        <f t="shared" si="6"/>
        <v>$$$$</v>
      </c>
      <c r="E10" s="224"/>
      <c r="F10" s="225"/>
      <c r="G10" s="226"/>
      <c r="H10" s="227"/>
      <c r="I10" s="228"/>
      <c r="J10" s="228"/>
      <c r="K10" s="229"/>
      <c r="L10" s="230"/>
      <c r="M10" s="231"/>
      <c r="N10" s="232"/>
      <c r="O10" s="230"/>
      <c r="P10" s="231"/>
      <c r="Q10" s="232"/>
      <c r="R10" s="233"/>
      <c r="S10" s="234"/>
      <c r="T10" s="235"/>
      <c r="U10" s="233"/>
      <c r="V10" s="236"/>
      <c r="W10" s="234"/>
      <c r="X10" s="235"/>
      <c r="Y10" s="237"/>
      <c r="Z10" s="238"/>
    </row>
    <row r="11" spans="1:26" s="239" customFormat="1" ht="28.5" customHeight="1" x14ac:dyDescent="0.3">
      <c r="A11" s="222">
        <f t="shared" si="3"/>
        <v>0</v>
      </c>
      <c r="B11" s="223" t="b">
        <f t="shared" si="4"/>
        <v>1</v>
      </c>
      <c r="C11" s="222">
        <f t="shared" si="5"/>
        <v>0</v>
      </c>
      <c r="D11" s="205" t="str">
        <f t="shared" si="6"/>
        <v>$$$$</v>
      </c>
      <c r="E11" s="224"/>
      <c r="F11" s="225"/>
      <c r="G11" s="226"/>
      <c r="H11" s="227"/>
      <c r="I11" s="228"/>
      <c r="J11" s="228"/>
      <c r="K11" s="229"/>
      <c r="L11" s="230"/>
      <c r="M11" s="231"/>
      <c r="N11" s="232"/>
      <c r="O11" s="230"/>
      <c r="P11" s="231"/>
      <c r="Q11" s="232"/>
      <c r="R11" s="233"/>
      <c r="S11" s="234"/>
      <c r="T11" s="235"/>
      <c r="U11" s="233"/>
      <c r="V11" s="236"/>
      <c r="W11" s="234"/>
      <c r="X11" s="235"/>
      <c r="Y11" s="237"/>
      <c r="Z11" s="238"/>
    </row>
    <row r="12" spans="1:26" s="239" customFormat="1" ht="28.5" customHeight="1" x14ac:dyDescent="0.3">
      <c r="A12" s="222">
        <f t="shared" si="3"/>
        <v>0</v>
      </c>
      <c r="B12" s="223" t="b">
        <f t="shared" si="4"/>
        <v>1</v>
      </c>
      <c r="C12" s="222">
        <f t="shared" si="5"/>
        <v>0</v>
      </c>
      <c r="D12" s="205" t="str">
        <f t="shared" si="6"/>
        <v>$$$$</v>
      </c>
      <c r="E12" s="224"/>
      <c r="F12" s="225"/>
      <c r="G12" s="226"/>
      <c r="H12" s="227"/>
      <c r="I12" s="228"/>
      <c r="J12" s="228"/>
      <c r="K12" s="229"/>
      <c r="L12" s="230"/>
      <c r="M12" s="231"/>
      <c r="N12" s="232"/>
      <c r="O12" s="230"/>
      <c r="P12" s="231"/>
      <c r="Q12" s="232"/>
      <c r="R12" s="233"/>
      <c r="S12" s="234"/>
      <c r="T12" s="235"/>
      <c r="U12" s="233"/>
      <c r="V12" s="236"/>
      <c r="W12" s="234"/>
      <c r="X12" s="235"/>
      <c r="Y12" s="237"/>
      <c r="Z12" s="238"/>
    </row>
    <row r="13" spans="1:26" s="239" customFormat="1" ht="28.5" customHeight="1" x14ac:dyDescent="0.3">
      <c r="A13" s="222">
        <f t="shared" si="3"/>
        <v>0</v>
      </c>
      <c r="B13" s="223" t="b">
        <f t="shared" si="4"/>
        <v>1</v>
      </c>
      <c r="C13" s="222">
        <f t="shared" si="5"/>
        <v>0</v>
      </c>
      <c r="D13" s="205" t="str">
        <f t="shared" si="6"/>
        <v>$$$$</v>
      </c>
      <c r="E13" s="224"/>
      <c r="F13" s="225"/>
      <c r="G13" s="226"/>
      <c r="H13" s="227"/>
      <c r="I13" s="228"/>
      <c r="J13" s="228"/>
      <c r="K13" s="229"/>
      <c r="L13" s="230"/>
      <c r="M13" s="231"/>
      <c r="N13" s="232"/>
      <c r="O13" s="230"/>
      <c r="P13" s="231"/>
      <c r="Q13" s="232"/>
      <c r="R13" s="233"/>
      <c r="S13" s="234"/>
      <c r="T13" s="235"/>
      <c r="U13" s="233"/>
      <c r="V13" s="236"/>
      <c r="W13" s="234"/>
      <c r="X13" s="235"/>
      <c r="Y13" s="237"/>
      <c r="Z13" s="238"/>
    </row>
    <row r="14" spans="1:26" s="239" customFormat="1" ht="28.5" customHeight="1" x14ac:dyDescent="0.3">
      <c r="A14" s="222">
        <f t="shared" si="3"/>
        <v>0</v>
      </c>
      <c r="B14" s="223" t="b">
        <f t="shared" si="4"/>
        <v>1</v>
      </c>
      <c r="C14" s="222">
        <f t="shared" si="5"/>
        <v>0</v>
      </c>
      <c r="D14" s="205" t="str">
        <f t="shared" si="6"/>
        <v>$$$$</v>
      </c>
      <c r="E14" s="224"/>
      <c r="F14" s="225"/>
      <c r="G14" s="226"/>
      <c r="H14" s="227"/>
      <c r="I14" s="228"/>
      <c r="J14" s="228"/>
      <c r="K14" s="229"/>
      <c r="L14" s="230"/>
      <c r="M14" s="231"/>
      <c r="N14" s="232"/>
      <c r="O14" s="230"/>
      <c r="P14" s="231"/>
      <c r="Q14" s="232"/>
      <c r="R14" s="233"/>
      <c r="S14" s="234"/>
      <c r="T14" s="235"/>
      <c r="U14" s="233"/>
      <c r="V14" s="236"/>
      <c r="W14" s="234"/>
      <c r="X14" s="235"/>
      <c r="Y14" s="237"/>
      <c r="Z14" s="238"/>
    </row>
    <row r="15" spans="1:26" s="239" customFormat="1" ht="28.5" customHeight="1" x14ac:dyDescent="0.3">
      <c r="A15" s="222">
        <f t="shared" si="3"/>
        <v>0</v>
      </c>
      <c r="B15" s="223" t="b">
        <f t="shared" si="4"/>
        <v>1</v>
      </c>
      <c r="C15" s="222">
        <f t="shared" si="5"/>
        <v>0</v>
      </c>
      <c r="D15" s="205" t="str">
        <f t="shared" si="6"/>
        <v>$$$$</v>
      </c>
      <c r="E15" s="224"/>
      <c r="F15" s="225"/>
      <c r="G15" s="226"/>
      <c r="H15" s="227"/>
      <c r="I15" s="228"/>
      <c r="J15" s="228"/>
      <c r="K15" s="229"/>
      <c r="L15" s="230"/>
      <c r="M15" s="231"/>
      <c r="N15" s="232"/>
      <c r="O15" s="230"/>
      <c r="P15" s="231"/>
      <c r="Q15" s="232"/>
      <c r="R15" s="233"/>
      <c r="S15" s="234"/>
      <c r="T15" s="235"/>
      <c r="U15" s="233"/>
      <c r="V15" s="236"/>
      <c r="W15" s="234"/>
      <c r="X15" s="235"/>
      <c r="Y15" s="237"/>
      <c r="Z15" s="238"/>
    </row>
    <row r="16" spans="1:26" s="239" customFormat="1" ht="28.5" customHeight="1" x14ac:dyDescent="0.3">
      <c r="A16" s="222">
        <f t="shared" si="3"/>
        <v>0</v>
      </c>
      <c r="B16" s="223" t="b">
        <f t="shared" si="4"/>
        <v>1</v>
      </c>
      <c r="C16" s="222">
        <f t="shared" si="5"/>
        <v>0</v>
      </c>
      <c r="D16" s="205" t="str">
        <f t="shared" si="6"/>
        <v>$$$$</v>
      </c>
      <c r="E16" s="224"/>
      <c r="F16" s="225"/>
      <c r="G16" s="226"/>
      <c r="H16" s="227"/>
      <c r="I16" s="228"/>
      <c r="J16" s="228"/>
      <c r="K16" s="229"/>
      <c r="L16" s="230"/>
      <c r="M16" s="231"/>
      <c r="N16" s="232"/>
      <c r="O16" s="230"/>
      <c r="P16" s="231"/>
      <c r="Q16" s="232"/>
      <c r="R16" s="233"/>
      <c r="S16" s="234"/>
      <c r="T16" s="235"/>
      <c r="U16" s="233"/>
      <c r="V16" s="236"/>
      <c r="W16" s="234"/>
      <c r="X16" s="235"/>
      <c r="Y16" s="237"/>
      <c r="Z16" s="238"/>
    </row>
    <row r="17" spans="1:26" s="239" customFormat="1" ht="28.5" customHeight="1" x14ac:dyDescent="0.3">
      <c r="A17" s="222">
        <f t="shared" si="3"/>
        <v>0</v>
      </c>
      <c r="B17" s="223" t="b">
        <f t="shared" si="4"/>
        <v>1</v>
      </c>
      <c r="C17" s="222">
        <f t="shared" si="5"/>
        <v>0</v>
      </c>
      <c r="D17" s="205" t="str">
        <f t="shared" si="6"/>
        <v>$$$$</v>
      </c>
      <c r="E17" s="224"/>
      <c r="F17" s="225"/>
      <c r="G17" s="226"/>
      <c r="H17" s="227"/>
      <c r="I17" s="228"/>
      <c r="J17" s="228"/>
      <c r="K17" s="229"/>
      <c r="L17" s="230"/>
      <c r="M17" s="231"/>
      <c r="N17" s="232"/>
      <c r="O17" s="230"/>
      <c r="P17" s="231"/>
      <c r="Q17" s="232"/>
      <c r="R17" s="233"/>
      <c r="S17" s="234"/>
      <c r="T17" s="235"/>
      <c r="U17" s="233"/>
      <c r="V17" s="236"/>
      <c r="W17" s="234"/>
      <c r="X17" s="235"/>
      <c r="Y17" s="237"/>
      <c r="Z17" s="238"/>
    </row>
    <row r="18" spans="1:26" s="239" customFormat="1" ht="28.5" customHeight="1" x14ac:dyDescent="0.3">
      <c r="A18" s="222">
        <f t="shared" si="3"/>
        <v>0</v>
      </c>
      <c r="B18" s="223" t="b">
        <f t="shared" si="4"/>
        <v>1</v>
      </c>
      <c r="C18" s="222">
        <f t="shared" si="5"/>
        <v>0</v>
      </c>
      <c r="D18" s="205" t="str">
        <f t="shared" si="6"/>
        <v>$$$$</v>
      </c>
      <c r="E18" s="224"/>
      <c r="F18" s="225"/>
      <c r="G18" s="226"/>
      <c r="H18" s="227"/>
      <c r="I18" s="228"/>
      <c r="J18" s="228"/>
      <c r="K18" s="229"/>
      <c r="L18" s="230"/>
      <c r="M18" s="231"/>
      <c r="N18" s="232"/>
      <c r="O18" s="230"/>
      <c r="P18" s="231"/>
      <c r="Q18" s="232"/>
      <c r="R18" s="233"/>
      <c r="S18" s="234"/>
      <c r="T18" s="235"/>
      <c r="U18" s="233"/>
      <c r="V18" s="236"/>
      <c r="W18" s="234"/>
      <c r="X18" s="235"/>
      <c r="Y18" s="237"/>
      <c r="Z18" s="238"/>
    </row>
    <row r="19" spans="1:26" s="239" customFormat="1" ht="28.5" customHeight="1" x14ac:dyDescent="0.3">
      <c r="A19" s="222">
        <f t="shared" si="3"/>
        <v>0</v>
      </c>
      <c r="B19" s="223" t="b">
        <f t="shared" si="4"/>
        <v>1</v>
      </c>
      <c r="C19" s="222">
        <f t="shared" si="5"/>
        <v>0</v>
      </c>
      <c r="D19" s="205" t="str">
        <f t="shared" si="6"/>
        <v>$$$$</v>
      </c>
      <c r="E19" s="224"/>
      <c r="F19" s="225"/>
      <c r="G19" s="226"/>
      <c r="H19" s="227"/>
      <c r="I19" s="228"/>
      <c r="J19" s="228"/>
      <c r="K19" s="229"/>
      <c r="L19" s="230"/>
      <c r="M19" s="231"/>
      <c r="N19" s="232"/>
      <c r="O19" s="230"/>
      <c r="P19" s="231"/>
      <c r="Q19" s="232"/>
      <c r="R19" s="233"/>
      <c r="S19" s="234"/>
      <c r="T19" s="235"/>
      <c r="U19" s="233"/>
      <c r="V19" s="236"/>
      <c r="W19" s="234"/>
      <c r="X19" s="235"/>
      <c r="Y19" s="237"/>
      <c r="Z19" s="238"/>
    </row>
    <row r="20" spans="1:26" s="239" customFormat="1" ht="28.5" customHeight="1" x14ac:dyDescent="0.3">
      <c r="A20" s="222">
        <f t="shared" si="3"/>
        <v>0</v>
      </c>
      <c r="B20" s="223" t="b">
        <f t="shared" si="4"/>
        <v>1</v>
      </c>
      <c r="C20" s="222">
        <f t="shared" si="5"/>
        <v>0</v>
      </c>
      <c r="D20" s="205" t="str">
        <f t="shared" si="6"/>
        <v>$$$$</v>
      </c>
      <c r="E20" s="224"/>
      <c r="F20" s="225"/>
      <c r="G20" s="226"/>
      <c r="H20" s="227"/>
      <c r="I20" s="228"/>
      <c r="J20" s="228"/>
      <c r="K20" s="229"/>
      <c r="L20" s="230"/>
      <c r="M20" s="231"/>
      <c r="N20" s="232"/>
      <c r="O20" s="230"/>
      <c r="P20" s="231"/>
      <c r="Q20" s="232"/>
      <c r="R20" s="233"/>
      <c r="S20" s="234"/>
      <c r="T20" s="235"/>
      <c r="U20" s="233"/>
      <c r="V20" s="236"/>
      <c r="W20" s="234"/>
      <c r="X20" s="235"/>
      <c r="Y20" s="237"/>
      <c r="Z20" s="238"/>
    </row>
    <row r="21" spans="1:26" s="239" customFormat="1" ht="28.5" customHeight="1" x14ac:dyDescent="0.3">
      <c r="A21" s="222">
        <f t="shared" si="3"/>
        <v>0</v>
      </c>
      <c r="B21" s="223" t="b">
        <f t="shared" si="4"/>
        <v>1</v>
      </c>
      <c r="C21" s="222">
        <f t="shared" si="5"/>
        <v>0</v>
      </c>
      <c r="D21" s="205" t="str">
        <f t="shared" si="6"/>
        <v>$$$$</v>
      </c>
      <c r="E21" s="224"/>
      <c r="F21" s="225"/>
      <c r="G21" s="226"/>
      <c r="H21" s="227"/>
      <c r="I21" s="228"/>
      <c r="J21" s="228"/>
      <c r="K21" s="229"/>
      <c r="L21" s="230"/>
      <c r="M21" s="231"/>
      <c r="N21" s="232"/>
      <c r="O21" s="230"/>
      <c r="P21" s="231"/>
      <c r="Q21" s="232"/>
      <c r="R21" s="233"/>
      <c r="S21" s="234"/>
      <c r="T21" s="235"/>
      <c r="U21" s="233"/>
      <c r="V21" s="236"/>
      <c r="W21" s="234"/>
      <c r="X21" s="235"/>
      <c r="Y21" s="237"/>
      <c r="Z21" s="238"/>
    </row>
    <row r="22" spans="1:26" s="239" customFormat="1" ht="28.5" customHeight="1" x14ac:dyDescent="0.3">
      <c r="A22" s="222">
        <f t="shared" si="3"/>
        <v>0</v>
      </c>
      <c r="B22" s="223" t="b">
        <f t="shared" si="4"/>
        <v>1</v>
      </c>
      <c r="C22" s="222">
        <f t="shared" si="5"/>
        <v>0</v>
      </c>
      <c r="D22" s="205" t="str">
        <f t="shared" si="6"/>
        <v>$$$$</v>
      </c>
      <c r="E22" s="224"/>
      <c r="F22" s="225"/>
      <c r="G22" s="226"/>
      <c r="H22" s="227"/>
      <c r="I22" s="228"/>
      <c r="J22" s="228"/>
      <c r="K22" s="229"/>
      <c r="L22" s="230"/>
      <c r="M22" s="231"/>
      <c r="N22" s="232"/>
      <c r="O22" s="230"/>
      <c r="P22" s="231"/>
      <c r="Q22" s="232"/>
      <c r="R22" s="233"/>
      <c r="S22" s="234"/>
      <c r="T22" s="235"/>
      <c r="U22" s="233"/>
      <c r="V22" s="236"/>
      <c r="W22" s="234"/>
      <c r="X22" s="235"/>
      <c r="Y22" s="237"/>
      <c r="Z22" s="238"/>
    </row>
    <row r="23" spans="1:26" s="239" customFormat="1" ht="28.5" customHeight="1" x14ac:dyDescent="0.3">
      <c r="A23" s="222">
        <f t="shared" si="3"/>
        <v>0</v>
      </c>
      <c r="B23" s="223" t="b">
        <f t="shared" si="4"/>
        <v>1</v>
      </c>
      <c r="C23" s="222">
        <f t="shared" si="5"/>
        <v>0</v>
      </c>
      <c r="D23" s="205" t="str">
        <f t="shared" si="6"/>
        <v>$$$$</v>
      </c>
      <c r="E23" s="224"/>
      <c r="F23" s="225"/>
      <c r="G23" s="226"/>
      <c r="H23" s="227"/>
      <c r="I23" s="228"/>
      <c r="J23" s="228"/>
      <c r="K23" s="229"/>
      <c r="L23" s="230"/>
      <c r="M23" s="231"/>
      <c r="N23" s="232"/>
      <c r="O23" s="230"/>
      <c r="P23" s="231"/>
      <c r="Q23" s="232"/>
      <c r="R23" s="233"/>
      <c r="S23" s="234"/>
      <c r="T23" s="235"/>
      <c r="U23" s="233"/>
      <c r="V23" s="236"/>
      <c r="W23" s="234"/>
      <c r="X23" s="235"/>
      <c r="Y23" s="237"/>
      <c r="Z23" s="238"/>
    </row>
    <row r="24" spans="1:26" s="239" customFormat="1" ht="28.5" customHeight="1" x14ac:dyDescent="0.3">
      <c r="A24" s="222">
        <f t="shared" si="3"/>
        <v>0</v>
      </c>
      <c r="B24" s="223" t="b">
        <f t="shared" si="4"/>
        <v>1</v>
      </c>
      <c r="C24" s="222">
        <f t="shared" si="5"/>
        <v>0</v>
      </c>
      <c r="D24" s="205" t="str">
        <f t="shared" si="6"/>
        <v>$$$$</v>
      </c>
      <c r="E24" s="224"/>
      <c r="F24" s="225"/>
      <c r="G24" s="226"/>
      <c r="H24" s="227"/>
      <c r="I24" s="228"/>
      <c r="J24" s="228"/>
      <c r="K24" s="229"/>
      <c r="L24" s="230"/>
      <c r="M24" s="231"/>
      <c r="N24" s="232"/>
      <c r="O24" s="230"/>
      <c r="P24" s="231"/>
      <c r="Q24" s="232"/>
      <c r="R24" s="233"/>
      <c r="S24" s="234"/>
      <c r="T24" s="235"/>
      <c r="U24" s="233"/>
      <c r="V24" s="236"/>
      <c r="W24" s="234"/>
      <c r="X24" s="235"/>
      <c r="Y24" s="237"/>
      <c r="Z24" s="238"/>
    </row>
    <row r="25" spans="1:26" s="239" customFormat="1" ht="28.5" customHeight="1" x14ac:dyDescent="0.3">
      <c r="A25" s="222">
        <f t="shared" si="3"/>
        <v>0</v>
      </c>
      <c r="B25" s="223" t="b">
        <f t="shared" si="4"/>
        <v>1</v>
      </c>
      <c r="C25" s="222">
        <f t="shared" si="5"/>
        <v>0</v>
      </c>
      <c r="D25" s="205" t="str">
        <f t="shared" si="6"/>
        <v>$$$$</v>
      </c>
      <c r="E25" s="224"/>
      <c r="F25" s="225"/>
      <c r="G25" s="226"/>
      <c r="H25" s="227"/>
      <c r="I25" s="228"/>
      <c r="J25" s="228"/>
      <c r="K25" s="229"/>
      <c r="L25" s="230"/>
      <c r="M25" s="231"/>
      <c r="N25" s="232"/>
      <c r="O25" s="230"/>
      <c r="P25" s="231"/>
      <c r="Q25" s="232"/>
      <c r="R25" s="233"/>
      <c r="S25" s="234"/>
      <c r="T25" s="235"/>
      <c r="U25" s="233"/>
      <c r="V25" s="236"/>
      <c r="W25" s="234"/>
      <c r="X25" s="235"/>
      <c r="Y25" s="237"/>
      <c r="Z25" s="238"/>
    </row>
    <row r="26" spans="1:26" s="239" customFormat="1" ht="28.5" customHeight="1" x14ac:dyDescent="0.3">
      <c r="A26" s="222">
        <f t="shared" si="3"/>
        <v>0</v>
      </c>
      <c r="B26" s="223" t="b">
        <f t="shared" si="4"/>
        <v>1</v>
      </c>
      <c r="C26" s="222">
        <f t="shared" si="5"/>
        <v>0</v>
      </c>
      <c r="D26" s="205" t="str">
        <f t="shared" si="6"/>
        <v>$$$$</v>
      </c>
      <c r="E26" s="224"/>
      <c r="F26" s="225"/>
      <c r="G26" s="226"/>
      <c r="H26" s="227"/>
      <c r="I26" s="228"/>
      <c r="J26" s="228"/>
      <c r="K26" s="229"/>
      <c r="L26" s="230"/>
      <c r="M26" s="231"/>
      <c r="N26" s="232"/>
      <c r="O26" s="230"/>
      <c r="P26" s="231"/>
      <c r="Q26" s="232"/>
      <c r="R26" s="233"/>
      <c r="S26" s="234"/>
      <c r="T26" s="235"/>
      <c r="U26" s="233"/>
      <c r="V26" s="236"/>
      <c r="W26" s="234"/>
      <c r="X26" s="235"/>
      <c r="Y26" s="237"/>
      <c r="Z26" s="238"/>
    </row>
    <row r="27" spans="1:26" s="239" customFormat="1" ht="28.5" customHeight="1" x14ac:dyDescent="0.3">
      <c r="A27" s="222">
        <f t="shared" si="3"/>
        <v>0</v>
      </c>
      <c r="B27" s="223" t="b">
        <f t="shared" si="4"/>
        <v>1</v>
      </c>
      <c r="C27" s="222">
        <f t="shared" si="5"/>
        <v>0</v>
      </c>
      <c r="D27" s="205" t="str">
        <f t="shared" si="6"/>
        <v>$$$$</v>
      </c>
      <c r="E27" s="224"/>
      <c r="F27" s="225"/>
      <c r="G27" s="226"/>
      <c r="H27" s="227"/>
      <c r="I27" s="228"/>
      <c r="J27" s="228"/>
      <c r="K27" s="229"/>
      <c r="L27" s="230"/>
      <c r="M27" s="231"/>
      <c r="N27" s="232"/>
      <c r="O27" s="230"/>
      <c r="P27" s="231"/>
      <c r="Q27" s="232"/>
      <c r="R27" s="233"/>
      <c r="S27" s="234"/>
      <c r="T27" s="235"/>
      <c r="U27" s="233"/>
      <c r="V27" s="236"/>
      <c r="W27" s="234"/>
      <c r="X27" s="235"/>
      <c r="Y27" s="237"/>
      <c r="Z27" s="238"/>
    </row>
    <row r="28" spans="1:26" s="239" customFormat="1" ht="28.5" customHeight="1" x14ac:dyDescent="0.3">
      <c r="A28" s="222">
        <f t="shared" si="3"/>
        <v>0</v>
      </c>
      <c r="B28" s="223" t="b">
        <f t="shared" si="4"/>
        <v>1</v>
      </c>
      <c r="C28" s="222">
        <f t="shared" si="5"/>
        <v>0</v>
      </c>
      <c r="D28" s="205" t="str">
        <f t="shared" si="6"/>
        <v>$$$$</v>
      </c>
      <c r="E28" s="224"/>
      <c r="F28" s="225"/>
      <c r="G28" s="226"/>
      <c r="H28" s="227"/>
      <c r="I28" s="228"/>
      <c r="J28" s="228"/>
      <c r="K28" s="229"/>
      <c r="L28" s="230"/>
      <c r="M28" s="231"/>
      <c r="N28" s="232"/>
      <c r="O28" s="230"/>
      <c r="P28" s="231"/>
      <c r="Q28" s="232"/>
      <c r="R28" s="233"/>
      <c r="S28" s="234"/>
      <c r="T28" s="235"/>
      <c r="U28" s="233"/>
      <c r="V28" s="236"/>
      <c r="W28" s="234"/>
      <c r="X28" s="235"/>
      <c r="Y28" s="237"/>
      <c r="Z28" s="238"/>
    </row>
    <row r="29" spans="1:26" s="239" customFormat="1" ht="28.5" customHeight="1" x14ac:dyDescent="0.3">
      <c r="A29" s="222">
        <f t="shared" si="3"/>
        <v>0</v>
      </c>
      <c r="B29" s="223" t="b">
        <f t="shared" si="4"/>
        <v>1</v>
      </c>
      <c r="C29" s="222">
        <f t="shared" si="5"/>
        <v>0</v>
      </c>
      <c r="D29" s="205" t="str">
        <f t="shared" si="6"/>
        <v>$$$$</v>
      </c>
      <c r="E29" s="224"/>
      <c r="F29" s="225"/>
      <c r="G29" s="226"/>
      <c r="H29" s="227"/>
      <c r="I29" s="228"/>
      <c r="J29" s="228"/>
      <c r="K29" s="229"/>
      <c r="L29" s="230"/>
      <c r="M29" s="231"/>
      <c r="N29" s="232"/>
      <c r="O29" s="230"/>
      <c r="P29" s="231"/>
      <c r="Q29" s="232"/>
      <c r="R29" s="233"/>
      <c r="S29" s="234"/>
      <c r="T29" s="235"/>
      <c r="U29" s="233"/>
      <c r="V29" s="236"/>
      <c r="W29" s="234"/>
      <c r="X29" s="235"/>
      <c r="Y29" s="237"/>
      <c r="Z29" s="238"/>
    </row>
    <row r="30" spans="1:26" s="239" customFormat="1" ht="28.5" customHeight="1" x14ac:dyDescent="0.3">
      <c r="A30" s="222">
        <f t="shared" si="3"/>
        <v>0</v>
      </c>
      <c r="B30" s="223" t="b">
        <f t="shared" si="4"/>
        <v>1</v>
      </c>
      <c r="C30" s="222">
        <f t="shared" si="5"/>
        <v>0</v>
      </c>
      <c r="D30" s="205" t="str">
        <f t="shared" si="6"/>
        <v>$$$$</v>
      </c>
      <c r="E30" s="224"/>
      <c r="F30" s="225"/>
      <c r="G30" s="226"/>
      <c r="H30" s="227"/>
      <c r="I30" s="228"/>
      <c r="J30" s="228"/>
      <c r="K30" s="229"/>
      <c r="L30" s="230"/>
      <c r="M30" s="231"/>
      <c r="N30" s="232"/>
      <c r="O30" s="230"/>
      <c r="P30" s="231"/>
      <c r="Q30" s="232"/>
      <c r="R30" s="233"/>
      <c r="S30" s="234"/>
      <c r="T30" s="235"/>
      <c r="U30" s="233"/>
      <c r="V30" s="236"/>
      <c r="W30" s="234"/>
      <c r="X30" s="235"/>
      <c r="Y30" s="237"/>
      <c r="Z30" s="238"/>
    </row>
    <row r="31" spans="1:26" s="239" customFormat="1" ht="28.5" customHeight="1" x14ac:dyDescent="0.3">
      <c r="A31" s="222">
        <f t="shared" si="3"/>
        <v>0</v>
      </c>
      <c r="B31" s="223" t="b">
        <f t="shared" si="4"/>
        <v>1</v>
      </c>
      <c r="C31" s="222">
        <f t="shared" si="5"/>
        <v>0</v>
      </c>
      <c r="D31" s="205" t="str">
        <f t="shared" si="6"/>
        <v>$$$$</v>
      </c>
      <c r="E31" s="224"/>
      <c r="F31" s="225"/>
      <c r="G31" s="226"/>
      <c r="H31" s="227"/>
      <c r="I31" s="228"/>
      <c r="J31" s="228"/>
      <c r="K31" s="229"/>
      <c r="L31" s="230"/>
      <c r="M31" s="231"/>
      <c r="N31" s="232"/>
      <c r="O31" s="230"/>
      <c r="P31" s="231"/>
      <c r="Q31" s="232"/>
      <c r="R31" s="233"/>
      <c r="S31" s="234"/>
      <c r="T31" s="235"/>
      <c r="U31" s="233"/>
      <c r="V31" s="236"/>
      <c r="W31" s="234"/>
      <c r="X31" s="235"/>
      <c r="Y31" s="237"/>
      <c r="Z31" s="238"/>
    </row>
    <row r="32" spans="1:26" s="239" customFormat="1" ht="28.5" customHeight="1" x14ac:dyDescent="0.3">
      <c r="A32" s="222">
        <f t="shared" si="3"/>
        <v>0</v>
      </c>
      <c r="B32" s="223" t="b">
        <f t="shared" si="4"/>
        <v>1</v>
      </c>
      <c r="C32" s="222">
        <f t="shared" si="5"/>
        <v>0</v>
      </c>
      <c r="D32" s="205" t="str">
        <f t="shared" si="6"/>
        <v>$$$$</v>
      </c>
      <c r="E32" s="224"/>
      <c r="F32" s="225"/>
      <c r="G32" s="226"/>
      <c r="H32" s="227"/>
      <c r="I32" s="228"/>
      <c r="J32" s="228"/>
      <c r="K32" s="229"/>
      <c r="L32" s="230"/>
      <c r="M32" s="231"/>
      <c r="N32" s="232"/>
      <c r="O32" s="230"/>
      <c r="P32" s="231"/>
      <c r="Q32" s="232"/>
      <c r="R32" s="233"/>
      <c r="S32" s="234"/>
      <c r="T32" s="235"/>
      <c r="U32" s="233"/>
      <c r="V32" s="236"/>
      <c r="W32" s="234"/>
      <c r="X32" s="235"/>
      <c r="Y32" s="237"/>
      <c r="Z32" s="238"/>
    </row>
    <row r="33" spans="1:26" s="239" customFormat="1" ht="28.5" customHeight="1" x14ac:dyDescent="0.3">
      <c r="A33" s="222">
        <f t="shared" si="3"/>
        <v>0</v>
      </c>
      <c r="B33" s="223" t="b">
        <f t="shared" si="4"/>
        <v>1</v>
      </c>
      <c r="C33" s="222">
        <f t="shared" si="5"/>
        <v>0</v>
      </c>
      <c r="D33" s="205" t="str">
        <f t="shared" si="6"/>
        <v>$$$$</v>
      </c>
      <c r="E33" s="224"/>
      <c r="F33" s="225"/>
      <c r="G33" s="226"/>
      <c r="H33" s="227"/>
      <c r="I33" s="228"/>
      <c r="J33" s="228"/>
      <c r="K33" s="229"/>
      <c r="L33" s="230"/>
      <c r="M33" s="231"/>
      <c r="N33" s="232"/>
      <c r="O33" s="230"/>
      <c r="P33" s="231"/>
      <c r="Q33" s="232"/>
      <c r="R33" s="233"/>
      <c r="S33" s="234"/>
      <c r="T33" s="235"/>
      <c r="U33" s="233"/>
      <c r="V33" s="236"/>
      <c r="W33" s="234"/>
      <c r="X33" s="235"/>
      <c r="Y33" s="237"/>
      <c r="Z33" s="238"/>
    </row>
    <row r="34" spans="1:26" s="239" customFormat="1" ht="28.5" customHeight="1" x14ac:dyDescent="0.3">
      <c r="A34" s="222">
        <f t="shared" si="3"/>
        <v>0</v>
      </c>
      <c r="B34" s="223" t="b">
        <f t="shared" si="4"/>
        <v>1</v>
      </c>
      <c r="C34" s="222">
        <f t="shared" si="5"/>
        <v>0</v>
      </c>
      <c r="D34" s="205" t="str">
        <f t="shared" si="6"/>
        <v>$$$$</v>
      </c>
      <c r="E34" s="224"/>
      <c r="F34" s="225"/>
      <c r="G34" s="226"/>
      <c r="H34" s="227"/>
      <c r="I34" s="228"/>
      <c r="J34" s="228"/>
      <c r="K34" s="229"/>
      <c r="L34" s="230"/>
      <c r="M34" s="231"/>
      <c r="N34" s="232"/>
      <c r="O34" s="230"/>
      <c r="P34" s="231"/>
      <c r="Q34" s="232"/>
      <c r="R34" s="233"/>
      <c r="S34" s="234"/>
      <c r="T34" s="235"/>
      <c r="U34" s="233"/>
      <c r="V34" s="236"/>
      <c r="W34" s="234"/>
      <c r="X34" s="235"/>
      <c r="Y34" s="237"/>
      <c r="Z34" s="238"/>
    </row>
    <row r="35" spans="1:26" s="239" customFormat="1" ht="28.5" customHeight="1" x14ac:dyDescent="0.3">
      <c r="A35" s="222">
        <f t="shared" si="3"/>
        <v>0</v>
      </c>
      <c r="B35" s="223" t="b">
        <f t="shared" si="4"/>
        <v>1</v>
      </c>
      <c r="C35" s="222">
        <f t="shared" si="5"/>
        <v>0</v>
      </c>
      <c r="D35" s="205" t="str">
        <f t="shared" si="6"/>
        <v>$$$$</v>
      </c>
      <c r="E35" s="224"/>
      <c r="F35" s="225"/>
      <c r="G35" s="226"/>
      <c r="H35" s="227"/>
      <c r="I35" s="228"/>
      <c r="J35" s="228"/>
      <c r="K35" s="229"/>
      <c r="L35" s="230"/>
      <c r="M35" s="231"/>
      <c r="N35" s="232"/>
      <c r="O35" s="230"/>
      <c r="P35" s="231"/>
      <c r="Q35" s="232"/>
      <c r="R35" s="233"/>
      <c r="S35" s="234"/>
      <c r="T35" s="235"/>
      <c r="U35" s="233"/>
      <c r="V35" s="236"/>
      <c r="W35" s="234"/>
      <c r="X35" s="235"/>
      <c r="Y35" s="237"/>
      <c r="Z35" s="238"/>
    </row>
    <row r="36" spans="1:26" s="239" customFormat="1" ht="28.5" customHeight="1" x14ac:dyDescent="0.3">
      <c r="A36" s="222">
        <f t="shared" si="3"/>
        <v>0</v>
      </c>
      <c r="B36" s="223" t="b">
        <f t="shared" si="4"/>
        <v>1</v>
      </c>
      <c r="C36" s="222">
        <f t="shared" si="5"/>
        <v>0</v>
      </c>
      <c r="D36" s="205" t="str">
        <f t="shared" si="6"/>
        <v>$$$$</v>
      </c>
      <c r="E36" s="224"/>
      <c r="F36" s="225"/>
      <c r="G36" s="226"/>
      <c r="H36" s="227"/>
      <c r="I36" s="228"/>
      <c r="J36" s="228"/>
      <c r="K36" s="229"/>
      <c r="L36" s="230"/>
      <c r="M36" s="231"/>
      <c r="N36" s="232"/>
      <c r="O36" s="230"/>
      <c r="P36" s="231"/>
      <c r="Q36" s="232"/>
      <c r="R36" s="233"/>
      <c r="S36" s="234"/>
      <c r="T36" s="235"/>
      <c r="U36" s="233"/>
      <c r="V36" s="236"/>
      <c r="W36" s="234"/>
      <c r="X36" s="235"/>
      <c r="Y36" s="237"/>
      <c r="Z36" s="238"/>
    </row>
    <row r="37" spans="1:26" s="239" customFormat="1" ht="28.5" customHeight="1" x14ac:dyDescent="0.3">
      <c r="A37" s="222">
        <f t="shared" si="3"/>
        <v>0</v>
      </c>
      <c r="B37" s="223" t="b">
        <f t="shared" si="4"/>
        <v>1</v>
      </c>
      <c r="C37" s="222">
        <f t="shared" si="5"/>
        <v>0</v>
      </c>
      <c r="D37" s="205" t="str">
        <f t="shared" si="6"/>
        <v>$$$$</v>
      </c>
      <c r="E37" s="224"/>
      <c r="F37" s="225"/>
      <c r="G37" s="226"/>
      <c r="H37" s="227"/>
      <c r="I37" s="228"/>
      <c r="J37" s="228"/>
      <c r="K37" s="229"/>
      <c r="L37" s="230"/>
      <c r="M37" s="231"/>
      <c r="N37" s="232"/>
      <c r="O37" s="230"/>
      <c r="P37" s="231"/>
      <c r="Q37" s="232"/>
      <c r="R37" s="233"/>
      <c r="S37" s="234"/>
      <c r="T37" s="235"/>
      <c r="U37" s="233"/>
      <c r="V37" s="236"/>
      <c r="W37" s="234"/>
      <c r="X37" s="235"/>
      <c r="Y37" s="237"/>
      <c r="Z37" s="238"/>
    </row>
    <row r="38" spans="1:26" s="239" customFormat="1" ht="28.5" customHeight="1" x14ac:dyDescent="0.3">
      <c r="A38" s="222">
        <f t="shared" si="3"/>
        <v>0</v>
      </c>
      <c r="B38" s="223" t="b">
        <f t="shared" si="4"/>
        <v>1</v>
      </c>
      <c r="C38" s="222">
        <f t="shared" si="5"/>
        <v>0</v>
      </c>
      <c r="D38" s="205" t="str">
        <f t="shared" si="6"/>
        <v>$$$$</v>
      </c>
      <c r="E38" s="224"/>
      <c r="F38" s="225"/>
      <c r="G38" s="226"/>
      <c r="H38" s="227"/>
      <c r="I38" s="228"/>
      <c r="J38" s="228"/>
      <c r="K38" s="229"/>
      <c r="L38" s="230"/>
      <c r="M38" s="231"/>
      <c r="N38" s="232"/>
      <c r="O38" s="230"/>
      <c r="P38" s="231"/>
      <c r="Q38" s="232"/>
      <c r="R38" s="233"/>
      <c r="S38" s="234"/>
      <c r="T38" s="235"/>
      <c r="U38" s="233"/>
      <c r="V38" s="236"/>
      <c r="W38" s="234"/>
      <c r="X38" s="235"/>
      <c r="Y38" s="237"/>
      <c r="Z38" s="238"/>
    </row>
    <row r="39" spans="1:26" s="239" customFormat="1" ht="28.5" customHeight="1" x14ac:dyDescent="0.3">
      <c r="A39" s="222">
        <f t="shared" ref="A39:A70" si="7">IF(B39,0,MATCH(H39,ВидыНагр,0))</f>
        <v>0</v>
      </c>
      <c r="B39" s="223" t="b">
        <f t="shared" ref="B39:B70" si="8">(COUNTIF(КлючВесна,D39)&lt;&gt;1)</f>
        <v>1</v>
      </c>
      <c r="C39" s="222">
        <f t="shared" ref="C39:C70" si="9">IF(COUNTA(E39:K39,Z39)&gt;0,1,0)+IF(COUNTA(L39:Y39)&gt;0,2,0)</f>
        <v>0</v>
      </c>
      <c r="D39" s="205" t="str">
        <f t="shared" si="6"/>
        <v>$$$$</v>
      </c>
      <c r="E39" s="224"/>
      <c r="F39" s="225"/>
      <c r="G39" s="226"/>
      <c r="H39" s="227"/>
      <c r="I39" s="228"/>
      <c r="J39" s="228"/>
      <c r="K39" s="229"/>
      <c r="L39" s="230"/>
      <c r="M39" s="231"/>
      <c r="N39" s="232"/>
      <c r="O39" s="230"/>
      <c r="P39" s="231"/>
      <c r="Q39" s="232"/>
      <c r="R39" s="233"/>
      <c r="S39" s="234"/>
      <c r="T39" s="235"/>
      <c r="U39" s="233"/>
      <c r="V39" s="236"/>
      <c r="W39" s="234"/>
      <c r="X39" s="235"/>
      <c r="Y39" s="237"/>
      <c r="Z39" s="238"/>
    </row>
    <row r="40" spans="1:26" s="239" customFormat="1" ht="28.5" customHeight="1" x14ac:dyDescent="0.3">
      <c r="A40" s="222">
        <f t="shared" si="7"/>
        <v>0</v>
      </c>
      <c r="B40" s="223" t="b">
        <f t="shared" si="8"/>
        <v>1</v>
      </c>
      <c r="C40" s="222">
        <f t="shared" si="9"/>
        <v>0</v>
      </c>
      <c r="D40" s="205" t="str">
        <f t="shared" si="6"/>
        <v>$$$$</v>
      </c>
      <c r="E40" s="224"/>
      <c r="F40" s="225"/>
      <c r="G40" s="226"/>
      <c r="H40" s="227"/>
      <c r="I40" s="228"/>
      <c r="J40" s="228"/>
      <c r="K40" s="229"/>
      <c r="L40" s="230"/>
      <c r="M40" s="231"/>
      <c r="N40" s="232"/>
      <c r="O40" s="230"/>
      <c r="P40" s="231"/>
      <c r="Q40" s="232"/>
      <c r="R40" s="233"/>
      <c r="S40" s="234"/>
      <c r="T40" s="235"/>
      <c r="U40" s="233"/>
      <c r="V40" s="236"/>
      <c r="W40" s="234"/>
      <c r="X40" s="235"/>
      <c r="Y40" s="237"/>
      <c r="Z40" s="238"/>
    </row>
    <row r="41" spans="1:26" s="239" customFormat="1" ht="28.5" customHeight="1" x14ac:dyDescent="0.3">
      <c r="A41" s="222">
        <f t="shared" si="7"/>
        <v>0</v>
      </c>
      <c r="B41" s="223" t="b">
        <f t="shared" si="8"/>
        <v>1</v>
      </c>
      <c r="C41" s="222">
        <f t="shared" si="9"/>
        <v>0</v>
      </c>
      <c r="D41" s="205" t="str">
        <f t="shared" si="6"/>
        <v>$$$$</v>
      </c>
      <c r="E41" s="224"/>
      <c r="F41" s="225"/>
      <c r="G41" s="226"/>
      <c r="H41" s="227"/>
      <c r="I41" s="228"/>
      <c r="J41" s="228"/>
      <c r="K41" s="229"/>
      <c r="L41" s="230"/>
      <c r="M41" s="231"/>
      <c r="N41" s="232"/>
      <c r="O41" s="230"/>
      <c r="P41" s="231"/>
      <c r="Q41" s="232"/>
      <c r="R41" s="233"/>
      <c r="S41" s="234"/>
      <c r="T41" s="235"/>
      <c r="U41" s="233"/>
      <c r="V41" s="236"/>
      <c r="W41" s="234"/>
      <c r="X41" s="235"/>
      <c r="Y41" s="237"/>
      <c r="Z41" s="238"/>
    </row>
    <row r="42" spans="1:26" s="239" customFormat="1" ht="28.5" customHeight="1" x14ac:dyDescent="0.3">
      <c r="A42" s="222">
        <f t="shared" si="7"/>
        <v>0</v>
      </c>
      <c r="B42" s="223" t="b">
        <f t="shared" si="8"/>
        <v>1</v>
      </c>
      <c r="C42" s="222">
        <f t="shared" si="9"/>
        <v>0</v>
      </c>
      <c r="D42" s="205" t="str">
        <f t="shared" si="6"/>
        <v>$$$$</v>
      </c>
      <c r="E42" s="224"/>
      <c r="F42" s="225"/>
      <c r="G42" s="226"/>
      <c r="H42" s="227"/>
      <c r="I42" s="228"/>
      <c r="J42" s="228"/>
      <c r="K42" s="229"/>
      <c r="L42" s="230"/>
      <c r="M42" s="231"/>
      <c r="N42" s="232"/>
      <c r="O42" s="230"/>
      <c r="P42" s="231"/>
      <c r="Q42" s="232"/>
      <c r="R42" s="233"/>
      <c r="S42" s="234"/>
      <c r="T42" s="235"/>
      <c r="U42" s="233"/>
      <c r="V42" s="236"/>
      <c r="W42" s="234"/>
      <c r="X42" s="235"/>
      <c r="Y42" s="237"/>
      <c r="Z42" s="238"/>
    </row>
    <row r="43" spans="1:26" s="239" customFormat="1" ht="28.5" customHeight="1" x14ac:dyDescent="0.3">
      <c r="A43" s="222">
        <f t="shared" si="7"/>
        <v>0</v>
      </c>
      <c r="B43" s="223" t="b">
        <f t="shared" si="8"/>
        <v>1</v>
      </c>
      <c r="C43" s="222">
        <f t="shared" si="9"/>
        <v>0</v>
      </c>
      <c r="D43" s="205" t="str">
        <f t="shared" si="6"/>
        <v>$$$$</v>
      </c>
      <c r="E43" s="224"/>
      <c r="F43" s="225"/>
      <c r="G43" s="226"/>
      <c r="H43" s="227"/>
      <c r="I43" s="228"/>
      <c r="J43" s="228"/>
      <c r="K43" s="229"/>
      <c r="L43" s="230"/>
      <c r="M43" s="231"/>
      <c r="N43" s="232"/>
      <c r="O43" s="230"/>
      <c r="P43" s="231"/>
      <c r="Q43" s="232"/>
      <c r="R43" s="233"/>
      <c r="S43" s="234"/>
      <c r="T43" s="235"/>
      <c r="U43" s="233"/>
      <c r="V43" s="236"/>
      <c r="W43" s="234"/>
      <c r="X43" s="235"/>
      <c r="Y43" s="237"/>
      <c r="Z43" s="238"/>
    </row>
    <row r="44" spans="1:26" s="239" customFormat="1" ht="28.5" customHeight="1" x14ac:dyDescent="0.3">
      <c r="A44" s="222">
        <f t="shared" si="7"/>
        <v>0</v>
      </c>
      <c r="B44" s="223" t="b">
        <f t="shared" si="8"/>
        <v>1</v>
      </c>
      <c r="C44" s="222">
        <f t="shared" si="9"/>
        <v>0</v>
      </c>
      <c r="D44" s="205" t="str">
        <f t="shared" si="6"/>
        <v>$$$$</v>
      </c>
      <c r="E44" s="224"/>
      <c r="F44" s="225"/>
      <c r="G44" s="226"/>
      <c r="H44" s="227"/>
      <c r="I44" s="228"/>
      <c r="J44" s="228"/>
      <c r="K44" s="229"/>
      <c r="L44" s="230"/>
      <c r="M44" s="231"/>
      <c r="N44" s="232"/>
      <c r="O44" s="230"/>
      <c r="P44" s="231"/>
      <c r="Q44" s="232"/>
      <c r="R44" s="233"/>
      <c r="S44" s="234"/>
      <c r="T44" s="235"/>
      <c r="U44" s="233"/>
      <c r="V44" s="236"/>
      <c r="W44" s="234"/>
      <c r="X44" s="235"/>
      <c r="Y44" s="237"/>
      <c r="Z44" s="238"/>
    </row>
    <row r="45" spans="1:26" s="239" customFormat="1" ht="28.5" customHeight="1" x14ac:dyDescent="0.3">
      <c r="A45" s="222">
        <f t="shared" si="7"/>
        <v>0</v>
      </c>
      <c r="B45" s="223" t="b">
        <f t="shared" si="8"/>
        <v>1</v>
      </c>
      <c r="C45" s="222">
        <f t="shared" si="9"/>
        <v>0</v>
      </c>
      <c r="D45" s="205" t="str">
        <f t="shared" si="6"/>
        <v>$$$$</v>
      </c>
      <c r="E45" s="224"/>
      <c r="F45" s="225"/>
      <c r="G45" s="226"/>
      <c r="H45" s="227"/>
      <c r="I45" s="228"/>
      <c r="J45" s="228"/>
      <c r="K45" s="229"/>
      <c r="L45" s="230"/>
      <c r="M45" s="231"/>
      <c r="N45" s="232"/>
      <c r="O45" s="230"/>
      <c r="P45" s="231"/>
      <c r="Q45" s="232"/>
      <c r="R45" s="233"/>
      <c r="S45" s="234"/>
      <c r="T45" s="235"/>
      <c r="U45" s="233"/>
      <c r="V45" s="236"/>
      <c r="W45" s="234"/>
      <c r="X45" s="235"/>
      <c r="Y45" s="237"/>
      <c r="Z45" s="238"/>
    </row>
    <row r="46" spans="1:26" s="239" customFormat="1" ht="28.5" customHeight="1" x14ac:dyDescent="0.3">
      <c r="A46" s="222">
        <f t="shared" si="7"/>
        <v>0</v>
      </c>
      <c r="B46" s="223" t="b">
        <f t="shared" si="8"/>
        <v>1</v>
      </c>
      <c r="C46" s="222">
        <f t="shared" si="9"/>
        <v>0</v>
      </c>
      <c r="D46" s="205" t="str">
        <f t="shared" si="6"/>
        <v>$$$$</v>
      </c>
      <c r="E46" s="224"/>
      <c r="F46" s="225"/>
      <c r="G46" s="226"/>
      <c r="H46" s="227"/>
      <c r="I46" s="228"/>
      <c r="J46" s="228"/>
      <c r="K46" s="229"/>
      <c r="L46" s="230"/>
      <c r="M46" s="231"/>
      <c r="N46" s="232"/>
      <c r="O46" s="230"/>
      <c r="P46" s="231"/>
      <c r="Q46" s="232"/>
      <c r="R46" s="233"/>
      <c r="S46" s="234"/>
      <c r="T46" s="235"/>
      <c r="U46" s="233"/>
      <c r="V46" s="236"/>
      <c r="W46" s="234"/>
      <c r="X46" s="235"/>
      <c r="Y46" s="237"/>
      <c r="Z46" s="238"/>
    </row>
    <row r="47" spans="1:26" s="239" customFormat="1" ht="28.5" customHeight="1" x14ac:dyDescent="0.3">
      <c r="A47" s="222">
        <f t="shared" si="7"/>
        <v>0</v>
      </c>
      <c r="B47" s="223" t="b">
        <f t="shared" si="8"/>
        <v>1</v>
      </c>
      <c r="C47" s="222">
        <f t="shared" si="9"/>
        <v>0</v>
      </c>
      <c r="D47" s="205" t="str">
        <f t="shared" si="6"/>
        <v>$$$$</v>
      </c>
      <c r="E47" s="224"/>
      <c r="F47" s="225"/>
      <c r="G47" s="226"/>
      <c r="H47" s="227"/>
      <c r="I47" s="228"/>
      <c r="J47" s="228"/>
      <c r="K47" s="229"/>
      <c r="L47" s="230"/>
      <c r="M47" s="231"/>
      <c r="N47" s="232"/>
      <c r="O47" s="230"/>
      <c r="P47" s="231"/>
      <c r="Q47" s="232"/>
      <c r="R47" s="233"/>
      <c r="S47" s="234"/>
      <c r="T47" s="235"/>
      <c r="U47" s="233"/>
      <c r="V47" s="236"/>
      <c r="W47" s="234"/>
      <c r="X47" s="235"/>
      <c r="Y47" s="237"/>
      <c r="Z47" s="238"/>
    </row>
    <row r="48" spans="1:26" s="239" customFormat="1" ht="28.5" customHeight="1" x14ac:dyDescent="0.3">
      <c r="A48" s="222">
        <f t="shared" si="7"/>
        <v>0</v>
      </c>
      <c r="B48" s="223" t="b">
        <f t="shared" si="8"/>
        <v>1</v>
      </c>
      <c r="C48" s="222">
        <f t="shared" si="9"/>
        <v>0</v>
      </c>
      <c r="D48" s="205" t="str">
        <f t="shared" si="6"/>
        <v>$$$$</v>
      </c>
      <c r="E48" s="224"/>
      <c r="F48" s="225"/>
      <c r="G48" s="226"/>
      <c r="H48" s="227"/>
      <c r="I48" s="228"/>
      <c r="J48" s="228"/>
      <c r="K48" s="229"/>
      <c r="L48" s="230"/>
      <c r="M48" s="231"/>
      <c r="N48" s="232"/>
      <c r="O48" s="230"/>
      <c r="P48" s="231"/>
      <c r="Q48" s="232"/>
      <c r="R48" s="233"/>
      <c r="S48" s="234"/>
      <c r="T48" s="235"/>
      <c r="U48" s="233"/>
      <c r="V48" s="236"/>
      <c r="W48" s="234"/>
      <c r="X48" s="235"/>
      <c r="Y48" s="237"/>
      <c r="Z48" s="238"/>
    </row>
    <row r="49" spans="1:26" s="239" customFormat="1" ht="28.5" customHeight="1" x14ac:dyDescent="0.3">
      <c r="A49" s="222">
        <f t="shared" si="7"/>
        <v>0</v>
      </c>
      <c r="B49" s="223" t="b">
        <f t="shared" si="8"/>
        <v>1</v>
      </c>
      <c r="C49" s="222">
        <f t="shared" si="9"/>
        <v>0</v>
      </c>
      <c r="D49" s="205" t="str">
        <f t="shared" si="6"/>
        <v>$$$$</v>
      </c>
      <c r="E49" s="224"/>
      <c r="F49" s="225"/>
      <c r="G49" s="226"/>
      <c r="H49" s="227"/>
      <c r="I49" s="228"/>
      <c r="J49" s="228"/>
      <c r="K49" s="229"/>
      <c r="L49" s="230"/>
      <c r="M49" s="231"/>
      <c r="N49" s="232"/>
      <c r="O49" s="230"/>
      <c r="P49" s="231"/>
      <c r="Q49" s="232"/>
      <c r="R49" s="233"/>
      <c r="S49" s="234"/>
      <c r="T49" s="235"/>
      <c r="U49" s="233"/>
      <c r="V49" s="236"/>
      <c r="W49" s="234"/>
      <c r="X49" s="235"/>
      <c r="Y49" s="237"/>
      <c r="Z49" s="238"/>
    </row>
    <row r="50" spans="1:26" s="239" customFormat="1" ht="28.5" customHeight="1" x14ac:dyDescent="0.3">
      <c r="A50" s="222">
        <f t="shared" si="7"/>
        <v>0</v>
      </c>
      <c r="B50" s="223" t="b">
        <f t="shared" si="8"/>
        <v>1</v>
      </c>
      <c r="C50" s="222">
        <f t="shared" si="9"/>
        <v>0</v>
      </c>
      <c r="D50" s="205" t="str">
        <f t="shared" si="6"/>
        <v>$$$$</v>
      </c>
      <c r="E50" s="224"/>
      <c r="F50" s="225"/>
      <c r="G50" s="226"/>
      <c r="H50" s="227"/>
      <c r="I50" s="228"/>
      <c r="J50" s="228"/>
      <c r="K50" s="229"/>
      <c r="L50" s="230"/>
      <c r="M50" s="231"/>
      <c r="N50" s="232"/>
      <c r="O50" s="230"/>
      <c r="P50" s="231"/>
      <c r="Q50" s="232"/>
      <c r="R50" s="233"/>
      <c r="S50" s="234"/>
      <c r="T50" s="235"/>
      <c r="U50" s="233"/>
      <c r="V50" s="236"/>
      <c r="W50" s="234"/>
      <c r="X50" s="235"/>
      <c r="Y50" s="237"/>
      <c r="Z50" s="238"/>
    </row>
    <row r="51" spans="1:26" s="239" customFormat="1" ht="28.5" customHeight="1" x14ac:dyDescent="0.3">
      <c r="A51" s="222">
        <f t="shared" si="7"/>
        <v>0</v>
      </c>
      <c r="B51" s="223" t="b">
        <f t="shared" si="8"/>
        <v>1</v>
      </c>
      <c r="C51" s="222">
        <f t="shared" si="9"/>
        <v>0</v>
      </c>
      <c r="D51" s="205" t="str">
        <f t="shared" si="6"/>
        <v>$$$$</v>
      </c>
      <c r="E51" s="224"/>
      <c r="F51" s="225"/>
      <c r="G51" s="226"/>
      <c r="H51" s="227"/>
      <c r="I51" s="228"/>
      <c r="J51" s="228"/>
      <c r="K51" s="229"/>
      <c r="L51" s="230"/>
      <c r="M51" s="231"/>
      <c r="N51" s="232"/>
      <c r="O51" s="230"/>
      <c r="P51" s="231"/>
      <c r="Q51" s="232"/>
      <c r="R51" s="233"/>
      <c r="S51" s="234"/>
      <c r="T51" s="235"/>
      <c r="U51" s="233"/>
      <c r="V51" s="236"/>
      <c r="W51" s="234"/>
      <c r="X51" s="235"/>
      <c r="Y51" s="237"/>
      <c r="Z51" s="238"/>
    </row>
    <row r="52" spans="1:26" s="239" customFormat="1" ht="28.5" customHeight="1" x14ac:dyDescent="0.3">
      <c r="A52" s="222">
        <f t="shared" si="7"/>
        <v>0</v>
      </c>
      <c r="B52" s="223" t="b">
        <f t="shared" si="8"/>
        <v>1</v>
      </c>
      <c r="C52" s="222">
        <f t="shared" si="9"/>
        <v>0</v>
      </c>
      <c r="D52" s="205" t="str">
        <f t="shared" si="6"/>
        <v>$$$$</v>
      </c>
      <c r="E52" s="224"/>
      <c r="F52" s="225"/>
      <c r="G52" s="226"/>
      <c r="H52" s="227"/>
      <c r="I52" s="228"/>
      <c r="J52" s="228"/>
      <c r="K52" s="229"/>
      <c r="L52" s="230"/>
      <c r="M52" s="231"/>
      <c r="N52" s="232"/>
      <c r="O52" s="230"/>
      <c r="P52" s="231"/>
      <c r="Q52" s="232"/>
      <c r="R52" s="233"/>
      <c r="S52" s="234"/>
      <c r="T52" s="235"/>
      <c r="U52" s="233"/>
      <c r="V52" s="236"/>
      <c r="W52" s="234"/>
      <c r="X52" s="235"/>
      <c r="Y52" s="237"/>
      <c r="Z52" s="238"/>
    </row>
    <row r="53" spans="1:26" s="239" customFormat="1" ht="28.5" customHeight="1" x14ac:dyDescent="0.3">
      <c r="A53" s="222">
        <f t="shared" si="7"/>
        <v>0</v>
      </c>
      <c r="B53" s="223" t="b">
        <f t="shared" si="8"/>
        <v>1</v>
      </c>
      <c r="C53" s="222">
        <f t="shared" si="9"/>
        <v>0</v>
      </c>
      <c r="D53" s="205" t="str">
        <f t="shared" si="6"/>
        <v>$$$$</v>
      </c>
      <c r="E53" s="224"/>
      <c r="F53" s="225"/>
      <c r="G53" s="226"/>
      <c r="H53" s="227"/>
      <c r="I53" s="228"/>
      <c r="J53" s="228"/>
      <c r="K53" s="229"/>
      <c r="L53" s="230"/>
      <c r="M53" s="231"/>
      <c r="N53" s="232"/>
      <c r="O53" s="230"/>
      <c r="P53" s="231"/>
      <c r="Q53" s="232"/>
      <c r="R53" s="233"/>
      <c r="S53" s="234"/>
      <c r="T53" s="235"/>
      <c r="U53" s="233"/>
      <c r="V53" s="236"/>
      <c r="W53" s="234"/>
      <c r="X53" s="235"/>
      <c r="Y53" s="237"/>
      <c r="Z53" s="238"/>
    </row>
    <row r="54" spans="1:26" s="239" customFormat="1" ht="28.5" customHeight="1" x14ac:dyDescent="0.3">
      <c r="A54" s="222">
        <f t="shared" si="7"/>
        <v>0</v>
      </c>
      <c r="B54" s="223" t="b">
        <f t="shared" si="8"/>
        <v>1</v>
      </c>
      <c r="C54" s="222">
        <f t="shared" si="9"/>
        <v>0</v>
      </c>
      <c r="D54" s="205" t="str">
        <f t="shared" si="6"/>
        <v>$$$$</v>
      </c>
      <c r="E54" s="224"/>
      <c r="F54" s="225"/>
      <c r="G54" s="226"/>
      <c r="H54" s="227"/>
      <c r="I54" s="228"/>
      <c r="J54" s="228"/>
      <c r="K54" s="229"/>
      <c r="L54" s="230"/>
      <c r="M54" s="231"/>
      <c r="N54" s="232"/>
      <c r="O54" s="230"/>
      <c r="P54" s="231"/>
      <c r="Q54" s="232"/>
      <c r="R54" s="233"/>
      <c r="S54" s="234"/>
      <c r="T54" s="235"/>
      <c r="U54" s="233"/>
      <c r="V54" s="236"/>
      <c r="W54" s="234"/>
      <c r="X54" s="235"/>
      <c r="Y54" s="237"/>
      <c r="Z54" s="238"/>
    </row>
    <row r="55" spans="1:26" s="239" customFormat="1" ht="28.5" customHeight="1" x14ac:dyDescent="0.3">
      <c r="A55" s="222">
        <f t="shared" si="7"/>
        <v>0</v>
      </c>
      <c r="B55" s="223" t="b">
        <f t="shared" si="8"/>
        <v>1</v>
      </c>
      <c r="C55" s="222">
        <f t="shared" si="9"/>
        <v>0</v>
      </c>
      <c r="D55" s="205" t="str">
        <f t="shared" si="6"/>
        <v>$$$$</v>
      </c>
      <c r="E55" s="224"/>
      <c r="F55" s="225"/>
      <c r="G55" s="226"/>
      <c r="H55" s="227"/>
      <c r="I55" s="228"/>
      <c r="J55" s="228"/>
      <c r="K55" s="229"/>
      <c r="L55" s="230"/>
      <c r="M55" s="231"/>
      <c r="N55" s="232"/>
      <c r="O55" s="230"/>
      <c r="P55" s="231"/>
      <c r="Q55" s="232"/>
      <c r="R55" s="233"/>
      <c r="S55" s="234"/>
      <c r="T55" s="235"/>
      <c r="U55" s="233"/>
      <c r="V55" s="236"/>
      <c r="W55" s="234"/>
      <c r="X55" s="235"/>
      <c r="Y55" s="237"/>
      <c r="Z55" s="238"/>
    </row>
    <row r="56" spans="1:26" s="239" customFormat="1" ht="28.5" customHeight="1" x14ac:dyDescent="0.3">
      <c r="A56" s="222">
        <f t="shared" si="7"/>
        <v>0</v>
      </c>
      <c r="B56" s="223" t="b">
        <f t="shared" si="8"/>
        <v>1</v>
      </c>
      <c r="C56" s="222">
        <f t="shared" si="9"/>
        <v>0</v>
      </c>
      <c r="D56" s="205" t="str">
        <f t="shared" si="6"/>
        <v>$$$$</v>
      </c>
      <c r="E56" s="224"/>
      <c r="F56" s="225"/>
      <c r="G56" s="226"/>
      <c r="H56" s="227"/>
      <c r="I56" s="228"/>
      <c r="J56" s="228"/>
      <c r="K56" s="229"/>
      <c r="L56" s="230"/>
      <c r="M56" s="231"/>
      <c r="N56" s="232"/>
      <c r="O56" s="230"/>
      <c r="P56" s="231"/>
      <c r="Q56" s="232"/>
      <c r="R56" s="233"/>
      <c r="S56" s="234"/>
      <c r="T56" s="235"/>
      <c r="U56" s="233"/>
      <c r="V56" s="236"/>
      <c r="W56" s="234"/>
      <c r="X56" s="235"/>
      <c r="Y56" s="237"/>
      <c r="Z56" s="238"/>
    </row>
    <row r="57" spans="1:26" s="239" customFormat="1" ht="28.5" customHeight="1" x14ac:dyDescent="0.3">
      <c r="A57" s="222">
        <f t="shared" si="7"/>
        <v>0</v>
      </c>
      <c r="B57" s="223" t="b">
        <f t="shared" si="8"/>
        <v>1</v>
      </c>
      <c r="C57" s="222">
        <f t="shared" si="9"/>
        <v>0</v>
      </c>
      <c r="D57" s="205" t="str">
        <f t="shared" si="6"/>
        <v>$$$$</v>
      </c>
      <c r="E57" s="224"/>
      <c r="F57" s="225"/>
      <c r="G57" s="226"/>
      <c r="H57" s="227"/>
      <c r="I57" s="228"/>
      <c r="J57" s="228"/>
      <c r="K57" s="229"/>
      <c r="L57" s="230"/>
      <c r="M57" s="231"/>
      <c r="N57" s="232"/>
      <c r="O57" s="230"/>
      <c r="P57" s="231"/>
      <c r="Q57" s="232"/>
      <c r="R57" s="233"/>
      <c r="S57" s="234"/>
      <c r="T57" s="235"/>
      <c r="U57" s="233"/>
      <c r="V57" s="236"/>
      <c r="W57" s="234"/>
      <c r="X57" s="235"/>
      <c r="Y57" s="237"/>
      <c r="Z57" s="238"/>
    </row>
    <row r="58" spans="1:26" s="239" customFormat="1" ht="28.5" customHeight="1" x14ac:dyDescent="0.3">
      <c r="A58" s="222">
        <f t="shared" si="7"/>
        <v>0</v>
      </c>
      <c r="B58" s="223" t="b">
        <f t="shared" si="8"/>
        <v>1</v>
      </c>
      <c r="C58" s="222">
        <f t="shared" si="9"/>
        <v>0</v>
      </c>
      <c r="D58" s="205" t="str">
        <f t="shared" si="6"/>
        <v>$$$$</v>
      </c>
      <c r="E58" s="224"/>
      <c r="F58" s="225"/>
      <c r="G58" s="226"/>
      <c r="H58" s="227"/>
      <c r="I58" s="228"/>
      <c r="J58" s="228"/>
      <c r="K58" s="229"/>
      <c r="L58" s="230"/>
      <c r="M58" s="231"/>
      <c r="N58" s="232"/>
      <c r="O58" s="230"/>
      <c r="P58" s="231"/>
      <c r="Q58" s="232"/>
      <c r="R58" s="233"/>
      <c r="S58" s="234"/>
      <c r="T58" s="235"/>
      <c r="U58" s="233"/>
      <c r="V58" s="236"/>
      <c r="W58" s="234"/>
      <c r="X58" s="235"/>
      <c r="Y58" s="237"/>
      <c r="Z58" s="238"/>
    </row>
    <row r="59" spans="1:26" s="239" customFormat="1" ht="28.5" customHeight="1" x14ac:dyDescent="0.3">
      <c r="A59" s="222">
        <f t="shared" si="7"/>
        <v>0</v>
      </c>
      <c r="B59" s="223" t="b">
        <f t="shared" si="8"/>
        <v>1</v>
      </c>
      <c r="C59" s="222">
        <f t="shared" si="9"/>
        <v>0</v>
      </c>
      <c r="D59" s="205" t="str">
        <f t="shared" si="6"/>
        <v>$$$$</v>
      </c>
      <c r="E59" s="224"/>
      <c r="F59" s="225"/>
      <c r="G59" s="226"/>
      <c r="H59" s="227"/>
      <c r="I59" s="228"/>
      <c r="J59" s="228"/>
      <c r="K59" s="229"/>
      <c r="L59" s="230"/>
      <c r="M59" s="231"/>
      <c r="N59" s="232"/>
      <c r="O59" s="230"/>
      <c r="P59" s="231"/>
      <c r="Q59" s="232"/>
      <c r="R59" s="233"/>
      <c r="S59" s="234"/>
      <c r="T59" s="235"/>
      <c r="U59" s="233"/>
      <c r="V59" s="236"/>
      <c r="W59" s="234"/>
      <c r="X59" s="235"/>
      <c r="Y59" s="237"/>
      <c r="Z59" s="238"/>
    </row>
    <row r="60" spans="1:26" s="239" customFormat="1" ht="28.5" customHeight="1" x14ac:dyDescent="0.3">
      <c r="A60" s="222">
        <f t="shared" si="7"/>
        <v>0</v>
      </c>
      <c r="B60" s="223" t="b">
        <f t="shared" si="8"/>
        <v>1</v>
      </c>
      <c r="C60" s="222">
        <f t="shared" si="9"/>
        <v>0</v>
      </c>
      <c r="D60" s="205" t="str">
        <f t="shared" si="6"/>
        <v>$$$$</v>
      </c>
      <c r="E60" s="224"/>
      <c r="F60" s="225"/>
      <c r="G60" s="226"/>
      <c r="H60" s="227"/>
      <c r="I60" s="228"/>
      <c r="J60" s="228"/>
      <c r="K60" s="229"/>
      <c r="L60" s="230"/>
      <c r="M60" s="231"/>
      <c r="N60" s="232"/>
      <c r="O60" s="230"/>
      <c r="P60" s="231"/>
      <c r="Q60" s="232"/>
      <c r="R60" s="233"/>
      <c r="S60" s="234"/>
      <c r="T60" s="235"/>
      <c r="U60" s="233"/>
      <c r="V60" s="236"/>
      <c r="W60" s="234"/>
      <c r="X60" s="235"/>
      <c r="Y60" s="237"/>
      <c r="Z60" s="238"/>
    </row>
    <row r="61" spans="1:26" s="239" customFormat="1" ht="28.5" customHeight="1" x14ac:dyDescent="0.3">
      <c r="A61" s="222">
        <f t="shared" si="7"/>
        <v>0</v>
      </c>
      <c r="B61" s="223" t="b">
        <f t="shared" si="8"/>
        <v>1</v>
      </c>
      <c r="C61" s="222">
        <f t="shared" si="9"/>
        <v>0</v>
      </c>
      <c r="D61" s="205" t="str">
        <f t="shared" si="6"/>
        <v>$$$$</v>
      </c>
      <c r="E61" s="224"/>
      <c r="F61" s="225"/>
      <c r="G61" s="226"/>
      <c r="H61" s="227"/>
      <c r="I61" s="228"/>
      <c r="J61" s="228"/>
      <c r="K61" s="229"/>
      <c r="L61" s="230"/>
      <c r="M61" s="231"/>
      <c r="N61" s="232"/>
      <c r="O61" s="230"/>
      <c r="P61" s="231"/>
      <c r="Q61" s="232"/>
      <c r="R61" s="233"/>
      <c r="S61" s="234"/>
      <c r="T61" s="235"/>
      <c r="U61" s="233"/>
      <c r="V61" s="236"/>
      <c r="W61" s="234"/>
      <c r="X61" s="235"/>
      <c r="Y61" s="237"/>
      <c r="Z61" s="238"/>
    </row>
    <row r="62" spans="1:26" s="239" customFormat="1" ht="28.5" customHeight="1" x14ac:dyDescent="0.3">
      <c r="A62" s="222">
        <f t="shared" si="7"/>
        <v>0</v>
      </c>
      <c r="B62" s="223" t="b">
        <f t="shared" si="8"/>
        <v>1</v>
      </c>
      <c r="C62" s="222">
        <f t="shared" si="9"/>
        <v>0</v>
      </c>
      <c r="D62" s="205" t="str">
        <f t="shared" si="6"/>
        <v>$$$$</v>
      </c>
      <c r="E62" s="224"/>
      <c r="F62" s="225"/>
      <c r="G62" s="226"/>
      <c r="H62" s="227"/>
      <c r="I62" s="228"/>
      <c r="J62" s="228"/>
      <c r="K62" s="229"/>
      <c r="L62" s="230"/>
      <c r="M62" s="231"/>
      <c r="N62" s="232"/>
      <c r="O62" s="230"/>
      <c r="P62" s="231"/>
      <c r="Q62" s="232"/>
      <c r="R62" s="233"/>
      <c r="S62" s="234"/>
      <c r="T62" s="235"/>
      <c r="U62" s="233"/>
      <c r="V62" s="236"/>
      <c r="W62" s="234"/>
      <c r="X62" s="235"/>
      <c r="Y62" s="237"/>
      <c r="Z62" s="238"/>
    </row>
    <row r="63" spans="1:26" s="239" customFormat="1" ht="28.5" customHeight="1" x14ac:dyDescent="0.3">
      <c r="A63" s="222">
        <f t="shared" si="7"/>
        <v>0</v>
      </c>
      <c r="B63" s="223" t="b">
        <f t="shared" si="8"/>
        <v>1</v>
      </c>
      <c r="C63" s="222">
        <f t="shared" si="9"/>
        <v>0</v>
      </c>
      <c r="D63" s="205" t="str">
        <f t="shared" si="6"/>
        <v>$$$$</v>
      </c>
      <c r="E63" s="224"/>
      <c r="F63" s="225"/>
      <c r="G63" s="226"/>
      <c r="H63" s="227"/>
      <c r="I63" s="228"/>
      <c r="J63" s="228"/>
      <c r="K63" s="229"/>
      <c r="L63" s="230"/>
      <c r="M63" s="231"/>
      <c r="N63" s="232"/>
      <c r="O63" s="230"/>
      <c r="P63" s="231"/>
      <c r="Q63" s="232"/>
      <c r="R63" s="233"/>
      <c r="S63" s="234"/>
      <c r="T63" s="235"/>
      <c r="U63" s="233"/>
      <c r="V63" s="236"/>
      <c r="W63" s="234"/>
      <c r="X63" s="235"/>
      <c r="Y63" s="237"/>
      <c r="Z63" s="238"/>
    </row>
    <row r="64" spans="1:26" s="239" customFormat="1" ht="28.5" customHeight="1" x14ac:dyDescent="0.3">
      <c r="A64" s="222">
        <f t="shared" si="7"/>
        <v>0</v>
      </c>
      <c r="B64" s="223" t="b">
        <f t="shared" si="8"/>
        <v>1</v>
      </c>
      <c r="C64" s="222">
        <f t="shared" si="9"/>
        <v>0</v>
      </c>
      <c r="D64" s="205" t="str">
        <f t="shared" si="6"/>
        <v>$$$$</v>
      </c>
      <c r="E64" s="224"/>
      <c r="F64" s="225"/>
      <c r="G64" s="226"/>
      <c r="H64" s="227"/>
      <c r="I64" s="228"/>
      <c r="J64" s="228"/>
      <c r="K64" s="229"/>
      <c r="L64" s="230"/>
      <c r="M64" s="231"/>
      <c r="N64" s="232"/>
      <c r="O64" s="230"/>
      <c r="P64" s="231"/>
      <c r="Q64" s="232"/>
      <c r="R64" s="233"/>
      <c r="S64" s="234"/>
      <c r="T64" s="235"/>
      <c r="U64" s="233"/>
      <c r="V64" s="236"/>
      <c r="W64" s="234"/>
      <c r="X64" s="235"/>
      <c r="Y64" s="237"/>
      <c r="Z64" s="238"/>
    </row>
    <row r="65" spans="1:26" s="239" customFormat="1" ht="28.5" customHeight="1" x14ac:dyDescent="0.3">
      <c r="A65" s="222">
        <f t="shared" si="7"/>
        <v>0</v>
      </c>
      <c r="B65" s="223" t="b">
        <f t="shared" si="8"/>
        <v>1</v>
      </c>
      <c r="C65" s="222">
        <f t="shared" si="9"/>
        <v>0</v>
      </c>
      <c r="D65" s="205" t="str">
        <f t="shared" si="6"/>
        <v>$$$$</v>
      </c>
      <c r="E65" s="224"/>
      <c r="F65" s="225"/>
      <c r="G65" s="226"/>
      <c r="H65" s="227"/>
      <c r="I65" s="228"/>
      <c r="J65" s="228"/>
      <c r="K65" s="229"/>
      <c r="L65" s="230"/>
      <c r="M65" s="231"/>
      <c r="N65" s="232"/>
      <c r="O65" s="230"/>
      <c r="P65" s="231"/>
      <c r="Q65" s="232"/>
      <c r="R65" s="233"/>
      <c r="S65" s="234"/>
      <c r="T65" s="235"/>
      <c r="U65" s="233"/>
      <c r="V65" s="236"/>
      <c r="W65" s="234"/>
      <c r="X65" s="235"/>
      <c r="Y65" s="237"/>
      <c r="Z65" s="238"/>
    </row>
    <row r="66" spans="1:26" s="239" customFormat="1" ht="28.5" customHeight="1" x14ac:dyDescent="0.3">
      <c r="A66" s="222">
        <f t="shared" si="7"/>
        <v>0</v>
      </c>
      <c r="B66" s="223" t="b">
        <f t="shared" si="8"/>
        <v>1</v>
      </c>
      <c r="C66" s="222">
        <f t="shared" si="9"/>
        <v>0</v>
      </c>
      <c r="D66" s="205" t="str">
        <f t="shared" si="6"/>
        <v>$$$$</v>
      </c>
      <c r="E66" s="224"/>
      <c r="F66" s="225"/>
      <c r="G66" s="226"/>
      <c r="H66" s="227"/>
      <c r="I66" s="228"/>
      <c r="J66" s="228"/>
      <c r="K66" s="229"/>
      <c r="L66" s="230"/>
      <c r="M66" s="231"/>
      <c r="N66" s="232"/>
      <c r="O66" s="230"/>
      <c r="P66" s="231"/>
      <c r="Q66" s="232"/>
      <c r="R66" s="233"/>
      <c r="S66" s="234"/>
      <c r="T66" s="235"/>
      <c r="U66" s="233"/>
      <c r="V66" s="236"/>
      <c r="W66" s="234"/>
      <c r="X66" s="235"/>
      <c r="Y66" s="237"/>
      <c r="Z66" s="238"/>
    </row>
    <row r="67" spans="1:26" s="239" customFormat="1" ht="28.5" customHeight="1" x14ac:dyDescent="0.3">
      <c r="A67" s="222">
        <f t="shared" si="7"/>
        <v>0</v>
      </c>
      <c r="B67" s="223" t="b">
        <f t="shared" si="8"/>
        <v>1</v>
      </c>
      <c r="C67" s="222">
        <f t="shared" si="9"/>
        <v>0</v>
      </c>
      <c r="D67" s="205" t="str">
        <f t="shared" si="6"/>
        <v>$$$$</v>
      </c>
      <c r="E67" s="224"/>
      <c r="F67" s="225"/>
      <c r="G67" s="226"/>
      <c r="H67" s="227"/>
      <c r="I67" s="228"/>
      <c r="J67" s="228"/>
      <c r="K67" s="229"/>
      <c r="L67" s="230"/>
      <c r="M67" s="231"/>
      <c r="N67" s="232"/>
      <c r="O67" s="230"/>
      <c r="P67" s="231"/>
      <c r="Q67" s="232"/>
      <c r="R67" s="233"/>
      <c r="S67" s="234"/>
      <c r="T67" s="235"/>
      <c r="U67" s="233"/>
      <c r="V67" s="236"/>
      <c r="W67" s="234"/>
      <c r="X67" s="235"/>
      <c r="Y67" s="237"/>
      <c r="Z67" s="238"/>
    </row>
    <row r="68" spans="1:26" s="239" customFormat="1" ht="28.5" customHeight="1" x14ac:dyDescent="0.3">
      <c r="A68" s="222">
        <f t="shared" si="7"/>
        <v>0</v>
      </c>
      <c r="B68" s="223" t="b">
        <f t="shared" si="8"/>
        <v>1</v>
      </c>
      <c r="C68" s="222">
        <f t="shared" si="9"/>
        <v>0</v>
      </c>
      <c r="D68" s="205" t="str">
        <f t="shared" si="6"/>
        <v>$$$$</v>
      </c>
      <c r="E68" s="224"/>
      <c r="F68" s="225"/>
      <c r="G68" s="226"/>
      <c r="H68" s="227"/>
      <c r="I68" s="228"/>
      <c r="J68" s="228"/>
      <c r="K68" s="229"/>
      <c r="L68" s="230"/>
      <c r="M68" s="231"/>
      <c r="N68" s="232"/>
      <c r="O68" s="230"/>
      <c r="P68" s="231"/>
      <c r="Q68" s="232"/>
      <c r="R68" s="233"/>
      <c r="S68" s="234"/>
      <c r="T68" s="235"/>
      <c r="U68" s="233"/>
      <c r="V68" s="236"/>
      <c r="W68" s="234"/>
      <c r="X68" s="235"/>
      <c r="Y68" s="237"/>
      <c r="Z68" s="238"/>
    </row>
    <row r="69" spans="1:26" s="239" customFormat="1" ht="28.5" customHeight="1" x14ac:dyDescent="0.3">
      <c r="A69" s="222">
        <f t="shared" si="7"/>
        <v>0</v>
      </c>
      <c r="B69" s="223" t="b">
        <f t="shared" si="8"/>
        <v>1</v>
      </c>
      <c r="C69" s="222">
        <f t="shared" si="9"/>
        <v>0</v>
      </c>
      <c r="D69" s="205" t="str">
        <f t="shared" si="6"/>
        <v>$$$$</v>
      </c>
      <c r="E69" s="224"/>
      <c r="F69" s="225"/>
      <c r="G69" s="226"/>
      <c r="H69" s="227"/>
      <c r="I69" s="228"/>
      <c r="J69" s="228"/>
      <c r="K69" s="229"/>
      <c r="L69" s="230"/>
      <c r="M69" s="231"/>
      <c r="N69" s="232"/>
      <c r="O69" s="230"/>
      <c r="P69" s="231"/>
      <c r="Q69" s="232"/>
      <c r="R69" s="233"/>
      <c r="S69" s="234"/>
      <c r="T69" s="235"/>
      <c r="U69" s="233"/>
      <c r="V69" s="236"/>
      <c r="W69" s="234"/>
      <c r="X69" s="235"/>
      <c r="Y69" s="237"/>
      <c r="Z69" s="238"/>
    </row>
    <row r="70" spans="1:26" s="239" customFormat="1" ht="28.5" customHeight="1" x14ac:dyDescent="0.3">
      <c r="A70" s="222">
        <f t="shared" si="7"/>
        <v>0</v>
      </c>
      <c r="B70" s="223" t="b">
        <f t="shared" si="8"/>
        <v>1</v>
      </c>
      <c r="C70" s="222">
        <f t="shared" si="9"/>
        <v>0</v>
      </c>
      <c r="D70" s="205" t="str">
        <f t="shared" si="6"/>
        <v>$$$$</v>
      </c>
      <c r="E70" s="224"/>
      <c r="F70" s="225"/>
      <c r="G70" s="226"/>
      <c r="H70" s="227"/>
      <c r="I70" s="228"/>
      <c r="J70" s="228"/>
      <c r="K70" s="229"/>
      <c r="L70" s="230"/>
      <c r="M70" s="231"/>
      <c r="N70" s="232"/>
      <c r="O70" s="230"/>
      <c r="P70" s="231"/>
      <c r="Q70" s="232"/>
      <c r="R70" s="233"/>
      <c r="S70" s="234"/>
      <c r="T70" s="235"/>
      <c r="U70" s="233"/>
      <c r="V70" s="236"/>
      <c r="W70" s="234"/>
      <c r="X70" s="235"/>
      <c r="Y70" s="237"/>
      <c r="Z70" s="238"/>
    </row>
    <row r="71" spans="1:26" s="239" customFormat="1" ht="28.5" customHeight="1" x14ac:dyDescent="0.3">
      <c r="A71" s="222">
        <f t="shared" ref="A71:A102" si="10">IF(B71,0,MATCH(H71,ВидыНагр,0))</f>
        <v>0</v>
      </c>
      <c r="B71" s="223" t="b">
        <f t="shared" ref="B71:B102" si="11">(COUNTIF(КлючВесна,D71)&lt;&gt;1)</f>
        <v>1</v>
      </c>
      <c r="C71" s="222">
        <f t="shared" ref="C71:C102" si="12">IF(COUNTA(E71:K71,Z71)&gt;0,1,0)+IF(COUNTA(L71:Y71)&gt;0,2,0)</f>
        <v>0</v>
      </c>
      <c r="D71" s="205" t="str">
        <f t="shared" si="6"/>
        <v>$$$$</v>
      </c>
      <c r="E71" s="224"/>
      <c r="F71" s="225"/>
      <c r="G71" s="226"/>
      <c r="H71" s="227"/>
      <c r="I71" s="228"/>
      <c r="J71" s="228"/>
      <c r="K71" s="229"/>
      <c r="L71" s="230"/>
      <c r="M71" s="231"/>
      <c r="N71" s="232"/>
      <c r="O71" s="230"/>
      <c r="P71" s="231"/>
      <c r="Q71" s="232"/>
      <c r="R71" s="233"/>
      <c r="S71" s="234"/>
      <c r="T71" s="235"/>
      <c r="U71" s="233"/>
      <c r="V71" s="236"/>
      <c r="W71" s="234"/>
      <c r="X71" s="235"/>
      <c r="Y71" s="237"/>
      <c r="Z71" s="238"/>
    </row>
    <row r="72" spans="1:26" s="239" customFormat="1" ht="28.5" customHeight="1" x14ac:dyDescent="0.3">
      <c r="A72" s="222">
        <f t="shared" si="10"/>
        <v>0</v>
      </c>
      <c r="B72" s="223" t="b">
        <f t="shared" si="11"/>
        <v>1</v>
      </c>
      <c r="C72" s="222">
        <f t="shared" si="12"/>
        <v>0</v>
      </c>
      <c r="D72" s="205" t="str">
        <f t="shared" ref="D72:D159" si="13">CONCATENATE("$",TRIM(F72),"$",TRIM(G72),"$",H72,"$")</f>
        <v>$$$$</v>
      </c>
      <c r="E72" s="224"/>
      <c r="F72" s="225"/>
      <c r="G72" s="226"/>
      <c r="H72" s="227"/>
      <c r="I72" s="228"/>
      <c r="J72" s="228"/>
      <c r="K72" s="229"/>
      <c r="L72" s="230"/>
      <c r="M72" s="231"/>
      <c r="N72" s="232"/>
      <c r="O72" s="230"/>
      <c r="P72" s="231"/>
      <c r="Q72" s="232"/>
      <c r="R72" s="233"/>
      <c r="S72" s="234"/>
      <c r="T72" s="235"/>
      <c r="U72" s="233"/>
      <c r="V72" s="236"/>
      <c r="W72" s="234"/>
      <c r="X72" s="235"/>
      <c r="Y72" s="237"/>
      <c r="Z72" s="238"/>
    </row>
    <row r="73" spans="1:26" s="239" customFormat="1" ht="28.5" customHeight="1" x14ac:dyDescent="0.3">
      <c r="A73" s="222">
        <f t="shared" si="10"/>
        <v>0</v>
      </c>
      <c r="B73" s="223" t="b">
        <f t="shared" si="11"/>
        <v>1</v>
      </c>
      <c r="C73" s="222">
        <f t="shared" si="12"/>
        <v>0</v>
      </c>
      <c r="D73" s="205" t="str">
        <f t="shared" si="13"/>
        <v>$$$$</v>
      </c>
      <c r="E73" s="224"/>
      <c r="F73" s="225"/>
      <c r="G73" s="226"/>
      <c r="H73" s="227"/>
      <c r="I73" s="228"/>
      <c r="J73" s="228"/>
      <c r="K73" s="229"/>
      <c r="L73" s="230"/>
      <c r="M73" s="231"/>
      <c r="N73" s="232"/>
      <c r="O73" s="230"/>
      <c r="P73" s="231"/>
      <c r="Q73" s="232"/>
      <c r="R73" s="233"/>
      <c r="S73" s="234"/>
      <c r="T73" s="235"/>
      <c r="U73" s="233"/>
      <c r="V73" s="236"/>
      <c r="W73" s="234"/>
      <c r="X73" s="235"/>
      <c r="Y73" s="237"/>
      <c r="Z73" s="238"/>
    </row>
    <row r="74" spans="1:26" s="239" customFormat="1" ht="28.5" customHeight="1" x14ac:dyDescent="0.3">
      <c r="A74" s="222">
        <f t="shared" si="10"/>
        <v>0</v>
      </c>
      <c r="B74" s="223" t="b">
        <f t="shared" si="11"/>
        <v>1</v>
      </c>
      <c r="C74" s="222">
        <f t="shared" si="12"/>
        <v>0</v>
      </c>
      <c r="D74" s="205" t="str">
        <f t="shared" si="13"/>
        <v>$$$$</v>
      </c>
      <c r="E74" s="224"/>
      <c r="F74" s="225"/>
      <c r="G74" s="226"/>
      <c r="H74" s="227"/>
      <c r="I74" s="228"/>
      <c r="J74" s="228"/>
      <c r="K74" s="229"/>
      <c r="L74" s="230"/>
      <c r="M74" s="231"/>
      <c r="N74" s="232"/>
      <c r="O74" s="230"/>
      <c r="P74" s="231"/>
      <c r="Q74" s="232"/>
      <c r="R74" s="233"/>
      <c r="S74" s="234"/>
      <c r="T74" s="235"/>
      <c r="U74" s="233"/>
      <c r="V74" s="236"/>
      <c r="W74" s="234"/>
      <c r="X74" s="235"/>
      <c r="Y74" s="237"/>
      <c r="Z74" s="238"/>
    </row>
    <row r="75" spans="1:26" s="239" customFormat="1" ht="28.5" customHeight="1" x14ac:dyDescent="0.3">
      <c r="A75" s="222">
        <f t="shared" si="10"/>
        <v>0</v>
      </c>
      <c r="B75" s="223" t="b">
        <f t="shared" si="11"/>
        <v>1</v>
      </c>
      <c r="C75" s="222">
        <f t="shared" si="12"/>
        <v>0</v>
      </c>
      <c r="D75" s="205" t="str">
        <f t="shared" si="13"/>
        <v>$$$$</v>
      </c>
      <c r="E75" s="224"/>
      <c r="F75" s="225"/>
      <c r="G75" s="226"/>
      <c r="H75" s="227"/>
      <c r="I75" s="228"/>
      <c r="J75" s="228"/>
      <c r="K75" s="229"/>
      <c r="L75" s="230"/>
      <c r="M75" s="231"/>
      <c r="N75" s="232"/>
      <c r="O75" s="230"/>
      <c r="P75" s="231"/>
      <c r="Q75" s="232"/>
      <c r="R75" s="233"/>
      <c r="S75" s="234"/>
      <c r="T75" s="235"/>
      <c r="U75" s="233"/>
      <c r="V75" s="236"/>
      <c r="W75" s="234"/>
      <c r="X75" s="235"/>
      <c r="Y75" s="237"/>
      <c r="Z75" s="238"/>
    </row>
    <row r="76" spans="1:26" s="239" customFormat="1" ht="28.5" customHeight="1" x14ac:dyDescent="0.3">
      <c r="A76" s="222">
        <f t="shared" si="10"/>
        <v>0</v>
      </c>
      <c r="B76" s="223" t="b">
        <f t="shared" si="11"/>
        <v>1</v>
      </c>
      <c r="C76" s="222">
        <f t="shared" si="12"/>
        <v>0</v>
      </c>
      <c r="D76" s="205" t="str">
        <f t="shared" si="13"/>
        <v>$$$$</v>
      </c>
      <c r="E76" s="224"/>
      <c r="F76" s="225"/>
      <c r="G76" s="226"/>
      <c r="H76" s="227"/>
      <c r="I76" s="228"/>
      <c r="J76" s="228"/>
      <c r="K76" s="229"/>
      <c r="L76" s="230"/>
      <c r="M76" s="231"/>
      <c r="N76" s="232"/>
      <c r="O76" s="230"/>
      <c r="P76" s="231"/>
      <c r="Q76" s="232"/>
      <c r="R76" s="233"/>
      <c r="S76" s="234"/>
      <c r="T76" s="235"/>
      <c r="U76" s="233"/>
      <c r="V76" s="236"/>
      <c r="W76" s="234"/>
      <c r="X76" s="235"/>
      <c r="Y76" s="237"/>
      <c r="Z76" s="238"/>
    </row>
    <row r="77" spans="1:26" s="239" customFormat="1" ht="28.5" customHeight="1" x14ac:dyDescent="0.3">
      <c r="A77" s="222">
        <f t="shared" si="10"/>
        <v>0</v>
      </c>
      <c r="B77" s="223" t="b">
        <f t="shared" si="11"/>
        <v>1</v>
      </c>
      <c r="C77" s="222">
        <f t="shared" si="12"/>
        <v>0</v>
      </c>
      <c r="D77" s="205" t="str">
        <f t="shared" si="13"/>
        <v>$$$$</v>
      </c>
      <c r="E77" s="224"/>
      <c r="F77" s="225"/>
      <c r="G77" s="226"/>
      <c r="H77" s="227"/>
      <c r="I77" s="228"/>
      <c r="J77" s="228"/>
      <c r="K77" s="229"/>
      <c r="L77" s="230"/>
      <c r="M77" s="231"/>
      <c r="N77" s="232"/>
      <c r="O77" s="230"/>
      <c r="P77" s="231"/>
      <c r="Q77" s="232"/>
      <c r="R77" s="233"/>
      <c r="S77" s="234"/>
      <c r="T77" s="235"/>
      <c r="U77" s="233"/>
      <c r="V77" s="236"/>
      <c r="W77" s="234"/>
      <c r="X77" s="235"/>
      <c r="Y77" s="237"/>
      <c r="Z77" s="238"/>
    </row>
    <row r="78" spans="1:26" s="239" customFormat="1" ht="28.5" customHeight="1" x14ac:dyDescent="0.3">
      <c r="A78" s="222">
        <f t="shared" si="10"/>
        <v>0</v>
      </c>
      <c r="B78" s="223" t="b">
        <f t="shared" si="11"/>
        <v>1</v>
      </c>
      <c r="C78" s="222">
        <f t="shared" si="12"/>
        <v>0</v>
      </c>
      <c r="D78" s="205" t="str">
        <f t="shared" si="13"/>
        <v>$$$$</v>
      </c>
      <c r="E78" s="224"/>
      <c r="F78" s="225"/>
      <c r="G78" s="226"/>
      <c r="H78" s="227"/>
      <c r="I78" s="228"/>
      <c r="J78" s="228"/>
      <c r="K78" s="229"/>
      <c r="L78" s="230"/>
      <c r="M78" s="231"/>
      <c r="N78" s="232"/>
      <c r="O78" s="230"/>
      <c r="P78" s="231"/>
      <c r="Q78" s="232"/>
      <c r="R78" s="233"/>
      <c r="S78" s="234"/>
      <c r="T78" s="235"/>
      <c r="U78" s="233"/>
      <c r="V78" s="236"/>
      <c r="W78" s="234"/>
      <c r="X78" s="235"/>
      <c r="Y78" s="237"/>
      <c r="Z78" s="238"/>
    </row>
    <row r="79" spans="1:26" s="239" customFormat="1" ht="28.5" customHeight="1" x14ac:dyDescent="0.3">
      <c r="A79" s="222">
        <f t="shared" si="10"/>
        <v>0</v>
      </c>
      <c r="B79" s="223" t="b">
        <f t="shared" si="11"/>
        <v>1</v>
      </c>
      <c r="C79" s="222">
        <f t="shared" si="12"/>
        <v>0</v>
      </c>
      <c r="D79" s="205" t="str">
        <f t="shared" si="13"/>
        <v>$$$$</v>
      </c>
      <c r="E79" s="224"/>
      <c r="F79" s="225"/>
      <c r="G79" s="226"/>
      <c r="H79" s="227"/>
      <c r="I79" s="228"/>
      <c r="J79" s="228"/>
      <c r="K79" s="229"/>
      <c r="L79" s="230"/>
      <c r="M79" s="231"/>
      <c r="N79" s="232"/>
      <c r="O79" s="230"/>
      <c r="P79" s="231"/>
      <c r="Q79" s="232"/>
      <c r="R79" s="233"/>
      <c r="S79" s="234"/>
      <c r="T79" s="235"/>
      <c r="U79" s="233"/>
      <c r="V79" s="236"/>
      <c r="W79" s="234"/>
      <c r="X79" s="235"/>
      <c r="Y79" s="237"/>
      <c r="Z79" s="238"/>
    </row>
    <row r="80" spans="1:26" s="239" customFormat="1" ht="28.5" customHeight="1" x14ac:dyDescent="0.3">
      <c r="A80" s="222">
        <f t="shared" si="10"/>
        <v>0</v>
      </c>
      <c r="B80" s="223" t="b">
        <f t="shared" si="11"/>
        <v>1</v>
      </c>
      <c r="C80" s="222">
        <f t="shared" si="12"/>
        <v>0</v>
      </c>
      <c r="D80" s="205" t="str">
        <f t="shared" si="13"/>
        <v>$$$$</v>
      </c>
      <c r="E80" s="224"/>
      <c r="F80" s="225"/>
      <c r="G80" s="226"/>
      <c r="H80" s="227"/>
      <c r="I80" s="228"/>
      <c r="J80" s="228"/>
      <c r="K80" s="229"/>
      <c r="L80" s="230"/>
      <c r="M80" s="231"/>
      <c r="N80" s="232"/>
      <c r="O80" s="230"/>
      <c r="P80" s="231"/>
      <c r="Q80" s="232"/>
      <c r="R80" s="233"/>
      <c r="S80" s="234"/>
      <c r="T80" s="235"/>
      <c r="U80" s="233"/>
      <c r="V80" s="236"/>
      <c r="W80" s="234"/>
      <c r="X80" s="235"/>
      <c r="Y80" s="237"/>
      <c r="Z80" s="238"/>
    </row>
    <row r="81" spans="1:26" s="239" customFormat="1" ht="28.5" customHeight="1" x14ac:dyDescent="0.3">
      <c r="A81" s="222">
        <f t="shared" si="10"/>
        <v>0</v>
      </c>
      <c r="B81" s="223" t="b">
        <f t="shared" si="11"/>
        <v>1</v>
      </c>
      <c r="C81" s="222">
        <f t="shared" si="12"/>
        <v>0</v>
      </c>
      <c r="D81" s="205" t="str">
        <f t="shared" si="13"/>
        <v>$$$$</v>
      </c>
      <c r="E81" s="224"/>
      <c r="F81" s="225"/>
      <c r="G81" s="226"/>
      <c r="H81" s="227"/>
      <c r="I81" s="228"/>
      <c r="J81" s="228"/>
      <c r="K81" s="229"/>
      <c r="L81" s="230"/>
      <c r="M81" s="231"/>
      <c r="N81" s="232"/>
      <c r="O81" s="230"/>
      <c r="P81" s="231"/>
      <c r="Q81" s="232"/>
      <c r="R81" s="233"/>
      <c r="S81" s="234"/>
      <c r="T81" s="235"/>
      <c r="U81" s="233"/>
      <c r="V81" s="236"/>
      <c r="W81" s="234"/>
      <c r="X81" s="235"/>
      <c r="Y81" s="237"/>
      <c r="Z81" s="238"/>
    </row>
    <row r="82" spans="1:26" s="239" customFormat="1" ht="28.5" customHeight="1" x14ac:dyDescent="0.3">
      <c r="A82" s="222">
        <f t="shared" si="10"/>
        <v>0</v>
      </c>
      <c r="B82" s="223" t="b">
        <f t="shared" si="11"/>
        <v>1</v>
      </c>
      <c r="C82" s="222">
        <f t="shared" si="12"/>
        <v>0</v>
      </c>
      <c r="D82" s="205" t="str">
        <f t="shared" si="13"/>
        <v>$$$$</v>
      </c>
      <c r="E82" s="224"/>
      <c r="F82" s="225"/>
      <c r="G82" s="226"/>
      <c r="H82" s="227"/>
      <c r="I82" s="228"/>
      <c r="J82" s="228"/>
      <c r="K82" s="229"/>
      <c r="L82" s="230"/>
      <c r="M82" s="231"/>
      <c r="N82" s="232"/>
      <c r="O82" s="230"/>
      <c r="P82" s="231"/>
      <c r="Q82" s="232"/>
      <c r="R82" s="233"/>
      <c r="S82" s="234"/>
      <c r="T82" s="235"/>
      <c r="U82" s="233"/>
      <c r="V82" s="236"/>
      <c r="W82" s="234"/>
      <c r="X82" s="235"/>
      <c r="Y82" s="237"/>
      <c r="Z82" s="238"/>
    </row>
    <row r="83" spans="1:26" s="239" customFormat="1" ht="28.5" customHeight="1" x14ac:dyDescent="0.3">
      <c r="A83" s="222">
        <f t="shared" si="10"/>
        <v>0</v>
      </c>
      <c r="B83" s="223" t="b">
        <f t="shared" si="11"/>
        <v>1</v>
      </c>
      <c r="C83" s="222">
        <f t="shared" si="12"/>
        <v>0</v>
      </c>
      <c r="D83" s="205" t="str">
        <f t="shared" si="13"/>
        <v>$$$$</v>
      </c>
      <c r="E83" s="224"/>
      <c r="F83" s="225"/>
      <c r="G83" s="226"/>
      <c r="H83" s="227"/>
      <c r="I83" s="228"/>
      <c r="J83" s="228"/>
      <c r="K83" s="229"/>
      <c r="L83" s="230"/>
      <c r="M83" s="231"/>
      <c r="N83" s="232"/>
      <c r="O83" s="230"/>
      <c r="P83" s="231"/>
      <c r="Q83" s="232"/>
      <c r="R83" s="233"/>
      <c r="S83" s="234"/>
      <c r="T83" s="235"/>
      <c r="U83" s="233"/>
      <c r="V83" s="236"/>
      <c r="W83" s="234"/>
      <c r="X83" s="235"/>
      <c r="Y83" s="237"/>
      <c r="Z83" s="238"/>
    </row>
    <row r="84" spans="1:26" s="239" customFormat="1" ht="28.5" customHeight="1" x14ac:dyDescent="0.3">
      <c r="A84" s="222">
        <f t="shared" si="10"/>
        <v>0</v>
      </c>
      <c r="B84" s="223" t="b">
        <f t="shared" si="11"/>
        <v>1</v>
      </c>
      <c r="C84" s="222">
        <f t="shared" si="12"/>
        <v>0</v>
      </c>
      <c r="D84" s="205" t="str">
        <f t="shared" si="13"/>
        <v>$$$$</v>
      </c>
      <c r="E84" s="224"/>
      <c r="F84" s="225"/>
      <c r="G84" s="226"/>
      <c r="H84" s="227"/>
      <c r="I84" s="228"/>
      <c r="J84" s="228"/>
      <c r="K84" s="229"/>
      <c r="L84" s="230"/>
      <c r="M84" s="231"/>
      <c r="N84" s="232"/>
      <c r="O84" s="230"/>
      <c r="P84" s="231"/>
      <c r="Q84" s="232"/>
      <c r="R84" s="233"/>
      <c r="S84" s="234"/>
      <c r="T84" s="235"/>
      <c r="U84" s="233"/>
      <c r="V84" s="236"/>
      <c r="W84" s="234"/>
      <c r="X84" s="235"/>
      <c r="Y84" s="237"/>
      <c r="Z84" s="238"/>
    </row>
    <row r="85" spans="1:26" s="239" customFormat="1" ht="28.5" customHeight="1" x14ac:dyDescent="0.3">
      <c r="A85" s="222">
        <f t="shared" si="10"/>
        <v>0</v>
      </c>
      <c r="B85" s="223" t="b">
        <f t="shared" si="11"/>
        <v>1</v>
      </c>
      <c r="C85" s="222">
        <f t="shared" si="12"/>
        <v>0</v>
      </c>
      <c r="D85" s="205" t="str">
        <f t="shared" si="13"/>
        <v>$$$$</v>
      </c>
      <c r="E85" s="224"/>
      <c r="F85" s="225"/>
      <c r="G85" s="226"/>
      <c r="H85" s="227"/>
      <c r="I85" s="228"/>
      <c r="J85" s="228"/>
      <c r="K85" s="229"/>
      <c r="L85" s="230"/>
      <c r="M85" s="231"/>
      <c r="N85" s="232"/>
      <c r="O85" s="230"/>
      <c r="P85" s="231"/>
      <c r="Q85" s="232"/>
      <c r="R85" s="233"/>
      <c r="S85" s="234"/>
      <c r="T85" s="235"/>
      <c r="U85" s="233"/>
      <c r="V85" s="236"/>
      <c r="W85" s="234"/>
      <c r="X85" s="235"/>
      <c r="Y85" s="237"/>
      <c r="Z85" s="238"/>
    </row>
    <row r="86" spans="1:26" s="239" customFormat="1" ht="28.5" customHeight="1" x14ac:dyDescent="0.3">
      <c r="A86" s="222">
        <f t="shared" si="10"/>
        <v>0</v>
      </c>
      <c r="B86" s="223" t="b">
        <f t="shared" si="11"/>
        <v>1</v>
      </c>
      <c r="C86" s="222">
        <f t="shared" si="12"/>
        <v>0</v>
      </c>
      <c r="D86" s="205" t="str">
        <f t="shared" si="13"/>
        <v>$$$$</v>
      </c>
      <c r="E86" s="224"/>
      <c r="F86" s="225"/>
      <c r="G86" s="226"/>
      <c r="H86" s="227"/>
      <c r="I86" s="228"/>
      <c r="J86" s="228"/>
      <c r="K86" s="229"/>
      <c r="L86" s="230"/>
      <c r="M86" s="231"/>
      <c r="N86" s="232"/>
      <c r="O86" s="230"/>
      <c r="P86" s="231"/>
      <c r="Q86" s="232"/>
      <c r="R86" s="233"/>
      <c r="S86" s="234"/>
      <c r="T86" s="235"/>
      <c r="U86" s="233"/>
      <c r="V86" s="236"/>
      <c r="W86" s="234"/>
      <c r="X86" s="235"/>
      <c r="Y86" s="237"/>
      <c r="Z86" s="238"/>
    </row>
    <row r="87" spans="1:26" s="239" customFormat="1" ht="28.5" customHeight="1" x14ac:dyDescent="0.3">
      <c r="A87" s="222">
        <f t="shared" si="10"/>
        <v>0</v>
      </c>
      <c r="B87" s="223" t="b">
        <f t="shared" si="11"/>
        <v>1</v>
      </c>
      <c r="C87" s="222">
        <f t="shared" si="12"/>
        <v>0</v>
      </c>
      <c r="D87" s="205" t="str">
        <f t="shared" si="13"/>
        <v>$$$$</v>
      </c>
      <c r="E87" s="224"/>
      <c r="F87" s="225"/>
      <c r="G87" s="226"/>
      <c r="H87" s="227"/>
      <c r="I87" s="228"/>
      <c r="J87" s="228"/>
      <c r="K87" s="229"/>
      <c r="L87" s="230"/>
      <c r="M87" s="231"/>
      <c r="N87" s="232"/>
      <c r="O87" s="230"/>
      <c r="P87" s="231"/>
      <c r="Q87" s="232"/>
      <c r="R87" s="233"/>
      <c r="S87" s="234"/>
      <c r="T87" s="235"/>
      <c r="U87" s="233"/>
      <c r="V87" s="236"/>
      <c r="W87" s="234"/>
      <c r="X87" s="235"/>
      <c r="Y87" s="237"/>
      <c r="Z87" s="238"/>
    </row>
    <row r="88" spans="1:26" s="239" customFormat="1" ht="28.5" customHeight="1" x14ac:dyDescent="0.3">
      <c r="A88" s="222">
        <f t="shared" si="10"/>
        <v>0</v>
      </c>
      <c r="B88" s="223" t="b">
        <f t="shared" si="11"/>
        <v>1</v>
      </c>
      <c r="C88" s="222">
        <f t="shared" si="12"/>
        <v>0</v>
      </c>
      <c r="D88" s="205" t="str">
        <f t="shared" si="13"/>
        <v>$$$$</v>
      </c>
      <c r="E88" s="224"/>
      <c r="F88" s="225"/>
      <c r="G88" s="226"/>
      <c r="H88" s="227"/>
      <c r="I88" s="228"/>
      <c r="J88" s="228"/>
      <c r="K88" s="229"/>
      <c r="L88" s="230"/>
      <c r="M88" s="231"/>
      <c r="N88" s="232"/>
      <c r="O88" s="230"/>
      <c r="P88" s="231"/>
      <c r="Q88" s="232"/>
      <c r="R88" s="233"/>
      <c r="S88" s="234"/>
      <c r="T88" s="235"/>
      <c r="U88" s="233"/>
      <c r="V88" s="236"/>
      <c r="W88" s="234"/>
      <c r="X88" s="235"/>
      <c r="Y88" s="237"/>
      <c r="Z88" s="238"/>
    </row>
    <row r="89" spans="1:26" s="239" customFormat="1" ht="28.5" customHeight="1" x14ac:dyDescent="0.3">
      <c r="A89" s="222">
        <f t="shared" si="10"/>
        <v>0</v>
      </c>
      <c r="B89" s="223" t="b">
        <f t="shared" si="11"/>
        <v>1</v>
      </c>
      <c r="C89" s="222">
        <f t="shared" si="12"/>
        <v>0</v>
      </c>
      <c r="D89" s="205" t="str">
        <f t="shared" si="13"/>
        <v>$$$$</v>
      </c>
      <c r="E89" s="224"/>
      <c r="F89" s="225"/>
      <c r="G89" s="226"/>
      <c r="H89" s="227"/>
      <c r="I89" s="228"/>
      <c r="J89" s="228"/>
      <c r="K89" s="229"/>
      <c r="L89" s="230"/>
      <c r="M89" s="231"/>
      <c r="N89" s="232"/>
      <c r="O89" s="230"/>
      <c r="P89" s="231"/>
      <c r="Q89" s="232"/>
      <c r="R89" s="233"/>
      <c r="S89" s="234"/>
      <c r="T89" s="235"/>
      <c r="U89" s="233"/>
      <c r="V89" s="236"/>
      <c r="W89" s="234"/>
      <c r="X89" s="235"/>
      <c r="Y89" s="237"/>
      <c r="Z89" s="238"/>
    </row>
    <row r="90" spans="1:26" s="239" customFormat="1" ht="28.5" customHeight="1" x14ac:dyDescent="0.3">
      <c r="A90" s="222">
        <f t="shared" si="10"/>
        <v>0</v>
      </c>
      <c r="B90" s="223" t="b">
        <f t="shared" si="11"/>
        <v>1</v>
      </c>
      <c r="C90" s="222">
        <f t="shared" si="12"/>
        <v>0</v>
      </c>
      <c r="D90" s="205" t="str">
        <f t="shared" si="13"/>
        <v>$$$$</v>
      </c>
      <c r="E90" s="224"/>
      <c r="F90" s="225"/>
      <c r="G90" s="226"/>
      <c r="H90" s="227"/>
      <c r="I90" s="228"/>
      <c r="J90" s="228"/>
      <c r="K90" s="229"/>
      <c r="L90" s="230"/>
      <c r="M90" s="231"/>
      <c r="N90" s="232"/>
      <c r="O90" s="230"/>
      <c r="P90" s="231"/>
      <c r="Q90" s="232"/>
      <c r="R90" s="233"/>
      <c r="S90" s="234"/>
      <c r="T90" s="235"/>
      <c r="U90" s="233"/>
      <c r="V90" s="236"/>
      <c r="W90" s="234"/>
      <c r="X90" s="235"/>
      <c r="Y90" s="237"/>
      <c r="Z90" s="238"/>
    </row>
    <row r="91" spans="1:26" s="239" customFormat="1" ht="28.5" customHeight="1" x14ac:dyDescent="0.3">
      <c r="A91" s="222">
        <f t="shared" si="10"/>
        <v>0</v>
      </c>
      <c r="B91" s="223" t="b">
        <f t="shared" si="11"/>
        <v>1</v>
      </c>
      <c r="C91" s="222">
        <f t="shared" si="12"/>
        <v>0</v>
      </c>
      <c r="D91" s="205" t="str">
        <f t="shared" si="13"/>
        <v>$$$$</v>
      </c>
      <c r="E91" s="224"/>
      <c r="F91" s="225"/>
      <c r="G91" s="226"/>
      <c r="H91" s="227"/>
      <c r="I91" s="228"/>
      <c r="J91" s="228"/>
      <c r="K91" s="229"/>
      <c r="L91" s="230"/>
      <c r="M91" s="231"/>
      <c r="N91" s="232"/>
      <c r="O91" s="230"/>
      <c r="P91" s="231"/>
      <c r="Q91" s="232"/>
      <c r="R91" s="233"/>
      <c r="S91" s="234"/>
      <c r="T91" s="235"/>
      <c r="U91" s="233"/>
      <c r="V91" s="236"/>
      <c r="W91" s="234"/>
      <c r="X91" s="235"/>
      <c r="Y91" s="237"/>
      <c r="Z91" s="238"/>
    </row>
    <row r="92" spans="1:26" s="239" customFormat="1" ht="28.5" customHeight="1" x14ac:dyDescent="0.3">
      <c r="A92" s="222">
        <f t="shared" si="10"/>
        <v>0</v>
      </c>
      <c r="B92" s="223" t="b">
        <f t="shared" si="11"/>
        <v>1</v>
      </c>
      <c r="C92" s="222">
        <f t="shared" si="12"/>
        <v>0</v>
      </c>
      <c r="D92" s="205" t="str">
        <f t="shared" si="13"/>
        <v>$$$$</v>
      </c>
      <c r="E92" s="224"/>
      <c r="F92" s="225"/>
      <c r="G92" s="226"/>
      <c r="H92" s="227"/>
      <c r="I92" s="228"/>
      <c r="J92" s="228"/>
      <c r="K92" s="229"/>
      <c r="L92" s="230"/>
      <c r="M92" s="231"/>
      <c r="N92" s="232"/>
      <c r="O92" s="230"/>
      <c r="P92" s="231"/>
      <c r="Q92" s="232"/>
      <c r="R92" s="233"/>
      <c r="S92" s="234"/>
      <c r="T92" s="235"/>
      <c r="U92" s="233"/>
      <c r="V92" s="236"/>
      <c r="W92" s="234"/>
      <c r="X92" s="235"/>
      <c r="Y92" s="237"/>
      <c r="Z92" s="238"/>
    </row>
    <row r="93" spans="1:26" s="239" customFormat="1" ht="28.5" customHeight="1" x14ac:dyDescent="0.3">
      <c r="A93" s="222">
        <f t="shared" si="10"/>
        <v>0</v>
      </c>
      <c r="B93" s="223" t="b">
        <f t="shared" si="11"/>
        <v>1</v>
      </c>
      <c r="C93" s="222">
        <f t="shared" si="12"/>
        <v>0</v>
      </c>
      <c r="D93" s="205" t="str">
        <f t="shared" si="13"/>
        <v>$$$$</v>
      </c>
      <c r="E93" s="224"/>
      <c r="F93" s="225"/>
      <c r="G93" s="226"/>
      <c r="H93" s="227"/>
      <c r="I93" s="228"/>
      <c r="J93" s="228"/>
      <c r="K93" s="229"/>
      <c r="L93" s="230"/>
      <c r="M93" s="231"/>
      <c r="N93" s="232"/>
      <c r="O93" s="230"/>
      <c r="P93" s="231"/>
      <c r="Q93" s="232"/>
      <c r="R93" s="233"/>
      <c r="S93" s="234"/>
      <c r="T93" s="235"/>
      <c r="U93" s="233"/>
      <c r="V93" s="236"/>
      <c r="W93" s="234"/>
      <c r="X93" s="235"/>
      <c r="Y93" s="237"/>
      <c r="Z93" s="238"/>
    </row>
    <row r="94" spans="1:26" s="239" customFormat="1" ht="28.5" customHeight="1" x14ac:dyDescent="0.3">
      <c r="A94" s="222">
        <f t="shared" si="10"/>
        <v>0</v>
      </c>
      <c r="B94" s="223" t="b">
        <f t="shared" si="11"/>
        <v>1</v>
      </c>
      <c r="C94" s="222">
        <f t="shared" si="12"/>
        <v>0</v>
      </c>
      <c r="D94" s="205" t="str">
        <f t="shared" si="13"/>
        <v>$$$$</v>
      </c>
      <c r="E94" s="224"/>
      <c r="F94" s="225"/>
      <c r="G94" s="226"/>
      <c r="H94" s="227"/>
      <c r="I94" s="228"/>
      <c r="J94" s="228"/>
      <c r="K94" s="229"/>
      <c r="L94" s="230"/>
      <c r="M94" s="231"/>
      <c r="N94" s="232"/>
      <c r="O94" s="230"/>
      <c r="P94" s="231"/>
      <c r="Q94" s="232"/>
      <c r="R94" s="233"/>
      <c r="S94" s="234"/>
      <c r="T94" s="235"/>
      <c r="U94" s="233"/>
      <c r="V94" s="236"/>
      <c r="W94" s="234"/>
      <c r="X94" s="235"/>
      <c r="Y94" s="237"/>
      <c r="Z94" s="238"/>
    </row>
    <row r="95" spans="1:26" s="239" customFormat="1" ht="28.5" customHeight="1" x14ac:dyDescent="0.3">
      <c r="A95" s="222">
        <f t="shared" si="10"/>
        <v>0</v>
      </c>
      <c r="B95" s="223" t="b">
        <f t="shared" si="11"/>
        <v>1</v>
      </c>
      <c r="C95" s="222">
        <f t="shared" si="12"/>
        <v>0</v>
      </c>
      <c r="D95" s="205" t="str">
        <f t="shared" si="13"/>
        <v>$$$$</v>
      </c>
      <c r="E95" s="224"/>
      <c r="F95" s="225"/>
      <c r="G95" s="226"/>
      <c r="H95" s="227"/>
      <c r="I95" s="228"/>
      <c r="J95" s="228"/>
      <c r="K95" s="229"/>
      <c r="L95" s="230"/>
      <c r="M95" s="231"/>
      <c r="N95" s="232"/>
      <c r="O95" s="230"/>
      <c r="P95" s="231"/>
      <c r="Q95" s="232"/>
      <c r="R95" s="233"/>
      <c r="S95" s="234"/>
      <c r="T95" s="235"/>
      <c r="U95" s="233"/>
      <c r="V95" s="236"/>
      <c r="W95" s="234"/>
      <c r="X95" s="235"/>
      <c r="Y95" s="237"/>
      <c r="Z95" s="238"/>
    </row>
    <row r="96" spans="1:26" s="239" customFormat="1" ht="28.5" customHeight="1" x14ac:dyDescent="0.3">
      <c r="A96" s="222">
        <f t="shared" si="10"/>
        <v>0</v>
      </c>
      <c r="B96" s="223" t="b">
        <f t="shared" si="11"/>
        <v>1</v>
      </c>
      <c r="C96" s="222">
        <f t="shared" si="12"/>
        <v>0</v>
      </c>
      <c r="D96" s="205" t="str">
        <f t="shared" si="13"/>
        <v>$$$$</v>
      </c>
      <c r="E96" s="224"/>
      <c r="F96" s="225"/>
      <c r="G96" s="226"/>
      <c r="H96" s="227"/>
      <c r="I96" s="228"/>
      <c r="J96" s="228"/>
      <c r="K96" s="229"/>
      <c r="L96" s="230"/>
      <c r="M96" s="231"/>
      <c r="N96" s="232"/>
      <c r="O96" s="230"/>
      <c r="P96" s="231"/>
      <c r="Q96" s="232"/>
      <c r="R96" s="233"/>
      <c r="S96" s="234"/>
      <c r="T96" s="235"/>
      <c r="U96" s="233"/>
      <c r="V96" s="236"/>
      <c r="W96" s="234"/>
      <c r="X96" s="235"/>
      <c r="Y96" s="237"/>
      <c r="Z96" s="238"/>
    </row>
    <row r="97" spans="1:26" s="239" customFormat="1" ht="28.5" customHeight="1" x14ac:dyDescent="0.3">
      <c r="A97" s="222">
        <f t="shared" si="10"/>
        <v>0</v>
      </c>
      <c r="B97" s="223" t="b">
        <f t="shared" si="11"/>
        <v>1</v>
      </c>
      <c r="C97" s="222">
        <f t="shared" si="12"/>
        <v>0</v>
      </c>
      <c r="D97" s="205" t="str">
        <f t="shared" si="13"/>
        <v>$$$$</v>
      </c>
      <c r="E97" s="224"/>
      <c r="F97" s="225"/>
      <c r="G97" s="226"/>
      <c r="H97" s="227"/>
      <c r="I97" s="228"/>
      <c r="J97" s="228"/>
      <c r="K97" s="229"/>
      <c r="L97" s="230"/>
      <c r="M97" s="231"/>
      <c r="N97" s="232"/>
      <c r="O97" s="230"/>
      <c r="P97" s="231"/>
      <c r="Q97" s="232"/>
      <c r="R97" s="233"/>
      <c r="S97" s="234"/>
      <c r="T97" s="235"/>
      <c r="U97" s="233"/>
      <c r="V97" s="236"/>
      <c r="W97" s="234"/>
      <c r="X97" s="235"/>
      <c r="Y97" s="237"/>
      <c r="Z97" s="238"/>
    </row>
    <row r="98" spans="1:26" s="239" customFormat="1" ht="28.5" customHeight="1" x14ac:dyDescent="0.3">
      <c r="A98" s="222">
        <f t="shared" si="10"/>
        <v>0</v>
      </c>
      <c r="B98" s="223" t="b">
        <f t="shared" si="11"/>
        <v>1</v>
      </c>
      <c r="C98" s="222">
        <f t="shared" si="12"/>
        <v>0</v>
      </c>
      <c r="D98" s="205" t="str">
        <f t="shared" si="13"/>
        <v>$$$$</v>
      </c>
      <c r="E98" s="224"/>
      <c r="F98" s="225"/>
      <c r="G98" s="226"/>
      <c r="H98" s="227"/>
      <c r="I98" s="228"/>
      <c r="J98" s="228"/>
      <c r="K98" s="229"/>
      <c r="L98" s="230"/>
      <c r="M98" s="231"/>
      <c r="N98" s="232"/>
      <c r="O98" s="230"/>
      <c r="P98" s="231"/>
      <c r="Q98" s="232"/>
      <c r="R98" s="233"/>
      <c r="S98" s="234"/>
      <c r="T98" s="235"/>
      <c r="U98" s="233"/>
      <c r="V98" s="236"/>
      <c r="W98" s="234"/>
      <c r="X98" s="235"/>
      <c r="Y98" s="237"/>
      <c r="Z98" s="238"/>
    </row>
    <row r="99" spans="1:26" s="239" customFormat="1" ht="28.5" customHeight="1" x14ac:dyDescent="0.3">
      <c r="A99" s="222">
        <f t="shared" si="10"/>
        <v>0</v>
      </c>
      <c r="B99" s="223" t="b">
        <f t="shared" si="11"/>
        <v>1</v>
      </c>
      <c r="C99" s="222">
        <f t="shared" si="12"/>
        <v>0</v>
      </c>
      <c r="D99" s="205" t="str">
        <f t="shared" si="13"/>
        <v>$$$$</v>
      </c>
      <c r="E99" s="224"/>
      <c r="F99" s="225"/>
      <c r="G99" s="226"/>
      <c r="H99" s="227"/>
      <c r="I99" s="228"/>
      <c r="J99" s="228"/>
      <c r="K99" s="229"/>
      <c r="L99" s="230"/>
      <c r="M99" s="231"/>
      <c r="N99" s="232"/>
      <c r="O99" s="230"/>
      <c r="P99" s="231"/>
      <c r="Q99" s="232"/>
      <c r="R99" s="233"/>
      <c r="S99" s="234"/>
      <c r="T99" s="235"/>
      <c r="U99" s="233"/>
      <c r="V99" s="236"/>
      <c r="W99" s="234"/>
      <c r="X99" s="235"/>
      <c r="Y99" s="237"/>
      <c r="Z99" s="238"/>
    </row>
    <row r="100" spans="1:26" s="239" customFormat="1" ht="28.5" customHeight="1" x14ac:dyDescent="0.3">
      <c r="A100" s="222">
        <f t="shared" si="10"/>
        <v>0</v>
      </c>
      <c r="B100" s="223" t="b">
        <f t="shared" si="11"/>
        <v>1</v>
      </c>
      <c r="C100" s="222">
        <f t="shared" si="12"/>
        <v>0</v>
      </c>
      <c r="D100" s="205" t="str">
        <f t="shared" si="13"/>
        <v>$$$$</v>
      </c>
      <c r="E100" s="224"/>
      <c r="F100" s="225"/>
      <c r="G100" s="226"/>
      <c r="H100" s="227"/>
      <c r="I100" s="228"/>
      <c r="J100" s="228"/>
      <c r="K100" s="229"/>
      <c r="L100" s="230"/>
      <c r="M100" s="231"/>
      <c r="N100" s="232"/>
      <c r="O100" s="230"/>
      <c r="P100" s="231"/>
      <c r="Q100" s="232"/>
      <c r="R100" s="233"/>
      <c r="S100" s="234"/>
      <c r="T100" s="235"/>
      <c r="U100" s="233"/>
      <c r="V100" s="236"/>
      <c r="W100" s="234"/>
      <c r="X100" s="235"/>
      <c r="Y100" s="237"/>
      <c r="Z100" s="238"/>
    </row>
    <row r="101" spans="1:26" s="239" customFormat="1" ht="28.5" customHeight="1" x14ac:dyDescent="0.3">
      <c r="A101" s="222">
        <f t="shared" si="10"/>
        <v>0</v>
      </c>
      <c r="B101" s="223" t="b">
        <f t="shared" si="11"/>
        <v>1</v>
      </c>
      <c r="C101" s="222">
        <f t="shared" si="12"/>
        <v>0</v>
      </c>
      <c r="D101" s="205" t="str">
        <f t="shared" si="13"/>
        <v>$$$$</v>
      </c>
      <c r="E101" s="224"/>
      <c r="F101" s="225"/>
      <c r="G101" s="226"/>
      <c r="H101" s="227"/>
      <c r="I101" s="228"/>
      <c r="J101" s="228"/>
      <c r="K101" s="229"/>
      <c r="L101" s="230"/>
      <c r="M101" s="231"/>
      <c r="N101" s="232"/>
      <c r="O101" s="230"/>
      <c r="P101" s="231"/>
      <c r="Q101" s="232"/>
      <c r="R101" s="233"/>
      <c r="S101" s="234"/>
      <c r="T101" s="235"/>
      <c r="U101" s="233"/>
      <c r="V101" s="236"/>
      <c r="W101" s="234"/>
      <c r="X101" s="235"/>
      <c r="Y101" s="237"/>
      <c r="Z101" s="238"/>
    </row>
    <row r="102" spans="1:26" s="239" customFormat="1" ht="28.5" customHeight="1" x14ac:dyDescent="0.3">
      <c r="A102" s="222">
        <f t="shared" si="10"/>
        <v>0</v>
      </c>
      <c r="B102" s="223" t="b">
        <f t="shared" si="11"/>
        <v>1</v>
      </c>
      <c r="C102" s="222">
        <f t="shared" si="12"/>
        <v>0</v>
      </c>
      <c r="D102" s="205" t="str">
        <f t="shared" si="13"/>
        <v>$$$$</v>
      </c>
      <c r="E102" s="224"/>
      <c r="F102" s="225"/>
      <c r="G102" s="226"/>
      <c r="H102" s="227"/>
      <c r="I102" s="228"/>
      <c r="J102" s="228"/>
      <c r="K102" s="229"/>
      <c r="L102" s="230"/>
      <c r="M102" s="231"/>
      <c r="N102" s="232"/>
      <c r="O102" s="230"/>
      <c r="P102" s="231"/>
      <c r="Q102" s="232"/>
      <c r="R102" s="233"/>
      <c r="S102" s="234"/>
      <c r="T102" s="235"/>
      <c r="U102" s="233"/>
      <c r="V102" s="236"/>
      <c r="W102" s="234"/>
      <c r="X102" s="235"/>
      <c r="Y102" s="237"/>
      <c r="Z102" s="238"/>
    </row>
    <row r="103" spans="1:26" s="239" customFormat="1" ht="28.5" customHeight="1" x14ac:dyDescent="0.3">
      <c r="A103" s="222">
        <f t="shared" ref="A103:A159" si="14">IF(B103,0,MATCH(H103,ВидыНагр,0))</f>
        <v>0</v>
      </c>
      <c r="B103" s="223" t="b">
        <f t="shared" ref="B103:B159" si="15">(COUNTIF(КлючВесна,D103)&lt;&gt;1)</f>
        <v>1</v>
      </c>
      <c r="C103" s="222">
        <f t="shared" ref="C103:C159" si="16">IF(COUNTA(E103:K103,Z103)&gt;0,1,0)+IF(COUNTA(L103:Y103)&gt;0,2,0)</f>
        <v>0</v>
      </c>
      <c r="D103" s="205" t="str">
        <f t="shared" si="13"/>
        <v>$$$$</v>
      </c>
      <c r="E103" s="224"/>
      <c r="F103" s="225"/>
      <c r="G103" s="226"/>
      <c r="H103" s="227"/>
      <c r="I103" s="228"/>
      <c r="J103" s="228"/>
      <c r="K103" s="229"/>
      <c r="L103" s="230"/>
      <c r="M103" s="231"/>
      <c r="N103" s="232"/>
      <c r="O103" s="230"/>
      <c r="P103" s="231"/>
      <c r="Q103" s="232"/>
      <c r="R103" s="233"/>
      <c r="S103" s="234"/>
      <c r="T103" s="235"/>
      <c r="U103" s="233"/>
      <c r="V103" s="236"/>
      <c r="W103" s="234"/>
      <c r="X103" s="235"/>
      <c r="Y103" s="237"/>
      <c r="Z103" s="238"/>
    </row>
    <row r="104" spans="1:26" s="239" customFormat="1" ht="28.5" customHeight="1" x14ac:dyDescent="0.3">
      <c r="A104" s="222">
        <f t="shared" si="14"/>
        <v>0</v>
      </c>
      <c r="B104" s="223" t="b">
        <f t="shared" si="15"/>
        <v>1</v>
      </c>
      <c r="C104" s="222">
        <f t="shared" si="16"/>
        <v>0</v>
      </c>
      <c r="D104" s="205" t="str">
        <f t="shared" si="13"/>
        <v>$$$$</v>
      </c>
      <c r="E104" s="224"/>
      <c r="F104" s="225"/>
      <c r="G104" s="226"/>
      <c r="H104" s="227"/>
      <c r="I104" s="228"/>
      <c r="J104" s="228"/>
      <c r="K104" s="229"/>
      <c r="L104" s="230"/>
      <c r="M104" s="231"/>
      <c r="N104" s="232"/>
      <c r="O104" s="230"/>
      <c r="P104" s="231"/>
      <c r="Q104" s="232"/>
      <c r="R104" s="233"/>
      <c r="S104" s="234"/>
      <c r="T104" s="235"/>
      <c r="U104" s="233"/>
      <c r="V104" s="236"/>
      <c r="W104" s="234"/>
      <c r="X104" s="235"/>
      <c r="Y104" s="237"/>
      <c r="Z104" s="238"/>
    </row>
    <row r="105" spans="1:26" s="239" customFormat="1" ht="28.5" customHeight="1" x14ac:dyDescent="0.3">
      <c r="A105" s="222">
        <f t="shared" si="14"/>
        <v>0</v>
      </c>
      <c r="B105" s="223" t="b">
        <f t="shared" si="15"/>
        <v>1</v>
      </c>
      <c r="C105" s="222">
        <f t="shared" si="16"/>
        <v>0</v>
      </c>
      <c r="D105" s="205" t="str">
        <f t="shared" si="13"/>
        <v>$$$$</v>
      </c>
      <c r="E105" s="224"/>
      <c r="F105" s="225"/>
      <c r="G105" s="226"/>
      <c r="H105" s="227"/>
      <c r="I105" s="228"/>
      <c r="J105" s="228"/>
      <c r="K105" s="229"/>
      <c r="L105" s="230"/>
      <c r="M105" s="231"/>
      <c r="N105" s="232"/>
      <c r="O105" s="230"/>
      <c r="P105" s="231"/>
      <c r="Q105" s="232"/>
      <c r="R105" s="233"/>
      <c r="S105" s="234"/>
      <c r="T105" s="235"/>
      <c r="U105" s="233"/>
      <c r="V105" s="236"/>
      <c r="W105" s="234"/>
      <c r="X105" s="235"/>
      <c r="Y105" s="237"/>
      <c r="Z105" s="238"/>
    </row>
    <row r="106" spans="1:26" s="239" customFormat="1" ht="28.5" customHeight="1" x14ac:dyDescent="0.3">
      <c r="A106" s="222">
        <f t="shared" si="14"/>
        <v>0</v>
      </c>
      <c r="B106" s="223" t="b">
        <f t="shared" si="15"/>
        <v>1</v>
      </c>
      <c r="C106" s="222">
        <f t="shared" si="16"/>
        <v>0</v>
      </c>
      <c r="D106" s="205" t="str">
        <f t="shared" si="13"/>
        <v>$$$$</v>
      </c>
      <c r="E106" s="224"/>
      <c r="F106" s="225"/>
      <c r="G106" s="226"/>
      <c r="H106" s="227"/>
      <c r="I106" s="228"/>
      <c r="J106" s="228"/>
      <c r="K106" s="229"/>
      <c r="L106" s="230"/>
      <c r="M106" s="231"/>
      <c r="N106" s="232"/>
      <c r="O106" s="230"/>
      <c r="P106" s="231"/>
      <c r="Q106" s="232"/>
      <c r="R106" s="233"/>
      <c r="S106" s="234"/>
      <c r="T106" s="235"/>
      <c r="U106" s="233"/>
      <c r="V106" s="236"/>
      <c r="W106" s="234"/>
      <c r="X106" s="235"/>
      <c r="Y106" s="237"/>
      <c r="Z106" s="238"/>
    </row>
    <row r="107" spans="1:26" s="239" customFormat="1" ht="28.5" customHeight="1" x14ac:dyDescent="0.3">
      <c r="A107" s="222">
        <f>IF(B107,0,MATCH(H107,ВидыНагр,0))</f>
        <v>0</v>
      </c>
      <c r="B107" s="223" t="b">
        <f>(COUNTIF(КлючВесна,D107)&lt;&gt;1)</f>
        <v>1</v>
      </c>
      <c r="C107" s="222">
        <f t="shared" si="16"/>
        <v>0</v>
      </c>
      <c r="D107" s="205" t="str">
        <f>CONCATENATE("$",TRIM(F107),"$",TRIM(G107),"$",H107,"$")</f>
        <v>$$$$</v>
      </c>
      <c r="E107" s="224"/>
      <c r="F107" s="225"/>
      <c r="G107" s="226"/>
      <c r="H107" s="227"/>
      <c r="I107" s="228"/>
      <c r="J107" s="228"/>
      <c r="K107" s="229"/>
      <c r="L107" s="230"/>
      <c r="M107" s="231"/>
      <c r="N107" s="232"/>
      <c r="O107" s="230"/>
      <c r="P107" s="231"/>
      <c r="Q107" s="232"/>
      <c r="R107" s="233"/>
      <c r="S107" s="234"/>
      <c r="T107" s="235"/>
      <c r="U107" s="233"/>
      <c r="V107" s="236"/>
      <c r="W107" s="234"/>
      <c r="X107" s="235"/>
      <c r="Y107" s="237"/>
      <c r="Z107" s="238"/>
    </row>
    <row r="108" spans="1:26" s="239" customFormat="1" ht="28.5" customHeight="1" x14ac:dyDescent="0.3">
      <c r="A108" s="222">
        <f>IF(B108,0,MATCH(H108,ВидыНагр,0))</f>
        <v>0</v>
      </c>
      <c r="B108" s="223" t="b">
        <f>(COUNTIF(КлючВесна,D108)&lt;&gt;1)</f>
        <v>1</v>
      </c>
      <c r="C108" s="222">
        <f t="shared" si="16"/>
        <v>0</v>
      </c>
      <c r="D108" s="205" t="str">
        <f>CONCATENATE("$",TRIM(F108),"$",TRIM(G108),"$",H108,"$")</f>
        <v>$$$$</v>
      </c>
      <c r="E108" s="224"/>
      <c r="F108" s="225"/>
      <c r="G108" s="226"/>
      <c r="H108" s="227"/>
      <c r="I108" s="228"/>
      <c r="J108" s="228"/>
      <c r="K108" s="229"/>
      <c r="L108" s="230"/>
      <c r="M108" s="231"/>
      <c r="N108" s="232"/>
      <c r="O108" s="230"/>
      <c r="P108" s="231"/>
      <c r="Q108" s="232"/>
      <c r="R108" s="233"/>
      <c r="S108" s="234"/>
      <c r="T108" s="235"/>
      <c r="U108" s="233"/>
      <c r="V108" s="236"/>
      <c r="W108" s="234"/>
      <c r="X108" s="235"/>
      <c r="Y108" s="237"/>
      <c r="Z108" s="238"/>
    </row>
    <row r="109" spans="1:26" s="239" customFormat="1" ht="28.5" customHeight="1" x14ac:dyDescent="0.3">
      <c r="A109" s="222">
        <f t="shared" si="14"/>
        <v>0</v>
      </c>
      <c r="B109" s="223" t="b">
        <f t="shared" si="15"/>
        <v>1</v>
      </c>
      <c r="C109" s="222">
        <f t="shared" si="16"/>
        <v>0</v>
      </c>
      <c r="D109" s="205" t="str">
        <f t="shared" si="13"/>
        <v>$$$$</v>
      </c>
      <c r="E109" s="224"/>
      <c r="F109" s="225"/>
      <c r="G109" s="226"/>
      <c r="H109" s="227"/>
      <c r="I109" s="228"/>
      <c r="J109" s="228"/>
      <c r="K109" s="229"/>
      <c r="L109" s="230"/>
      <c r="M109" s="231"/>
      <c r="N109" s="232"/>
      <c r="O109" s="230"/>
      <c r="P109" s="231"/>
      <c r="Q109" s="232"/>
      <c r="R109" s="233"/>
      <c r="S109" s="234"/>
      <c r="T109" s="235"/>
      <c r="U109" s="233"/>
      <c r="V109" s="236"/>
      <c r="W109" s="234"/>
      <c r="X109" s="235"/>
      <c r="Y109" s="237"/>
      <c r="Z109" s="238"/>
    </row>
    <row r="110" spans="1:26" s="239" customFormat="1" ht="28.5" customHeight="1" x14ac:dyDescent="0.3">
      <c r="A110" s="222">
        <f t="shared" si="14"/>
        <v>0</v>
      </c>
      <c r="B110" s="223" t="b">
        <f t="shared" si="15"/>
        <v>1</v>
      </c>
      <c r="C110" s="222">
        <f t="shared" si="16"/>
        <v>0</v>
      </c>
      <c r="D110" s="205" t="str">
        <f t="shared" si="13"/>
        <v>$$$$</v>
      </c>
      <c r="E110" s="224"/>
      <c r="F110" s="225"/>
      <c r="G110" s="226"/>
      <c r="H110" s="227"/>
      <c r="I110" s="228"/>
      <c r="J110" s="228"/>
      <c r="K110" s="229"/>
      <c r="L110" s="230"/>
      <c r="M110" s="231"/>
      <c r="N110" s="232"/>
      <c r="O110" s="230"/>
      <c r="P110" s="231"/>
      <c r="Q110" s="232"/>
      <c r="R110" s="233"/>
      <c r="S110" s="234"/>
      <c r="T110" s="235"/>
      <c r="U110" s="233"/>
      <c r="V110" s="236"/>
      <c r="W110" s="234"/>
      <c r="X110" s="235"/>
      <c r="Y110" s="237"/>
      <c r="Z110" s="238"/>
    </row>
    <row r="111" spans="1:26" s="239" customFormat="1" ht="28.5" customHeight="1" x14ac:dyDescent="0.3">
      <c r="A111" s="222">
        <f t="shared" si="14"/>
        <v>0</v>
      </c>
      <c r="B111" s="223" t="b">
        <f t="shared" si="15"/>
        <v>1</v>
      </c>
      <c r="C111" s="222">
        <f t="shared" si="16"/>
        <v>0</v>
      </c>
      <c r="D111" s="205" t="str">
        <f t="shared" si="13"/>
        <v>$$$$</v>
      </c>
      <c r="E111" s="224"/>
      <c r="F111" s="225"/>
      <c r="G111" s="226"/>
      <c r="H111" s="227"/>
      <c r="I111" s="228"/>
      <c r="J111" s="228"/>
      <c r="K111" s="229"/>
      <c r="L111" s="230"/>
      <c r="M111" s="231"/>
      <c r="N111" s="232"/>
      <c r="O111" s="230"/>
      <c r="P111" s="231"/>
      <c r="Q111" s="232"/>
      <c r="R111" s="233"/>
      <c r="S111" s="234"/>
      <c r="T111" s="235"/>
      <c r="U111" s="233"/>
      <c r="V111" s="236"/>
      <c r="W111" s="234"/>
      <c r="X111" s="235"/>
      <c r="Y111" s="237"/>
      <c r="Z111" s="238"/>
    </row>
    <row r="112" spans="1:26" s="239" customFormat="1" ht="28.5" customHeight="1" x14ac:dyDescent="0.3">
      <c r="A112" s="222">
        <f t="shared" si="14"/>
        <v>0</v>
      </c>
      <c r="B112" s="223" t="b">
        <f t="shared" si="15"/>
        <v>1</v>
      </c>
      <c r="C112" s="222">
        <f t="shared" si="16"/>
        <v>0</v>
      </c>
      <c r="D112" s="205" t="str">
        <f t="shared" si="13"/>
        <v>$$$$</v>
      </c>
      <c r="E112" s="224"/>
      <c r="F112" s="225"/>
      <c r="G112" s="226"/>
      <c r="H112" s="227"/>
      <c r="I112" s="228"/>
      <c r="J112" s="228"/>
      <c r="K112" s="229"/>
      <c r="L112" s="230"/>
      <c r="M112" s="231"/>
      <c r="N112" s="232"/>
      <c r="O112" s="230"/>
      <c r="P112" s="231"/>
      <c r="Q112" s="232"/>
      <c r="R112" s="233"/>
      <c r="S112" s="234"/>
      <c r="T112" s="235"/>
      <c r="U112" s="233"/>
      <c r="V112" s="236"/>
      <c r="W112" s="234"/>
      <c r="X112" s="235"/>
      <c r="Y112" s="237"/>
      <c r="Z112" s="238"/>
    </row>
    <row r="113" spans="1:26" s="239" customFormat="1" ht="28.5" customHeight="1" x14ac:dyDescent="0.3">
      <c r="A113" s="222">
        <f t="shared" si="14"/>
        <v>0</v>
      </c>
      <c r="B113" s="223" t="b">
        <f t="shared" si="15"/>
        <v>1</v>
      </c>
      <c r="C113" s="222">
        <f t="shared" si="16"/>
        <v>0</v>
      </c>
      <c r="D113" s="205" t="str">
        <f t="shared" si="13"/>
        <v>$$$$</v>
      </c>
      <c r="E113" s="224"/>
      <c r="F113" s="225"/>
      <c r="G113" s="226"/>
      <c r="H113" s="227"/>
      <c r="I113" s="228"/>
      <c r="J113" s="228"/>
      <c r="K113" s="229"/>
      <c r="L113" s="230"/>
      <c r="M113" s="231"/>
      <c r="N113" s="232"/>
      <c r="O113" s="230"/>
      <c r="P113" s="231"/>
      <c r="Q113" s="232"/>
      <c r="R113" s="233"/>
      <c r="S113" s="234"/>
      <c r="T113" s="235"/>
      <c r="U113" s="233"/>
      <c r="V113" s="236"/>
      <c r="W113" s="234"/>
      <c r="X113" s="235"/>
      <c r="Y113" s="237"/>
      <c r="Z113" s="238"/>
    </row>
    <row r="114" spans="1:26" s="239" customFormat="1" ht="28.5" customHeight="1" x14ac:dyDescent="0.3">
      <c r="A114" s="222">
        <f t="shared" si="14"/>
        <v>0</v>
      </c>
      <c r="B114" s="223" t="b">
        <f t="shared" si="15"/>
        <v>1</v>
      </c>
      <c r="C114" s="222">
        <f t="shared" si="16"/>
        <v>0</v>
      </c>
      <c r="D114" s="205" t="str">
        <f t="shared" si="13"/>
        <v>$$$$</v>
      </c>
      <c r="E114" s="224"/>
      <c r="F114" s="225"/>
      <c r="G114" s="226"/>
      <c r="H114" s="227"/>
      <c r="I114" s="228"/>
      <c r="J114" s="228"/>
      <c r="K114" s="229"/>
      <c r="L114" s="230"/>
      <c r="M114" s="231"/>
      <c r="N114" s="232"/>
      <c r="O114" s="230"/>
      <c r="P114" s="231"/>
      <c r="Q114" s="232"/>
      <c r="R114" s="233"/>
      <c r="S114" s="234"/>
      <c r="T114" s="235"/>
      <c r="U114" s="233"/>
      <c r="V114" s="236"/>
      <c r="W114" s="234"/>
      <c r="X114" s="235"/>
      <c r="Y114" s="237"/>
      <c r="Z114" s="238"/>
    </row>
    <row r="115" spans="1:26" s="239" customFormat="1" ht="28.5" customHeight="1" x14ac:dyDescent="0.3">
      <c r="A115" s="222">
        <f t="shared" si="14"/>
        <v>0</v>
      </c>
      <c r="B115" s="223" t="b">
        <f t="shared" si="15"/>
        <v>1</v>
      </c>
      <c r="C115" s="222">
        <f t="shared" si="16"/>
        <v>0</v>
      </c>
      <c r="D115" s="205" t="str">
        <f t="shared" si="13"/>
        <v>$$$$</v>
      </c>
      <c r="E115" s="224"/>
      <c r="F115" s="225"/>
      <c r="G115" s="226"/>
      <c r="H115" s="227"/>
      <c r="I115" s="228"/>
      <c r="J115" s="228"/>
      <c r="K115" s="229"/>
      <c r="L115" s="230"/>
      <c r="M115" s="231"/>
      <c r="N115" s="232"/>
      <c r="O115" s="230"/>
      <c r="P115" s="231"/>
      <c r="Q115" s="232"/>
      <c r="R115" s="233"/>
      <c r="S115" s="234"/>
      <c r="T115" s="235"/>
      <c r="U115" s="233"/>
      <c r="V115" s="236"/>
      <c r="W115" s="234"/>
      <c r="X115" s="235"/>
      <c r="Y115" s="237"/>
      <c r="Z115" s="238"/>
    </row>
    <row r="116" spans="1:26" s="239" customFormat="1" ht="28.5" customHeight="1" x14ac:dyDescent="0.3">
      <c r="A116" s="222">
        <f t="shared" si="14"/>
        <v>0</v>
      </c>
      <c r="B116" s="223" t="b">
        <f t="shared" si="15"/>
        <v>1</v>
      </c>
      <c r="C116" s="222">
        <f t="shared" si="16"/>
        <v>0</v>
      </c>
      <c r="D116" s="205" t="str">
        <f t="shared" si="13"/>
        <v>$$$$</v>
      </c>
      <c r="E116" s="224"/>
      <c r="F116" s="225"/>
      <c r="G116" s="226"/>
      <c r="H116" s="227"/>
      <c r="I116" s="228"/>
      <c r="J116" s="228"/>
      <c r="K116" s="229"/>
      <c r="L116" s="230"/>
      <c r="M116" s="231"/>
      <c r="N116" s="232"/>
      <c r="O116" s="230"/>
      <c r="P116" s="231"/>
      <c r="Q116" s="232"/>
      <c r="R116" s="233"/>
      <c r="S116" s="234"/>
      <c r="T116" s="235"/>
      <c r="U116" s="233"/>
      <c r="V116" s="236"/>
      <c r="W116" s="234"/>
      <c r="X116" s="235"/>
      <c r="Y116" s="237"/>
      <c r="Z116" s="238"/>
    </row>
    <row r="117" spans="1:26" s="239" customFormat="1" ht="28.5" customHeight="1" x14ac:dyDescent="0.3">
      <c r="A117" s="222">
        <f t="shared" si="14"/>
        <v>0</v>
      </c>
      <c r="B117" s="223" t="b">
        <f t="shared" si="15"/>
        <v>1</v>
      </c>
      <c r="C117" s="222">
        <f t="shared" si="16"/>
        <v>0</v>
      </c>
      <c r="D117" s="205" t="str">
        <f t="shared" si="13"/>
        <v>$$$$</v>
      </c>
      <c r="E117" s="224"/>
      <c r="F117" s="225"/>
      <c r="G117" s="226"/>
      <c r="H117" s="227"/>
      <c r="I117" s="228"/>
      <c r="J117" s="228"/>
      <c r="K117" s="229"/>
      <c r="L117" s="230"/>
      <c r="M117" s="231"/>
      <c r="N117" s="232"/>
      <c r="O117" s="230"/>
      <c r="P117" s="231"/>
      <c r="Q117" s="232"/>
      <c r="R117" s="233"/>
      <c r="S117" s="234"/>
      <c r="T117" s="235"/>
      <c r="U117" s="233"/>
      <c r="V117" s="236"/>
      <c r="W117" s="234"/>
      <c r="X117" s="235"/>
      <c r="Y117" s="237"/>
      <c r="Z117" s="238"/>
    </row>
    <row r="118" spans="1:26" s="239" customFormat="1" ht="28.5" customHeight="1" x14ac:dyDescent="0.3">
      <c r="A118" s="222">
        <f t="shared" si="14"/>
        <v>0</v>
      </c>
      <c r="B118" s="223" t="b">
        <f t="shared" si="15"/>
        <v>1</v>
      </c>
      <c r="C118" s="222">
        <f t="shared" si="16"/>
        <v>0</v>
      </c>
      <c r="D118" s="205" t="str">
        <f t="shared" si="13"/>
        <v>$$$$</v>
      </c>
      <c r="E118" s="224"/>
      <c r="F118" s="225"/>
      <c r="G118" s="226"/>
      <c r="H118" s="227"/>
      <c r="I118" s="228"/>
      <c r="J118" s="228"/>
      <c r="K118" s="229"/>
      <c r="L118" s="230"/>
      <c r="M118" s="231"/>
      <c r="N118" s="232"/>
      <c r="O118" s="230"/>
      <c r="P118" s="231"/>
      <c r="Q118" s="232"/>
      <c r="R118" s="233"/>
      <c r="S118" s="234"/>
      <c r="T118" s="235"/>
      <c r="U118" s="233"/>
      <c r="V118" s="236"/>
      <c r="W118" s="234"/>
      <c r="X118" s="235"/>
      <c r="Y118" s="237"/>
      <c r="Z118" s="238"/>
    </row>
    <row r="119" spans="1:26" s="239" customFormat="1" ht="28.5" customHeight="1" x14ac:dyDescent="0.3">
      <c r="A119" s="222">
        <f t="shared" si="14"/>
        <v>0</v>
      </c>
      <c r="B119" s="223" t="b">
        <f t="shared" si="15"/>
        <v>1</v>
      </c>
      <c r="C119" s="222">
        <f t="shared" si="16"/>
        <v>0</v>
      </c>
      <c r="D119" s="205" t="str">
        <f t="shared" si="13"/>
        <v>$$$$</v>
      </c>
      <c r="E119" s="224"/>
      <c r="F119" s="225"/>
      <c r="G119" s="226"/>
      <c r="H119" s="227"/>
      <c r="I119" s="228"/>
      <c r="J119" s="228"/>
      <c r="K119" s="229"/>
      <c r="L119" s="230"/>
      <c r="M119" s="231"/>
      <c r="N119" s="232"/>
      <c r="O119" s="230"/>
      <c r="P119" s="231"/>
      <c r="Q119" s="232"/>
      <c r="R119" s="233"/>
      <c r="S119" s="234"/>
      <c r="T119" s="235"/>
      <c r="U119" s="233"/>
      <c r="V119" s="236"/>
      <c r="W119" s="234"/>
      <c r="X119" s="235"/>
      <c r="Y119" s="237"/>
      <c r="Z119" s="238"/>
    </row>
    <row r="120" spans="1:26" s="239" customFormat="1" ht="28.5" customHeight="1" x14ac:dyDescent="0.3">
      <c r="A120" s="222">
        <f t="shared" si="14"/>
        <v>0</v>
      </c>
      <c r="B120" s="223" t="b">
        <f t="shared" si="15"/>
        <v>1</v>
      </c>
      <c r="C120" s="222">
        <f t="shared" si="16"/>
        <v>0</v>
      </c>
      <c r="D120" s="205" t="str">
        <f t="shared" ref="D120:D154" si="17">CONCATENATE("$",TRIM(F120),"$",TRIM(G120),"$",H120,"$")</f>
        <v>$$$$</v>
      </c>
      <c r="E120" s="224"/>
      <c r="F120" s="225"/>
      <c r="G120" s="226"/>
      <c r="H120" s="227"/>
      <c r="I120" s="228"/>
      <c r="J120" s="228"/>
      <c r="K120" s="229"/>
      <c r="L120" s="230"/>
      <c r="M120" s="231"/>
      <c r="N120" s="232"/>
      <c r="O120" s="230"/>
      <c r="P120" s="231"/>
      <c r="Q120" s="232"/>
      <c r="R120" s="233"/>
      <c r="S120" s="234"/>
      <c r="T120" s="235"/>
      <c r="U120" s="233"/>
      <c r="V120" s="236"/>
      <c r="W120" s="234"/>
      <c r="X120" s="235"/>
      <c r="Y120" s="237"/>
      <c r="Z120" s="238"/>
    </row>
    <row r="121" spans="1:26" s="239" customFormat="1" ht="28.5" customHeight="1" x14ac:dyDescent="0.3">
      <c r="A121" s="222">
        <f t="shared" si="14"/>
        <v>0</v>
      </c>
      <c r="B121" s="223" t="b">
        <f t="shared" si="15"/>
        <v>1</v>
      </c>
      <c r="C121" s="222">
        <f t="shared" si="16"/>
        <v>0</v>
      </c>
      <c r="D121" s="205" t="str">
        <f t="shared" si="17"/>
        <v>$$$$</v>
      </c>
      <c r="E121" s="224"/>
      <c r="F121" s="225"/>
      <c r="G121" s="226"/>
      <c r="H121" s="227"/>
      <c r="I121" s="228"/>
      <c r="J121" s="228"/>
      <c r="K121" s="229"/>
      <c r="L121" s="230"/>
      <c r="M121" s="231"/>
      <c r="N121" s="232"/>
      <c r="O121" s="230"/>
      <c r="P121" s="231"/>
      <c r="Q121" s="232"/>
      <c r="R121" s="233"/>
      <c r="S121" s="234"/>
      <c r="T121" s="235"/>
      <c r="U121" s="233"/>
      <c r="V121" s="236"/>
      <c r="W121" s="234"/>
      <c r="X121" s="235"/>
      <c r="Y121" s="237"/>
      <c r="Z121" s="238"/>
    </row>
    <row r="122" spans="1:26" s="239" customFormat="1" ht="28.5" customHeight="1" x14ac:dyDescent="0.3">
      <c r="A122" s="222">
        <f t="shared" si="14"/>
        <v>0</v>
      </c>
      <c r="B122" s="223" t="b">
        <f t="shared" si="15"/>
        <v>1</v>
      </c>
      <c r="C122" s="222">
        <f t="shared" si="16"/>
        <v>0</v>
      </c>
      <c r="D122" s="205" t="str">
        <f t="shared" si="17"/>
        <v>$$$$</v>
      </c>
      <c r="E122" s="224"/>
      <c r="F122" s="225"/>
      <c r="G122" s="226"/>
      <c r="H122" s="227"/>
      <c r="I122" s="228"/>
      <c r="J122" s="228"/>
      <c r="K122" s="229"/>
      <c r="L122" s="230"/>
      <c r="M122" s="231"/>
      <c r="N122" s="232"/>
      <c r="O122" s="230"/>
      <c r="P122" s="231"/>
      <c r="Q122" s="232"/>
      <c r="R122" s="233"/>
      <c r="S122" s="234"/>
      <c r="T122" s="235"/>
      <c r="U122" s="233"/>
      <c r="V122" s="236"/>
      <c r="W122" s="234"/>
      <c r="X122" s="235"/>
      <c r="Y122" s="237"/>
      <c r="Z122" s="238"/>
    </row>
    <row r="123" spans="1:26" s="239" customFormat="1" ht="28.5" customHeight="1" x14ac:dyDescent="0.3">
      <c r="A123" s="222">
        <f t="shared" si="14"/>
        <v>0</v>
      </c>
      <c r="B123" s="223" t="b">
        <f t="shared" si="15"/>
        <v>1</v>
      </c>
      <c r="C123" s="222">
        <f t="shared" si="16"/>
        <v>0</v>
      </c>
      <c r="D123" s="205" t="str">
        <f t="shared" si="17"/>
        <v>$$$$</v>
      </c>
      <c r="E123" s="224"/>
      <c r="F123" s="225"/>
      <c r="G123" s="226"/>
      <c r="H123" s="227"/>
      <c r="I123" s="228"/>
      <c r="J123" s="228"/>
      <c r="K123" s="229"/>
      <c r="L123" s="230"/>
      <c r="M123" s="231"/>
      <c r="N123" s="232"/>
      <c r="O123" s="230"/>
      <c r="P123" s="231"/>
      <c r="Q123" s="232"/>
      <c r="R123" s="233"/>
      <c r="S123" s="234"/>
      <c r="T123" s="235"/>
      <c r="U123" s="233"/>
      <c r="V123" s="236"/>
      <c r="W123" s="234"/>
      <c r="X123" s="235"/>
      <c r="Y123" s="237"/>
      <c r="Z123" s="238"/>
    </row>
    <row r="124" spans="1:26" s="239" customFormat="1" ht="28.5" customHeight="1" x14ac:dyDescent="0.3">
      <c r="A124" s="222">
        <f t="shared" si="14"/>
        <v>0</v>
      </c>
      <c r="B124" s="223" t="b">
        <f t="shared" si="15"/>
        <v>1</v>
      </c>
      <c r="C124" s="222">
        <f t="shared" si="16"/>
        <v>0</v>
      </c>
      <c r="D124" s="205" t="str">
        <f t="shared" si="17"/>
        <v>$$$$</v>
      </c>
      <c r="E124" s="224"/>
      <c r="F124" s="225"/>
      <c r="G124" s="226"/>
      <c r="H124" s="227"/>
      <c r="I124" s="228"/>
      <c r="J124" s="228"/>
      <c r="K124" s="229"/>
      <c r="L124" s="230"/>
      <c r="M124" s="231"/>
      <c r="N124" s="232"/>
      <c r="O124" s="230"/>
      <c r="P124" s="231"/>
      <c r="Q124" s="232"/>
      <c r="R124" s="233"/>
      <c r="S124" s="234"/>
      <c r="T124" s="235"/>
      <c r="U124" s="233"/>
      <c r="V124" s="236"/>
      <c r="W124" s="234"/>
      <c r="X124" s="235"/>
      <c r="Y124" s="237"/>
      <c r="Z124" s="238"/>
    </row>
    <row r="125" spans="1:26" s="239" customFormat="1" ht="28.5" customHeight="1" x14ac:dyDescent="0.3">
      <c r="A125" s="222">
        <f t="shared" si="14"/>
        <v>0</v>
      </c>
      <c r="B125" s="223" t="b">
        <f t="shared" si="15"/>
        <v>1</v>
      </c>
      <c r="C125" s="222">
        <f t="shared" si="16"/>
        <v>0</v>
      </c>
      <c r="D125" s="205" t="str">
        <f t="shared" si="17"/>
        <v>$$$$</v>
      </c>
      <c r="E125" s="224"/>
      <c r="F125" s="225"/>
      <c r="G125" s="226"/>
      <c r="H125" s="227"/>
      <c r="I125" s="228"/>
      <c r="J125" s="228"/>
      <c r="K125" s="229"/>
      <c r="L125" s="230"/>
      <c r="M125" s="231"/>
      <c r="N125" s="232"/>
      <c r="O125" s="230"/>
      <c r="P125" s="231"/>
      <c r="Q125" s="232"/>
      <c r="R125" s="233"/>
      <c r="S125" s="234"/>
      <c r="T125" s="235"/>
      <c r="U125" s="233"/>
      <c r="V125" s="236"/>
      <c r="W125" s="234"/>
      <c r="X125" s="235"/>
      <c r="Y125" s="237"/>
      <c r="Z125" s="238"/>
    </row>
    <row r="126" spans="1:26" s="239" customFormat="1" ht="28.5" customHeight="1" x14ac:dyDescent="0.3">
      <c r="A126" s="222">
        <f t="shared" si="14"/>
        <v>0</v>
      </c>
      <c r="B126" s="223" t="b">
        <f t="shared" si="15"/>
        <v>1</v>
      </c>
      <c r="C126" s="222">
        <f t="shared" si="16"/>
        <v>0</v>
      </c>
      <c r="D126" s="205" t="str">
        <f t="shared" si="17"/>
        <v>$$$$</v>
      </c>
      <c r="E126" s="224"/>
      <c r="F126" s="225"/>
      <c r="G126" s="226"/>
      <c r="H126" s="227"/>
      <c r="I126" s="228"/>
      <c r="J126" s="228"/>
      <c r="K126" s="229"/>
      <c r="L126" s="230"/>
      <c r="M126" s="231"/>
      <c r="N126" s="232"/>
      <c r="O126" s="230"/>
      <c r="P126" s="231"/>
      <c r="Q126" s="232"/>
      <c r="R126" s="233"/>
      <c r="S126" s="234"/>
      <c r="T126" s="235"/>
      <c r="U126" s="233"/>
      <c r="V126" s="236"/>
      <c r="W126" s="234"/>
      <c r="X126" s="235"/>
      <c r="Y126" s="237"/>
      <c r="Z126" s="238"/>
    </row>
    <row r="127" spans="1:26" s="239" customFormat="1" ht="28.5" customHeight="1" x14ac:dyDescent="0.3">
      <c r="A127" s="222">
        <f t="shared" si="14"/>
        <v>0</v>
      </c>
      <c r="B127" s="223" t="b">
        <f t="shared" si="15"/>
        <v>1</v>
      </c>
      <c r="C127" s="222">
        <f t="shared" si="16"/>
        <v>0</v>
      </c>
      <c r="D127" s="205" t="str">
        <f t="shared" si="17"/>
        <v>$$$$</v>
      </c>
      <c r="E127" s="224"/>
      <c r="F127" s="225"/>
      <c r="G127" s="226"/>
      <c r="H127" s="227"/>
      <c r="I127" s="228"/>
      <c r="J127" s="228"/>
      <c r="K127" s="229"/>
      <c r="L127" s="230"/>
      <c r="M127" s="231"/>
      <c r="N127" s="232"/>
      <c r="O127" s="230"/>
      <c r="P127" s="231"/>
      <c r="Q127" s="232"/>
      <c r="R127" s="233"/>
      <c r="S127" s="234"/>
      <c r="T127" s="235"/>
      <c r="U127" s="233"/>
      <c r="V127" s="236"/>
      <c r="W127" s="234"/>
      <c r="X127" s="235"/>
      <c r="Y127" s="237"/>
      <c r="Z127" s="238"/>
    </row>
    <row r="128" spans="1:26" s="239" customFormat="1" ht="28.5" customHeight="1" x14ac:dyDescent="0.3">
      <c r="A128" s="222">
        <f t="shared" si="14"/>
        <v>0</v>
      </c>
      <c r="B128" s="223" t="b">
        <f t="shared" si="15"/>
        <v>1</v>
      </c>
      <c r="C128" s="222">
        <f t="shared" si="16"/>
        <v>0</v>
      </c>
      <c r="D128" s="205" t="str">
        <f t="shared" si="17"/>
        <v>$$$$</v>
      </c>
      <c r="E128" s="224"/>
      <c r="F128" s="225"/>
      <c r="G128" s="226"/>
      <c r="H128" s="227"/>
      <c r="I128" s="228"/>
      <c r="J128" s="228"/>
      <c r="K128" s="229"/>
      <c r="L128" s="230"/>
      <c r="M128" s="231"/>
      <c r="N128" s="232"/>
      <c r="O128" s="230"/>
      <c r="P128" s="231"/>
      <c r="Q128" s="232"/>
      <c r="R128" s="233"/>
      <c r="S128" s="234"/>
      <c r="T128" s="235"/>
      <c r="U128" s="233"/>
      <c r="V128" s="236"/>
      <c r="W128" s="234"/>
      <c r="X128" s="235"/>
      <c r="Y128" s="237"/>
      <c r="Z128" s="238"/>
    </row>
    <row r="129" spans="1:26" s="239" customFormat="1" ht="28.5" customHeight="1" x14ac:dyDescent="0.3">
      <c r="A129" s="222">
        <f t="shared" si="14"/>
        <v>0</v>
      </c>
      <c r="B129" s="223" t="b">
        <f t="shared" si="15"/>
        <v>1</v>
      </c>
      <c r="C129" s="222">
        <f t="shared" si="16"/>
        <v>0</v>
      </c>
      <c r="D129" s="205" t="str">
        <f t="shared" si="17"/>
        <v>$$$$</v>
      </c>
      <c r="E129" s="224"/>
      <c r="F129" s="225"/>
      <c r="G129" s="226"/>
      <c r="H129" s="227"/>
      <c r="I129" s="228"/>
      <c r="J129" s="228"/>
      <c r="K129" s="229"/>
      <c r="L129" s="230"/>
      <c r="M129" s="231"/>
      <c r="N129" s="232"/>
      <c r="O129" s="230"/>
      <c r="P129" s="231"/>
      <c r="Q129" s="232"/>
      <c r="R129" s="233"/>
      <c r="S129" s="234"/>
      <c r="T129" s="235"/>
      <c r="U129" s="233"/>
      <c r="V129" s="236"/>
      <c r="W129" s="234"/>
      <c r="X129" s="235"/>
      <c r="Y129" s="237"/>
      <c r="Z129" s="238"/>
    </row>
    <row r="130" spans="1:26" s="239" customFormat="1" ht="28.5" customHeight="1" x14ac:dyDescent="0.3">
      <c r="A130" s="222">
        <f t="shared" si="14"/>
        <v>0</v>
      </c>
      <c r="B130" s="223" t="b">
        <f t="shared" si="15"/>
        <v>1</v>
      </c>
      <c r="C130" s="222">
        <f t="shared" si="16"/>
        <v>0</v>
      </c>
      <c r="D130" s="205" t="str">
        <f t="shared" si="17"/>
        <v>$$$$</v>
      </c>
      <c r="E130" s="224"/>
      <c r="F130" s="225"/>
      <c r="G130" s="226"/>
      <c r="H130" s="227"/>
      <c r="I130" s="228"/>
      <c r="J130" s="228"/>
      <c r="K130" s="229"/>
      <c r="L130" s="230"/>
      <c r="M130" s="231"/>
      <c r="N130" s="232"/>
      <c r="O130" s="230"/>
      <c r="P130" s="231"/>
      <c r="Q130" s="232"/>
      <c r="R130" s="233"/>
      <c r="S130" s="234"/>
      <c r="T130" s="235"/>
      <c r="U130" s="233"/>
      <c r="V130" s="236"/>
      <c r="W130" s="234"/>
      <c r="X130" s="235"/>
      <c r="Y130" s="237"/>
      <c r="Z130" s="238"/>
    </row>
    <row r="131" spans="1:26" s="239" customFormat="1" ht="28.5" customHeight="1" x14ac:dyDescent="0.3">
      <c r="A131" s="222">
        <f t="shared" si="14"/>
        <v>0</v>
      </c>
      <c r="B131" s="223" t="b">
        <f t="shared" si="15"/>
        <v>1</v>
      </c>
      <c r="C131" s="222">
        <f t="shared" si="16"/>
        <v>0</v>
      </c>
      <c r="D131" s="205" t="str">
        <f t="shared" si="17"/>
        <v>$$$$</v>
      </c>
      <c r="E131" s="224"/>
      <c r="F131" s="225"/>
      <c r="G131" s="226"/>
      <c r="H131" s="227"/>
      <c r="I131" s="228"/>
      <c r="J131" s="228"/>
      <c r="K131" s="229"/>
      <c r="L131" s="230"/>
      <c r="M131" s="231"/>
      <c r="N131" s="232"/>
      <c r="O131" s="230"/>
      <c r="P131" s="231"/>
      <c r="Q131" s="232"/>
      <c r="R131" s="233"/>
      <c r="S131" s="234"/>
      <c r="T131" s="235"/>
      <c r="U131" s="233"/>
      <c r="V131" s="236"/>
      <c r="W131" s="234"/>
      <c r="X131" s="235"/>
      <c r="Y131" s="237"/>
      <c r="Z131" s="238"/>
    </row>
    <row r="132" spans="1:26" s="239" customFormat="1" ht="28.5" customHeight="1" x14ac:dyDescent="0.3">
      <c r="A132" s="222">
        <f t="shared" si="14"/>
        <v>0</v>
      </c>
      <c r="B132" s="223" t="b">
        <f t="shared" si="15"/>
        <v>1</v>
      </c>
      <c r="C132" s="222">
        <f t="shared" si="16"/>
        <v>0</v>
      </c>
      <c r="D132" s="205" t="str">
        <f t="shared" si="17"/>
        <v>$$$$</v>
      </c>
      <c r="E132" s="224"/>
      <c r="F132" s="225"/>
      <c r="G132" s="226"/>
      <c r="H132" s="227"/>
      <c r="I132" s="228"/>
      <c r="J132" s="228"/>
      <c r="K132" s="229"/>
      <c r="L132" s="230"/>
      <c r="M132" s="231"/>
      <c r="N132" s="232"/>
      <c r="O132" s="230"/>
      <c r="P132" s="231"/>
      <c r="Q132" s="232"/>
      <c r="R132" s="233"/>
      <c r="S132" s="234"/>
      <c r="T132" s="235"/>
      <c r="U132" s="233"/>
      <c r="V132" s="236"/>
      <c r="W132" s="234"/>
      <c r="X132" s="235"/>
      <c r="Y132" s="237"/>
      <c r="Z132" s="238"/>
    </row>
    <row r="133" spans="1:26" s="239" customFormat="1" ht="28.5" customHeight="1" x14ac:dyDescent="0.3">
      <c r="A133" s="222">
        <f t="shared" si="14"/>
        <v>0</v>
      </c>
      <c r="B133" s="223" t="b">
        <f t="shared" si="15"/>
        <v>1</v>
      </c>
      <c r="C133" s="222">
        <f t="shared" si="16"/>
        <v>0</v>
      </c>
      <c r="D133" s="205" t="str">
        <f t="shared" si="17"/>
        <v>$$$$</v>
      </c>
      <c r="E133" s="224"/>
      <c r="F133" s="225"/>
      <c r="G133" s="226"/>
      <c r="H133" s="227"/>
      <c r="I133" s="228"/>
      <c r="J133" s="228"/>
      <c r="K133" s="229"/>
      <c r="L133" s="230"/>
      <c r="M133" s="231"/>
      <c r="N133" s="232"/>
      <c r="O133" s="230"/>
      <c r="P133" s="231"/>
      <c r="Q133" s="232"/>
      <c r="R133" s="233"/>
      <c r="S133" s="234"/>
      <c r="T133" s="235"/>
      <c r="U133" s="233"/>
      <c r="V133" s="236"/>
      <c r="W133" s="234"/>
      <c r="X133" s="235"/>
      <c r="Y133" s="237"/>
      <c r="Z133" s="238"/>
    </row>
    <row r="134" spans="1:26" s="239" customFormat="1" ht="28.5" customHeight="1" x14ac:dyDescent="0.3">
      <c r="A134" s="222">
        <f t="shared" si="14"/>
        <v>0</v>
      </c>
      <c r="B134" s="223" t="b">
        <f t="shared" si="15"/>
        <v>1</v>
      </c>
      <c r="C134" s="222">
        <f t="shared" si="16"/>
        <v>0</v>
      </c>
      <c r="D134" s="205" t="str">
        <f t="shared" si="17"/>
        <v>$$$$</v>
      </c>
      <c r="E134" s="224"/>
      <c r="F134" s="225"/>
      <c r="G134" s="226"/>
      <c r="H134" s="227"/>
      <c r="I134" s="228"/>
      <c r="J134" s="228"/>
      <c r="K134" s="229"/>
      <c r="L134" s="230"/>
      <c r="M134" s="231"/>
      <c r="N134" s="232"/>
      <c r="O134" s="230"/>
      <c r="P134" s="231"/>
      <c r="Q134" s="232"/>
      <c r="R134" s="233"/>
      <c r="S134" s="234"/>
      <c r="T134" s="235"/>
      <c r="U134" s="233"/>
      <c r="V134" s="236"/>
      <c r="W134" s="234"/>
      <c r="X134" s="235"/>
      <c r="Y134" s="237"/>
      <c r="Z134" s="238"/>
    </row>
    <row r="135" spans="1:26" s="239" customFormat="1" ht="28.5" customHeight="1" x14ac:dyDescent="0.3">
      <c r="A135" s="222">
        <f t="shared" si="14"/>
        <v>0</v>
      </c>
      <c r="B135" s="223" t="b">
        <f t="shared" si="15"/>
        <v>1</v>
      </c>
      <c r="C135" s="222">
        <f t="shared" si="16"/>
        <v>0</v>
      </c>
      <c r="D135" s="205" t="str">
        <f t="shared" si="17"/>
        <v>$$$$</v>
      </c>
      <c r="E135" s="224"/>
      <c r="F135" s="225"/>
      <c r="G135" s="226"/>
      <c r="H135" s="227"/>
      <c r="I135" s="228"/>
      <c r="J135" s="228"/>
      <c r="K135" s="229"/>
      <c r="L135" s="230"/>
      <c r="M135" s="231"/>
      <c r="N135" s="232"/>
      <c r="O135" s="230"/>
      <c r="P135" s="231"/>
      <c r="Q135" s="232"/>
      <c r="R135" s="233"/>
      <c r="S135" s="234"/>
      <c r="T135" s="235"/>
      <c r="U135" s="233"/>
      <c r="V135" s="236"/>
      <c r="W135" s="234"/>
      <c r="X135" s="235"/>
      <c r="Y135" s="237"/>
      <c r="Z135" s="238"/>
    </row>
    <row r="136" spans="1:26" s="239" customFormat="1" ht="28.5" customHeight="1" x14ac:dyDescent="0.3">
      <c r="A136" s="222">
        <f t="shared" si="14"/>
        <v>0</v>
      </c>
      <c r="B136" s="223" t="b">
        <f t="shared" si="15"/>
        <v>1</v>
      </c>
      <c r="C136" s="222">
        <f t="shared" si="16"/>
        <v>0</v>
      </c>
      <c r="D136" s="205" t="str">
        <f t="shared" si="17"/>
        <v>$$$$</v>
      </c>
      <c r="E136" s="224"/>
      <c r="F136" s="225"/>
      <c r="G136" s="226"/>
      <c r="H136" s="227"/>
      <c r="I136" s="228"/>
      <c r="J136" s="228"/>
      <c r="K136" s="229"/>
      <c r="L136" s="230"/>
      <c r="M136" s="231"/>
      <c r="N136" s="232"/>
      <c r="O136" s="230"/>
      <c r="P136" s="231"/>
      <c r="Q136" s="232"/>
      <c r="R136" s="233"/>
      <c r="S136" s="234"/>
      <c r="T136" s="235"/>
      <c r="U136" s="233"/>
      <c r="V136" s="236"/>
      <c r="W136" s="234"/>
      <c r="X136" s="235"/>
      <c r="Y136" s="237"/>
      <c r="Z136" s="238"/>
    </row>
    <row r="137" spans="1:26" s="239" customFormat="1" ht="28.5" customHeight="1" x14ac:dyDescent="0.3">
      <c r="A137" s="222">
        <f t="shared" si="14"/>
        <v>0</v>
      </c>
      <c r="B137" s="223" t="b">
        <f t="shared" si="15"/>
        <v>1</v>
      </c>
      <c r="C137" s="222">
        <f t="shared" si="16"/>
        <v>0</v>
      </c>
      <c r="D137" s="205" t="str">
        <f t="shared" si="17"/>
        <v>$$$$</v>
      </c>
      <c r="E137" s="224"/>
      <c r="F137" s="225"/>
      <c r="G137" s="226"/>
      <c r="H137" s="227"/>
      <c r="I137" s="228"/>
      <c r="J137" s="228"/>
      <c r="K137" s="229"/>
      <c r="L137" s="230"/>
      <c r="M137" s="231"/>
      <c r="N137" s="232"/>
      <c r="O137" s="230"/>
      <c r="P137" s="231"/>
      <c r="Q137" s="232"/>
      <c r="R137" s="233"/>
      <c r="S137" s="234"/>
      <c r="T137" s="235"/>
      <c r="U137" s="233"/>
      <c r="V137" s="236"/>
      <c r="W137" s="234"/>
      <c r="X137" s="235"/>
      <c r="Y137" s="237"/>
      <c r="Z137" s="238"/>
    </row>
    <row r="138" spans="1:26" s="239" customFormat="1" ht="28.5" customHeight="1" x14ac:dyDescent="0.3">
      <c r="A138" s="222">
        <f t="shared" si="14"/>
        <v>0</v>
      </c>
      <c r="B138" s="223" t="b">
        <f t="shared" si="15"/>
        <v>1</v>
      </c>
      <c r="C138" s="222">
        <f t="shared" si="16"/>
        <v>0</v>
      </c>
      <c r="D138" s="205" t="str">
        <f t="shared" si="17"/>
        <v>$$$$</v>
      </c>
      <c r="E138" s="224"/>
      <c r="F138" s="225"/>
      <c r="G138" s="226"/>
      <c r="H138" s="227"/>
      <c r="I138" s="228"/>
      <c r="J138" s="228"/>
      <c r="K138" s="229"/>
      <c r="L138" s="230"/>
      <c r="M138" s="231"/>
      <c r="N138" s="232"/>
      <c r="O138" s="230"/>
      <c r="P138" s="231"/>
      <c r="Q138" s="232"/>
      <c r="R138" s="233"/>
      <c r="S138" s="234"/>
      <c r="T138" s="235"/>
      <c r="U138" s="233"/>
      <c r="V138" s="236"/>
      <c r="W138" s="234"/>
      <c r="X138" s="235"/>
      <c r="Y138" s="237"/>
      <c r="Z138" s="238"/>
    </row>
    <row r="139" spans="1:26" s="239" customFormat="1" ht="28.5" customHeight="1" x14ac:dyDescent="0.3">
      <c r="A139" s="222">
        <f t="shared" si="14"/>
        <v>0</v>
      </c>
      <c r="B139" s="223" t="b">
        <f t="shared" si="15"/>
        <v>1</v>
      </c>
      <c r="C139" s="222">
        <f t="shared" si="16"/>
        <v>0</v>
      </c>
      <c r="D139" s="205" t="str">
        <f t="shared" si="17"/>
        <v>$$$$</v>
      </c>
      <c r="E139" s="224"/>
      <c r="F139" s="225"/>
      <c r="G139" s="226"/>
      <c r="H139" s="227"/>
      <c r="I139" s="228"/>
      <c r="J139" s="228"/>
      <c r="K139" s="229"/>
      <c r="L139" s="230"/>
      <c r="M139" s="231"/>
      <c r="N139" s="232"/>
      <c r="O139" s="230"/>
      <c r="P139" s="231"/>
      <c r="Q139" s="232"/>
      <c r="R139" s="233"/>
      <c r="S139" s="234"/>
      <c r="T139" s="235"/>
      <c r="U139" s="233"/>
      <c r="V139" s="236"/>
      <c r="W139" s="234"/>
      <c r="X139" s="235"/>
      <c r="Y139" s="237"/>
      <c r="Z139" s="238"/>
    </row>
    <row r="140" spans="1:26" s="239" customFormat="1" ht="28.5" customHeight="1" x14ac:dyDescent="0.3">
      <c r="A140" s="222">
        <f t="shared" si="14"/>
        <v>0</v>
      </c>
      <c r="B140" s="223" t="b">
        <f t="shared" si="15"/>
        <v>1</v>
      </c>
      <c r="C140" s="222">
        <f t="shared" si="16"/>
        <v>0</v>
      </c>
      <c r="D140" s="205" t="str">
        <f t="shared" si="17"/>
        <v>$$$$</v>
      </c>
      <c r="E140" s="224"/>
      <c r="F140" s="225"/>
      <c r="G140" s="226"/>
      <c r="H140" s="227"/>
      <c r="I140" s="228"/>
      <c r="J140" s="228"/>
      <c r="K140" s="229"/>
      <c r="L140" s="230"/>
      <c r="M140" s="231"/>
      <c r="N140" s="232"/>
      <c r="O140" s="230"/>
      <c r="P140" s="231"/>
      <c r="Q140" s="232"/>
      <c r="R140" s="233"/>
      <c r="S140" s="234"/>
      <c r="T140" s="235"/>
      <c r="U140" s="233"/>
      <c r="V140" s="236"/>
      <c r="W140" s="234"/>
      <c r="X140" s="235"/>
      <c r="Y140" s="237"/>
      <c r="Z140" s="238"/>
    </row>
    <row r="141" spans="1:26" s="239" customFormat="1" ht="28.5" customHeight="1" x14ac:dyDescent="0.3">
      <c r="A141" s="222">
        <f t="shared" si="14"/>
        <v>0</v>
      </c>
      <c r="B141" s="223" t="b">
        <f t="shared" si="15"/>
        <v>1</v>
      </c>
      <c r="C141" s="222">
        <f t="shared" si="16"/>
        <v>0</v>
      </c>
      <c r="D141" s="205" t="str">
        <f t="shared" si="17"/>
        <v>$$$$</v>
      </c>
      <c r="E141" s="224"/>
      <c r="F141" s="225"/>
      <c r="G141" s="226"/>
      <c r="H141" s="227"/>
      <c r="I141" s="228"/>
      <c r="J141" s="228"/>
      <c r="K141" s="229"/>
      <c r="L141" s="230"/>
      <c r="M141" s="231"/>
      <c r="N141" s="232"/>
      <c r="O141" s="230"/>
      <c r="P141" s="231"/>
      <c r="Q141" s="232"/>
      <c r="R141" s="233"/>
      <c r="S141" s="234"/>
      <c r="T141" s="235"/>
      <c r="U141" s="233"/>
      <c r="V141" s="236"/>
      <c r="W141" s="234"/>
      <c r="X141" s="235"/>
      <c r="Y141" s="237"/>
      <c r="Z141" s="238"/>
    </row>
    <row r="142" spans="1:26" s="239" customFormat="1" ht="28.5" customHeight="1" x14ac:dyDescent="0.3">
      <c r="A142" s="222">
        <f t="shared" si="14"/>
        <v>0</v>
      </c>
      <c r="B142" s="223" t="b">
        <f t="shared" si="15"/>
        <v>1</v>
      </c>
      <c r="C142" s="222">
        <f t="shared" si="16"/>
        <v>0</v>
      </c>
      <c r="D142" s="205" t="str">
        <f t="shared" si="17"/>
        <v>$$$$</v>
      </c>
      <c r="E142" s="224"/>
      <c r="F142" s="225"/>
      <c r="G142" s="226"/>
      <c r="H142" s="227"/>
      <c r="I142" s="228"/>
      <c r="J142" s="228"/>
      <c r="K142" s="229"/>
      <c r="L142" s="230"/>
      <c r="M142" s="231"/>
      <c r="N142" s="232"/>
      <c r="O142" s="230"/>
      <c r="P142" s="231"/>
      <c r="Q142" s="232"/>
      <c r="R142" s="233"/>
      <c r="S142" s="234"/>
      <c r="T142" s="235"/>
      <c r="U142" s="233"/>
      <c r="V142" s="236"/>
      <c r="W142" s="234"/>
      <c r="X142" s="235"/>
      <c r="Y142" s="237"/>
      <c r="Z142" s="238"/>
    </row>
    <row r="143" spans="1:26" s="239" customFormat="1" ht="28.5" customHeight="1" x14ac:dyDescent="0.3">
      <c r="A143" s="222">
        <f t="shared" si="14"/>
        <v>0</v>
      </c>
      <c r="B143" s="223" t="b">
        <f t="shared" si="15"/>
        <v>1</v>
      </c>
      <c r="C143" s="222">
        <f t="shared" si="16"/>
        <v>0</v>
      </c>
      <c r="D143" s="205" t="str">
        <f t="shared" si="17"/>
        <v>$$$$</v>
      </c>
      <c r="E143" s="224"/>
      <c r="F143" s="225"/>
      <c r="G143" s="226"/>
      <c r="H143" s="227"/>
      <c r="I143" s="228"/>
      <c r="J143" s="228"/>
      <c r="K143" s="229"/>
      <c r="L143" s="230"/>
      <c r="M143" s="231"/>
      <c r="N143" s="232"/>
      <c r="O143" s="230"/>
      <c r="P143" s="231"/>
      <c r="Q143" s="232"/>
      <c r="R143" s="233"/>
      <c r="S143" s="234"/>
      <c r="T143" s="235"/>
      <c r="U143" s="233"/>
      <c r="V143" s="236"/>
      <c r="W143" s="234"/>
      <c r="X143" s="235"/>
      <c r="Y143" s="237"/>
      <c r="Z143" s="238"/>
    </row>
    <row r="144" spans="1:26" s="239" customFormat="1" ht="28.5" customHeight="1" x14ac:dyDescent="0.3">
      <c r="A144" s="222">
        <f t="shared" si="14"/>
        <v>0</v>
      </c>
      <c r="B144" s="223" t="b">
        <f t="shared" si="15"/>
        <v>1</v>
      </c>
      <c r="C144" s="222">
        <f t="shared" si="16"/>
        <v>0</v>
      </c>
      <c r="D144" s="205" t="str">
        <f t="shared" si="17"/>
        <v>$$$$</v>
      </c>
      <c r="E144" s="224"/>
      <c r="F144" s="225"/>
      <c r="G144" s="226"/>
      <c r="H144" s="227"/>
      <c r="I144" s="228"/>
      <c r="J144" s="228"/>
      <c r="K144" s="229"/>
      <c r="L144" s="230"/>
      <c r="M144" s="231"/>
      <c r="N144" s="232"/>
      <c r="O144" s="230"/>
      <c r="P144" s="231"/>
      <c r="Q144" s="232"/>
      <c r="R144" s="233"/>
      <c r="S144" s="234"/>
      <c r="T144" s="235"/>
      <c r="U144" s="233"/>
      <c r="V144" s="236"/>
      <c r="W144" s="234"/>
      <c r="X144" s="235"/>
      <c r="Y144" s="237"/>
      <c r="Z144" s="238"/>
    </row>
    <row r="145" spans="1:26" s="239" customFormat="1" ht="28.5" customHeight="1" x14ac:dyDescent="0.3">
      <c r="A145" s="222">
        <f t="shared" si="14"/>
        <v>0</v>
      </c>
      <c r="B145" s="223" t="b">
        <f t="shared" si="15"/>
        <v>1</v>
      </c>
      <c r="C145" s="222">
        <f t="shared" si="16"/>
        <v>0</v>
      </c>
      <c r="D145" s="205" t="str">
        <f t="shared" si="17"/>
        <v>$$$$</v>
      </c>
      <c r="E145" s="224"/>
      <c r="F145" s="225"/>
      <c r="G145" s="226"/>
      <c r="H145" s="227"/>
      <c r="I145" s="228"/>
      <c r="J145" s="228"/>
      <c r="K145" s="229"/>
      <c r="L145" s="230"/>
      <c r="M145" s="231"/>
      <c r="N145" s="232"/>
      <c r="O145" s="230"/>
      <c r="P145" s="231"/>
      <c r="Q145" s="232"/>
      <c r="R145" s="233"/>
      <c r="S145" s="234"/>
      <c r="T145" s="235"/>
      <c r="U145" s="233"/>
      <c r="V145" s="236"/>
      <c r="W145" s="234"/>
      <c r="X145" s="235"/>
      <c r="Y145" s="237"/>
      <c r="Z145" s="238"/>
    </row>
    <row r="146" spans="1:26" s="239" customFormat="1" ht="28.5" customHeight="1" x14ac:dyDescent="0.3">
      <c r="A146" s="222">
        <f t="shared" si="14"/>
        <v>0</v>
      </c>
      <c r="B146" s="223" t="b">
        <f t="shared" si="15"/>
        <v>1</v>
      </c>
      <c r="C146" s="222">
        <f t="shared" si="16"/>
        <v>0</v>
      </c>
      <c r="D146" s="205" t="str">
        <f t="shared" si="17"/>
        <v>$$$$</v>
      </c>
      <c r="E146" s="224"/>
      <c r="F146" s="225"/>
      <c r="G146" s="226"/>
      <c r="H146" s="227"/>
      <c r="I146" s="228"/>
      <c r="J146" s="228"/>
      <c r="K146" s="229"/>
      <c r="L146" s="230"/>
      <c r="M146" s="231"/>
      <c r="N146" s="232"/>
      <c r="O146" s="230"/>
      <c r="P146" s="231"/>
      <c r="Q146" s="232"/>
      <c r="R146" s="233"/>
      <c r="S146" s="234"/>
      <c r="T146" s="235"/>
      <c r="U146" s="233"/>
      <c r="V146" s="236"/>
      <c r="W146" s="234"/>
      <c r="X146" s="235"/>
      <c r="Y146" s="237"/>
      <c r="Z146" s="238"/>
    </row>
    <row r="147" spans="1:26" s="239" customFormat="1" ht="28.5" customHeight="1" x14ac:dyDescent="0.3">
      <c r="A147" s="222">
        <f t="shared" si="14"/>
        <v>0</v>
      </c>
      <c r="B147" s="223" t="b">
        <f t="shared" si="15"/>
        <v>1</v>
      </c>
      <c r="C147" s="222">
        <f t="shared" si="16"/>
        <v>0</v>
      </c>
      <c r="D147" s="205" t="str">
        <f t="shared" si="17"/>
        <v>$$$$</v>
      </c>
      <c r="E147" s="224"/>
      <c r="F147" s="225"/>
      <c r="G147" s="226"/>
      <c r="H147" s="227"/>
      <c r="I147" s="228"/>
      <c r="J147" s="228"/>
      <c r="K147" s="229"/>
      <c r="L147" s="230"/>
      <c r="M147" s="231"/>
      <c r="N147" s="232"/>
      <c r="O147" s="230"/>
      <c r="P147" s="231"/>
      <c r="Q147" s="232"/>
      <c r="R147" s="233"/>
      <c r="S147" s="234"/>
      <c r="T147" s="235"/>
      <c r="U147" s="233"/>
      <c r="V147" s="236"/>
      <c r="W147" s="234"/>
      <c r="X147" s="235"/>
      <c r="Y147" s="237"/>
      <c r="Z147" s="238"/>
    </row>
    <row r="148" spans="1:26" s="239" customFormat="1" ht="28.5" customHeight="1" x14ac:dyDescent="0.3">
      <c r="A148" s="222">
        <f t="shared" si="14"/>
        <v>0</v>
      </c>
      <c r="B148" s="223" t="b">
        <f t="shared" si="15"/>
        <v>1</v>
      </c>
      <c r="C148" s="222">
        <f t="shared" si="16"/>
        <v>0</v>
      </c>
      <c r="D148" s="205" t="str">
        <f t="shared" si="17"/>
        <v>$$$$</v>
      </c>
      <c r="E148" s="224"/>
      <c r="F148" s="225"/>
      <c r="G148" s="226"/>
      <c r="H148" s="227"/>
      <c r="I148" s="228"/>
      <c r="J148" s="228"/>
      <c r="K148" s="229"/>
      <c r="L148" s="230"/>
      <c r="M148" s="231"/>
      <c r="N148" s="232"/>
      <c r="O148" s="230"/>
      <c r="P148" s="231"/>
      <c r="Q148" s="232"/>
      <c r="R148" s="233"/>
      <c r="S148" s="234"/>
      <c r="T148" s="235"/>
      <c r="U148" s="233"/>
      <c r="V148" s="236"/>
      <c r="W148" s="234"/>
      <c r="X148" s="235"/>
      <c r="Y148" s="237"/>
      <c r="Z148" s="238"/>
    </row>
    <row r="149" spans="1:26" s="239" customFormat="1" ht="28.5" customHeight="1" x14ac:dyDescent="0.3">
      <c r="A149" s="222">
        <f t="shared" si="14"/>
        <v>0</v>
      </c>
      <c r="B149" s="223" t="b">
        <f t="shared" si="15"/>
        <v>1</v>
      </c>
      <c r="C149" s="222">
        <f t="shared" si="16"/>
        <v>0</v>
      </c>
      <c r="D149" s="205" t="str">
        <f t="shared" si="17"/>
        <v>$$$$</v>
      </c>
      <c r="E149" s="224"/>
      <c r="F149" s="225"/>
      <c r="G149" s="226"/>
      <c r="H149" s="227"/>
      <c r="I149" s="228"/>
      <c r="J149" s="228"/>
      <c r="K149" s="229"/>
      <c r="L149" s="230"/>
      <c r="M149" s="231"/>
      <c r="N149" s="232"/>
      <c r="O149" s="230"/>
      <c r="P149" s="231"/>
      <c r="Q149" s="232"/>
      <c r="R149" s="233"/>
      <c r="S149" s="234"/>
      <c r="T149" s="235"/>
      <c r="U149" s="233"/>
      <c r="V149" s="236"/>
      <c r="W149" s="234"/>
      <c r="X149" s="235"/>
      <c r="Y149" s="237"/>
      <c r="Z149" s="238"/>
    </row>
    <row r="150" spans="1:26" s="239" customFormat="1" ht="28.5" customHeight="1" x14ac:dyDescent="0.3">
      <c r="A150" s="222">
        <f t="shared" si="14"/>
        <v>0</v>
      </c>
      <c r="B150" s="223" t="b">
        <f t="shared" si="15"/>
        <v>1</v>
      </c>
      <c r="C150" s="222">
        <f t="shared" si="16"/>
        <v>0</v>
      </c>
      <c r="D150" s="205" t="str">
        <f t="shared" si="17"/>
        <v>$$$$</v>
      </c>
      <c r="E150" s="224"/>
      <c r="F150" s="225"/>
      <c r="G150" s="226"/>
      <c r="H150" s="227"/>
      <c r="I150" s="228"/>
      <c r="J150" s="228"/>
      <c r="K150" s="229"/>
      <c r="L150" s="230"/>
      <c r="M150" s="231"/>
      <c r="N150" s="232"/>
      <c r="O150" s="230"/>
      <c r="P150" s="231"/>
      <c r="Q150" s="232"/>
      <c r="R150" s="233"/>
      <c r="S150" s="234"/>
      <c r="T150" s="235"/>
      <c r="U150" s="233"/>
      <c r="V150" s="236"/>
      <c r="W150" s="234"/>
      <c r="X150" s="235"/>
      <c r="Y150" s="237"/>
      <c r="Z150" s="238"/>
    </row>
    <row r="151" spans="1:26" s="239" customFormat="1" ht="28.5" customHeight="1" x14ac:dyDescent="0.3">
      <c r="A151" s="222">
        <f t="shared" ref="A151:A154" si="18">IF(B151,0,MATCH(H151,ВидыНагр,0))</f>
        <v>0</v>
      </c>
      <c r="B151" s="223" t="b">
        <f t="shared" ref="B151:B154" si="19">(COUNTIF(КлючВесна,D151)&lt;&gt;1)</f>
        <v>1</v>
      </c>
      <c r="C151" s="222">
        <f t="shared" ref="C151:C158" si="20">IF(COUNTA(E151:K151,Z151)&gt;0,1,0)+IF(COUNTA(L151:Y151)&gt;0,2,0)</f>
        <v>0</v>
      </c>
      <c r="D151" s="205" t="str">
        <f t="shared" si="17"/>
        <v>$$$$</v>
      </c>
      <c r="E151" s="224"/>
      <c r="F151" s="225"/>
      <c r="G151" s="226"/>
      <c r="H151" s="227"/>
      <c r="I151" s="228"/>
      <c r="J151" s="228"/>
      <c r="K151" s="229"/>
      <c r="L151" s="230"/>
      <c r="M151" s="231"/>
      <c r="N151" s="232"/>
      <c r="O151" s="230"/>
      <c r="P151" s="231"/>
      <c r="Q151" s="232"/>
      <c r="R151" s="233"/>
      <c r="S151" s="234"/>
      <c r="T151" s="235"/>
      <c r="U151" s="233"/>
      <c r="V151" s="236"/>
      <c r="W151" s="234"/>
      <c r="X151" s="235"/>
      <c r="Y151" s="237"/>
      <c r="Z151" s="238"/>
    </row>
    <row r="152" spans="1:26" s="239" customFormat="1" ht="28.5" customHeight="1" x14ac:dyDescent="0.3">
      <c r="A152" s="222">
        <f t="shared" si="18"/>
        <v>0</v>
      </c>
      <c r="B152" s="223" t="b">
        <f t="shared" si="19"/>
        <v>1</v>
      </c>
      <c r="C152" s="222">
        <f t="shared" si="20"/>
        <v>0</v>
      </c>
      <c r="D152" s="205" t="str">
        <f t="shared" si="17"/>
        <v>$$$$</v>
      </c>
      <c r="E152" s="224"/>
      <c r="F152" s="225"/>
      <c r="G152" s="226"/>
      <c r="H152" s="227"/>
      <c r="I152" s="228"/>
      <c r="J152" s="228"/>
      <c r="K152" s="229"/>
      <c r="L152" s="230"/>
      <c r="M152" s="231"/>
      <c r="N152" s="232"/>
      <c r="O152" s="230"/>
      <c r="P152" s="231"/>
      <c r="Q152" s="232"/>
      <c r="R152" s="233"/>
      <c r="S152" s="234"/>
      <c r="T152" s="235"/>
      <c r="U152" s="233"/>
      <c r="V152" s="236"/>
      <c r="W152" s="234"/>
      <c r="X152" s="235"/>
      <c r="Y152" s="237"/>
      <c r="Z152" s="238"/>
    </row>
    <row r="153" spans="1:26" s="239" customFormat="1" ht="28.5" customHeight="1" x14ac:dyDescent="0.3">
      <c r="A153" s="222">
        <f t="shared" si="18"/>
        <v>0</v>
      </c>
      <c r="B153" s="223" t="b">
        <f t="shared" si="19"/>
        <v>1</v>
      </c>
      <c r="C153" s="222">
        <f t="shared" si="20"/>
        <v>0</v>
      </c>
      <c r="D153" s="205" t="str">
        <f t="shared" si="17"/>
        <v>$$$$</v>
      </c>
      <c r="E153" s="224"/>
      <c r="F153" s="225"/>
      <c r="G153" s="226"/>
      <c r="H153" s="227"/>
      <c r="I153" s="228"/>
      <c r="J153" s="228"/>
      <c r="K153" s="229"/>
      <c r="L153" s="230"/>
      <c r="M153" s="231"/>
      <c r="N153" s="232"/>
      <c r="O153" s="230"/>
      <c r="P153" s="231"/>
      <c r="Q153" s="232"/>
      <c r="R153" s="233"/>
      <c r="S153" s="234"/>
      <c r="T153" s="235"/>
      <c r="U153" s="233"/>
      <c r="V153" s="236"/>
      <c r="W153" s="234"/>
      <c r="X153" s="235"/>
      <c r="Y153" s="237"/>
      <c r="Z153" s="238"/>
    </row>
    <row r="154" spans="1:26" s="239" customFormat="1" ht="28.5" customHeight="1" x14ac:dyDescent="0.3">
      <c r="A154" s="222">
        <f t="shared" si="18"/>
        <v>0</v>
      </c>
      <c r="B154" s="223" t="b">
        <f t="shared" si="19"/>
        <v>1</v>
      </c>
      <c r="C154" s="222">
        <f t="shared" si="20"/>
        <v>0</v>
      </c>
      <c r="D154" s="205" t="str">
        <f t="shared" si="17"/>
        <v>$$$$</v>
      </c>
      <c r="E154" s="224"/>
      <c r="F154" s="225"/>
      <c r="G154" s="226"/>
      <c r="H154" s="227"/>
      <c r="I154" s="228"/>
      <c r="J154" s="228"/>
      <c r="K154" s="229"/>
      <c r="L154" s="230"/>
      <c r="M154" s="231"/>
      <c r="N154" s="232"/>
      <c r="O154" s="230"/>
      <c r="P154" s="231"/>
      <c r="Q154" s="232"/>
      <c r="R154" s="233"/>
      <c r="S154" s="234"/>
      <c r="T154" s="235"/>
      <c r="U154" s="233"/>
      <c r="V154" s="236"/>
      <c r="W154" s="234"/>
      <c r="X154" s="235"/>
      <c r="Y154" s="237"/>
      <c r="Z154" s="238"/>
    </row>
    <row r="155" spans="1:26" s="239" customFormat="1" ht="28.5" customHeight="1" x14ac:dyDescent="0.3">
      <c r="A155" s="222">
        <f>IF(B155,0,MATCH(H155,ВидыНагр,0))</f>
        <v>0</v>
      </c>
      <c r="B155" s="223" t="b">
        <f>(COUNTIF(КлючВесна,D155)&lt;&gt;1)</f>
        <v>1</v>
      </c>
      <c r="C155" s="222">
        <f t="shared" si="20"/>
        <v>0</v>
      </c>
      <c r="D155" s="205" t="str">
        <f>CONCATENATE("$",TRIM(F155),"$",TRIM(G155),"$",H155,"$")</f>
        <v>$$$$</v>
      </c>
      <c r="E155" s="224"/>
      <c r="F155" s="225"/>
      <c r="G155" s="226"/>
      <c r="H155" s="227"/>
      <c r="I155" s="228"/>
      <c r="J155" s="228"/>
      <c r="K155" s="229"/>
      <c r="L155" s="230"/>
      <c r="M155" s="231"/>
      <c r="N155" s="232"/>
      <c r="O155" s="230"/>
      <c r="P155" s="231"/>
      <c r="Q155" s="232"/>
      <c r="R155" s="233"/>
      <c r="S155" s="234"/>
      <c r="T155" s="235"/>
      <c r="U155" s="233"/>
      <c r="V155" s="236"/>
      <c r="W155" s="234"/>
      <c r="X155" s="235"/>
      <c r="Y155" s="237"/>
      <c r="Z155" s="238"/>
    </row>
    <row r="156" spans="1:26" s="239" customFormat="1" ht="28.5" customHeight="1" x14ac:dyDescent="0.3">
      <c r="A156" s="222">
        <f>IF(B156,0,MATCH(H156,ВидыНагр,0))</f>
        <v>0</v>
      </c>
      <c r="B156" s="223" t="b">
        <f>(COUNTIF(КлючВесна,D156)&lt;&gt;1)</f>
        <v>1</v>
      </c>
      <c r="C156" s="222">
        <f t="shared" si="20"/>
        <v>0</v>
      </c>
      <c r="D156" s="205" t="str">
        <f>CONCATENATE("$",TRIM(F156),"$",TRIM(G156),"$",H156,"$")</f>
        <v>$$$$</v>
      </c>
      <c r="E156" s="224"/>
      <c r="F156" s="225"/>
      <c r="G156" s="226"/>
      <c r="H156" s="227"/>
      <c r="I156" s="228"/>
      <c r="J156" s="228"/>
      <c r="K156" s="229"/>
      <c r="L156" s="230"/>
      <c r="M156" s="231"/>
      <c r="N156" s="232"/>
      <c r="O156" s="230"/>
      <c r="P156" s="231"/>
      <c r="Q156" s="232"/>
      <c r="R156" s="233"/>
      <c r="S156" s="234"/>
      <c r="T156" s="235"/>
      <c r="U156" s="233"/>
      <c r="V156" s="236"/>
      <c r="W156" s="234"/>
      <c r="X156" s="235"/>
      <c r="Y156" s="237"/>
      <c r="Z156" s="238"/>
    </row>
    <row r="157" spans="1:26" s="239" customFormat="1" ht="28.5" customHeight="1" x14ac:dyDescent="0.3">
      <c r="A157" s="222">
        <f t="shared" ref="A157:A158" si="21">IF(B157,0,MATCH(H157,ВидыНагр,0))</f>
        <v>0</v>
      </c>
      <c r="B157" s="223" t="b">
        <f t="shared" ref="B157:B158" si="22">(COUNTIF(КлючВесна,D157)&lt;&gt;1)</f>
        <v>1</v>
      </c>
      <c r="C157" s="222">
        <f t="shared" si="20"/>
        <v>0</v>
      </c>
      <c r="D157" s="205" t="str">
        <f t="shared" ref="D157:D158" si="23">CONCATENATE("$",TRIM(F157),"$",TRIM(G157),"$",H157,"$")</f>
        <v>$$$$</v>
      </c>
      <c r="E157" s="224"/>
      <c r="F157" s="225"/>
      <c r="G157" s="226"/>
      <c r="H157" s="227"/>
      <c r="I157" s="228"/>
      <c r="J157" s="228"/>
      <c r="K157" s="229"/>
      <c r="L157" s="230"/>
      <c r="M157" s="231"/>
      <c r="N157" s="232"/>
      <c r="O157" s="230"/>
      <c r="P157" s="231"/>
      <c r="Q157" s="232"/>
      <c r="R157" s="233"/>
      <c r="S157" s="234"/>
      <c r="T157" s="235"/>
      <c r="U157" s="233"/>
      <c r="V157" s="236"/>
      <c r="W157" s="234"/>
      <c r="X157" s="235"/>
      <c r="Y157" s="237"/>
      <c r="Z157" s="238"/>
    </row>
    <row r="158" spans="1:26" s="239" customFormat="1" ht="28.5" customHeight="1" x14ac:dyDescent="0.3">
      <c r="A158" s="222">
        <f t="shared" si="21"/>
        <v>0</v>
      </c>
      <c r="B158" s="223" t="b">
        <f t="shared" si="22"/>
        <v>1</v>
      </c>
      <c r="C158" s="222">
        <f t="shared" si="20"/>
        <v>0</v>
      </c>
      <c r="D158" s="205" t="str">
        <f t="shared" si="23"/>
        <v>$$$$</v>
      </c>
      <c r="E158" s="224"/>
      <c r="F158" s="225"/>
      <c r="G158" s="226"/>
      <c r="H158" s="227"/>
      <c r="I158" s="228"/>
      <c r="J158" s="228"/>
      <c r="K158" s="229"/>
      <c r="L158" s="230"/>
      <c r="M158" s="231"/>
      <c r="N158" s="232"/>
      <c r="O158" s="230"/>
      <c r="P158" s="231"/>
      <c r="Q158" s="232"/>
      <c r="R158" s="233"/>
      <c r="S158" s="234"/>
      <c r="T158" s="235"/>
      <c r="U158" s="233"/>
      <c r="V158" s="236"/>
      <c r="W158" s="234"/>
      <c r="X158" s="235"/>
      <c r="Y158" s="237"/>
      <c r="Z158" s="238"/>
    </row>
    <row r="159" spans="1:26" s="239" customFormat="1" ht="28.5" customHeight="1" x14ac:dyDescent="0.3">
      <c r="A159" s="222">
        <f t="shared" si="14"/>
        <v>0</v>
      </c>
      <c r="B159" s="223" t="b">
        <f t="shared" si="15"/>
        <v>1</v>
      </c>
      <c r="C159" s="222">
        <f t="shared" si="16"/>
        <v>0</v>
      </c>
      <c r="D159" s="205" t="str">
        <f t="shared" si="13"/>
        <v>$$$$</v>
      </c>
      <c r="E159" s="224"/>
      <c r="F159" s="225"/>
      <c r="G159" s="226"/>
      <c r="H159" s="227"/>
      <c r="I159" s="228"/>
      <c r="J159" s="228"/>
      <c r="K159" s="229"/>
      <c r="L159" s="230"/>
      <c r="M159" s="231"/>
      <c r="N159" s="232"/>
      <c r="O159" s="230"/>
      <c r="P159" s="231"/>
      <c r="Q159" s="232"/>
      <c r="R159" s="233"/>
      <c r="S159" s="234"/>
      <c r="T159" s="235"/>
      <c r="U159" s="233"/>
      <c r="V159" s="236"/>
      <c r="W159" s="234"/>
      <c r="X159" s="235"/>
      <c r="Y159" s="237"/>
      <c r="Z159" s="238"/>
    </row>
    <row r="160" spans="1:26" x14ac:dyDescent="0.3">
      <c r="D160" s="1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</row>
  </sheetData>
  <sheetProtection algorithmName="SHA-512" hashValue="Dub/HqWFmEmcJYvxcj7XFZzVOq6UFmnUStDLlLHmTd33lajvw4SM+3ruW4WaCBkz0Mns1Bi1SqI1kZBdjXWk/w==" saltValue="EIGuXtcAycuJCLWy4kmvtg==" spinCount="100000" sheet="1" objects="1" scenarios="1"/>
  <mergeCells count="5">
    <mergeCell ref="F2:F5"/>
    <mergeCell ref="G2:G5"/>
    <mergeCell ref="I2:J2"/>
    <mergeCell ref="I3:J3"/>
    <mergeCell ref="I4:J4"/>
  </mergeCells>
  <phoneticPr fontId="0" type="noConversion"/>
  <conditionalFormatting sqref="E7:Z159">
    <cfRule type="expression" dxfId="29" priority="3" stopIfTrue="1">
      <formula>($C7=0)</formula>
    </cfRule>
  </conditionalFormatting>
  <conditionalFormatting sqref="F7:H159">
    <cfRule type="expression" dxfId="28" priority="4" stopIfTrue="1">
      <formula>$B7</formula>
    </cfRule>
  </conditionalFormatting>
  <conditionalFormatting sqref="L6:Y6">
    <cfRule type="cellIs" dxfId="27" priority="1" stopIfTrue="1" operator="notEqual">
      <formula>0</formula>
    </cfRule>
  </conditionalFormatting>
  <conditionalFormatting sqref="F6:H6">
    <cfRule type="expression" dxfId="26" priority="2" stopIfTrue="1">
      <formula>$G$6&lt;&gt;0</formula>
    </cfRule>
  </conditionalFormatting>
  <conditionalFormatting sqref="L7:Y159">
    <cfRule type="expression" dxfId="25" priority="5" stopIfTrue="1">
      <formula>AND(NOT($B7),$C7&lt;2)</formula>
    </cfRule>
    <cfRule type="expression" dxfId="24" priority="6" stopIfTrue="1">
      <formula>AND($B7,L7&lt;&gt;0)</formula>
    </cfRule>
  </conditionalFormatting>
  <dataValidations count="4">
    <dataValidation type="list" allowBlank="1" showInputMessage="1" sqref="F7:F159">
      <formula1>OFFSET(ДисциплиныВесна,0,0,ДисциплиныВеснаКол,1)</formula1>
    </dataValidation>
    <dataValidation type="list" allowBlank="1" showInputMessage="1" sqref="G7:G159">
      <formula1>OFFSET(ГруппыВесна,0,0,ГруппыВеснаКол,1)</formula1>
    </dataValidation>
    <dataValidation type="list" allowBlank="1" showInputMessage="1" sqref="H7:H159">
      <formula1>ВидыНагр</formula1>
    </dataValidation>
    <dataValidation type="whole" allowBlank="1" showInputMessage="1" showErrorMessage="1" sqref="E7:E159">
      <formula1>1</formula1>
      <formula2>30</formula2>
    </dataValidation>
  </dataValidations>
  <printOptions horizontalCentered="1"/>
  <pageMargins left="0.39370078740157483" right="0.39370078740157483" top="1.1811023622047245" bottom="0.59055118110236227" header="0.98425196850393704" footer="0.39370078740157483"/>
  <pageSetup paperSize="9" scale="63" fitToHeight="10" orientation="landscape" r:id="rId1"/>
  <headerFooter>
    <oddHeader>&amp;L&amp;F&amp;C&amp;"Open Sans,полужирный"Месяц &amp;A &amp;"Open Sans,обычный"(с. &amp;P из &amp;N)&amp;R&amp;D  &amp;T</oddHeader>
  </headerFooter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8">
    <tabColor indexed="15"/>
    <outlinePr summaryBelow="0" summaryRight="0"/>
    <pageSetUpPr fitToPage="1"/>
  </sheetPr>
  <dimension ref="A1:Z160"/>
  <sheetViews>
    <sheetView zoomScale="85" zoomScaleNormal="100" workbookViewId="0">
      <pane xSplit="8" ySplit="6" topLeftCell="I7" activePane="bottomRight" state="frozen"/>
      <selection activeCell="E7" sqref="E7"/>
      <selection pane="topRight" activeCell="E7" sqref="E7"/>
      <selection pane="bottomLeft" activeCell="E7" sqref="E7"/>
      <selection pane="bottomRight" activeCell="E7" sqref="E7"/>
    </sheetView>
  </sheetViews>
  <sheetFormatPr defaultRowHeight="14.25" x14ac:dyDescent="0.3"/>
  <cols>
    <col min="1" max="3" width="4.7109375" style="4" hidden="1" customWidth="1"/>
    <col min="4" max="4" width="30.7109375" style="240" hidden="1" customWidth="1"/>
    <col min="5" max="5" width="4.7109375" style="167" customWidth="1"/>
    <col min="6" max="6" width="32.7109375" style="241" customWidth="1"/>
    <col min="7" max="7" width="18.7109375" style="241" customWidth="1"/>
    <col min="8" max="8" width="6.7109375" style="241" customWidth="1"/>
    <col min="9" max="10" width="4.7109375" style="241" customWidth="1"/>
    <col min="11" max="11" width="40.7109375" style="242" customWidth="1"/>
    <col min="12" max="25" width="6.85546875" style="167" customWidth="1"/>
    <col min="26" max="26" width="30.7109375" style="2" customWidth="1"/>
    <col min="27" max="27" width="2.7109375" style="2" customWidth="1"/>
    <col min="28" max="16384" width="9.140625" style="2"/>
  </cols>
  <sheetData>
    <row r="1" spans="1:26" ht="112.5" customHeight="1" x14ac:dyDescent="0.3">
      <c r="A1" s="169" t="s">
        <v>77</v>
      </c>
      <c r="B1" s="169" t="s">
        <v>114</v>
      </c>
      <c r="C1" s="169" t="s">
        <v>113</v>
      </c>
      <c r="D1" s="191" t="s">
        <v>76</v>
      </c>
      <c r="E1" s="192" t="s">
        <v>116</v>
      </c>
      <c r="F1" s="193" t="s">
        <v>69</v>
      </c>
      <c r="G1" s="194" t="s">
        <v>100</v>
      </c>
      <c r="H1" s="195" t="s">
        <v>109</v>
      </c>
      <c r="I1" s="196" t="s">
        <v>102</v>
      </c>
      <c r="J1" s="197" t="s">
        <v>85</v>
      </c>
      <c r="K1" s="198" t="s">
        <v>81</v>
      </c>
      <c r="L1" s="199" t="s">
        <v>0</v>
      </c>
      <c r="M1" s="200" t="s">
        <v>68</v>
      </c>
      <c r="N1" s="195" t="s">
        <v>3</v>
      </c>
      <c r="O1" s="201" t="s">
        <v>1</v>
      </c>
      <c r="P1" s="200" t="s">
        <v>4</v>
      </c>
      <c r="Q1" s="195" t="s">
        <v>62</v>
      </c>
      <c r="R1" s="199" t="s">
        <v>252</v>
      </c>
      <c r="S1" s="202" t="s">
        <v>2</v>
      </c>
      <c r="T1" s="195" t="s">
        <v>205</v>
      </c>
      <c r="U1" s="201" t="s">
        <v>253</v>
      </c>
      <c r="V1" s="199" t="s">
        <v>254</v>
      </c>
      <c r="W1" s="202" t="s">
        <v>70</v>
      </c>
      <c r="X1" s="195" t="s">
        <v>138</v>
      </c>
      <c r="Y1" s="196" t="s">
        <v>5</v>
      </c>
      <c r="Z1" s="203" t="s">
        <v>29</v>
      </c>
    </row>
    <row r="2" spans="1:26" ht="17.100000000000001" customHeight="1" x14ac:dyDescent="0.3">
      <c r="A2" s="204">
        <f>MATCH(H2,ВидыНагр,0)</f>
        <v>1</v>
      </c>
      <c r="B2" s="204"/>
      <c r="C2" s="204"/>
      <c r="D2" s="205"/>
      <c r="E2" s="206"/>
      <c r="F2" s="390" t="s">
        <v>134</v>
      </c>
      <c r="G2" s="393">
        <f>SUM(L5:Y5)</f>
        <v>0</v>
      </c>
      <c r="H2" s="309" t="s">
        <v>111</v>
      </c>
      <c r="I2" s="396">
        <f>SUM(L2:Y2)</f>
        <v>0</v>
      </c>
      <c r="J2" s="397"/>
      <c r="K2" s="289"/>
      <c r="L2" s="58">
        <f t="shared" ref="L2:Y4" si="0">SUMIF($A$7:$A$159,$A2,L$7:L$159)</f>
        <v>0</v>
      </c>
      <c r="M2" s="59">
        <f t="shared" si="0"/>
        <v>0</v>
      </c>
      <c r="N2" s="60">
        <f t="shared" si="0"/>
        <v>0</v>
      </c>
      <c r="O2" s="58">
        <f t="shared" si="0"/>
        <v>0</v>
      </c>
      <c r="P2" s="59">
        <f t="shared" si="0"/>
        <v>0</v>
      </c>
      <c r="Q2" s="60">
        <f t="shared" si="0"/>
        <v>0</v>
      </c>
      <c r="R2" s="58">
        <f t="shared" si="0"/>
        <v>0</v>
      </c>
      <c r="S2" s="62">
        <f t="shared" si="0"/>
        <v>0</v>
      </c>
      <c r="T2" s="60">
        <f t="shared" si="0"/>
        <v>0</v>
      </c>
      <c r="U2" s="58">
        <f t="shared" si="0"/>
        <v>0</v>
      </c>
      <c r="V2" s="61">
        <f t="shared" si="0"/>
        <v>0</v>
      </c>
      <c r="W2" s="62">
        <f t="shared" si="0"/>
        <v>0</v>
      </c>
      <c r="X2" s="60">
        <f t="shared" si="0"/>
        <v>0</v>
      </c>
      <c r="Y2" s="41">
        <f t="shared" si="0"/>
        <v>0</v>
      </c>
      <c r="Z2" s="207"/>
    </row>
    <row r="3" spans="1:26" ht="17.100000000000001" customHeight="1" x14ac:dyDescent="0.3">
      <c r="A3" s="204">
        <f>MATCH(H3,ВидыНагр,0)</f>
        <v>2</v>
      </c>
      <c r="B3" s="204"/>
      <c r="C3" s="204"/>
      <c r="D3" s="205"/>
      <c r="E3" s="208"/>
      <c r="F3" s="391"/>
      <c r="G3" s="394"/>
      <c r="H3" s="309" t="s">
        <v>112</v>
      </c>
      <c r="I3" s="398">
        <f>SUM(L3:Y3)</f>
        <v>0</v>
      </c>
      <c r="J3" s="399"/>
      <c r="K3" s="291"/>
      <c r="L3" s="58">
        <f t="shared" si="0"/>
        <v>0</v>
      </c>
      <c r="M3" s="59">
        <f t="shared" si="0"/>
        <v>0</v>
      </c>
      <c r="N3" s="60">
        <f t="shared" si="0"/>
        <v>0</v>
      </c>
      <c r="O3" s="58">
        <f t="shared" si="0"/>
        <v>0</v>
      </c>
      <c r="P3" s="59">
        <f t="shared" si="0"/>
        <v>0</v>
      </c>
      <c r="Q3" s="60">
        <f t="shared" si="0"/>
        <v>0</v>
      </c>
      <c r="R3" s="58">
        <f t="shared" si="0"/>
        <v>0</v>
      </c>
      <c r="S3" s="62">
        <f t="shared" si="0"/>
        <v>0</v>
      </c>
      <c r="T3" s="60">
        <f t="shared" si="0"/>
        <v>0</v>
      </c>
      <c r="U3" s="58">
        <f t="shared" si="0"/>
        <v>0</v>
      </c>
      <c r="V3" s="61">
        <f t="shared" si="0"/>
        <v>0</v>
      </c>
      <c r="W3" s="62">
        <f t="shared" si="0"/>
        <v>0</v>
      </c>
      <c r="X3" s="60">
        <f t="shared" si="0"/>
        <v>0</v>
      </c>
      <c r="Y3" s="41">
        <f t="shared" si="0"/>
        <v>0</v>
      </c>
      <c r="Z3" s="207"/>
    </row>
    <row r="4" spans="1:26" ht="17.100000000000001" customHeight="1" x14ac:dyDescent="0.3">
      <c r="A4" s="204">
        <f>MATCH(H4,ВидыНагр,0)</f>
        <v>3</v>
      </c>
      <c r="B4" s="204"/>
      <c r="C4" s="204"/>
      <c r="D4" s="205"/>
      <c r="E4" s="208"/>
      <c r="F4" s="391"/>
      <c r="G4" s="394"/>
      <c r="H4" s="310" t="s">
        <v>115</v>
      </c>
      <c r="I4" s="400">
        <f>SUM(L4:Y4)</f>
        <v>0</v>
      </c>
      <c r="J4" s="401"/>
      <c r="K4" s="293"/>
      <c r="L4" s="209">
        <f t="shared" si="0"/>
        <v>0</v>
      </c>
      <c r="M4" s="210">
        <f t="shared" si="0"/>
        <v>0</v>
      </c>
      <c r="N4" s="211">
        <f t="shared" si="0"/>
        <v>0</v>
      </c>
      <c r="O4" s="209">
        <f t="shared" si="0"/>
        <v>0</v>
      </c>
      <c r="P4" s="210">
        <f t="shared" si="0"/>
        <v>0</v>
      </c>
      <c r="Q4" s="211">
        <f t="shared" si="0"/>
        <v>0</v>
      </c>
      <c r="R4" s="209">
        <f t="shared" si="0"/>
        <v>0</v>
      </c>
      <c r="S4" s="212">
        <f t="shared" si="0"/>
        <v>0</v>
      </c>
      <c r="T4" s="211">
        <f t="shared" si="0"/>
        <v>0</v>
      </c>
      <c r="U4" s="209">
        <f t="shared" si="0"/>
        <v>0</v>
      </c>
      <c r="V4" s="213">
        <f t="shared" si="0"/>
        <v>0</v>
      </c>
      <c r="W4" s="212">
        <f t="shared" si="0"/>
        <v>0</v>
      </c>
      <c r="X4" s="211">
        <f t="shared" si="0"/>
        <v>0</v>
      </c>
      <c r="Y4" s="69">
        <f t="shared" si="0"/>
        <v>0</v>
      </c>
      <c r="Z4" s="207"/>
    </row>
    <row r="5" spans="1:26" ht="17.100000000000001" customHeight="1" x14ac:dyDescent="0.3">
      <c r="A5" s="204"/>
      <c r="B5" s="204"/>
      <c r="C5" s="204"/>
      <c r="D5" s="205"/>
      <c r="E5" s="208"/>
      <c r="F5" s="392"/>
      <c r="G5" s="395"/>
      <c r="H5" s="294" t="s">
        <v>6</v>
      </c>
      <c r="I5" s="295"/>
      <c r="J5" s="296"/>
      <c r="K5" s="297"/>
      <c r="L5" s="298">
        <f>SUM(L2:L4)</f>
        <v>0</v>
      </c>
      <c r="M5" s="299">
        <f t="shared" ref="M5:Y5" si="1">SUM(M2:M4)</f>
        <v>0</v>
      </c>
      <c r="N5" s="300">
        <f t="shared" si="1"/>
        <v>0</v>
      </c>
      <c r="O5" s="298">
        <f t="shared" si="1"/>
        <v>0</v>
      </c>
      <c r="P5" s="299">
        <f t="shared" si="1"/>
        <v>0</v>
      </c>
      <c r="Q5" s="300">
        <f t="shared" si="1"/>
        <v>0</v>
      </c>
      <c r="R5" s="298">
        <f t="shared" si="1"/>
        <v>0</v>
      </c>
      <c r="S5" s="301">
        <f t="shared" si="1"/>
        <v>0</v>
      </c>
      <c r="T5" s="300">
        <f t="shared" si="1"/>
        <v>0</v>
      </c>
      <c r="U5" s="298">
        <f t="shared" si="1"/>
        <v>0</v>
      </c>
      <c r="V5" s="302">
        <f t="shared" si="1"/>
        <v>0</v>
      </c>
      <c r="W5" s="301">
        <f t="shared" si="1"/>
        <v>0</v>
      </c>
      <c r="X5" s="300">
        <f t="shared" si="1"/>
        <v>0</v>
      </c>
      <c r="Y5" s="303">
        <f t="shared" si="1"/>
        <v>0</v>
      </c>
      <c r="Z5" s="214">
        <f>Утв_Весна</f>
        <v>0</v>
      </c>
    </row>
    <row r="6" spans="1:26" ht="17.100000000000001" customHeight="1" x14ac:dyDescent="0.3">
      <c r="A6" s="204"/>
      <c r="B6" s="204"/>
      <c r="C6" s="204"/>
      <c r="D6" s="205"/>
      <c r="E6" s="215"/>
      <c r="F6" s="304" t="s">
        <v>82</v>
      </c>
      <c r="G6" s="305">
        <f>SUM(L6:Y6)</f>
        <v>0</v>
      </c>
      <c r="H6" s="306"/>
      <c r="I6" s="307"/>
      <c r="J6" s="308"/>
      <c r="K6" s="297"/>
      <c r="L6" s="216">
        <f t="shared" ref="L6:Y6" si="2">SUM(L7:L159)-L5</f>
        <v>0</v>
      </c>
      <c r="M6" s="217">
        <f t="shared" si="2"/>
        <v>0</v>
      </c>
      <c r="N6" s="218">
        <f t="shared" si="2"/>
        <v>0</v>
      </c>
      <c r="O6" s="216">
        <f t="shared" si="2"/>
        <v>0</v>
      </c>
      <c r="P6" s="217">
        <f t="shared" si="2"/>
        <v>0</v>
      </c>
      <c r="Q6" s="218">
        <f t="shared" si="2"/>
        <v>0</v>
      </c>
      <c r="R6" s="216">
        <f t="shared" si="2"/>
        <v>0</v>
      </c>
      <c r="S6" s="219">
        <f t="shared" si="2"/>
        <v>0</v>
      </c>
      <c r="T6" s="218">
        <f t="shared" si="2"/>
        <v>0</v>
      </c>
      <c r="U6" s="216">
        <f t="shared" si="2"/>
        <v>0</v>
      </c>
      <c r="V6" s="220">
        <f t="shared" si="2"/>
        <v>0</v>
      </c>
      <c r="W6" s="219">
        <f t="shared" si="2"/>
        <v>0</v>
      </c>
      <c r="X6" s="218">
        <f t="shared" si="2"/>
        <v>0</v>
      </c>
      <c r="Y6" s="216">
        <f t="shared" si="2"/>
        <v>0</v>
      </c>
      <c r="Z6" s="221"/>
    </row>
    <row r="7" spans="1:26" s="239" customFormat="1" ht="28.5" customHeight="1" x14ac:dyDescent="0.3">
      <c r="A7" s="222">
        <f t="shared" ref="A7:A38" si="3">IF(B7,0,MATCH(H7,ВидыНагр,0))</f>
        <v>0</v>
      </c>
      <c r="B7" s="223" t="b">
        <f t="shared" ref="B7:B38" si="4">(COUNTIF(КлючВесна,D7)&lt;&gt;1)</f>
        <v>1</v>
      </c>
      <c r="C7" s="222">
        <f t="shared" ref="C7:C38" si="5">IF(COUNTA(E7:K7,Z7)&gt;0,1,0)+IF(COUNTA(L7:Y7)&gt;0,2,0)</f>
        <v>0</v>
      </c>
      <c r="D7" s="205" t="str">
        <f>CONCATENATE("$",TRIM(F7),"$",TRIM(G7),"$",H7,"$")</f>
        <v>$$$$</v>
      </c>
      <c r="E7" s="224"/>
      <c r="F7" s="225"/>
      <c r="G7" s="226"/>
      <c r="H7" s="227"/>
      <c r="I7" s="228"/>
      <c r="J7" s="228"/>
      <c r="K7" s="229"/>
      <c r="L7" s="230"/>
      <c r="M7" s="231"/>
      <c r="N7" s="232"/>
      <c r="O7" s="230"/>
      <c r="P7" s="231"/>
      <c r="Q7" s="232"/>
      <c r="R7" s="233"/>
      <c r="S7" s="234"/>
      <c r="T7" s="235"/>
      <c r="U7" s="233"/>
      <c r="V7" s="236"/>
      <c r="W7" s="234"/>
      <c r="X7" s="235"/>
      <c r="Y7" s="237"/>
      <c r="Z7" s="238"/>
    </row>
    <row r="8" spans="1:26" s="239" customFormat="1" ht="28.5" customHeight="1" x14ac:dyDescent="0.3">
      <c r="A8" s="222">
        <f t="shared" si="3"/>
        <v>0</v>
      </c>
      <c r="B8" s="223" t="b">
        <f t="shared" si="4"/>
        <v>1</v>
      </c>
      <c r="C8" s="222">
        <f t="shared" si="5"/>
        <v>0</v>
      </c>
      <c r="D8" s="205" t="str">
        <f t="shared" ref="D8:D71" si="6">CONCATENATE("$",TRIM(F8),"$",TRIM(G8),"$",H8,"$")</f>
        <v>$$$$</v>
      </c>
      <c r="E8" s="224"/>
      <c r="F8" s="225"/>
      <c r="G8" s="226"/>
      <c r="H8" s="227"/>
      <c r="I8" s="228"/>
      <c r="J8" s="228"/>
      <c r="K8" s="229"/>
      <c r="L8" s="230"/>
      <c r="M8" s="231"/>
      <c r="N8" s="232"/>
      <c r="O8" s="230"/>
      <c r="P8" s="231"/>
      <c r="Q8" s="232"/>
      <c r="R8" s="233"/>
      <c r="S8" s="234"/>
      <c r="T8" s="235"/>
      <c r="U8" s="233"/>
      <c r="V8" s="236"/>
      <c r="W8" s="234"/>
      <c r="X8" s="235"/>
      <c r="Y8" s="237"/>
      <c r="Z8" s="238"/>
    </row>
    <row r="9" spans="1:26" s="239" customFormat="1" ht="28.5" customHeight="1" x14ac:dyDescent="0.3">
      <c r="A9" s="222">
        <f t="shared" si="3"/>
        <v>0</v>
      </c>
      <c r="B9" s="223" t="b">
        <f t="shared" si="4"/>
        <v>1</v>
      </c>
      <c r="C9" s="222">
        <f t="shared" si="5"/>
        <v>0</v>
      </c>
      <c r="D9" s="205" t="str">
        <f t="shared" si="6"/>
        <v>$$$$</v>
      </c>
      <c r="E9" s="224"/>
      <c r="F9" s="225"/>
      <c r="G9" s="226"/>
      <c r="H9" s="227"/>
      <c r="I9" s="228"/>
      <c r="J9" s="228"/>
      <c r="K9" s="229"/>
      <c r="L9" s="230"/>
      <c r="M9" s="231"/>
      <c r="N9" s="232"/>
      <c r="O9" s="230"/>
      <c r="P9" s="231"/>
      <c r="Q9" s="232"/>
      <c r="R9" s="233"/>
      <c r="S9" s="234"/>
      <c r="T9" s="235"/>
      <c r="U9" s="233"/>
      <c r="V9" s="236"/>
      <c r="W9" s="234"/>
      <c r="X9" s="235"/>
      <c r="Y9" s="237"/>
      <c r="Z9" s="238"/>
    </row>
    <row r="10" spans="1:26" s="239" customFormat="1" ht="28.5" customHeight="1" x14ac:dyDescent="0.3">
      <c r="A10" s="222">
        <f t="shared" si="3"/>
        <v>0</v>
      </c>
      <c r="B10" s="223" t="b">
        <f t="shared" si="4"/>
        <v>1</v>
      </c>
      <c r="C10" s="222">
        <f t="shared" si="5"/>
        <v>0</v>
      </c>
      <c r="D10" s="205" t="str">
        <f t="shared" si="6"/>
        <v>$$$$</v>
      </c>
      <c r="E10" s="224"/>
      <c r="F10" s="225"/>
      <c r="G10" s="226"/>
      <c r="H10" s="227"/>
      <c r="I10" s="228"/>
      <c r="J10" s="228"/>
      <c r="K10" s="229"/>
      <c r="L10" s="230"/>
      <c r="M10" s="231"/>
      <c r="N10" s="232"/>
      <c r="O10" s="230"/>
      <c r="P10" s="231"/>
      <c r="Q10" s="232"/>
      <c r="R10" s="233"/>
      <c r="S10" s="234"/>
      <c r="T10" s="235"/>
      <c r="U10" s="233"/>
      <c r="V10" s="236"/>
      <c r="W10" s="234"/>
      <c r="X10" s="235"/>
      <c r="Y10" s="237"/>
      <c r="Z10" s="238"/>
    </row>
    <row r="11" spans="1:26" s="239" customFormat="1" ht="28.5" customHeight="1" x14ac:dyDescent="0.3">
      <c r="A11" s="222">
        <f t="shared" si="3"/>
        <v>0</v>
      </c>
      <c r="B11" s="223" t="b">
        <f t="shared" si="4"/>
        <v>1</v>
      </c>
      <c r="C11" s="222">
        <f t="shared" si="5"/>
        <v>0</v>
      </c>
      <c r="D11" s="205" t="str">
        <f t="shared" si="6"/>
        <v>$$$$</v>
      </c>
      <c r="E11" s="224"/>
      <c r="F11" s="225"/>
      <c r="G11" s="226"/>
      <c r="H11" s="227"/>
      <c r="I11" s="228"/>
      <c r="J11" s="228"/>
      <c r="K11" s="229"/>
      <c r="L11" s="230"/>
      <c r="M11" s="231"/>
      <c r="N11" s="232"/>
      <c r="O11" s="230"/>
      <c r="P11" s="231"/>
      <c r="Q11" s="232"/>
      <c r="R11" s="233"/>
      <c r="S11" s="234"/>
      <c r="T11" s="235"/>
      <c r="U11" s="233"/>
      <c r="V11" s="236"/>
      <c r="W11" s="234"/>
      <c r="X11" s="235"/>
      <c r="Y11" s="237"/>
      <c r="Z11" s="238"/>
    </row>
    <row r="12" spans="1:26" s="239" customFormat="1" ht="28.5" customHeight="1" x14ac:dyDescent="0.3">
      <c r="A12" s="222">
        <f t="shared" si="3"/>
        <v>0</v>
      </c>
      <c r="B12" s="223" t="b">
        <f t="shared" si="4"/>
        <v>1</v>
      </c>
      <c r="C12" s="222">
        <f t="shared" si="5"/>
        <v>0</v>
      </c>
      <c r="D12" s="205" t="str">
        <f t="shared" si="6"/>
        <v>$$$$</v>
      </c>
      <c r="E12" s="224"/>
      <c r="F12" s="225"/>
      <c r="G12" s="226"/>
      <c r="H12" s="227"/>
      <c r="I12" s="228"/>
      <c r="J12" s="228"/>
      <c r="K12" s="229"/>
      <c r="L12" s="230"/>
      <c r="M12" s="231"/>
      <c r="N12" s="232"/>
      <c r="O12" s="230"/>
      <c r="P12" s="231"/>
      <c r="Q12" s="232"/>
      <c r="R12" s="233"/>
      <c r="S12" s="234"/>
      <c r="T12" s="235"/>
      <c r="U12" s="233"/>
      <c r="V12" s="236"/>
      <c r="W12" s="234"/>
      <c r="X12" s="235"/>
      <c r="Y12" s="237"/>
      <c r="Z12" s="238"/>
    </row>
    <row r="13" spans="1:26" s="239" customFormat="1" ht="28.5" customHeight="1" x14ac:dyDescent="0.3">
      <c r="A13" s="222">
        <f t="shared" si="3"/>
        <v>0</v>
      </c>
      <c r="B13" s="223" t="b">
        <f t="shared" si="4"/>
        <v>1</v>
      </c>
      <c r="C13" s="222">
        <f t="shared" si="5"/>
        <v>0</v>
      </c>
      <c r="D13" s="205" t="str">
        <f t="shared" si="6"/>
        <v>$$$$</v>
      </c>
      <c r="E13" s="224"/>
      <c r="F13" s="225"/>
      <c r="G13" s="226"/>
      <c r="H13" s="227"/>
      <c r="I13" s="228"/>
      <c r="J13" s="228"/>
      <c r="K13" s="229"/>
      <c r="L13" s="230"/>
      <c r="M13" s="231"/>
      <c r="N13" s="232"/>
      <c r="O13" s="230"/>
      <c r="P13" s="231"/>
      <c r="Q13" s="232"/>
      <c r="R13" s="233"/>
      <c r="S13" s="234"/>
      <c r="T13" s="235"/>
      <c r="U13" s="233"/>
      <c r="V13" s="236"/>
      <c r="W13" s="234"/>
      <c r="X13" s="235"/>
      <c r="Y13" s="237"/>
      <c r="Z13" s="238"/>
    </row>
    <row r="14" spans="1:26" s="239" customFormat="1" ht="28.5" customHeight="1" x14ac:dyDescent="0.3">
      <c r="A14" s="222">
        <f t="shared" si="3"/>
        <v>0</v>
      </c>
      <c r="B14" s="223" t="b">
        <f t="shared" si="4"/>
        <v>1</v>
      </c>
      <c r="C14" s="222">
        <f t="shared" si="5"/>
        <v>0</v>
      </c>
      <c r="D14" s="205" t="str">
        <f t="shared" si="6"/>
        <v>$$$$</v>
      </c>
      <c r="E14" s="224"/>
      <c r="F14" s="225"/>
      <c r="G14" s="226"/>
      <c r="H14" s="227"/>
      <c r="I14" s="228"/>
      <c r="J14" s="228"/>
      <c r="K14" s="229"/>
      <c r="L14" s="230"/>
      <c r="M14" s="231"/>
      <c r="N14" s="232"/>
      <c r="O14" s="230"/>
      <c r="P14" s="231"/>
      <c r="Q14" s="232"/>
      <c r="R14" s="233"/>
      <c r="S14" s="234"/>
      <c r="T14" s="235"/>
      <c r="U14" s="233"/>
      <c r="V14" s="236"/>
      <c r="W14" s="234"/>
      <c r="X14" s="235"/>
      <c r="Y14" s="237"/>
      <c r="Z14" s="238"/>
    </row>
    <row r="15" spans="1:26" s="239" customFormat="1" ht="28.5" customHeight="1" x14ac:dyDescent="0.3">
      <c r="A15" s="222">
        <f t="shared" si="3"/>
        <v>0</v>
      </c>
      <c r="B15" s="223" t="b">
        <f t="shared" si="4"/>
        <v>1</v>
      </c>
      <c r="C15" s="222">
        <f t="shared" si="5"/>
        <v>0</v>
      </c>
      <c r="D15" s="205" t="str">
        <f t="shared" si="6"/>
        <v>$$$$</v>
      </c>
      <c r="E15" s="224"/>
      <c r="F15" s="225"/>
      <c r="G15" s="226"/>
      <c r="H15" s="227"/>
      <c r="I15" s="228"/>
      <c r="J15" s="228"/>
      <c r="K15" s="229"/>
      <c r="L15" s="230"/>
      <c r="M15" s="231"/>
      <c r="N15" s="232"/>
      <c r="O15" s="230"/>
      <c r="P15" s="231"/>
      <c r="Q15" s="232"/>
      <c r="R15" s="233"/>
      <c r="S15" s="234"/>
      <c r="T15" s="235"/>
      <c r="U15" s="233"/>
      <c r="V15" s="236"/>
      <c r="W15" s="234"/>
      <c r="X15" s="235"/>
      <c r="Y15" s="237"/>
      <c r="Z15" s="238"/>
    </row>
    <row r="16" spans="1:26" s="239" customFormat="1" ht="28.5" customHeight="1" x14ac:dyDescent="0.3">
      <c r="A16" s="222">
        <f t="shared" si="3"/>
        <v>0</v>
      </c>
      <c r="B16" s="223" t="b">
        <f t="shared" si="4"/>
        <v>1</v>
      </c>
      <c r="C16" s="222">
        <f t="shared" si="5"/>
        <v>0</v>
      </c>
      <c r="D16" s="205" t="str">
        <f t="shared" si="6"/>
        <v>$$$$</v>
      </c>
      <c r="E16" s="224"/>
      <c r="F16" s="225"/>
      <c r="G16" s="226"/>
      <c r="H16" s="227"/>
      <c r="I16" s="228"/>
      <c r="J16" s="228"/>
      <c r="K16" s="229"/>
      <c r="L16" s="230"/>
      <c r="M16" s="231"/>
      <c r="N16" s="232"/>
      <c r="O16" s="230"/>
      <c r="P16" s="231"/>
      <c r="Q16" s="232"/>
      <c r="R16" s="233"/>
      <c r="S16" s="234"/>
      <c r="T16" s="235"/>
      <c r="U16" s="233"/>
      <c r="V16" s="236"/>
      <c r="W16" s="234"/>
      <c r="X16" s="235"/>
      <c r="Y16" s="237"/>
      <c r="Z16" s="238"/>
    </row>
    <row r="17" spans="1:26" s="239" customFormat="1" ht="28.5" customHeight="1" x14ac:dyDescent="0.3">
      <c r="A17" s="222">
        <f t="shared" si="3"/>
        <v>0</v>
      </c>
      <c r="B17" s="223" t="b">
        <f t="shared" si="4"/>
        <v>1</v>
      </c>
      <c r="C17" s="222">
        <f t="shared" si="5"/>
        <v>0</v>
      </c>
      <c r="D17" s="205" t="str">
        <f t="shared" si="6"/>
        <v>$$$$</v>
      </c>
      <c r="E17" s="224"/>
      <c r="F17" s="225"/>
      <c r="G17" s="226"/>
      <c r="H17" s="227"/>
      <c r="I17" s="228"/>
      <c r="J17" s="228"/>
      <c r="K17" s="229"/>
      <c r="L17" s="230"/>
      <c r="M17" s="231"/>
      <c r="N17" s="232"/>
      <c r="O17" s="230"/>
      <c r="P17" s="231"/>
      <c r="Q17" s="232"/>
      <c r="R17" s="233"/>
      <c r="S17" s="234"/>
      <c r="T17" s="235"/>
      <c r="U17" s="233"/>
      <c r="V17" s="236"/>
      <c r="W17" s="234"/>
      <c r="X17" s="235"/>
      <c r="Y17" s="237"/>
      <c r="Z17" s="238"/>
    </row>
    <row r="18" spans="1:26" s="239" customFormat="1" ht="28.5" customHeight="1" x14ac:dyDescent="0.3">
      <c r="A18" s="222">
        <f t="shared" si="3"/>
        <v>0</v>
      </c>
      <c r="B18" s="223" t="b">
        <f t="shared" si="4"/>
        <v>1</v>
      </c>
      <c r="C18" s="222">
        <f t="shared" si="5"/>
        <v>0</v>
      </c>
      <c r="D18" s="205" t="str">
        <f t="shared" si="6"/>
        <v>$$$$</v>
      </c>
      <c r="E18" s="224"/>
      <c r="F18" s="225"/>
      <c r="G18" s="226"/>
      <c r="H18" s="227"/>
      <c r="I18" s="228"/>
      <c r="J18" s="228"/>
      <c r="K18" s="229"/>
      <c r="L18" s="230"/>
      <c r="M18" s="231"/>
      <c r="N18" s="232"/>
      <c r="O18" s="230"/>
      <c r="P18" s="231"/>
      <c r="Q18" s="232"/>
      <c r="R18" s="233"/>
      <c r="S18" s="234"/>
      <c r="T18" s="235"/>
      <c r="U18" s="233"/>
      <c r="V18" s="236"/>
      <c r="W18" s="234"/>
      <c r="X18" s="235"/>
      <c r="Y18" s="237"/>
      <c r="Z18" s="238"/>
    </row>
    <row r="19" spans="1:26" s="239" customFormat="1" ht="28.5" customHeight="1" x14ac:dyDescent="0.3">
      <c r="A19" s="222">
        <f t="shared" si="3"/>
        <v>0</v>
      </c>
      <c r="B19" s="223" t="b">
        <f t="shared" si="4"/>
        <v>1</v>
      </c>
      <c r="C19" s="222">
        <f t="shared" si="5"/>
        <v>0</v>
      </c>
      <c r="D19" s="205" t="str">
        <f t="shared" si="6"/>
        <v>$$$$</v>
      </c>
      <c r="E19" s="224"/>
      <c r="F19" s="225"/>
      <c r="G19" s="226"/>
      <c r="H19" s="227"/>
      <c r="I19" s="228"/>
      <c r="J19" s="228"/>
      <c r="K19" s="229"/>
      <c r="L19" s="230"/>
      <c r="M19" s="231"/>
      <c r="N19" s="232"/>
      <c r="O19" s="230"/>
      <c r="P19" s="231"/>
      <c r="Q19" s="232"/>
      <c r="R19" s="233"/>
      <c r="S19" s="234"/>
      <c r="T19" s="235"/>
      <c r="U19" s="233"/>
      <c r="V19" s="236"/>
      <c r="W19" s="234"/>
      <c r="X19" s="235"/>
      <c r="Y19" s="237"/>
      <c r="Z19" s="238"/>
    </row>
    <row r="20" spans="1:26" s="239" customFormat="1" ht="28.5" customHeight="1" x14ac:dyDescent="0.3">
      <c r="A20" s="222">
        <f t="shared" si="3"/>
        <v>0</v>
      </c>
      <c r="B20" s="223" t="b">
        <f t="shared" si="4"/>
        <v>1</v>
      </c>
      <c r="C20" s="222">
        <f t="shared" si="5"/>
        <v>0</v>
      </c>
      <c r="D20" s="205" t="str">
        <f t="shared" si="6"/>
        <v>$$$$</v>
      </c>
      <c r="E20" s="224"/>
      <c r="F20" s="225"/>
      <c r="G20" s="226"/>
      <c r="H20" s="227"/>
      <c r="I20" s="228"/>
      <c r="J20" s="228"/>
      <c r="K20" s="229"/>
      <c r="L20" s="230"/>
      <c r="M20" s="231"/>
      <c r="N20" s="232"/>
      <c r="O20" s="230"/>
      <c r="P20" s="231"/>
      <c r="Q20" s="232"/>
      <c r="R20" s="233"/>
      <c r="S20" s="234"/>
      <c r="T20" s="235"/>
      <c r="U20" s="233"/>
      <c r="V20" s="236"/>
      <c r="W20" s="234"/>
      <c r="X20" s="235"/>
      <c r="Y20" s="237"/>
      <c r="Z20" s="238"/>
    </row>
    <row r="21" spans="1:26" s="239" customFormat="1" ht="28.5" customHeight="1" x14ac:dyDescent="0.3">
      <c r="A21" s="222">
        <f t="shared" si="3"/>
        <v>0</v>
      </c>
      <c r="B21" s="223" t="b">
        <f t="shared" si="4"/>
        <v>1</v>
      </c>
      <c r="C21" s="222">
        <f t="shared" si="5"/>
        <v>0</v>
      </c>
      <c r="D21" s="205" t="str">
        <f t="shared" si="6"/>
        <v>$$$$</v>
      </c>
      <c r="E21" s="224"/>
      <c r="F21" s="225"/>
      <c r="G21" s="226"/>
      <c r="H21" s="227"/>
      <c r="I21" s="228"/>
      <c r="J21" s="228"/>
      <c r="K21" s="229"/>
      <c r="L21" s="230"/>
      <c r="M21" s="231"/>
      <c r="N21" s="232"/>
      <c r="O21" s="230"/>
      <c r="P21" s="231"/>
      <c r="Q21" s="232"/>
      <c r="R21" s="233"/>
      <c r="S21" s="234"/>
      <c r="T21" s="235"/>
      <c r="U21" s="233"/>
      <c r="V21" s="236"/>
      <c r="W21" s="234"/>
      <c r="X21" s="235"/>
      <c r="Y21" s="237"/>
      <c r="Z21" s="238"/>
    </row>
    <row r="22" spans="1:26" s="239" customFormat="1" ht="28.5" customHeight="1" x14ac:dyDescent="0.3">
      <c r="A22" s="222">
        <f t="shared" si="3"/>
        <v>0</v>
      </c>
      <c r="B22" s="223" t="b">
        <f t="shared" si="4"/>
        <v>1</v>
      </c>
      <c r="C22" s="222">
        <f t="shared" si="5"/>
        <v>0</v>
      </c>
      <c r="D22" s="205" t="str">
        <f t="shared" si="6"/>
        <v>$$$$</v>
      </c>
      <c r="E22" s="224"/>
      <c r="F22" s="225"/>
      <c r="G22" s="226"/>
      <c r="H22" s="227"/>
      <c r="I22" s="228"/>
      <c r="J22" s="228"/>
      <c r="K22" s="229"/>
      <c r="L22" s="230"/>
      <c r="M22" s="231"/>
      <c r="N22" s="232"/>
      <c r="O22" s="230"/>
      <c r="P22" s="231"/>
      <c r="Q22" s="232"/>
      <c r="R22" s="233"/>
      <c r="S22" s="234"/>
      <c r="T22" s="235"/>
      <c r="U22" s="233"/>
      <c r="V22" s="236"/>
      <c r="W22" s="234"/>
      <c r="X22" s="235"/>
      <c r="Y22" s="237"/>
      <c r="Z22" s="238"/>
    </row>
    <row r="23" spans="1:26" s="239" customFormat="1" ht="28.5" customHeight="1" x14ac:dyDescent="0.3">
      <c r="A23" s="222">
        <f t="shared" si="3"/>
        <v>0</v>
      </c>
      <c r="B23" s="223" t="b">
        <f t="shared" si="4"/>
        <v>1</v>
      </c>
      <c r="C23" s="222">
        <f t="shared" si="5"/>
        <v>0</v>
      </c>
      <c r="D23" s="205" t="str">
        <f t="shared" si="6"/>
        <v>$$$$</v>
      </c>
      <c r="E23" s="224"/>
      <c r="F23" s="225"/>
      <c r="G23" s="226"/>
      <c r="H23" s="227"/>
      <c r="I23" s="228"/>
      <c r="J23" s="228"/>
      <c r="K23" s="229"/>
      <c r="L23" s="230"/>
      <c r="M23" s="231"/>
      <c r="N23" s="232"/>
      <c r="O23" s="230"/>
      <c r="P23" s="231"/>
      <c r="Q23" s="232"/>
      <c r="R23" s="233"/>
      <c r="S23" s="234"/>
      <c r="T23" s="235"/>
      <c r="U23" s="233"/>
      <c r="V23" s="236"/>
      <c r="W23" s="234"/>
      <c r="X23" s="235"/>
      <c r="Y23" s="237"/>
      <c r="Z23" s="238"/>
    </row>
    <row r="24" spans="1:26" s="239" customFormat="1" ht="28.5" customHeight="1" x14ac:dyDescent="0.3">
      <c r="A24" s="222">
        <f t="shared" si="3"/>
        <v>0</v>
      </c>
      <c r="B24" s="223" t="b">
        <f t="shared" si="4"/>
        <v>1</v>
      </c>
      <c r="C24" s="222">
        <f t="shared" si="5"/>
        <v>0</v>
      </c>
      <c r="D24" s="205" t="str">
        <f t="shared" si="6"/>
        <v>$$$$</v>
      </c>
      <c r="E24" s="224"/>
      <c r="F24" s="225"/>
      <c r="G24" s="226"/>
      <c r="H24" s="227"/>
      <c r="I24" s="228"/>
      <c r="J24" s="228"/>
      <c r="K24" s="229"/>
      <c r="L24" s="230"/>
      <c r="M24" s="231"/>
      <c r="N24" s="232"/>
      <c r="O24" s="230"/>
      <c r="P24" s="231"/>
      <c r="Q24" s="232"/>
      <c r="R24" s="233"/>
      <c r="S24" s="234"/>
      <c r="T24" s="235"/>
      <c r="U24" s="233"/>
      <c r="V24" s="236"/>
      <c r="W24" s="234"/>
      <c r="X24" s="235"/>
      <c r="Y24" s="237"/>
      <c r="Z24" s="238"/>
    </row>
    <row r="25" spans="1:26" s="239" customFormat="1" ht="28.5" customHeight="1" x14ac:dyDescent="0.3">
      <c r="A25" s="222">
        <f t="shared" si="3"/>
        <v>0</v>
      </c>
      <c r="B25" s="223" t="b">
        <f t="shared" si="4"/>
        <v>1</v>
      </c>
      <c r="C25" s="222">
        <f t="shared" si="5"/>
        <v>0</v>
      </c>
      <c r="D25" s="205" t="str">
        <f t="shared" si="6"/>
        <v>$$$$</v>
      </c>
      <c r="E25" s="224"/>
      <c r="F25" s="225"/>
      <c r="G25" s="226"/>
      <c r="H25" s="227"/>
      <c r="I25" s="228"/>
      <c r="J25" s="228"/>
      <c r="K25" s="229"/>
      <c r="L25" s="230"/>
      <c r="M25" s="231"/>
      <c r="N25" s="232"/>
      <c r="O25" s="230"/>
      <c r="P25" s="231"/>
      <c r="Q25" s="232"/>
      <c r="R25" s="233"/>
      <c r="S25" s="234"/>
      <c r="T25" s="235"/>
      <c r="U25" s="233"/>
      <c r="V25" s="236"/>
      <c r="W25" s="234"/>
      <c r="X25" s="235"/>
      <c r="Y25" s="237"/>
      <c r="Z25" s="238"/>
    </row>
    <row r="26" spans="1:26" s="239" customFormat="1" ht="28.5" customHeight="1" x14ac:dyDescent="0.3">
      <c r="A26" s="222">
        <f t="shared" si="3"/>
        <v>0</v>
      </c>
      <c r="B26" s="223" t="b">
        <f t="shared" si="4"/>
        <v>1</v>
      </c>
      <c r="C26" s="222">
        <f t="shared" si="5"/>
        <v>0</v>
      </c>
      <c r="D26" s="205" t="str">
        <f t="shared" si="6"/>
        <v>$$$$</v>
      </c>
      <c r="E26" s="224"/>
      <c r="F26" s="225"/>
      <c r="G26" s="226"/>
      <c r="H26" s="227"/>
      <c r="I26" s="228"/>
      <c r="J26" s="228"/>
      <c r="K26" s="229"/>
      <c r="L26" s="230"/>
      <c r="M26" s="231"/>
      <c r="N26" s="232"/>
      <c r="O26" s="230"/>
      <c r="P26" s="231"/>
      <c r="Q26" s="232"/>
      <c r="R26" s="233"/>
      <c r="S26" s="234"/>
      <c r="T26" s="235"/>
      <c r="U26" s="233"/>
      <c r="V26" s="236"/>
      <c r="W26" s="234"/>
      <c r="X26" s="235"/>
      <c r="Y26" s="237"/>
      <c r="Z26" s="238"/>
    </row>
    <row r="27" spans="1:26" s="239" customFormat="1" ht="28.5" customHeight="1" x14ac:dyDescent="0.3">
      <c r="A27" s="222">
        <f t="shared" si="3"/>
        <v>0</v>
      </c>
      <c r="B27" s="223" t="b">
        <f t="shared" si="4"/>
        <v>1</v>
      </c>
      <c r="C27" s="222">
        <f t="shared" si="5"/>
        <v>0</v>
      </c>
      <c r="D27" s="205" t="str">
        <f t="shared" si="6"/>
        <v>$$$$</v>
      </c>
      <c r="E27" s="224"/>
      <c r="F27" s="225"/>
      <c r="G27" s="226"/>
      <c r="H27" s="227"/>
      <c r="I27" s="228"/>
      <c r="J27" s="228"/>
      <c r="K27" s="229"/>
      <c r="L27" s="230"/>
      <c r="M27" s="231"/>
      <c r="N27" s="232"/>
      <c r="O27" s="230"/>
      <c r="P27" s="231"/>
      <c r="Q27" s="232"/>
      <c r="R27" s="233"/>
      <c r="S27" s="234"/>
      <c r="T27" s="235"/>
      <c r="U27" s="233"/>
      <c r="V27" s="236"/>
      <c r="W27" s="234"/>
      <c r="X27" s="235"/>
      <c r="Y27" s="237"/>
      <c r="Z27" s="238"/>
    </row>
    <row r="28" spans="1:26" s="239" customFormat="1" ht="28.5" customHeight="1" x14ac:dyDescent="0.3">
      <c r="A28" s="222">
        <f t="shared" si="3"/>
        <v>0</v>
      </c>
      <c r="B28" s="223" t="b">
        <f t="shared" si="4"/>
        <v>1</v>
      </c>
      <c r="C28" s="222">
        <f t="shared" si="5"/>
        <v>0</v>
      </c>
      <c r="D28" s="205" t="str">
        <f t="shared" si="6"/>
        <v>$$$$</v>
      </c>
      <c r="E28" s="224"/>
      <c r="F28" s="225"/>
      <c r="G28" s="226"/>
      <c r="H28" s="227"/>
      <c r="I28" s="228"/>
      <c r="J28" s="228"/>
      <c r="K28" s="229"/>
      <c r="L28" s="230"/>
      <c r="M28" s="231"/>
      <c r="N28" s="232"/>
      <c r="O28" s="230"/>
      <c r="P28" s="231"/>
      <c r="Q28" s="232"/>
      <c r="R28" s="233"/>
      <c r="S28" s="234"/>
      <c r="T28" s="235"/>
      <c r="U28" s="233"/>
      <c r="V28" s="236"/>
      <c r="W28" s="234"/>
      <c r="X28" s="235"/>
      <c r="Y28" s="237"/>
      <c r="Z28" s="238"/>
    </row>
    <row r="29" spans="1:26" s="239" customFormat="1" ht="28.5" customHeight="1" x14ac:dyDescent="0.3">
      <c r="A29" s="222">
        <f t="shared" si="3"/>
        <v>0</v>
      </c>
      <c r="B29" s="223" t="b">
        <f t="shared" si="4"/>
        <v>1</v>
      </c>
      <c r="C29" s="222">
        <f t="shared" si="5"/>
        <v>0</v>
      </c>
      <c r="D29" s="205" t="str">
        <f t="shared" si="6"/>
        <v>$$$$</v>
      </c>
      <c r="E29" s="224"/>
      <c r="F29" s="225"/>
      <c r="G29" s="226"/>
      <c r="H29" s="227"/>
      <c r="I29" s="228"/>
      <c r="J29" s="228"/>
      <c r="K29" s="229"/>
      <c r="L29" s="230"/>
      <c r="M29" s="231"/>
      <c r="N29" s="232"/>
      <c r="O29" s="230"/>
      <c r="P29" s="231"/>
      <c r="Q29" s="232"/>
      <c r="R29" s="233"/>
      <c r="S29" s="234"/>
      <c r="T29" s="235"/>
      <c r="U29" s="233"/>
      <c r="V29" s="236"/>
      <c r="W29" s="234"/>
      <c r="X29" s="235"/>
      <c r="Y29" s="237"/>
      <c r="Z29" s="238"/>
    </row>
    <row r="30" spans="1:26" s="239" customFormat="1" ht="28.5" customHeight="1" x14ac:dyDescent="0.3">
      <c r="A30" s="222">
        <f t="shared" si="3"/>
        <v>0</v>
      </c>
      <c r="B30" s="223" t="b">
        <f t="shared" si="4"/>
        <v>1</v>
      </c>
      <c r="C30" s="222">
        <f t="shared" si="5"/>
        <v>0</v>
      </c>
      <c r="D30" s="205" t="str">
        <f t="shared" si="6"/>
        <v>$$$$</v>
      </c>
      <c r="E30" s="224"/>
      <c r="F30" s="225"/>
      <c r="G30" s="226"/>
      <c r="H30" s="227"/>
      <c r="I30" s="228"/>
      <c r="J30" s="228"/>
      <c r="K30" s="229"/>
      <c r="L30" s="230"/>
      <c r="M30" s="231"/>
      <c r="N30" s="232"/>
      <c r="O30" s="230"/>
      <c r="P30" s="231"/>
      <c r="Q30" s="232"/>
      <c r="R30" s="233"/>
      <c r="S30" s="234"/>
      <c r="T30" s="235"/>
      <c r="U30" s="233"/>
      <c r="V30" s="236"/>
      <c r="W30" s="234"/>
      <c r="X30" s="235"/>
      <c r="Y30" s="237"/>
      <c r="Z30" s="238"/>
    </row>
    <row r="31" spans="1:26" s="239" customFormat="1" ht="28.5" customHeight="1" x14ac:dyDescent="0.3">
      <c r="A31" s="222">
        <f t="shared" si="3"/>
        <v>0</v>
      </c>
      <c r="B31" s="223" t="b">
        <f t="shared" si="4"/>
        <v>1</v>
      </c>
      <c r="C31" s="222">
        <f t="shared" si="5"/>
        <v>0</v>
      </c>
      <c r="D31" s="205" t="str">
        <f t="shared" si="6"/>
        <v>$$$$</v>
      </c>
      <c r="E31" s="224"/>
      <c r="F31" s="225"/>
      <c r="G31" s="226"/>
      <c r="H31" s="227"/>
      <c r="I31" s="228"/>
      <c r="J31" s="228"/>
      <c r="K31" s="229"/>
      <c r="L31" s="230"/>
      <c r="M31" s="231"/>
      <c r="N31" s="232"/>
      <c r="O31" s="230"/>
      <c r="P31" s="231"/>
      <c r="Q31" s="232"/>
      <c r="R31" s="233"/>
      <c r="S31" s="234"/>
      <c r="T31" s="235"/>
      <c r="U31" s="233"/>
      <c r="V31" s="236"/>
      <c r="W31" s="234"/>
      <c r="X31" s="235"/>
      <c r="Y31" s="237"/>
      <c r="Z31" s="238"/>
    </row>
    <row r="32" spans="1:26" s="239" customFormat="1" ht="28.5" customHeight="1" x14ac:dyDescent="0.3">
      <c r="A32" s="222">
        <f t="shared" si="3"/>
        <v>0</v>
      </c>
      <c r="B32" s="223" t="b">
        <f t="shared" si="4"/>
        <v>1</v>
      </c>
      <c r="C32" s="222">
        <f t="shared" si="5"/>
        <v>0</v>
      </c>
      <c r="D32" s="205" t="str">
        <f t="shared" si="6"/>
        <v>$$$$</v>
      </c>
      <c r="E32" s="224"/>
      <c r="F32" s="225"/>
      <c r="G32" s="226"/>
      <c r="H32" s="227"/>
      <c r="I32" s="228"/>
      <c r="J32" s="228"/>
      <c r="K32" s="229"/>
      <c r="L32" s="230"/>
      <c r="M32" s="231"/>
      <c r="N32" s="232"/>
      <c r="O32" s="230"/>
      <c r="P32" s="231"/>
      <c r="Q32" s="232"/>
      <c r="R32" s="233"/>
      <c r="S32" s="234"/>
      <c r="T32" s="235"/>
      <c r="U32" s="233"/>
      <c r="V32" s="236"/>
      <c r="W32" s="234"/>
      <c r="X32" s="235"/>
      <c r="Y32" s="237"/>
      <c r="Z32" s="238"/>
    </row>
    <row r="33" spans="1:26" s="239" customFormat="1" ht="28.5" customHeight="1" x14ac:dyDescent="0.3">
      <c r="A33" s="222">
        <f t="shared" si="3"/>
        <v>0</v>
      </c>
      <c r="B33" s="223" t="b">
        <f t="shared" si="4"/>
        <v>1</v>
      </c>
      <c r="C33" s="222">
        <f t="shared" si="5"/>
        <v>0</v>
      </c>
      <c r="D33" s="205" t="str">
        <f t="shared" si="6"/>
        <v>$$$$</v>
      </c>
      <c r="E33" s="224"/>
      <c r="F33" s="225"/>
      <c r="G33" s="226"/>
      <c r="H33" s="227"/>
      <c r="I33" s="228"/>
      <c r="J33" s="228"/>
      <c r="K33" s="229"/>
      <c r="L33" s="230"/>
      <c r="M33" s="231"/>
      <c r="N33" s="232"/>
      <c r="O33" s="230"/>
      <c r="P33" s="231"/>
      <c r="Q33" s="232"/>
      <c r="R33" s="233"/>
      <c r="S33" s="234"/>
      <c r="T33" s="235"/>
      <c r="U33" s="233"/>
      <c r="V33" s="236"/>
      <c r="W33" s="234"/>
      <c r="X33" s="235"/>
      <c r="Y33" s="237"/>
      <c r="Z33" s="238"/>
    </row>
    <row r="34" spans="1:26" s="239" customFormat="1" ht="28.5" customHeight="1" x14ac:dyDescent="0.3">
      <c r="A34" s="222">
        <f t="shared" si="3"/>
        <v>0</v>
      </c>
      <c r="B34" s="223" t="b">
        <f t="shared" si="4"/>
        <v>1</v>
      </c>
      <c r="C34" s="222">
        <f t="shared" si="5"/>
        <v>0</v>
      </c>
      <c r="D34" s="205" t="str">
        <f t="shared" si="6"/>
        <v>$$$$</v>
      </c>
      <c r="E34" s="224"/>
      <c r="F34" s="225"/>
      <c r="G34" s="226"/>
      <c r="H34" s="227"/>
      <c r="I34" s="228"/>
      <c r="J34" s="228"/>
      <c r="K34" s="229"/>
      <c r="L34" s="230"/>
      <c r="M34" s="231"/>
      <c r="N34" s="232"/>
      <c r="O34" s="230"/>
      <c r="P34" s="231"/>
      <c r="Q34" s="232"/>
      <c r="R34" s="233"/>
      <c r="S34" s="234"/>
      <c r="T34" s="235"/>
      <c r="U34" s="233"/>
      <c r="V34" s="236"/>
      <c r="W34" s="234"/>
      <c r="X34" s="235"/>
      <c r="Y34" s="237"/>
      <c r="Z34" s="238"/>
    </row>
    <row r="35" spans="1:26" s="239" customFormat="1" ht="28.5" customHeight="1" x14ac:dyDescent="0.3">
      <c r="A35" s="222">
        <f t="shared" si="3"/>
        <v>0</v>
      </c>
      <c r="B35" s="223" t="b">
        <f t="shared" si="4"/>
        <v>1</v>
      </c>
      <c r="C35" s="222">
        <f t="shared" si="5"/>
        <v>0</v>
      </c>
      <c r="D35" s="205" t="str">
        <f t="shared" si="6"/>
        <v>$$$$</v>
      </c>
      <c r="E35" s="224"/>
      <c r="F35" s="225"/>
      <c r="G35" s="226"/>
      <c r="H35" s="227"/>
      <c r="I35" s="228"/>
      <c r="J35" s="228"/>
      <c r="K35" s="229"/>
      <c r="L35" s="230"/>
      <c r="M35" s="231"/>
      <c r="N35" s="232"/>
      <c r="O35" s="230"/>
      <c r="P35" s="231"/>
      <c r="Q35" s="232"/>
      <c r="R35" s="233"/>
      <c r="S35" s="234"/>
      <c r="T35" s="235"/>
      <c r="U35" s="233"/>
      <c r="V35" s="236"/>
      <c r="W35" s="234"/>
      <c r="X35" s="235"/>
      <c r="Y35" s="237"/>
      <c r="Z35" s="238"/>
    </row>
    <row r="36" spans="1:26" s="239" customFormat="1" ht="28.5" customHeight="1" x14ac:dyDescent="0.3">
      <c r="A36" s="222">
        <f t="shared" si="3"/>
        <v>0</v>
      </c>
      <c r="B36" s="223" t="b">
        <f t="shared" si="4"/>
        <v>1</v>
      </c>
      <c r="C36" s="222">
        <f t="shared" si="5"/>
        <v>0</v>
      </c>
      <c r="D36" s="205" t="str">
        <f t="shared" si="6"/>
        <v>$$$$</v>
      </c>
      <c r="E36" s="224"/>
      <c r="F36" s="225"/>
      <c r="G36" s="226"/>
      <c r="H36" s="227"/>
      <c r="I36" s="228"/>
      <c r="J36" s="228"/>
      <c r="K36" s="229"/>
      <c r="L36" s="230"/>
      <c r="M36" s="231"/>
      <c r="N36" s="232"/>
      <c r="O36" s="230"/>
      <c r="P36" s="231"/>
      <c r="Q36" s="232"/>
      <c r="R36" s="233"/>
      <c r="S36" s="234"/>
      <c r="T36" s="235"/>
      <c r="U36" s="233"/>
      <c r="V36" s="236"/>
      <c r="W36" s="234"/>
      <c r="X36" s="235"/>
      <c r="Y36" s="237"/>
      <c r="Z36" s="238"/>
    </row>
    <row r="37" spans="1:26" s="239" customFormat="1" ht="28.5" customHeight="1" x14ac:dyDescent="0.3">
      <c r="A37" s="222">
        <f t="shared" si="3"/>
        <v>0</v>
      </c>
      <c r="B37" s="223" t="b">
        <f t="shared" si="4"/>
        <v>1</v>
      </c>
      <c r="C37" s="222">
        <f t="shared" si="5"/>
        <v>0</v>
      </c>
      <c r="D37" s="205" t="str">
        <f t="shared" si="6"/>
        <v>$$$$</v>
      </c>
      <c r="E37" s="224"/>
      <c r="F37" s="225"/>
      <c r="G37" s="226"/>
      <c r="H37" s="227"/>
      <c r="I37" s="228"/>
      <c r="J37" s="228"/>
      <c r="K37" s="229"/>
      <c r="L37" s="230"/>
      <c r="M37" s="231"/>
      <c r="N37" s="232"/>
      <c r="O37" s="230"/>
      <c r="P37" s="231"/>
      <c r="Q37" s="232"/>
      <c r="R37" s="233"/>
      <c r="S37" s="234"/>
      <c r="T37" s="235"/>
      <c r="U37" s="233"/>
      <c r="V37" s="236"/>
      <c r="W37" s="234"/>
      <c r="X37" s="235"/>
      <c r="Y37" s="237"/>
      <c r="Z37" s="238"/>
    </row>
    <row r="38" spans="1:26" s="239" customFormat="1" ht="28.5" customHeight="1" x14ac:dyDescent="0.3">
      <c r="A38" s="222">
        <f t="shared" si="3"/>
        <v>0</v>
      </c>
      <c r="B38" s="223" t="b">
        <f t="shared" si="4"/>
        <v>1</v>
      </c>
      <c r="C38" s="222">
        <f t="shared" si="5"/>
        <v>0</v>
      </c>
      <c r="D38" s="205" t="str">
        <f t="shared" si="6"/>
        <v>$$$$</v>
      </c>
      <c r="E38" s="224"/>
      <c r="F38" s="225"/>
      <c r="G38" s="226"/>
      <c r="H38" s="227"/>
      <c r="I38" s="228"/>
      <c r="J38" s="228"/>
      <c r="K38" s="229"/>
      <c r="L38" s="230"/>
      <c r="M38" s="231"/>
      <c r="N38" s="232"/>
      <c r="O38" s="230"/>
      <c r="P38" s="231"/>
      <c r="Q38" s="232"/>
      <c r="R38" s="233"/>
      <c r="S38" s="234"/>
      <c r="T38" s="235"/>
      <c r="U38" s="233"/>
      <c r="V38" s="236"/>
      <c r="W38" s="234"/>
      <c r="X38" s="235"/>
      <c r="Y38" s="237"/>
      <c r="Z38" s="238"/>
    </row>
    <row r="39" spans="1:26" s="239" customFormat="1" ht="28.5" customHeight="1" x14ac:dyDescent="0.3">
      <c r="A39" s="222">
        <f t="shared" ref="A39:A70" si="7">IF(B39,0,MATCH(H39,ВидыНагр,0))</f>
        <v>0</v>
      </c>
      <c r="B39" s="223" t="b">
        <f t="shared" ref="B39:B70" si="8">(COUNTIF(КлючВесна,D39)&lt;&gt;1)</f>
        <v>1</v>
      </c>
      <c r="C39" s="222">
        <f t="shared" ref="C39:C70" si="9">IF(COUNTA(E39:K39,Z39)&gt;0,1,0)+IF(COUNTA(L39:Y39)&gt;0,2,0)</f>
        <v>0</v>
      </c>
      <c r="D39" s="205" t="str">
        <f t="shared" si="6"/>
        <v>$$$$</v>
      </c>
      <c r="E39" s="224"/>
      <c r="F39" s="225"/>
      <c r="G39" s="226"/>
      <c r="H39" s="227"/>
      <c r="I39" s="228"/>
      <c r="J39" s="228"/>
      <c r="K39" s="229"/>
      <c r="L39" s="230"/>
      <c r="M39" s="231"/>
      <c r="N39" s="232"/>
      <c r="O39" s="230"/>
      <c r="P39" s="231"/>
      <c r="Q39" s="232"/>
      <c r="R39" s="233"/>
      <c r="S39" s="234"/>
      <c r="T39" s="235"/>
      <c r="U39" s="233"/>
      <c r="V39" s="236"/>
      <c r="W39" s="234"/>
      <c r="X39" s="235"/>
      <c r="Y39" s="237"/>
      <c r="Z39" s="238"/>
    </row>
    <row r="40" spans="1:26" s="239" customFormat="1" ht="28.5" customHeight="1" x14ac:dyDescent="0.3">
      <c r="A40" s="222">
        <f t="shared" si="7"/>
        <v>0</v>
      </c>
      <c r="B40" s="223" t="b">
        <f t="shared" si="8"/>
        <v>1</v>
      </c>
      <c r="C40" s="222">
        <f t="shared" si="9"/>
        <v>0</v>
      </c>
      <c r="D40" s="205" t="str">
        <f t="shared" si="6"/>
        <v>$$$$</v>
      </c>
      <c r="E40" s="224"/>
      <c r="F40" s="225"/>
      <c r="G40" s="226"/>
      <c r="H40" s="227"/>
      <c r="I40" s="228"/>
      <c r="J40" s="228"/>
      <c r="K40" s="229"/>
      <c r="L40" s="230"/>
      <c r="M40" s="231"/>
      <c r="N40" s="232"/>
      <c r="O40" s="230"/>
      <c r="P40" s="231"/>
      <c r="Q40" s="232"/>
      <c r="R40" s="233"/>
      <c r="S40" s="234"/>
      <c r="T40" s="235"/>
      <c r="U40" s="233"/>
      <c r="V40" s="236"/>
      <c r="W40" s="234"/>
      <c r="X40" s="235"/>
      <c r="Y40" s="237"/>
      <c r="Z40" s="238"/>
    </row>
    <row r="41" spans="1:26" s="239" customFormat="1" ht="28.5" customHeight="1" x14ac:dyDescent="0.3">
      <c r="A41" s="222">
        <f t="shared" si="7"/>
        <v>0</v>
      </c>
      <c r="B41" s="223" t="b">
        <f t="shared" si="8"/>
        <v>1</v>
      </c>
      <c r="C41" s="222">
        <f t="shared" si="9"/>
        <v>0</v>
      </c>
      <c r="D41" s="205" t="str">
        <f t="shared" si="6"/>
        <v>$$$$</v>
      </c>
      <c r="E41" s="224"/>
      <c r="F41" s="225"/>
      <c r="G41" s="226"/>
      <c r="H41" s="227"/>
      <c r="I41" s="228"/>
      <c r="J41" s="228"/>
      <c r="K41" s="229"/>
      <c r="L41" s="230"/>
      <c r="M41" s="231"/>
      <c r="N41" s="232"/>
      <c r="O41" s="230"/>
      <c r="P41" s="231"/>
      <c r="Q41" s="232"/>
      <c r="R41" s="233"/>
      <c r="S41" s="234"/>
      <c r="T41" s="235"/>
      <c r="U41" s="233"/>
      <c r="V41" s="236"/>
      <c r="W41" s="234"/>
      <c r="X41" s="235"/>
      <c r="Y41" s="237"/>
      <c r="Z41" s="238"/>
    </row>
    <row r="42" spans="1:26" s="239" customFormat="1" ht="28.5" customHeight="1" x14ac:dyDescent="0.3">
      <c r="A42" s="222">
        <f t="shared" si="7"/>
        <v>0</v>
      </c>
      <c r="B42" s="223" t="b">
        <f t="shared" si="8"/>
        <v>1</v>
      </c>
      <c r="C42" s="222">
        <f t="shared" si="9"/>
        <v>0</v>
      </c>
      <c r="D42" s="205" t="str">
        <f t="shared" si="6"/>
        <v>$$$$</v>
      </c>
      <c r="E42" s="224"/>
      <c r="F42" s="225"/>
      <c r="G42" s="226"/>
      <c r="H42" s="227"/>
      <c r="I42" s="228"/>
      <c r="J42" s="228"/>
      <c r="K42" s="229"/>
      <c r="L42" s="230"/>
      <c r="M42" s="231"/>
      <c r="N42" s="232"/>
      <c r="O42" s="230"/>
      <c r="P42" s="231"/>
      <c r="Q42" s="232"/>
      <c r="R42" s="233"/>
      <c r="S42" s="234"/>
      <c r="T42" s="235"/>
      <c r="U42" s="233"/>
      <c r="V42" s="236"/>
      <c r="W42" s="234"/>
      <c r="X42" s="235"/>
      <c r="Y42" s="237"/>
      <c r="Z42" s="238"/>
    </row>
    <row r="43" spans="1:26" s="239" customFormat="1" ht="28.5" customHeight="1" x14ac:dyDescent="0.3">
      <c r="A43" s="222">
        <f t="shared" si="7"/>
        <v>0</v>
      </c>
      <c r="B43" s="223" t="b">
        <f t="shared" si="8"/>
        <v>1</v>
      </c>
      <c r="C43" s="222">
        <f t="shared" si="9"/>
        <v>0</v>
      </c>
      <c r="D43" s="205" t="str">
        <f t="shared" si="6"/>
        <v>$$$$</v>
      </c>
      <c r="E43" s="224"/>
      <c r="F43" s="225"/>
      <c r="G43" s="226"/>
      <c r="H43" s="227"/>
      <c r="I43" s="228"/>
      <c r="J43" s="228"/>
      <c r="K43" s="229"/>
      <c r="L43" s="230"/>
      <c r="M43" s="231"/>
      <c r="N43" s="232"/>
      <c r="O43" s="230"/>
      <c r="P43" s="231"/>
      <c r="Q43" s="232"/>
      <c r="R43" s="233"/>
      <c r="S43" s="234"/>
      <c r="T43" s="235"/>
      <c r="U43" s="233"/>
      <c r="V43" s="236"/>
      <c r="W43" s="234"/>
      <c r="X43" s="235"/>
      <c r="Y43" s="237"/>
      <c r="Z43" s="238"/>
    </row>
    <row r="44" spans="1:26" s="239" customFormat="1" ht="28.5" customHeight="1" x14ac:dyDescent="0.3">
      <c r="A44" s="222">
        <f t="shared" si="7"/>
        <v>0</v>
      </c>
      <c r="B44" s="223" t="b">
        <f t="shared" si="8"/>
        <v>1</v>
      </c>
      <c r="C44" s="222">
        <f t="shared" si="9"/>
        <v>0</v>
      </c>
      <c r="D44" s="205" t="str">
        <f t="shared" si="6"/>
        <v>$$$$</v>
      </c>
      <c r="E44" s="224"/>
      <c r="F44" s="225"/>
      <c r="G44" s="226"/>
      <c r="H44" s="227"/>
      <c r="I44" s="228"/>
      <c r="J44" s="228"/>
      <c r="K44" s="229"/>
      <c r="L44" s="230"/>
      <c r="M44" s="231"/>
      <c r="N44" s="232"/>
      <c r="O44" s="230"/>
      <c r="P44" s="231"/>
      <c r="Q44" s="232"/>
      <c r="R44" s="233"/>
      <c r="S44" s="234"/>
      <c r="T44" s="235"/>
      <c r="U44" s="233"/>
      <c r="V44" s="236"/>
      <c r="W44" s="234"/>
      <c r="X44" s="235"/>
      <c r="Y44" s="237"/>
      <c r="Z44" s="238"/>
    </row>
    <row r="45" spans="1:26" s="239" customFormat="1" ht="28.5" customHeight="1" x14ac:dyDescent="0.3">
      <c r="A45" s="222">
        <f t="shared" si="7"/>
        <v>0</v>
      </c>
      <c r="B45" s="223" t="b">
        <f t="shared" si="8"/>
        <v>1</v>
      </c>
      <c r="C45" s="222">
        <f t="shared" si="9"/>
        <v>0</v>
      </c>
      <c r="D45" s="205" t="str">
        <f t="shared" si="6"/>
        <v>$$$$</v>
      </c>
      <c r="E45" s="224"/>
      <c r="F45" s="225"/>
      <c r="G45" s="226"/>
      <c r="H45" s="227"/>
      <c r="I45" s="228"/>
      <c r="J45" s="228"/>
      <c r="K45" s="229"/>
      <c r="L45" s="230"/>
      <c r="M45" s="231"/>
      <c r="N45" s="232"/>
      <c r="O45" s="230"/>
      <c r="P45" s="231"/>
      <c r="Q45" s="232"/>
      <c r="R45" s="233"/>
      <c r="S45" s="234"/>
      <c r="T45" s="235"/>
      <c r="U45" s="233"/>
      <c r="V45" s="236"/>
      <c r="W45" s="234"/>
      <c r="X45" s="235"/>
      <c r="Y45" s="237"/>
      <c r="Z45" s="238"/>
    </row>
    <row r="46" spans="1:26" s="239" customFormat="1" ht="28.5" customHeight="1" x14ac:dyDescent="0.3">
      <c r="A46" s="222">
        <f t="shared" si="7"/>
        <v>0</v>
      </c>
      <c r="B46" s="223" t="b">
        <f t="shared" si="8"/>
        <v>1</v>
      </c>
      <c r="C46" s="222">
        <f t="shared" si="9"/>
        <v>0</v>
      </c>
      <c r="D46" s="205" t="str">
        <f t="shared" si="6"/>
        <v>$$$$</v>
      </c>
      <c r="E46" s="224"/>
      <c r="F46" s="225"/>
      <c r="G46" s="226"/>
      <c r="H46" s="227"/>
      <c r="I46" s="228"/>
      <c r="J46" s="228"/>
      <c r="K46" s="229"/>
      <c r="L46" s="230"/>
      <c r="M46" s="231"/>
      <c r="N46" s="232"/>
      <c r="O46" s="230"/>
      <c r="P46" s="231"/>
      <c r="Q46" s="232"/>
      <c r="R46" s="233"/>
      <c r="S46" s="234"/>
      <c r="T46" s="235"/>
      <c r="U46" s="233"/>
      <c r="V46" s="236"/>
      <c r="W46" s="234"/>
      <c r="X46" s="235"/>
      <c r="Y46" s="237"/>
      <c r="Z46" s="238"/>
    </row>
    <row r="47" spans="1:26" s="239" customFormat="1" ht="28.5" customHeight="1" x14ac:dyDescent="0.3">
      <c r="A47" s="222">
        <f t="shared" si="7"/>
        <v>0</v>
      </c>
      <c r="B47" s="223" t="b">
        <f t="shared" si="8"/>
        <v>1</v>
      </c>
      <c r="C47" s="222">
        <f t="shared" si="9"/>
        <v>0</v>
      </c>
      <c r="D47" s="205" t="str">
        <f t="shared" si="6"/>
        <v>$$$$</v>
      </c>
      <c r="E47" s="224"/>
      <c r="F47" s="225"/>
      <c r="G47" s="226"/>
      <c r="H47" s="227"/>
      <c r="I47" s="228"/>
      <c r="J47" s="228"/>
      <c r="K47" s="229"/>
      <c r="L47" s="230"/>
      <c r="M47" s="231"/>
      <c r="N47" s="232"/>
      <c r="O47" s="230"/>
      <c r="P47" s="231"/>
      <c r="Q47" s="232"/>
      <c r="R47" s="233"/>
      <c r="S47" s="234"/>
      <c r="T47" s="235"/>
      <c r="U47" s="233"/>
      <c r="V47" s="236"/>
      <c r="W47" s="234"/>
      <c r="X47" s="235"/>
      <c r="Y47" s="237"/>
      <c r="Z47" s="238"/>
    </row>
    <row r="48" spans="1:26" s="239" customFormat="1" ht="28.5" customHeight="1" x14ac:dyDescent="0.3">
      <c r="A48" s="222">
        <f t="shared" si="7"/>
        <v>0</v>
      </c>
      <c r="B48" s="223" t="b">
        <f t="shared" si="8"/>
        <v>1</v>
      </c>
      <c r="C48" s="222">
        <f t="shared" si="9"/>
        <v>0</v>
      </c>
      <c r="D48" s="205" t="str">
        <f t="shared" si="6"/>
        <v>$$$$</v>
      </c>
      <c r="E48" s="224"/>
      <c r="F48" s="225"/>
      <c r="G48" s="226"/>
      <c r="H48" s="227"/>
      <c r="I48" s="228"/>
      <c r="J48" s="228"/>
      <c r="K48" s="229"/>
      <c r="L48" s="230"/>
      <c r="M48" s="231"/>
      <c r="N48" s="232"/>
      <c r="O48" s="230"/>
      <c r="P48" s="231"/>
      <c r="Q48" s="232"/>
      <c r="R48" s="233"/>
      <c r="S48" s="234"/>
      <c r="T48" s="235"/>
      <c r="U48" s="233"/>
      <c r="V48" s="236"/>
      <c r="W48" s="234"/>
      <c r="X48" s="235"/>
      <c r="Y48" s="237"/>
      <c r="Z48" s="238"/>
    </row>
    <row r="49" spans="1:26" s="239" customFormat="1" ht="28.5" customHeight="1" x14ac:dyDescent="0.3">
      <c r="A49" s="222">
        <f t="shared" si="7"/>
        <v>0</v>
      </c>
      <c r="B49" s="223" t="b">
        <f t="shared" si="8"/>
        <v>1</v>
      </c>
      <c r="C49" s="222">
        <f t="shared" si="9"/>
        <v>0</v>
      </c>
      <c r="D49" s="205" t="str">
        <f t="shared" si="6"/>
        <v>$$$$</v>
      </c>
      <c r="E49" s="224"/>
      <c r="F49" s="225"/>
      <c r="G49" s="226"/>
      <c r="H49" s="227"/>
      <c r="I49" s="228"/>
      <c r="J49" s="228"/>
      <c r="K49" s="229"/>
      <c r="L49" s="230"/>
      <c r="M49" s="231"/>
      <c r="N49" s="232"/>
      <c r="O49" s="230"/>
      <c r="P49" s="231"/>
      <c r="Q49" s="232"/>
      <c r="R49" s="233"/>
      <c r="S49" s="234"/>
      <c r="T49" s="235"/>
      <c r="U49" s="233"/>
      <c r="V49" s="236"/>
      <c r="W49" s="234"/>
      <c r="X49" s="235"/>
      <c r="Y49" s="237"/>
      <c r="Z49" s="238"/>
    </row>
    <row r="50" spans="1:26" s="239" customFormat="1" ht="28.5" customHeight="1" x14ac:dyDescent="0.3">
      <c r="A50" s="222">
        <f t="shared" si="7"/>
        <v>0</v>
      </c>
      <c r="B50" s="223" t="b">
        <f t="shared" si="8"/>
        <v>1</v>
      </c>
      <c r="C50" s="222">
        <f t="shared" si="9"/>
        <v>0</v>
      </c>
      <c r="D50" s="205" t="str">
        <f t="shared" si="6"/>
        <v>$$$$</v>
      </c>
      <c r="E50" s="224"/>
      <c r="F50" s="225"/>
      <c r="G50" s="226"/>
      <c r="H50" s="227"/>
      <c r="I50" s="228"/>
      <c r="J50" s="228"/>
      <c r="K50" s="229"/>
      <c r="L50" s="230"/>
      <c r="M50" s="231"/>
      <c r="N50" s="232"/>
      <c r="O50" s="230"/>
      <c r="P50" s="231"/>
      <c r="Q50" s="232"/>
      <c r="R50" s="233"/>
      <c r="S50" s="234"/>
      <c r="T50" s="235"/>
      <c r="U50" s="233"/>
      <c r="V50" s="236"/>
      <c r="W50" s="234"/>
      <c r="X50" s="235"/>
      <c r="Y50" s="237"/>
      <c r="Z50" s="238"/>
    </row>
    <row r="51" spans="1:26" s="239" customFormat="1" ht="28.5" customHeight="1" x14ac:dyDescent="0.3">
      <c r="A51" s="222">
        <f t="shared" si="7"/>
        <v>0</v>
      </c>
      <c r="B51" s="223" t="b">
        <f t="shared" si="8"/>
        <v>1</v>
      </c>
      <c r="C51" s="222">
        <f t="shared" si="9"/>
        <v>0</v>
      </c>
      <c r="D51" s="205" t="str">
        <f t="shared" si="6"/>
        <v>$$$$</v>
      </c>
      <c r="E51" s="224"/>
      <c r="F51" s="225"/>
      <c r="G51" s="226"/>
      <c r="H51" s="227"/>
      <c r="I51" s="228"/>
      <c r="J51" s="228"/>
      <c r="K51" s="229"/>
      <c r="L51" s="230"/>
      <c r="M51" s="231"/>
      <c r="N51" s="232"/>
      <c r="O51" s="230"/>
      <c r="P51" s="231"/>
      <c r="Q51" s="232"/>
      <c r="R51" s="233"/>
      <c r="S51" s="234"/>
      <c r="T51" s="235"/>
      <c r="U51" s="233"/>
      <c r="V51" s="236"/>
      <c r="W51" s="234"/>
      <c r="X51" s="235"/>
      <c r="Y51" s="237"/>
      <c r="Z51" s="238"/>
    </row>
    <row r="52" spans="1:26" s="239" customFormat="1" ht="28.5" customHeight="1" x14ac:dyDescent="0.3">
      <c r="A52" s="222">
        <f t="shared" si="7"/>
        <v>0</v>
      </c>
      <c r="B52" s="223" t="b">
        <f t="shared" si="8"/>
        <v>1</v>
      </c>
      <c r="C52" s="222">
        <f t="shared" si="9"/>
        <v>0</v>
      </c>
      <c r="D52" s="205" t="str">
        <f t="shared" si="6"/>
        <v>$$$$</v>
      </c>
      <c r="E52" s="224"/>
      <c r="F52" s="225"/>
      <c r="G52" s="226"/>
      <c r="H52" s="227"/>
      <c r="I52" s="228"/>
      <c r="J52" s="228"/>
      <c r="K52" s="229"/>
      <c r="L52" s="230"/>
      <c r="M52" s="231"/>
      <c r="N52" s="232"/>
      <c r="O52" s="230"/>
      <c r="P52" s="231"/>
      <c r="Q52" s="232"/>
      <c r="R52" s="233"/>
      <c r="S52" s="234"/>
      <c r="T52" s="235"/>
      <c r="U52" s="233"/>
      <c r="V52" s="236"/>
      <c r="W52" s="234"/>
      <c r="X52" s="235"/>
      <c r="Y52" s="237"/>
      <c r="Z52" s="238"/>
    </row>
    <row r="53" spans="1:26" s="239" customFormat="1" ht="28.5" customHeight="1" x14ac:dyDescent="0.3">
      <c r="A53" s="222">
        <f t="shared" si="7"/>
        <v>0</v>
      </c>
      <c r="B53" s="223" t="b">
        <f t="shared" si="8"/>
        <v>1</v>
      </c>
      <c r="C53" s="222">
        <f t="shared" si="9"/>
        <v>0</v>
      </c>
      <c r="D53" s="205" t="str">
        <f t="shared" si="6"/>
        <v>$$$$</v>
      </c>
      <c r="E53" s="224"/>
      <c r="F53" s="225"/>
      <c r="G53" s="226"/>
      <c r="H53" s="227"/>
      <c r="I53" s="228"/>
      <c r="J53" s="228"/>
      <c r="K53" s="229"/>
      <c r="L53" s="230"/>
      <c r="M53" s="231"/>
      <c r="N53" s="232"/>
      <c r="O53" s="230"/>
      <c r="P53" s="231"/>
      <c r="Q53" s="232"/>
      <c r="R53" s="233"/>
      <c r="S53" s="234"/>
      <c r="T53" s="235"/>
      <c r="U53" s="233"/>
      <c r="V53" s="236"/>
      <c r="W53" s="234"/>
      <c r="X53" s="235"/>
      <c r="Y53" s="237"/>
      <c r="Z53" s="238"/>
    </row>
    <row r="54" spans="1:26" s="239" customFormat="1" ht="28.5" customHeight="1" x14ac:dyDescent="0.3">
      <c r="A54" s="222">
        <f t="shared" si="7"/>
        <v>0</v>
      </c>
      <c r="B54" s="223" t="b">
        <f t="shared" si="8"/>
        <v>1</v>
      </c>
      <c r="C54" s="222">
        <f t="shared" si="9"/>
        <v>0</v>
      </c>
      <c r="D54" s="205" t="str">
        <f t="shared" si="6"/>
        <v>$$$$</v>
      </c>
      <c r="E54" s="224"/>
      <c r="F54" s="225"/>
      <c r="G54" s="226"/>
      <c r="H54" s="227"/>
      <c r="I54" s="228"/>
      <c r="J54" s="228"/>
      <c r="K54" s="229"/>
      <c r="L54" s="230"/>
      <c r="M54" s="231"/>
      <c r="N54" s="232"/>
      <c r="O54" s="230"/>
      <c r="P54" s="231"/>
      <c r="Q54" s="232"/>
      <c r="R54" s="233"/>
      <c r="S54" s="234"/>
      <c r="T54" s="235"/>
      <c r="U54" s="233"/>
      <c r="V54" s="236"/>
      <c r="W54" s="234"/>
      <c r="X54" s="235"/>
      <c r="Y54" s="237"/>
      <c r="Z54" s="238"/>
    </row>
    <row r="55" spans="1:26" s="239" customFormat="1" ht="28.5" customHeight="1" x14ac:dyDescent="0.3">
      <c r="A55" s="222">
        <f t="shared" si="7"/>
        <v>0</v>
      </c>
      <c r="B55" s="223" t="b">
        <f t="shared" si="8"/>
        <v>1</v>
      </c>
      <c r="C55" s="222">
        <f t="shared" si="9"/>
        <v>0</v>
      </c>
      <c r="D55" s="205" t="str">
        <f t="shared" si="6"/>
        <v>$$$$</v>
      </c>
      <c r="E55" s="224"/>
      <c r="F55" s="225"/>
      <c r="G55" s="226"/>
      <c r="H55" s="227"/>
      <c r="I55" s="228"/>
      <c r="J55" s="228"/>
      <c r="K55" s="229"/>
      <c r="L55" s="230"/>
      <c r="M55" s="231"/>
      <c r="N55" s="232"/>
      <c r="O55" s="230"/>
      <c r="P55" s="231"/>
      <c r="Q55" s="232"/>
      <c r="R55" s="233"/>
      <c r="S55" s="234"/>
      <c r="T55" s="235"/>
      <c r="U55" s="233"/>
      <c r="V55" s="236"/>
      <c r="W55" s="234"/>
      <c r="X55" s="235"/>
      <c r="Y55" s="237"/>
      <c r="Z55" s="238"/>
    </row>
    <row r="56" spans="1:26" s="239" customFormat="1" ht="28.5" customHeight="1" x14ac:dyDescent="0.3">
      <c r="A56" s="222">
        <f t="shared" si="7"/>
        <v>0</v>
      </c>
      <c r="B56" s="223" t="b">
        <f t="shared" si="8"/>
        <v>1</v>
      </c>
      <c r="C56" s="222">
        <f t="shared" si="9"/>
        <v>0</v>
      </c>
      <c r="D56" s="205" t="str">
        <f t="shared" si="6"/>
        <v>$$$$</v>
      </c>
      <c r="E56" s="224"/>
      <c r="F56" s="225"/>
      <c r="G56" s="226"/>
      <c r="H56" s="227"/>
      <c r="I56" s="228"/>
      <c r="J56" s="228"/>
      <c r="K56" s="229"/>
      <c r="L56" s="230"/>
      <c r="M56" s="231"/>
      <c r="N56" s="232"/>
      <c r="O56" s="230"/>
      <c r="P56" s="231"/>
      <c r="Q56" s="232"/>
      <c r="R56" s="233"/>
      <c r="S56" s="234"/>
      <c r="T56" s="235"/>
      <c r="U56" s="233"/>
      <c r="V56" s="236"/>
      <c r="W56" s="234"/>
      <c r="X56" s="235"/>
      <c r="Y56" s="237"/>
      <c r="Z56" s="238"/>
    </row>
    <row r="57" spans="1:26" s="239" customFormat="1" ht="28.5" customHeight="1" x14ac:dyDescent="0.3">
      <c r="A57" s="222">
        <f t="shared" si="7"/>
        <v>0</v>
      </c>
      <c r="B57" s="223" t="b">
        <f t="shared" si="8"/>
        <v>1</v>
      </c>
      <c r="C57" s="222">
        <f t="shared" si="9"/>
        <v>0</v>
      </c>
      <c r="D57" s="205" t="str">
        <f t="shared" si="6"/>
        <v>$$$$</v>
      </c>
      <c r="E57" s="224"/>
      <c r="F57" s="225"/>
      <c r="G57" s="226"/>
      <c r="H57" s="227"/>
      <c r="I57" s="228"/>
      <c r="J57" s="228"/>
      <c r="K57" s="229"/>
      <c r="L57" s="230"/>
      <c r="M57" s="231"/>
      <c r="N57" s="232"/>
      <c r="O57" s="230"/>
      <c r="P57" s="231"/>
      <c r="Q57" s="232"/>
      <c r="R57" s="233"/>
      <c r="S57" s="234"/>
      <c r="T57" s="235"/>
      <c r="U57" s="233"/>
      <c r="V57" s="236"/>
      <c r="W57" s="234"/>
      <c r="X57" s="235"/>
      <c r="Y57" s="237"/>
      <c r="Z57" s="238"/>
    </row>
    <row r="58" spans="1:26" s="239" customFormat="1" ht="28.5" customHeight="1" x14ac:dyDescent="0.3">
      <c r="A58" s="222">
        <f t="shared" si="7"/>
        <v>0</v>
      </c>
      <c r="B58" s="223" t="b">
        <f t="shared" si="8"/>
        <v>1</v>
      </c>
      <c r="C58" s="222">
        <f t="shared" si="9"/>
        <v>0</v>
      </c>
      <c r="D58" s="205" t="str">
        <f t="shared" si="6"/>
        <v>$$$$</v>
      </c>
      <c r="E58" s="224"/>
      <c r="F58" s="225"/>
      <c r="G58" s="226"/>
      <c r="H58" s="227"/>
      <c r="I58" s="228"/>
      <c r="J58" s="228"/>
      <c r="K58" s="229"/>
      <c r="L58" s="230"/>
      <c r="M58" s="231"/>
      <c r="N58" s="232"/>
      <c r="O58" s="230"/>
      <c r="P58" s="231"/>
      <c r="Q58" s="232"/>
      <c r="R58" s="233"/>
      <c r="S58" s="234"/>
      <c r="T58" s="235"/>
      <c r="U58" s="233"/>
      <c r="V58" s="236"/>
      <c r="W58" s="234"/>
      <c r="X58" s="235"/>
      <c r="Y58" s="237"/>
      <c r="Z58" s="238"/>
    </row>
    <row r="59" spans="1:26" s="239" customFormat="1" ht="28.5" customHeight="1" x14ac:dyDescent="0.3">
      <c r="A59" s="222">
        <f t="shared" si="7"/>
        <v>0</v>
      </c>
      <c r="B59" s="223" t="b">
        <f t="shared" si="8"/>
        <v>1</v>
      </c>
      <c r="C59" s="222">
        <f t="shared" si="9"/>
        <v>0</v>
      </c>
      <c r="D59" s="205" t="str">
        <f t="shared" si="6"/>
        <v>$$$$</v>
      </c>
      <c r="E59" s="224"/>
      <c r="F59" s="225"/>
      <c r="G59" s="226"/>
      <c r="H59" s="227"/>
      <c r="I59" s="228"/>
      <c r="J59" s="228"/>
      <c r="K59" s="229"/>
      <c r="L59" s="230"/>
      <c r="M59" s="231"/>
      <c r="N59" s="232"/>
      <c r="O59" s="230"/>
      <c r="P59" s="231"/>
      <c r="Q59" s="232"/>
      <c r="R59" s="233"/>
      <c r="S59" s="234"/>
      <c r="T59" s="235"/>
      <c r="U59" s="233"/>
      <c r="V59" s="236"/>
      <c r="W59" s="234"/>
      <c r="X59" s="235"/>
      <c r="Y59" s="237"/>
      <c r="Z59" s="238"/>
    </row>
    <row r="60" spans="1:26" s="239" customFormat="1" ht="28.5" customHeight="1" x14ac:dyDescent="0.3">
      <c r="A60" s="222">
        <f t="shared" si="7"/>
        <v>0</v>
      </c>
      <c r="B60" s="223" t="b">
        <f t="shared" si="8"/>
        <v>1</v>
      </c>
      <c r="C60" s="222">
        <f t="shared" si="9"/>
        <v>0</v>
      </c>
      <c r="D60" s="205" t="str">
        <f t="shared" si="6"/>
        <v>$$$$</v>
      </c>
      <c r="E60" s="224"/>
      <c r="F60" s="225"/>
      <c r="G60" s="226"/>
      <c r="H60" s="227"/>
      <c r="I60" s="228"/>
      <c r="J60" s="228"/>
      <c r="K60" s="229"/>
      <c r="L60" s="230"/>
      <c r="M60" s="231"/>
      <c r="N60" s="232"/>
      <c r="O60" s="230"/>
      <c r="P60" s="231"/>
      <c r="Q60" s="232"/>
      <c r="R60" s="233"/>
      <c r="S60" s="234"/>
      <c r="T60" s="235"/>
      <c r="U60" s="233"/>
      <c r="V60" s="236"/>
      <c r="W60" s="234"/>
      <c r="X60" s="235"/>
      <c r="Y60" s="237"/>
      <c r="Z60" s="238"/>
    </row>
    <row r="61" spans="1:26" s="239" customFormat="1" ht="28.5" customHeight="1" x14ac:dyDescent="0.3">
      <c r="A61" s="222">
        <f t="shared" si="7"/>
        <v>0</v>
      </c>
      <c r="B61" s="223" t="b">
        <f t="shared" si="8"/>
        <v>1</v>
      </c>
      <c r="C61" s="222">
        <f t="shared" si="9"/>
        <v>0</v>
      </c>
      <c r="D61" s="205" t="str">
        <f t="shared" si="6"/>
        <v>$$$$</v>
      </c>
      <c r="E61" s="224"/>
      <c r="F61" s="225"/>
      <c r="G61" s="226"/>
      <c r="H61" s="227"/>
      <c r="I61" s="228"/>
      <c r="J61" s="228"/>
      <c r="K61" s="229"/>
      <c r="L61" s="230"/>
      <c r="M61" s="231"/>
      <c r="N61" s="232"/>
      <c r="O61" s="230"/>
      <c r="P61" s="231"/>
      <c r="Q61" s="232"/>
      <c r="R61" s="233"/>
      <c r="S61" s="234"/>
      <c r="T61" s="235"/>
      <c r="U61" s="233"/>
      <c r="V61" s="236"/>
      <c r="W61" s="234"/>
      <c r="X61" s="235"/>
      <c r="Y61" s="237"/>
      <c r="Z61" s="238"/>
    </row>
    <row r="62" spans="1:26" s="239" customFormat="1" ht="28.5" customHeight="1" x14ac:dyDescent="0.3">
      <c r="A62" s="222">
        <f t="shared" si="7"/>
        <v>0</v>
      </c>
      <c r="B62" s="223" t="b">
        <f t="shared" si="8"/>
        <v>1</v>
      </c>
      <c r="C62" s="222">
        <f t="shared" si="9"/>
        <v>0</v>
      </c>
      <c r="D62" s="205" t="str">
        <f t="shared" si="6"/>
        <v>$$$$</v>
      </c>
      <c r="E62" s="224"/>
      <c r="F62" s="225"/>
      <c r="G62" s="226"/>
      <c r="H62" s="227"/>
      <c r="I62" s="228"/>
      <c r="J62" s="228"/>
      <c r="K62" s="229"/>
      <c r="L62" s="230"/>
      <c r="M62" s="231"/>
      <c r="N62" s="232"/>
      <c r="O62" s="230"/>
      <c r="P62" s="231"/>
      <c r="Q62" s="232"/>
      <c r="R62" s="233"/>
      <c r="S62" s="234"/>
      <c r="T62" s="235"/>
      <c r="U62" s="233"/>
      <c r="V62" s="236"/>
      <c r="W62" s="234"/>
      <c r="X62" s="235"/>
      <c r="Y62" s="237"/>
      <c r="Z62" s="238"/>
    </row>
    <row r="63" spans="1:26" s="239" customFormat="1" ht="28.5" customHeight="1" x14ac:dyDescent="0.3">
      <c r="A63" s="222">
        <f t="shared" si="7"/>
        <v>0</v>
      </c>
      <c r="B63" s="223" t="b">
        <f t="shared" si="8"/>
        <v>1</v>
      </c>
      <c r="C63" s="222">
        <f t="shared" si="9"/>
        <v>0</v>
      </c>
      <c r="D63" s="205" t="str">
        <f t="shared" si="6"/>
        <v>$$$$</v>
      </c>
      <c r="E63" s="224"/>
      <c r="F63" s="225"/>
      <c r="G63" s="226"/>
      <c r="H63" s="227"/>
      <c r="I63" s="228"/>
      <c r="J63" s="228"/>
      <c r="K63" s="229"/>
      <c r="L63" s="230"/>
      <c r="M63" s="231"/>
      <c r="N63" s="232"/>
      <c r="O63" s="230"/>
      <c r="P63" s="231"/>
      <c r="Q63" s="232"/>
      <c r="R63" s="233"/>
      <c r="S63" s="234"/>
      <c r="T63" s="235"/>
      <c r="U63" s="233"/>
      <c r="V63" s="236"/>
      <c r="W63" s="234"/>
      <c r="X63" s="235"/>
      <c r="Y63" s="237"/>
      <c r="Z63" s="238"/>
    </row>
    <row r="64" spans="1:26" s="239" customFormat="1" ht="28.5" customHeight="1" x14ac:dyDescent="0.3">
      <c r="A64" s="222">
        <f t="shared" si="7"/>
        <v>0</v>
      </c>
      <c r="B64" s="223" t="b">
        <f t="shared" si="8"/>
        <v>1</v>
      </c>
      <c r="C64" s="222">
        <f t="shared" si="9"/>
        <v>0</v>
      </c>
      <c r="D64" s="205" t="str">
        <f t="shared" si="6"/>
        <v>$$$$</v>
      </c>
      <c r="E64" s="224"/>
      <c r="F64" s="225"/>
      <c r="G64" s="226"/>
      <c r="H64" s="227"/>
      <c r="I64" s="228"/>
      <c r="J64" s="228"/>
      <c r="K64" s="229"/>
      <c r="L64" s="230"/>
      <c r="M64" s="231"/>
      <c r="N64" s="232"/>
      <c r="O64" s="230"/>
      <c r="P64" s="231"/>
      <c r="Q64" s="232"/>
      <c r="R64" s="233"/>
      <c r="S64" s="234"/>
      <c r="T64" s="235"/>
      <c r="U64" s="233"/>
      <c r="V64" s="236"/>
      <c r="W64" s="234"/>
      <c r="X64" s="235"/>
      <c r="Y64" s="237"/>
      <c r="Z64" s="238"/>
    </row>
    <row r="65" spans="1:26" s="239" customFormat="1" ht="28.5" customHeight="1" x14ac:dyDescent="0.3">
      <c r="A65" s="222">
        <f t="shared" si="7"/>
        <v>0</v>
      </c>
      <c r="B65" s="223" t="b">
        <f t="shared" si="8"/>
        <v>1</v>
      </c>
      <c r="C65" s="222">
        <f t="shared" si="9"/>
        <v>0</v>
      </c>
      <c r="D65" s="205" t="str">
        <f t="shared" si="6"/>
        <v>$$$$</v>
      </c>
      <c r="E65" s="224"/>
      <c r="F65" s="225"/>
      <c r="G65" s="226"/>
      <c r="H65" s="227"/>
      <c r="I65" s="228"/>
      <c r="J65" s="228"/>
      <c r="K65" s="229"/>
      <c r="L65" s="230"/>
      <c r="M65" s="231"/>
      <c r="N65" s="232"/>
      <c r="O65" s="230"/>
      <c r="P65" s="231"/>
      <c r="Q65" s="232"/>
      <c r="R65" s="233"/>
      <c r="S65" s="234"/>
      <c r="T65" s="235"/>
      <c r="U65" s="233"/>
      <c r="V65" s="236"/>
      <c r="W65" s="234"/>
      <c r="X65" s="235"/>
      <c r="Y65" s="237"/>
      <c r="Z65" s="238"/>
    </row>
    <row r="66" spans="1:26" s="239" customFormat="1" ht="28.5" customHeight="1" x14ac:dyDescent="0.3">
      <c r="A66" s="222">
        <f t="shared" si="7"/>
        <v>0</v>
      </c>
      <c r="B66" s="223" t="b">
        <f t="shared" si="8"/>
        <v>1</v>
      </c>
      <c r="C66" s="222">
        <f t="shared" si="9"/>
        <v>0</v>
      </c>
      <c r="D66" s="205" t="str">
        <f t="shared" si="6"/>
        <v>$$$$</v>
      </c>
      <c r="E66" s="224"/>
      <c r="F66" s="225"/>
      <c r="G66" s="226"/>
      <c r="H66" s="227"/>
      <c r="I66" s="228"/>
      <c r="J66" s="228"/>
      <c r="K66" s="229"/>
      <c r="L66" s="230"/>
      <c r="M66" s="231"/>
      <c r="N66" s="232"/>
      <c r="O66" s="230"/>
      <c r="P66" s="231"/>
      <c r="Q66" s="232"/>
      <c r="R66" s="233"/>
      <c r="S66" s="234"/>
      <c r="T66" s="235"/>
      <c r="U66" s="233"/>
      <c r="V66" s="236"/>
      <c r="W66" s="234"/>
      <c r="X66" s="235"/>
      <c r="Y66" s="237"/>
      <c r="Z66" s="238"/>
    </row>
    <row r="67" spans="1:26" s="239" customFormat="1" ht="28.5" customHeight="1" x14ac:dyDescent="0.3">
      <c r="A67" s="222">
        <f t="shared" si="7"/>
        <v>0</v>
      </c>
      <c r="B67" s="223" t="b">
        <f t="shared" si="8"/>
        <v>1</v>
      </c>
      <c r="C67" s="222">
        <f t="shared" si="9"/>
        <v>0</v>
      </c>
      <c r="D67" s="205" t="str">
        <f t="shared" si="6"/>
        <v>$$$$</v>
      </c>
      <c r="E67" s="224"/>
      <c r="F67" s="225"/>
      <c r="G67" s="226"/>
      <c r="H67" s="227"/>
      <c r="I67" s="228"/>
      <c r="J67" s="228"/>
      <c r="K67" s="229"/>
      <c r="L67" s="230"/>
      <c r="M67" s="231"/>
      <c r="N67" s="232"/>
      <c r="O67" s="230"/>
      <c r="P67" s="231"/>
      <c r="Q67" s="232"/>
      <c r="R67" s="233"/>
      <c r="S67" s="234"/>
      <c r="T67" s="235"/>
      <c r="U67" s="233"/>
      <c r="V67" s="236"/>
      <c r="W67" s="234"/>
      <c r="X67" s="235"/>
      <c r="Y67" s="237"/>
      <c r="Z67" s="238"/>
    </row>
    <row r="68" spans="1:26" s="239" customFormat="1" ht="28.5" customHeight="1" x14ac:dyDescent="0.3">
      <c r="A68" s="222">
        <f t="shared" si="7"/>
        <v>0</v>
      </c>
      <c r="B68" s="223" t="b">
        <f t="shared" si="8"/>
        <v>1</v>
      </c>
      <c r="C68" s="222">
        <f t="shared" si="9"/>
        <v>0</v>
      </c>
      <c r="D68" s="205" t="str">
        <f t="shared" si="6"/>
        <v>$$$$</v>
      </c>
      <c r="E68" s="224"/>
      <c r="F68" s="225"/>
      <c r="G68" s="226"/>
      <c r="H68" s="227"/>
      <c r="I68" s="228"/>
      <c r="J68" s="228"/>
      <c r="K68" s="229"/>
      <c r="L68" s="230"/>
      <c r="M68" s="231"/>
      <c r="N68" s="232"/>
      <c r="O68" s="230"/>
      <c r="P68" s="231"/>
      <c r="Q68" s="232"/>
      <c r="R68" s="233"/>
      <c r="S68" s="234"/>
      <c r="T68" s="235"/>
      <c r="U68" s="233"/>
      <c r="V68" s="236"/>
      <c r="W68" s="234"/>
      <c r="X68" s="235"/>
      <c r="Y68" s="237"/>
      <c r="Z68" s="238"/>
    </row>
    <row r="69" spans="1:26" s="239" customFormat="1" ht="28.5" customHeight="1" x14ac:dyDescent="0.3">
      <c r="A69" s="222">
        <f t="shared" si="7"/>
        <v>0</v>
      </c>
      <c r="B69" s="223" t="b">
        <f t="shared" si="8"/>
        <v>1</v>
      </c>
      <c r="C69" s="222">
        <f t="shared" si="9"/>
        <v>0</v>
      </c>
      <c r="D69" s="205" t="str">
        <f t="shared" si="6"/>
        <v>$$$$</v>
      </c>
      <c r="E69" s="224"/>
      <c r="F69" s="225"/>
      <c r="G69" s="226"/>
      <c r="H69" s="227"/>
      <c r="I69" s="228"/>
      <c r="J69" s="228"/>
      <c r="K69" s="229"/>
      <c r="L69" s="230"/>
      <c r="M69" s="231"/>
      <c r="N69" s="232"/>
      <c r="O69" s="230"/>
      <c r="P69" s="231"/>
      <c r="Q69" s="232"/>
      <c r="R69" s="233"/>
      <c r="S69" s="234"/>
      <c r="T69" s="235"/>
      <c r="U69" s="233"/>
      <c r="V69" s="236"/>
      <c r="W69" s="234"/>
      <c r="X69" s="235"/>
      <c r="Y69" s="237"/>
      <c r="Z69" s="238"/>
    </row>
    <row r="70" spans="1:26" s="239" customFormat="1" ht="28.5" customHeight="1" x14ac:dyDescent="0.3">
      <c r="A70" s="222">
        <f t="shared" si="7"/>
        <v>0</v>
      </c>
      <c r="B70" s="223" t="b">
        <f t="shared" si="8"/>
        <v>1</v>
      </c>
      <c r="C70" s="222">
        <f t="shared" si="9"/>
        <v>0</v>
      </c>
      <c r="D70" s="205" t="str">
        <f t="shared" si="6"/>
        <v>$$$$</v>
      </c>
      <c r="E70" s="224"/>
      <c r="F70" s="225"/>
      <c r="G70" s="226"/>
      <c r="H70" s="227"/>
      <c r="I70" s="228"/>
      <c r="J70" s="228"/>
      <c r="K70" s="229"/>
      <c r="L70" s="230"/>
      <c r="M70" s="231"/>
      <c r="N70" s="232"/>
      <c r="O70" s="230"/>
      <c r="P70" s="231"/>
      <c r="Q70" s="232"/>
      <c r="R70" s="233"/>
      <c r="S70" s="234"/>
      <c r="T70" s="235"/>
      <c r="U70" s="233"/>
      <c r="V70" s="236"/>
      <c r="W70" s="234"/>
      <c r="X70" s="235"/>
      <c r="Y70" s="237"/>
      <c r="Z70" s="238"/>
    </row>
    <row r="71" spans="1:26" s="239" customFormat="1" ht="28.5" customHeight="1" x14ac:dyDescent="0.3">
      <c r="A71" s="222">
        <f t="shared" ref="A71:A102" si="10">IF(B71,0,MATCH(H71,ВидыНагр,0))</f>
        <v>0</v>
      </c>
      <c r="B71" s="223" t="b">
        <f t="shared" ref="B71:B102" si="11">(COUNTIF(КлючВесна,D71)&lt;&gt;1)</f>
        <v>1</v>
      </c>
      <c r="C71" s="222">
        <f t="shared" ref="C71:C102" si="12">IF(COUNTA(E71:K71,Z71)&gt;0,1,0)+IF(COUNTA(L71:Y71)&gt;0,2,0)</f>
        <v>0</v>
      </c>
      <c r="D71" s="205" t="str">
        <f t="shared" si="6"/>
        <v>$$$$</v>
      </c>
      <c r="E71" s="224"/>
      <c r="F71" s="225"/>
      <c r="G71" s="226"/>
      <c r="H71" s="227"/>
      <c r="I71" s="228"/>
      <c r="J71" s="228"/>
      <c r="K71" s="229"/>
      <c r="L71" s="230"/>
      <c r="M71" s="231"/>
      <c r="N71" s="232"/>
      <c r="O71" s="230"/>
      <c r="P71" s="231"/>
      <c r="Q71" s="232"/>
      <c r="R71" s="233"/>
      <c r="S71" s="234"/>
      <c r="T71" s="235"/>
      <c r="U71" s="233"/>
      <c r="V71" s="236"/>
      <c r="W71" s="234"/>
      <c r="X71" s="235"/>
      <c r="Y71" s="237"/>
      <c r="Z71" s="238"/>
    </row>
    <row r="72" spans="1:26" s="239" customFormat="1" ht="28.5" customHeight="1" x14ac:dyDescent="0.3">
      <c r="A72" s="222">
        <f t="shared" si="10"/>
        <v>0</v>
      </c>
      <c r="B72" s="223" t="b">
        <f t="shared" si="11"/>
        <v>1</v>
      </c>
      <c r="C72" s="222">
        <f t="shared" si="12"/>
        <v>0</v>
      </c>
      <c r="D72" s="205" t="str">
        <f t="shared" ref="D72:D159" si="13">CONCATENATE("$",TRIM(F72),"$",TRIM(G72),"$",H72,"$")</f>
        <v>$$$$</v>
      </c>
      <c r="E72" s="224"/>
      <c r="F72" s="225"/>
      <c r="G72" s="226"/>
      <c r="H72" s="227"/>
      <c r="I72" s="228"/>
      <c r="J72" s="228"/>
      <c r="K72" s="229"/>
      <c r="L72" s="230"/>
      <c r="M72" s="231"/>
      <c r="N72" s="232"/>
      <c r="O72" s="230"/>
      <c r="P72" s="231"/>
      <c r="Q72" s="232"/>
      <c r="R72" s="233"/>
      <c r="S72" s="234"/>
      <c r="T72" s="235"/>
      <c r="U72" s="233"/>
      <c r="V72" s="236"/>
      <c r="W72" s="234"/>
      <c r="X72" s="235"/>
      <c r="Y72" s="237"/>
      <c r="Z72" s="238"/>
    </row>
    <row r="73" spans="1:26" s="239" customFormat="1" ht="28.5" customHeight="1" x14ac:dyDescent="0.3">
      <c r="A73" s="222">
        <f t="shared" si="10"/>
        <v>0</v>
      </c>
      <c r="B73" s="223" t="b">
        <f t="shared" si="11"/>
        <v>1</v>
      </c>
      <c r="C73" s="222">
        <f t="shared" si="12"/>
        <v>0</v>
      </c>
      <c r="D73" s="205" t="str">
        <f t="shared" si="13"/>
        <v>$$$$</v>
      </c>
      <c r="E73" s="224"/>
      <c r="F73" s="225"/>
      <c r="G73" s="226"/>
      <c r="H73" s="227"/>
      <c r="I73" s="228"/>
      <c r="J73" s="228"/>
      <c r="K73" s="229"/>
      <c r="L73" s="230"/>
      <c r="M73" s="231"/>
      <c r="N73" s="232"/>
      <c r="O73" s="230"/>
      <c r="P73" s="231"/>
      <c r="Q73" s="232"/>
      <c r="R73" s="233"/>
      <c r="S73" s="234"/>
      <c r="T73" s="235"/>
      <c r="U73" s="233"/>
      <c r="V73" s="236"/>
      <c r="W73" s="234"/>
      <c r="X73" s="235"/>
      <c r="Y73" s="237"/>
      <c r="Z73" s="238"/>
    </row>
    <row r="74" spans="1:26" s="239" customFormat="1" ht="28.5" customHeight="1" x14ac:dyDescent="0.3">
      <c r="A74" s="222">
        <f t="shared" si="10"/>
        <v>0</v>
      </c>
      <c r="B74" s="223" t="b">
        <f t="shared" si="11"/>
        <v>1</v>
      </c>
      <c r="C74" s="222">
        <f t="shared" si="12"/>
        <v>0</v>
      </c>
      <c r="D74" s="205" t="str">
        <f t="shared" si="13"/>
        <v>$$$$</v>
      </c>
      <c r="E74" s="224"/>
      <c r="F74" s="225"/>
      <c r="G74" s="226"/>
      <c r="H74" s="227"/>
      <c r="I74" s="228"/>
      <c r="J74" s="228"/>
      <c r="K74" s="229"/>
      <c r="L74" s="230"/>
      <c r="M74" s="231"/>
      <c r="N74" s="232"/>
      <c r="O74" s="230"/>
      <c r="P74" s="231"/>
      <c r="Q74" s="232"/>
      <c r="R74" s="233"/>
      <c r="S74" s="234"/>
      <c r="T74" s="235"/>
      <c r="U74" s="233"/>
      <c r="V74" s="236"/>
      <c r="W74" s="234"/>
      <c r="X74" s="235"/>
      <c r="Y74" s="237"/>
      <c r="Z74" s="238"/>
    </row>
    <row r="75" spans="1:26" s="239" customFormat="1" ht="28.5" customHeight="1" x14ac:dyDescent="0.3">
      <c r="A75" s="222">
        <f t="shared" si="10"/>
        <v>0</v>
      </c>
      <c r="B75" s="223" t="b">
        <f t="shared" si="11"/>
        <v>1</v>
      </c>
      <c r="C75" s="222">
        <f t="shared" si="12"/>
        <v>0</v>
      </c>
      <c r="D75" s="205" t="str">
        <f t="shared" si="13"/>
        <v>$$$$</v>
      </c>
      <c r="E75" s="224"/>
      <c r="F75" s="225"/>
      <c r="G75" s="226"/>
      <c r="H75" s="227"/>
      <c r="I75" s="228"/>
      <c r="J75" s="228"/>
      <c r="K75" s="229"/>
      <c r="L75" s="230"/>
      <c r="M75" s="231"/>
      <c r="N75" s="232"/>
      <c r="O75" s="230"/>
      <c r="P75" s="231"/>
      <c r="Q75" s="232"/>
      <c r="R75" s="233"/>
      <c r="S75" s="234"/>
      <c r="T75" s="235"/>
      <c r="U75" s="233"/>
      <c r="V75" s="236"/>
      <c r="W75" s="234"/>
      <c r="X75" s="235"/>
      <c r="Y75" s="237"/>
      <c r="Z75" s="238"/>
    </row>
    <row r="76" spans="1:26" s="239" customFormat="1" ht="28.5" customHeight="1" x14ac:dyDescent="0.3">
      <c r="A76" s="222">
        <f t="shared" si="10"/>
        <v>0</v>
      </c>
      <c r="B76" s="223" t="b">
        <f t="shared" si="11"/>
        <v>1</v>
      </c>
      <c r="C76" s="222">
        <f t="shared" si="12"/>
        <v>0</v>
      </c>
      <c r="D76" s="205" t="str">
        <f t="shared" si="13"/>
        <v>$$$$</v>
      </c>
      <c r="E76" s="224"/>
      <c r="F76" s="225"/>
      <c r="G76" s="226"/>
      <c r="H76" s="227"/>
      <c r="I76" s="228"/>
      <c r="J76" s="228"/>
      <c r="K76" s="229"/>
      <c r="L76" s="230"/>
      <c r="M76" s="231"/>
      <c r="N76" s="232"/>
      <c r="O76" s="230"/>
      <c r="P76" s="231"/>
      <c r="Q76" s="232"/>
      <c r="R76" s="233"/>
      <c r="S76" s="234"/>
      <c r="T76" s="235"/>
      <c r="U76" s="233"/>
      <c r="V76" s="236"/>
      <c r="W76" s="234"/>
      <c r="X76" s="235"/>
      <c r="Y76" s="237"/>
      <c r="Z76" s="238"/>
    </row>
    <row r="77" spans="1:26" s="239" customFormat="1" ht="28.5" customHeight="1" x14ac:dyDescent="0.3">
      <c r="A77" s="222">
        <f t="shared" si="10"/>
        <v>0</v>
      </c>
      <c r="B77" s="223" t="b">
        <f t="shared" si="11"/>
        <v>1</v>
      </c>
      <c r="C77" s="222">
        <f t="shared" si="12"/>
        <v>0</v>
      </c>
      <c r="D77" s="205" t="str">
        <f t="shared" si="13"/>
        <v>$$$$</v>
      </c>
      <c r="E77" s="224"/>
      <c r="F77" s="225"/>
      <c r="G77" s="226"/>
      <c r="H77" s="227"/>
      <c r="I77" s="228"/>
      <c r="J77" s="228"/>
      <c r="K77" s="229"/>
      <c r="L77" s="230"/>
      <c r="M77" s="231"/>
      <c r="N77" s="232"/>
      <c r="O77" s="230"/>
      <c r="P77" s="231"/>
      <c r="Q77" s="232"/>
      <c r="R77" s="233"/>
      <c r="S77" s="234"/>
      <c r="T77" s="235"/>
      <c r="U77" s="233"/>
      <c r="V77" s="236"/>
      <c r="W77" s="234"/>
      <c r="X77" s="235"/>
      <c r="Y77" s="237"/>
      <c r="Z77" s="238"/>
    </row>
    <row r="78" spans="1:26" s="239" customFormat="1" ht="28.5" customHeight="1" x14ac:dyDescent="0.3">
      <c r="A78" s="222">
        <f t="shared" si="10"/>
        <v>0</v>
      </c>
      <c r="B78" s="223" t="b">
        <f t="shared" si="11"/>
        <v>1</v>
      </c>
      <c r="C78" s="222">
        <f t="shared" si="12"/>
        <v>0</v>
      </c>
      <c r="D78" s="205" t="str">
        <f t="shared" si="13"/>
        <v>$$$$</v>
      </c>
      <c r="E78" s="224"/>
      <c r="F78" s="225"/>
      <c r="G78" s="226"/>
      <c r="H78" s="227"/>
      <c r="I78" s="228"/>
      <c r="J78" s="228"/>
      <c r="K78" s="229"/>
      <c r="L78" s="230"/>
      <c r="M78" s="231"/>
      <c r="N78" s="232"/>
      <c r="O78" s="230"/>
      <c r="P78" s="231"/>
      <c r="Q78" s="232"/>
      <c r="R78" s="233"/>
      <c r="S78" s="234"/>
      <c r="T78" s="235"/>
      <c r="U78" s="233"/>
      <c r="V78" s="236"/>
      <c r="W78" s="234"/>
      <c r="X78" s="235"/>
      <c r="Y78" s="237"/>
      <c r="Z78" s="238"/>
    </row>
    <row r="79" spans="1:26" s="239" customFormat="1" ht="28.5" customHeight="1" x14ac:dyDescent="0.3">
      <c r="A79" s="222">
        <f t="shared" si="10"/>
        <v>0</v>
      </c>
      <c r="B79" s="223" t="b">
        <f t="shared" si="11"/>
        <v>1</v>
      </c>
      <c r="C79" s="222">
        <f t="shared" si="12"/>
        <v>0</v>
      </c>
      <c r="D79" s="205" t="str">
        <f t="shared" si="13"/>
        <v>$$$$</v>
      </c>
      <c r="E79" s="224"/>
      <c r="F79" s="225"/>
      <c r="G79" s="226"/>
      <c r="H79" s="227"/>
      <c r="I79" s="228"/>
      <c r="J79" s="228"/>
      <c r="K79" s="229"/>
      <c r="L79" s="230"/>
      <c r="M79" s="231"/>
      <c r="N79" s="232"/>
      <c r="O79" s="230"/>
      <c r="P79" s="231"/>
      <c r="Q79" s="232"/>
      <c r="R79" s="233"/>
      <c r="S79" s="234"/>
      <c r="T79" s="235"/>
      <c r="U79" s="233"/>
      <c r="V79" s="236"/>
      <c r="W79" s="234"/>
      <c r="X79" s="235"/>
      <c r="Y79" s="237"/>
      <c r="Z79" s="238"/>
    </row>
    <row r="80" spans="1:26" s="239" customFormat="1" ht="28.5" customHeight="1" x14ac:dyDescent="0.3">
      <c r="A80" s="222">
        <f t="shared" si="10"/>
        <v>0</v>
      </c>
      <c r="B80" s="223" t="b">
        <f t="shared" si="11"/>
        <v>1</v>
      </c>
      <c r="C80" s="222">
        <f t="shared" si="12"/>
        <v>0</v>
      </c>
      <c r="D80" s="205" t="str">
        <f t="shared" si="13"/>
        <v>$$$$</v>
      </c>
      <c r="E80" s="224"/>
      <c r="F80" s="225"/>
      <c r="G80" s="226"/>
      <c r="H80" s="227"/>
      <c r="I80" s="228"/>
      <c r="J80" s="228"/>
      <c r="K80" s="229"/>
      <c r="L80" s="230"/>
      <c r="M80" s="231"/>
      <c r="N80" s="232"/>
      <c r="O80" s="230"/>
      <c r="P80" s="231"/>
      <c r="Q80" s="232"/>
      <c r="R80" s="233"/>
      <c r="S80" s="234"/>
      <c r="T80" s="235"/>
      <c r="U80" s="233"/>
      <c r="V80" s="236"/>
      <c r="W80" s="234"/>
      <c r="X80" s="235"/>
      <c r="Y80" s="237"/>
      <c r="Z80" s="238"/>
    </row>
    <row r="81" spans="1:26" s="239" customFormat="1" ht="28.5" customHeight="1" x14ac:dyDescent="0.3">
      <c r="A81" s="222">
        <f t="shared" si="10"/>
        <v>0</v>
      </c>
      <c r="B81" s="223" t="b">
        <f t="shared" si="11"/>
        <v>1</v>
      </c>
      <c r="C81" s="222">
        <f t="shared" si="12"/>
        <v>0</v>
      </c>
      <c r="D81" s="205" t="str">
        <f t="shared" si="13"/>
        <v>$$$$</v>
      </c>
      <c r="E81" s="224"/>
      <c r="F81" s="225"/>
      <c r="G81" s="226"/>
      <c r="H81" s="227"/>
      <c r="I81" s="228"/>
      <c r="J81" s="228"/>
      <c r="K81" s="229"/>
      <c r="L81" s="230"/>
      <c r="M81" s="231"/>
      <c r="N81" s="232"/>
      <c r="O81" s="230"/>
      <c r="P81" s="231"/>
      <c r="Q81" s="232"/>
      <c r="R81" s="233"/>
      <c r="S81" s="234"/>
      <c r="T81" s="235"/>
      <c r="U81" s="233"/>
      <c r="V81" s="236"/>
      <c r="W81" s="234"/>
      <c r="X81" s="235"/>
      <c r="Y81" s="237"/>
      <c r="Z81" s="238"/>
    </row>
    <row r="82" spans="1:26" s="239" customFormat="1" ht="28.5" customHeight="1" x14ac:dyDescent="0.3">
      <c r="A82" s="222">
        <f t="shared" si="10"/>
        <v>0</v>
      </c>
      <c r="B82" s="223" t="b">
        <f t="shared" si="11"/>
        <v>1</v>
      </c>
      <c r="C82" s="222">
        <f t="shared" si="12"/>
        <v>0</v>
      </c>
      <c r="D82" s="205" t="str">
        <f t="shared" si="13"/>
        <v>$$$$</v>
      </c>
      <c r="E82" s="224"/>
      <c r="F82" s="225"/>
      <c r="G82" s="226"/>
      <c r="H82" s="227"/>
      <c r="I82" s="228"/>
      <c r="J82" s="228"/>
      <c r="K82" s="229"/>
      <c r="L82" s="230"/>
      <c r="M82" s="231"/>
      <c r="N82" s="232"/>
      <c r="O82" s="230"/>
      <c r="P82" s="231"/>
      <c r="Q82" s="232"/>
      <c r="R82" s="233"/>
      <c r="S82" s="234"/>
      <c r="T82" s="235"/>
      <c r="U82" s="233"/>
      <c r="V82" s="236"/>
      <c r="W82" s="234"/>
      <c r="X82" s="235"/>
      <c r="Y82" s="237"/>
      <c r="Z82" s="238"/>
    </row>
    <row r="83" spans="1:26" s="239" customFormat="1" ht="28.5" customHeight="1" x14ac:dyDescent="0.3">
      <c r="A83" s="222">
        <f t="shared" si="10"/>
        <v>0</v>
      </c>
      <c r="B83" s="223" t="b">
        <f t="shared" si="11"/>
        <v>1</v>
      </c>
      <c r="C83" s="222">
        <f t="shared" si="12"/>
        <v>0</v>
      </c>
      <c r="D83" s="205" t="str">
        <f t="shared" si="13"/>
        <v>$$$$</v>
      </c>
      <c r="E83" s="224"/>
      <c r="F83" s="225"/>
      <c r="G83" s="226"/>
      <c r="H83" s="227"/>
      <c r="I83" s="228"/>
      <c r="J83" s="228"/>
      <c r="K83" s="229"/>
      <c r="L83" s="230"/>
      <c r="M83" s="231"/>
      <c r="N83" s="232"/>
      <c r="O83" s="230"/>
      <c r="P83" s="231"/>
      <c r="Q83" s="232"/>
      <c r="R83" s="233"/>
      <c r="S83" s="234"/>
      <c r="T83" s="235"/>
      <c r="U83" s="233"/>
      <c r="V83" s="236"/>
      <c r="W83" s="234"/>
      <c r="X83" s="235"/>
      <c r="Y83" s="237"/>
      <c r="Z83" s="238"/>
    </row>
    <row r="84" spans="1:26" s="239" customFormat="1" ht="28.5" customHeight="1" x14ac:dyDescent="0.3">
      <c r="A84" s="222">
        <f t="shared" si="10"/>
        <v>0</v>
      </c>
      <c r="B84" s="223" t="b">
        <f t="shared" si="11"/>
        <v>1</v>
      </c>
      <c r="C84" s="222">
        <f t="shared" si="12"/>
        <v>0</v>
      </c>
      <c r="D84" s="205" t="str">
        <f t="shared" si="13"/>
        <v>$$$$</v>
      </c>
      <c r="E84" s="224"/>
      <c r="F84" s="225"/>
      <c r="G84" s="226"/>
      <c r="H84" s="227"/>
      <c r="I84" s="228"/>
      <c r="J84" s="228"/>
      <c r="K84" s="229"/>
      <c r="L84" s="230"/>
      <c r="M84" s="231"/>
      <c r="N84" s="232"/>
      <c r="O84" s="230"/>
      <c r="P84" s="231"/>
      <c r="Q84" s="232"/>
      <c r="R84" s="233"/>
      <c r="S84" s="234"/>
      <c r="T84" s="235"/>
      <c r="U84" s="233"/>
      <c r="V84" s="236"/>
      <c r="W84" s="234"/>
      <c r="X84" s="235"/>
      <c r="Y84" s="237"/>
      <c r="Z84" s="238"/>
    </row>
    <row r="85" spans="1:26" s="239" customFormat="1" ht="28.5" customHeight="1" x14ac:dyDescent="0.3">
      <c r="A85" s="222">
        <f t="shared" si="10"/>
        <v>0</v>
      </c>
      <c r="B85" s="223" t="b">
        <f t="shared" si="11"/>
        <v>1</v>
      </c>
      <c r="C85" s="222">
        <f t="shared" si="12"/>
        <v>0</v>
      </c>
      <c r="D85" s="205" t="str">
        <f t="shared" si="13"/>
        <v>$$$$</v>
      </c>
      <c r="E85" s="224"/>
      <c r="F85" s="225"/>
      <c r="G85" s="226"/>
      <c r="H85" s="227"/>
      <c r="I85" s="228"/>
      <c r="J85" s="228"/>
      <c r="K85" s="229"/>
      <c r="L85" s="230"/>
      <c r="M85" s="231"/>
      <c r="N85" s="232"/>
      <c r="O85" s="230"/>
      <c r="P85" s="231"/>
      <c r="Q85" s="232"/>
      <c r="R85" s="233"/>
      <c r="S85" s="234"/>
      <c r="T85" s="235"/>
      <c r="U85" s="233"/>
      <c r="V85" s="236"/>
      <c r="W85" s="234"/>
      <c r="X85" s="235"/>
      <c r="Y85" s="237"/>
      <c r="Z85" s="238"/>
    </row>
    <row r="86" spans="1:26" s="239" customFormat="1" ht="28.5" customHeight="1" x14ac:dyDescent="0.3">
      <c r="A86" s="222">
        <f t="shared" si="10"/>
        <v>0</v>
      </c>
      <c r="B86" s="223" t="b">
        <f t="shared" si="11"/>
        <v>1</v>
      </c>
      <c r="C86" s="222">
        <f t="shared" si="12"/>
        <v>0</v>
      </c>
      <c r="D86" s="205" t="str">
        <f t="shared" si="13"/>
        <v>$$$$</v>
      </c>
      <c r="E86" s="224"/>
      <c r="F86" s="225"/>
      <c r="G86" s="226"/>
      <c r="H86" s="227"/>
      <c r="I86" s="228"/>
      <c r="J86" s="228"/>
      <c r="K86" s="229"/>
      <c r="L86" s="230"/>
      <c r="M86" s="231"/>
      <c r="N86" s="232"/>
      <c r="O86" s="230"/>
      <c r="P86" s="231"/>
      <c r="Q86" s="232"/>
      <c r="R86" s="233"/>
      <c r="S86" s="234"/>
      <c r="T86" s="235"/>
      <c r="U86" s="233"/>
      <c r="V86" s="236"/>
      <c r="W86" s="234"/>
      <c r="X86" s="235"/>
      <c r="Y86" s="237"/>
      <c r="Z86" s="238"/>
    </row>
    <row r="87" spans="1:26" s="239" customFormat="1" ht="28.5" customHeight="1" x14ac:dyDescent="0.3">
      <c r="A87" s="222">
        <f t="shared" si="10"/>
        <v>0</v>
      </c>
      <c r="B87" s="223" t="b">
        <f t="shared" si="11"/>
        <v>1</v>
      </c>
      <c r="C87" s="222">
        <f t="shared" si="12"/>
        <v>0</v>
      </c>
      <c r="D87" s="205" t="str">
        <f t="shared" si="13"/>
        <v>$$$$</v>
      </c>
      <c r="E87" s="224"/>
      <c r="F87" s="225"/>
      <c r="G87" s="226"/>
      <c r="H87" s="227"/>
      <c r="I87" s="228"/>
      <c r="J87" s="228"/>
      <c r="K87" s="229"/>
      <c r="L87" s="230"/>
      <c r="M87" s="231"/>
      <c r="N87" s="232"/>
      <c r="O87" s="230"/>
      <c r="P87" s="231"/>
      <c r="Q87" s="232"/>
      <c r="R87" s="233"/>
      <c r="S87" s="234"/>
      <c r="T87" s="235"/>
      <c r="U87" s="233"/>
      <c r="V87" s="236"/>
      <c r="W87" s="234"/>
      <c r="X87" s="235"/>
      <c r="Y87" s="237"/>
      <c r="Z87" s="238"/>
    </row>
    <row r="88" spans="1:26" s="239" customFormat="1" ht="28.5" customHeight="1" x14ac:dyDescent="0.3">
      <c r="A88" s="222">
        <f t="shared" si="10"/>
        <v>0</v>
      </c>
      <c r="B88" s="223" t="b">
        <f t="shared" si="11"/>
        <v>1</v>
      </c>
      <c r="C88" s="222">
        <f t="shared" si="12"/>
        <v>0</v>
      </c>
      <c r="D88" s="205" t="str">
        <f t="shared" si="13"/>
        <v>$$$$</v>
      </c>
      <c r="E88" s="224"/>
      <c r="F88" s="225"/>
      <c r="G88" s="226"/>
      <c r="H88" s="227"/>
      <c r="I88" s="228"/>
      <c r="J88" s="228"/>
      <c r="K88" s="229"/>
      <c r="L88" s="230"/>
      <c r="M88" s="231"/>
      <c r="N88" s="232"/>
      <c r="O88" s="230"/>
      <c r="P88" s="231"/>
      <c r="Q88" s="232"/>
      <c r="R88" s="233"/>
      <c r="S88" s="234"/>
      <c r="T88" s="235"/>
      <c r="U88" s="233"/>
      <c r="V88" s="236"/>
      <c r="W88" s="234"/>
      <c r="X88" s="235"/>
      <c r="Y88" s="237"/>
      <c r="Z88" s="238"/>
    </row>
    <row r="89" spans="1:26" s="239" customFormat="1" ht="28.5" customHeight="1" x14ac:dyDescent="0.3">
      <c r="A89" s="222">
        <f t="shared" si="10"/>
        <v>0</v>
      </c>
      <c r="B89" s="223" t="b">
        <f t="shared" si="11"/>
        <v>1</v>
      </c>
      <c r="C89" s="222">
        <f t="shared" si="12"/>
        <v>0</v>
      </c>
      <c r="D89" s="205" t="str">
        <f t="shared" si="13"/>
        <v>$$$$</v>
      </c>
      <c r="E89" s="224"/>
      <c r="F89" s="225"/>
      <c r="G89" s="226"/>
      <c r="H89" s="227"/>
      <c r="I89" s="228"/>
      <c r="J89" s="228"/>
      <c r="K89" s="229"/>
      <c r="L89" s="230"/>
      <c r="M89" s="231"/>
      <c r="N89" s="232"/>
      <c r="O89" s="230"/>
      <c r="P89" s="231"/>
      <c r="Q89" s="232"/>
      <c r="R89" s="233"/>
      <c r="S89" s="234"/>
      <c r="T89" s="235"/>
      <c r="U89" s="233"/>
      <c r="V89" s="236"/>
      <c r="W89" s="234"/>
      <c r="X89" s="235"/>
      <c r="Y89" s="237"/>
      <c r="Z89" s="238"/>
    </row>
    <row r="90" spans="1:26" s="239" customFormat="1" ht="28.5" customHeight="1" x14ac:dyDescent="0.3">
      <c r="A90" s="222">
        <f t="shared" si="10"/>
        <v>0</v>
      </c>
      <c r="B90" s="223" t="b">
        <f t="shared" si="11"/>
        <v>1</v>
      </c>
      <c r="C90" s="222">
        <f t="shared" si="12"/>
        <v>0</v>
      </c>
      <c r="D90" s="205" t="str">
        <f t="shared" si="13"/>
        <v>$$$$</v>
      </c>
      <c r="E90" s="224"/>
      <c r="F90" s="225"/>
      <c r="G90" s="226"/>
      <c r="H90" s="227"/>
      <c r="I90" s="228"/>
      <c r="J90" s="228"/>
      <c r="K90" s="229"/>
      <c r="L90" s="230"/>
      <c r="M90" s="231"/>
      <c r="N90" s="232"/>
      <c r="O90" s="230"/>
      <c r="P90" s="231"/>
      <c r="Q90" s="232"/>
      <c r="R90" s="233"/>
      <c r="S90" s="234"/>
      <c r="T90" s="235"/>
      <c r="U90" s="233"/>
      <c r="V90" s="236"/>
      <c r="W90" s="234"/>
      <c r="X90" s="235"/>
      <c r="Y90" s="237"/>
      <c r="Z90" s="238"/>
    </row>
    <row r="91" spans="1:26" s="239" customFormat="1" ht="28.5" customHeight="1" x14ac:dyDescent="0.3">
      <c r="A91" s="222">
        <f t="shared" si="10"/>
        <v>0</v>
      </c>
      <c r="B91" s="223" t="b">
        <f t="shared" si="11"/>
        <v>1</v>
      </c>
      <c r="C91" s="222">
        <f t="shared" si="12"/>
        <v>0</v>
      </c>
      <c r="D91" s="205" t="str">
        <f t="shared" si="13"/>
        <v>$$$$</v>
      </c>
      <c r="E91" s="224"/>
      <c r="F91" s="225"/>
      <c r="G91" s="226"/>
      <c r="H91" s="227"/>
      <c r="I91" s="228"/>
      <c r="J91" s="228"/>
      <c r="K91" s="229"/>
      <c r="L91" s="230"/>
      <c r="M91" s="231"/>
      <c r="N91" s="232"/>
      <c r="O91" s="230"/>
      <c r="P91" s="231"/>
      <c r="Q91" s="232"/>
      <c r="R91" s="233"/>
      <c r="S91" s="234"/>
      <c r="T91" s="235"/>
      <c r="U91" s="233"/>
      <c r="V91" s="236"/>
      <c r="W91" s="234"/>
      <c r="X91" s="235"/>
      <c r="Y91" s="237"/>
      <c r="Z91" s="238"/>
    </row>
    <row r="92" spans="1:26" s="239" customFormat="1" ht="28.5" customHeight="1" x14ac:dyDescent="0.3">
      <c r="A92" s="222">
        <f t="shared" si="10"/>
        <v>0</v>
      </c>
      <c r="B92" s="223" t="b">
        <f t="shared" si="11"/>
        <v>1</v>
      </c>
      <c r="C92" s="222">
        <f t="shared" si="12"/>
        <v>0</v>
      </c>
      <c r="D92" s="205" t="str">
        <f t="shared" si="13"/>
        <v>$$$$</v>
      </c>
      <c r="E92" s="224"/>
      <c r="F92" s="225"/>
      <c r="G92" s="226"/>
      <c r="H92" s="227"/>
      <c r="I92" s="228"/>
      <c r="J92" s="228"/>
      <c r="K92" s="229"/>
      <c r="L92" s="230"/>
      <c r="M92" s="231"/>
      <c r="N92" s="232"/>
      <c r="O92" s="230"/>
      <c r="P92" s="231"/>
      <c r="Q92" s="232"/>
      <c r="R92" s="233"/>
      <c r="S92" s="234"/>
      <c r="T92" s="235"/>
      <c r="U92" s="233"/>
      <c r="V92" s="236"/>
      <c r="W92" s="234"/>
      <c r="X92" s="235"/>
      <c r="Y92" s="237"/>
      <c r="Z92" s="238"/>
    </row>
    <row r="93" spans="1:26" s="239" customFormat="1" ht="28.5" customHeight="1" x14ac:dyDescent="0.3">
      <c r="A93" s="222">
        <f t="shared" si="10"/>
        <v>0</v>
      </c>
      <c r="B93" s="223" t="b">
        <f t="shared" si="11"/>
        <v>1</v>
      </c>
      <c r="C93" s="222">
        <f t="shared" si="12"/>
        <v>0</v>
      </c>
      <c r="D93" s="205" t="str">
        <f t="shared" si="13"/>
        <v>$$$$</v>
      </c>
      <c r="E93" s="224"/>
      <c r="F93" s="225"/>
      <c r="G93" s="226"/>
      <c r="H93" s="227"/>
      <c r="I93" s="228"/>
      <c r="J93" s="228"/>
      <c r="K93" s="229"/>
      <c r="L93" s="230"/>
      <c r="M93" s="231"/>
      <c r="N93" s="232"/>
      <c r="O93" s="230"/>
      <c r="P93" s="231"/>
      <c r="Q93" s="232"/>
      <c r="R93" s="233"/>
      <c r="S93" s="234"/>
      <c r="T93" s="235"/>
      <c r="U93" s="233"/>
      <c r="V93" s="236"/>
      <c r="W93" s="234"/>
      <c r="X93" s="235"/>
      <c r="Y93" s="237"/>
      <c r="Z93" s="238"/>
    </row>
    <row r="94" spans="1:26" s="239" customFormat="1" ht="28.5" customHeight="1" x14ac:dyDescent="0.3">
      <c r="A94" s="222">
        <f t="shared" si="10"/>
        <v>0</v>
      </c>
      <c r="B94" s="223" t="b">
        <f t="shared" si="11"/>
        <v>1</v>
      </c>
      <c r="C94" s="222">
        <f t="shared" si="12"/>
        <v>0</v>
      </c>
      <c r="D94" s="205" t="str">
        <f t="shared" si="13"/>
        <v>$$$$</v>
      </c>
      <c r="E94" s="224"/>
      <c r="F94" s="225"/>
      <c r="G94" s="226"/>
      <c r="H94" s="227"/>
      <c r="I94" s="228"/>
      <c r="J94" s="228"/>
      <c r="K94" s="229"/>
      <c r="L94" s="230"/>
      <c r="M94" s="231"/>
      <c r="N94" s="232"/>
      <c r="O94" s="230"/>
      <c r="P94" s="231"/>
      <c r="Q94" s="232"/>
      <c r="R94" s="233"/>
      <c r="S94" s="234"/>
      <c r="T94" s="235"/>
      <c r="U94" s="233"/>
      <c r="V94" s="236"/>
      <c r="W94" s="234"/>
      <c r="X94" s="235"/>
      <c r="Y94" s="237"/>
      <c r="Z94" s="238"/>
    </row>
    <row r="95" spans="1:26" s="239" customFormat="1" ht="28.5" customHeight="1" x14ac:dyDescent="0.3">
      <c r="A95" s="222">
        <f t="shared" si="10"/>
        <v>0</v>
      </c>
      <c r="B95" s="223" t="b">
        <f t="shared" si="11"/>
        <v>1</v>
      </c>
      <c r="C95" s="222">
        <f t="shared" si="12"/>
        <v>0</v>
      </c>
      <c r="D95" s="205" t="str">
        <f t="shared" si="13"/>
        <v>$$$$</v>
      </c>
      <c r="E95" s="224"/>
      <c r="F95" s="225"/>
      <c r="G95" s="226"/>
      <c r="H95" s="227"/>
      <c r="I95" s="228"/>
      <c r="J95" s="228"/>
      <c r="K95" s="229"/>
      <c r="L95" s="230"/>
      <c r="M95" s="231"/>
      <c r="N95" s="232"/>
      <c r="O95" s="230"/>
      <c r="P95" s="231"/>
      <c r="Q95" s="232"/>
      <c r="R95" s="233"/>
      <c r="S95" s="234"/>
      <c r="T95" s="235"/>
      <c r="U95" s="233"/>
      <c r="V95" s="236"/>
      <c r="W95" s="234"/>
      <c r="X95" s="235"/>
      <c r="Y95" s="237"/>
      <c r="Z95" s="238"/>
    </row>
    <row r="96" spans="1:26" s="239" customFormat="1" ht="28.5" customHeight="1" x14ac:dyDescent="0.3">
      <c r="A96" s="222">
        <f t="shared" si="10"/>
        <v>0</v>
      </c>
      <c r="B96" s="223" t="b">
        <f t="shared" si="11"/>
        <v>1</v>
      </c>
      <c r="C96" s="222">
        <f t="shared" si="12"/>
        <v>0</v>
      </c>
      <c r="D96" s="205" t="str">
        <f t="shared" si="13"/>
        <v>$$$$</v>
      </c>
      <c r="E96" s="224"/>
      <c r="F96" s="225"/>
      <c r="G96" s="226"/>
      <c r="H96" s="227"/>
      <c r="I96" s="228"/>
      <c r="J96" s="228"/>
      <c r="K96" s="229"/>
      <c r="L96" s="230"/>
      <c r="M96" s="231"/>
      <c r="N96" s="232"/>
      <c r="O96" s="230"/>
      <c r="P96" s="231"/>
      <c r="Q96" s="232"/>
      <c r="R96" s="233"/>
      <c r="S96" s="234"/>
      <c r="T96" s="235"/>
      <c r="U96" s="233"/>
      <c r="V96" s="236"/>
      <c r="W96" s="234"/>
      <c r="X96" s="235"/>
      <c r="Y96" s="237"/>
      <c r="Z96" s="238"/>
    </row>
    <row r="97" spans="1:26" s="239" customFormat="1" ht="28.5" customHeight="1" x14ac:dyDescent="0.3">
      <c r="A97" s="222">
        <f t="shared" si="10"/>
        <v>0</v>
      </c>
      <c r="B97" s="223" t="b">
        <f t="shared" si="11"/>
        <v>1</v>
      </c>
      <c r="C97" s="222">
        <f t="shared" si="12"/>
        <v>0</v>
      </c>
      <c r="D97" s="205" t="str">
        <f t="shared" si="13"/>
        <v>$$$$</v>
      </c>
      <c r="E97" s="224"/>
      <c r="F97" s="225"/>
      <c r="G97" s="226"/>
      <c r="H97" s="227"/>
      <c r="I97" s="228"/>
      <c r="J97" s="228"/>
      <c r="K97" s="229"/>
      <c r="L97" s="230"/>
      <c r="M97" s="231"/>
      <c r="N97" s="232"/>
      <c r="O97" s="230"/>
      <c r="P97" s="231"/>
      <c r="Q97" s="232"/>
      <c r="R97" s="233"/>
      <c r="S97" s="234"/>
      <c r="T97" s="235"/>
      <c r="U97" s="233"/>
      <c r="V97" s="236"/>
      <c r="W97" s="234"/>
      <c r="X97" s="235"/>
      <c r="Y97" s="237"/>
      <c r="Z97" s="238"/>
    </row>
    <row r="98" spans="1:26" s="239" customFormat="1" ht="28.5" customHeight="1" x14ac:dyDescent="0.3">
      <c r="A98" s="222">
        <f t="shared" si="10"/>
        <v>0</v>
      </c>
      <c r="B98" s="223" t="b">
        <f t="shared" si="11"/>
        <v>1</v>
      </c>
      <c r="C98" s="222">
        <f t="shared" si="12"/>
        <v>0</v>
      </c>
      <c r="D98" s="205" t="str">
        <f t="shared" si="13"/>
        <v>$$$$</v>
      </c>
      <c r="E98" s="224"/>
      <c r="F98" s="225"/>
      <c r="G98" s="226"/>
      <c r="H98" s="227"/>
      <c r="I98" s="228"/>
      <c r="J98" s="228"/>
      <c r="K98" s="229"/>
      <c r="L98" s="230"/>
      <c r="M98" s="231"/>
      <c r="N98" s="232"/>
      <c r="O98" s="230"/>
      <c r="P98" s="231"/>
      <c r="Q98" s="232"/>
      <c r="R98" s="233"/>
      <c r="S98" s="234"/>
      <c r="T98" s="235"/>
      <c r="U98" s="233"/>
      <c r="V98" s="236"/>
      <c r="W98" s="234"/>
      <c r="X98" s="235"/>
      <c r="Y98" s="237"/>
      <c r="Z98" s="238"/>
    </row>
    <row r="99" spans="1:26" s="239" customFormat="1" ht="28.5" customHeight="1" x14ac:dyDescent="0.3">
      <c r="A99" s="222">
        <f t="shared" si="10"/>
        <v>0</v>
      </c>
      <c r="B99" s="223" t="b">
        <f t="shared" si="11"/>
        <v>1</v>
      </c>
      <c r="C99" s="222">
        <f t="shared" si="12"/>
        <v>0</v>
      </c>
      <c r="D99" s="205" t="str">
        <f t="shared" si="13"/>
        <v>$$$$</v>
      </c>
      <c r="E99" s="224"/>
      <c r="F99" s="225"/>
      <c r="G99" s="226"/>
      <c r="H99" s="227"/>
      <c r="I99" s="228"/>
      <c r="J99" s="228"/>
      <c r="K99" s="229"/>
      <c r="L99" s="230"/>
      <c r="M99" s="231"/>
      <c r="N99" s="232"/>
      <c r="O99" s="230"/>
      <c r="P99" s="231"/>
      <c r="Q99" s="232"/>
      <c r="R99" s="233"/>
      <c r="S99" s="234"/>
      <c r="T99" s="235"/>
      <c r="U99" s="233"/>
      <c r="V99" s="236"/>
      <c r="W99" s="234"/>
      <c r="X99" s="235"/>
      <c r="Y99" s="237"/>
      <c r="Z99" s="238"/>
    </row>
    <row r="100" spans="1:26" s="239" customFormat="1" ht="28.5" customHeight="1" x14ac:dyDescent="0.3">
      <c r="A100" s="222">
        <f t="shared" si="10"/>
        <v>0</v>
      </c>
      <c r="B100" s="223" t="b">
        <f t="shared" si="11"/>
        <v>1</v>
      </c>
      <c r="C100" s="222">
        <f t="shared" si="12"/>
        <v>0</v>
      </c>
      <c r="D100" s="205" t="str">
        <f t="shared" si="13"/>
        <v>$$$$</v>
      </c>
      <c r="E100" s="224"/>
      <c r="F100" s="225"/>
      <c r="G100" s="226"/>
      <c r="H100" s="227"/>
      <c r="I100" s="228"/>
      <c r="J100" s="228"/>
      <c r="K100" s="229"/>
      <c r="L100" s="230"/>
      <c r="M100" s="231"/>
      <c r="N100" s="232"/>
      <c r="O100" s="230"/>
      <c r="P100" s="231"/>
      <c r="Q100" s="232"/>
      <c r="R100" s="233"/>
      <c r="S100" s="234"/>
      <c r="T100" s="235"/>
      <c r="U100" s="233"/>
      <c r="V100" s="236"/>
      <c r="W100" s="234"/>
      <c r="X100" s="235"/>
      <c r="Y100" s="237"/>
      <c r="Z100" s="238"/>
    </row>
    <row r="101" spans="1:26" s="239" customFormat="1" ht="28.5" customHeight="1" x14ac:dyDescent="0.3">
      <c r="A101" s="222">
        <f t="shared" si="10"/>
        <v>0</v>
      </c>
      <c r="B101" s="223" t="b">
        <f t="shared" si="11"/>
        <v>1</v>
      </c>
      <c r="C101" s="222">
        <f t="shared" si="12"/>
        <v>0</v>
      </c>
      <c r="D101" s="205" t="str">
        <f t="shared" si="13"/>
        <v>$$$$</v>
      </c>
      <c r="E101" s="224"/>
      <c r="F101" s="225"/>
      <c r="G101" s="226"/>
      <c r="H101" s="227"/>
      <c r="I101" s="228"/>
      <c r="J101" s="228"/>
      <c r="K101" s="229"/>
      <c r="L101" s="230"/>
      <c r="M101" s="231"/>
      <c r="N101" s="232"/>
      <c r="O101" s="230"/>
      <c r="P101" s="231"/>
      <c r="Q101" s="232"/>
      <c r="R101" s="233"/>
      <c r="S101" s="234"/>
      <c r="T101" s="235"/>
      <c r="U101" s="233"/>
      <c r="V101" s="236"/>
      <c r="W101" s="234"/>
      <c r="X101" s="235"/>
      <c r="Y101" s="237"/>
      <c r="Z101" s="238"/>
    </row>
    <row r="102" spans="1:26" s="239" customFormat="1" ht="28.5" customHeight="1" x14ac:dyDescent="0.3">
      <c r="A102" s="222">
        <f t="shared" si="10"/>
        <v>0</v>
      </c>
      <c r="B102" s="223" t="b">
        <f t="shared" si="11"/>
        <v>1</v>
      </c>
      <c r="C102" s="222">
        <f t="shared" si="12"/>
        <v>0</v>
      </c>
      <c r="D102" s="205" t="str">
        <f t="shared" si="13"/>
        <v>$$$$</v>
      </c>
      <c r="E102" s="224"/>
      <c r="F102" s="225"/>
      <c r="G102" s="226"/>
      <c r="H102" s="227"/>
      <c r="I102" s="228"/>
      <c r="J102" s="228"/>
      <c r="K102" s="229"/>
      <c r="L102" s="230"/>
      <c r="M102" s="231"/>
      <c r="N102" s="232"/>
      <c r="O102" s="230"/>
      <c r="P102" s="231"/>
      <c r="Q102" s="232"/>
      <c r="R102" s="233"/>
      <c r="S102" s="234"/>
      <c r="T102" s="235"/>
      <c r="U102" s="233"/>
      <c r="V102" s="236"/>
      <c r="W102" s="234"/>
      <c r="X102" s="235"/>
      <c r="Y102" s="237"/>
      <c r="Z102" s="238"/>
    </row>
    <row r="103" spans="1:26" s="239" customFormat="1" ht="28.5" customHeight="1" x14ac:dyDescent="0.3">
      <c r="A103" s="222">
        <f t="shared" ref="A103:A159" si="14">IF(B103,0,MATCH(H103,ВидыНагр,0))</f>
        <v>0</v>
      </c>
      <c r="B103" s="223" t="b">
        <f t="shared" ref="B103:B159" si="15">(COUNTIF(КлючВесна,D103)&lt;&gt;1)</f>
        <v>1</v>
      </c>
      <c r="C103" s="222">
        <f t="shared" ref="C103:C159" si="16">IF(COUNTA(E103:K103,Z103)&gt;0,1,0)+IF(COUNTA(L103:Y103)&gt;0,2,0)</f>
        <v>0</v>
      </c>
      <c r="D103" s="205" t="str">
        <f t="shared" si="13"/>
        <v>$$$$</v>
      </c>
      <c r="E103" s="224"/>
      <c r="F103" s="225"/>
      <c r="G103" s="226"/>
      <c r="H103" s="227"/>
      <c r="I103" s="228"/>
      <c r="J103" s="228"/>
      <c r="K103" s="229"/>
      <c r="L103" s="230"/>
      <c r="M103" s="231"/>
      <c r="N103" s="232"/>
      <c r="O103" s="230"/>
      <c r="P103" s="231"/>
      <c r="Q103" s="232"/>
      <c r="R103" s="233"/>
      <c r="S103" s="234"/>
      <c r="T103" s="235"/>
      <c r="U103" s="233"/>
      <c r="V103" s="236"/>
      <c r="W103" s="234"/>
      <c r="X103" s="235"/>
      <c r="Y103" s="237"/>
      <c r="Z103" s="238"/>
    </row>
    <row r="104" spans="1:26" s="239" customFormat="1" ht="28.5" customHeight="1" x14ac:dyDescent="0.3">
      <c r="A104" s="222">
        <f t="shared" si="14"/>
        <v>0</v>
      </c>
      <c r="B104" s="223" t="b">
        <f t="shared" si="15"/>
        <v>1</v>
      </c>
      <c r="C104" s="222">
        <f t="shared" si="16"/>
        <v>0</v>
      </c>
      <c r="D104" s="205" t="str">
        <f t="shared" si="13"/>
        <v>$$$$</v>
      </c>
      <c r="E104" s="224"/>
      <c r="F104" s="225"/>
      <c r="G104" s="226"/>
      <c r="H104" s="227"/>
      <c r="I104" s="228"/>
      <c r="J104" s="228"/>
      <c r="K104" s="229"/>
      <c r="L104" s="230"/>
      <c r="M104" s="231"/>
      <c r="N104" s="232"/>
      <c r="O104" s="230"/>
      <c r="P104" s="231"/>
      <c r="Q104" s="232"/>
      <c r="R104" s="233"/>
      <c r="S104" s="234"/>
      <c r="T104" s="235"/>
      <c r="U104" s="233"/>
      <c r="V104" s="236"/>
      <c r="W104" s="234"/>
      <c r="X104" s="235"/>
      <c r="Y104" s="237"/>
      <c r="Z104" s="238"/>
    </row>
    <row r="105" spans="1:26" s="239" customFormat="1" ht="28.5" customHeight="1" x14ac:dyDescent="0.3">
      <c r="A105" s="222">
        <f t="shared" si="14"/>
        <v>0</v>
      </c>
      <c r="B105" s="223" t="b">
        <f t="shared" si="15"/>
        <v>1</v>
      </c>
      <c r="C105" s="222">
        <f t="shared" si="16"/>
        <v>0</v>
      </c>
      <c r="D105" s="205" t="str">
        <f t="shared" si="13"/>
        <v>$$$$</v>
      </c>
      <c r="E105" s="224"/>
      <c r="F105" s="225"/>
      <c r="G105" s="226"/>
      <c r="H105" s="227"/>
      <c r="I105" s="228"/>
      <c r="J105" s="228"/>
      <c r="K105" s="229"/>
      <c r="L105" s="230"/>
      <c r="M105" s="231"/>
      <c r="N105" s="232"/>
      <c r="O105" s="230"/>
      <c r="P105" s="231"/>
      <c r="Q105" s="232"/>
      <c r="R105" s="233"/>
      <c r="S105" s="234"/>
      <c r="T105" s="235"/>
      <c r="U105" s="233"/>
      <c r="V105" s="236"/>
      <c r="W105" s="234"/>
      <c r="X105" s="235"/>
      <c r="Y105" s="237"/>
      <c r="Z105" s="238"/>
    </row>
    <row r="106" spans="1:26" s="239" customFormat="1" ht="28.5" customHeight="1" x14ac:dyDescent="0.3">
      <c r="A106" s="222">
        <f t="shared" si="14"/>
        <v>0</v>
      </c>
      <c r="B106" s="223" t="b">
        <f t="shared" si="15"/>
        <v>1</v>
      </c>
      <c r="C106" s="222">
        <f t="shared" si="16"/>
        <v>0</v>
      </c>
      <c r="D106" s="205" t="str">
        <f t="shared" si="13"/>
        <v>$$$$</v>
      </c>
      <c r="E106" s="224"/>
      <c r="F106" s="225"/>
      <c r="G106" s="226"/>
      <c r="H106" s="227"/>
      <c r="I106" s="228"/>
      <c r="J106" s="228"/>
      <c r="K106" s="229"/>
      <c r="L106" s="230"/>
      <c r="M106" s="231"/>
      <c r="N106" s="232"/>
      <c r="O106" s="230"/>
      <c r="P106" s="231"/>
      <c r="Q106" s="232"/>
      <c r="R106" s="233"/>
      <c r="S106" s="234"/>
      <c r="T106" s="235"/>
      <c r="U106" s="233"/>
      <c r="V106" s="236"/>
      <c r="W106" s="234"/>
      <c r="X106" s="235"/>
      <c r="Y106" s="237"/>
      <c r="Z106" s="238"/>
    </row>
    <row r="107" spans="1:26" s="239" customFormat="1" ht="28.5" customHeight="1" x14ac:dyDescent="0.3">
      <c r="A107" s="222">
        <f>IF(B107,0,MATCH(H107,ВидыНагр,0))</f>
        <v>0</v>
      </c>
      <c r="B107" s="223" t="b">
        <f>(COUNTIF(КлючВесна,D107)&lt;&gt;1)</f>
        <v>1</v>
      </c>
      <c r="C107" s="222">
        <f t="shared" si="16"/>
        <v>0</v>
      </c>
      <c r="D107" s="205" t="str">
        <f>CONCATENATE("$",TRIM(F107),"$",TRIM(G107),"$",H107,"$")</f>
        <v>$$$$</v>
      </c>
      <c r="E107" s="224"/>
      <c r="F107" s="225"/>
      <c r="G107" s="226"/>
      <c r="H107" s="227"/>
      <c r="I107" s="228"/>
      <c r="J107" s="228"/>
      <c r="K107" s="229"/>
      <c r="L107" s="230"/>
      <c r="M107" s="231"/>
      <c r="N107" s="232"/>
      <c r="O107" s="230"/>
      <c r="P107" s="231"/>
      <c r="Q107" s="232"/>
      <c r="R107" s="233"/>
      <c r="S107" s="234"/>
      <c r="T107" s="235"/>
      <c r="U107" s="233"/>
      <c r="V107" s="236"/>
      <c r="W107" s="234"/>
      <c r="X107" s="235"/>
      <c r="Y107" s="237"/>
      <c r="Z107" s="238"/>
    </row>
    <row r="108" spans="1:26" s="239" customFormat="1" ht="28.5" customHeight="1" x14ac:dyDescent="0.3">
      <c r="A108" s="222">
        <f>IF(B108,0,MATCH(H108,ВидыНагр,0))</f>
        <v>0</v>
      </c>
      <c r="B108" s="223" t="b">
        <f>(COUNTIF(КлючВесна,D108)&lt;&gt;1)</f>
        <v>1</v>
      </c>
      <c r="C108" s="222">
        <f t="shared" si="16"/>
        <v>0</v>
      </c>
      <c r="D108" s="205" t="str">
        <f>CONCATENATE("$",TRIM(F108),"$",TRIM(G108),"$",H108,"$")</f>
        <v>$$$$</v>
      </c>
      <c r="E108" s="224"/>
      <c r="F108" s="225"/>
      <c r="G108" s="226"/>
      <c r="H108" s="227"/>
      <c r="I108" s="228"/>
      <c r="J108" s="228"/>
      <c r="K108" s="229"/>
      <c r="L108" s="230"/>
      <c r="M108" s="231"/>
      <c r="N108" s="232"/>
      <c r="O108" s="230"/>
      <c r="P108" s="231"/>
      <c r="Q108" s="232"/>
      <c r="R108" s="233"/>
      <c r="S108" s="234"/>
      <c r="T108" s="235"/>
      <c r="U108" s="233"/>
      <c r="V108" s="236"/>
      <c r="W108" s="234"/>
      <c r="X108" s="235"/>
      <c r="Y108" s="237"/>
      <c r="Z108" s="238"/>
    </row>
    <row r="109" spans="1:26" s="239" customFormat="1" ht="28.5" customHeight="1" x14ac:dyDescent="0.3">
      <c r="A109" s="222">
        <f t="shared" si="14"/>
        <v>0</v>
      </c>
      <c r="B109" s="223" t="b">
        <f t="shared" si="15"/>
        <v>1</v>
      </c>
      <c r="C109" s="222">
        <f t="shared" si="16"/>
        <v>0</v>
      </c>
      <c r="D109" s="205" t="str">
        <f t="shared" si="13"/>
        <v>$$$$</v>
      </c>
      <c r="E109" s="224"/>
      <c r="F109" s="225"/>
      <c r="G109" s="226"/>
      <c r="H109" s="227"/>
      <c r="I109" s="228"/>
      <c r="J109" s="228"/>
      <c r="K109" s="229"/>
      <c r="L109" s="230"/>
      <c r="M109" s="231"/>
      <c r="N109" s="232"/>
      <c r="O109" s="230"/>
      <c r="P109" s="231"/>
      <c r="Q109" s="232"/>
      <c r="R109" s="233"/>
      <c r="S109" s="234"/>
      <c r="T109" s="235"/>
      <c r="U109" s="233"/>
      <c r="V109" s="236"/>
      <c r="W109" s="234"/>
      <c r="X109" s="235"/>
      <c r="Y109" s="237"/>
      <c r="Z109" s="238"/>
    </row>
    <row r="110" spans="1:26" s="239" customFormat="1" ht="28.5" customHeight="1" x14ac:dyDescent="0.3">
      <c r="A110" s="222">
        <f t="shared" si="14"/>
        <v>0</v>
      </c>
      <c r="B110" s="223" t="b">
        <f t="shared" si="15"/>
        <v>1</v>
      </c>
      <c r="C110" s="222">
        <f t="shared" si="16"/>
        <v>0</v>
      </c>
      <c r="D110" s="205" t="str">
        <f t="shared" si="13"/>
        <v>$$$$</v>
      </c>
      <c r="E110" s="224"/>
      <c r="F110" s="225"/>
      <c r="G110" s="226"/>
      <c r="H110" s="227"/>
      <c r="I110" s="228"/>
      <c r="J110" s="228"/>
      <c r="K110" s="229"/>
      <c r="L110" s="230"/>
      <c r="M110" s="231"/>
      <c r="N110" s="232"/>
      <c r="O110" s="230"/>
      <c r="P110" s="231"/>
      <c r="Q110" s="232"/>
      <c r="R110" s="233"/>
      <c r="S110" s="234"/>
      <c r="T110" s="235"/>
      <c r="U110" s="233"/>
      <c r="V110" s="236"/>
      <c r="W110" s="234"/>
      <c r="X110" s="235"/>
      <c r="Y110" s="237"/>
      <c r="Z110" s="238"/>
    </row>
    <row r="111" spans="1:26" s="239" customFormat="1" ht="28.5" customHeight="1" x14ac:dyDescent="0.3">
      <c r="A111" s="222">
        <f t="shared" si="14"/>
        <v>0</v>
      </c>
      <c r="B111" s="223" t="b">
        <f t="shared" si="15"/>
        <v>1</v>
      </c>
      <c r="C111" s="222">
        <f t="shared" si="16"/>
        <v>0</v>
      </c>
      <c r="D111" s="205" t="str">
        <f t="shared" si="13"/>
        <v>$$$$</v>
      </c>
      <c r="E111" s="224"/>
      <c r="F111" s="225"/>
      <c r="G111" s="226"/>
      <c r="H111" s="227"/>
      <c r="I111" s="228"/>
      <c r="J111" s="228"/>
      <c r="K111" s="229"/>
      <c r="L111" s="230"/>
      <c r="M111" s="231"/>
      <c r="N111" s="232"/>
      <c r="O111" s="230"/>
      <c r="P111" s="231"/>
      <c r="Q111" s="232"/>
      <c r="R111" s="233"/>
      <c r="S111" s="234"/>
      <c r="T111" s="235"/>
      <c r="U111" s="233"/>
      <c r="V111" s="236"/>
      <c r="W111" s="234"/>
      <c r="X111" s="235"/>
      <c r="Y111" s="237"/>
      <c r="Z111" s="238"/>
    </row>
    <row r="112" spans="1:26" s="239" customFormat="1" ht="28.5" customHeight="1" x14ac:dyDescent="0.3">
      <c r="A112" s="222">
        <f t="shared" si="14"/>
        <v>0</v>
      </c>
      <c r="B112" s="223" t="b">
        <f t="shared" si="15"/>
        <v>1</v>
      </c>
      <c r="C112" s="222">
        <f t="shared" si="16"/>
        <v>0</v>
      </c>
      <c r="D112" s="205" t="str">
        <f t="shared" si="13"/>
        <v>$$$$</v>
      </c>
      <c r="E112" s="224"/>
      <c r="F112" s="225"/>
      <c r="G112" s="226"/>
      <c r="H112" s="227"/>
      <c r="I112" s="228"/>
      <c r="J112" s="228"/>
      <c r="K112" s="229"/>
      <c r="L112" s="230"/>
      <c r="M112" s="231"/>
      <c r="N112" s="232"/>
      <c r="O112" s="230"/>
      <c r="P112" s="231"/>
      <c r="Q112" s="232"/>
      <c r="R112" s="233"/>
      <c r="S112" s="234"/>
      <c r="T112" s="235"/>
      <c r="U112" s="233"/>
      <c r="V112" s="236"/>
      <c r="W112" s="234"/>
      <c r="X112" s="235"/>
      <c r="Y112" s="237"/>
      <c r="Z112" s="238"/>
    </row>
    <row r="113" spans="1:26" s="239" customFormat="1" ht="28.5" customHeight="1" x14ac:dyDescent="0.3">
      <c r="A113" s="222">
        <f t="shared" si="14"/>
        <v>0</v>
      </c>
      <c r="B113" s="223" t="b">
        <f t="shared" si="15"/>
        <v>1</v>
      </c>
      <c r="C113" s="222">
        <f t="shared" si="16"/>
        <v>0</v>
      </c>
      <c r="D113" s="205" t="str">
        <f t="shared" si="13"/>
        <v>$$$$</v>
      </c>
      <c r="E113" s="224"/>
      <c r="F113" s="225"/>
      <c r="G113" s="226"/>
      <c r="H113" s="227"/>
      <c r="I113" s="228"/>
      <c r="J113" s="228"/>
      <c r="K113" s="229"/>
      <c r="L113" s="230"/>
      <c r="M113" s="231"/>
      <c r="N113" s="232"/>
      <c r="O113" s="230"/>
      <c r="P113" s="231"/>
      <c r="Q113" s="232"/>
      <c r="R113" s="233"/>
      <c r="S113" s="234"/>
      <c r="T113" s="235"/>
      <c r="U113" s="233"/>
      <c r="V113" s="236"/>
      <c r="W113" s="234"/>
      <c r="X113" s="235"/>
      <c r="Y113" s="237"/>
      <c r="Z113" s="238"/>
    </row>
    <row r="114" spans="1:26" s="239" customFormat="1" ht="28.5" customHeight="1" x14ac:dyDescent="0.3">
      <c r="A114" s="222">
        <f t="shared" si="14"/>
        <v>0</v>
      </c>
      <c r="B114" s="223" t="b">
        <f t="shared" si="15"/>
        <v>1</v>
      </c>
      <c r="C114" s="222">
        <f t="shared" si="16"/>
        <v>0</v>
      </c>
      <c r="D114" s="205" t="str">
        <f t="shared" si="13"/>
        <v>$$$$</v>
      </c>
      <c r="E114" s="224"/>
      <c r="F114" s="225"/>
      <c r="G114" s="226"/>
      <c r="H114" s="227"/>
      <c r="I114" s="228"/>
      <c r="J114" s="228"/>
      <c r="K114" s="229"/>
      <c r="L114" s="230"/>
      <c r="M114" s="231"/>
      <c r="N114" s="232"/>
      <c r="O114" s="230"/>
      <c r="P114" s="231"/>
      <c r="Q114" s="232"/>
      <c r="R114" s="233"/>
      <c r="S114" s="234"/>
      <c r="T114" s="235"/>
      <c r="U114" s="233"/>
      <c r="V114" s="236"/>
      <c r="W114" s="234"/>
      <c r="X114" s="235"/>
      <c r="Y114" s="237"/>
      <c r="Z114" s="238"/>
    </row>
    <row r="115" spans="1:26" s="239" customFormat="1" ht="28.5" customHeight="1" x14ac:dyDescent="0.3">
      <c r="A115" s="222">
        <f t="shared" si="14"/>
        <v>0</v>
      </c>
      <c r="B115" s="223" t="b">
        <f t="shared" si="15"/>
        <v>1</v>
      </c>
      <c r="C115" s="222">
        <f t="shared" si="16"/>
        <v>0</v>
      </c>
      <c r="D115" s="205" t="str">
        <f t="shared" si="13"/>
        <v>$$$$</v>
      </c>
      <c r="E115" s="224"/>
      <c r="F115" s="225"/>
      <c r="G115" s="226"/>
      <c r="H115" s="227"/>
      <c r="I115" s="228"/>
      <c r="J115" s="228"/>
      <c r="K115" s="229"/>
      <c r="L115" s="230"/>
      <c r="M115" s="231"/>
      <c r="N115" s="232"/>
      <c r="O115" s="230"/>
      <c r="P115" s="231"/>
      <c r="Q115" s="232"/>
      <c r="R115" s="233"/>
      <c r="S115" s="234"/>
      <c r="T115" s="235"/>
      <c r="U115" s="233"/>
      <c r="V115" s="236"/>
      <c r="W115" s="234"/>
      <c r="X115" s="235"/>
      <c r="Y115" s="237"/>
      <c r="Z115" s="238"/>
    </row>
    <row r="116" spans="1:26" s="239" customFormat="1" ht="28.5" customHeight="1" x14ac:dyDescent="0.3">
      <c r="A116" s="222">
        <f t="shared" si="14"/>
        <v>0</v>
      </c>
      <c r="B116" s="223" t="b">
        <f t="shared" si="15"/>
        <v>1</v>
      </c>
      <c r="C116" s="222">
        <f t="shared" si="16"/>
        <v>0</v>
      </c>
      <c r="D116" s="205" t="str">
        <f t="shared" si="13"/>
        <v>$$$$</v>
      </c>
      <c r="E116" s="224"/>
      <c r="F116" s="225"/>
      <c r="G116" s="226"/>
      <c r="H116" s="227"/>
      <c r="I116" s="228"/>
      <c r="J116" s="228"/>
      <c r="K116" s="229"/>
      <c r="L116" s="230"/>
      <c r="M116" s="231"/>
      <c r="N116" s="232"/>
      <c r="O116" s="230"/>
      <c r="P116" s="231"/>
      <c r="Q116" s="232"/>
      <c r="R116" s="233"/>
      <c r="S116" s="234"/>
      <c r="T116" s="235"/>
      <c r="U116" s="233"/>
      <c r="V116" s="236"/>
      <c r="W116" s="234"/>
      <c r="X116" s="235"/>
      <c r="Y116" s="237"/>
      <c r="Z116" s="238"/>
    </row>
    <row r="117" spans="1:26" s="239" customFormat="1" ht="28.5" customHeight="1" x14ac:dyDescent="0.3">
      <c r="A117" s="222">
        <f t="shared" si="14"/>
        <v>0</v>
      </c>
      <c r="B117" s="223" t="b">
        <f t="shared" si="15"/>
        <v>1</v>
      </c>
      <c r="C117" s="222">
        <f t="shared" si="16"/>
        <v>0</v>
      </c>
      <c r="D117" s="205" t="str">
        <f t="shared" si="13"/>
        <v>$$$$</v>
      </c>
      <c r="E117" s="224"/>
      <c r="F117" s="225"/>
      <c r="G117" s="226"/>
      <c r="H117" s="227"/>
      <c r="I117" s="228"/>
      <c r="J117" s="228"/>
      <c r="K117" s="229"/>
      <c r="L117" s="230"/>
      <c r="M117" s="231"/>
      <c r="N117" s="232"/>
      <c r="O117" s="230"/>
      <c r="P117" s="231"/>
      <c r="Q117" s="232"/>
      <c r="R117" s="233"/>
      <c r="S117" s="234"/>
      <c r="T117" s="235"/>
      <c r="U117" s="233"/>
      <c r="V117" s="236"/>
      <c r="W117" s="234"/>
      <c r="X117" s="235"/>
      <c r="Y117" s="237"/>
      <c r="Z117" s="238"/>
    </row>
    <row r="118" spans="1:26" s="239" customFormat="1" ht="28.5" customHeight="1" x14ac:dyDescent="0.3">
      <c r="A118" s="222">
        <f t="shared" si="14"/>
        <v>0</v>
      </c>
      <c r="B118" s="223" t="b">
        <f t="shared" si="15"/>
        <v>1</v>
      </c>
      <c r="C118" s="222">
        <f t="shared" si="16"/>
        <v>0</v>
      </c>
      <c r="D118" s="205" t="str">
        <f t="shared" si="13"/>
        <v>$$$$</v>
      </c>
      <c r="E118" s="224"/>
      <c r="F118" s="225"/>
      <c r="G118" s="226"/>
      <c r="H118" s="227"/>
      <c r="I118" s="228"/>
      <c r="J118" s="228"/>
      <c r="K118" s="229"/>
      <c r="L118" s="230"/>
      <c r="M118" s="231"/>
      <c r="N118" s="232"/>
      <c r="O118" s="230"/>
      <c r="P118" s="231"/>
      <c r="Q118" s="232"/>
      <c r="R118" s="233"/>
      <c r="S118" s="234"/>
      <c r="T118" s="235"/>
      <c r="U118" s="233"/>
      <c r="V118" s="236"/>
      <c r="W118" s="234"/>
      <c r="X118" s="235"/>
      <c r="Y118" s="237"/>
      <c r="Z118" s="238"/>
    </row>
    <row r="119" spans="1:26" s="239" customFormat="1" ht="28.5" customHeight="1" x14ac:dyDescent="0.3">
      <c r="A119" s="222">
        <f t="shared" si="14"/>
        <v>0</v>
      </c>
      <c r="B119" s="223" t="b">
        <f t="shared" si="15"/>
        <v>1</v>
      </c>
      <c r="C119" s="222">
        <f t="shared" si="16"/>
        <v>0</v>
      </c>
      <c r="D119" s="205" t="str">
        <f t="shared" si="13"/>
        <v>$$$$</v>
      </c>
      <c r="E119" s="224"/>
      <c r="F119" s="225"/>
      <c r="G119" s="226"/>
      <c r="H119" s="227"/>
      <c r="I119" s="228"/>
      <c r="J119" s="228"/>
      <c r="K119" s="229"/>
      <c r="L119" s="230"/>
      <c r="M119" s="231"/>
      <c r="N119" s="232"/>
      <c r="O119" s="230"/>
      <c r="P119" s="231"/>
      <c r="Q119" s="232"/>
      <c r="R119" s="233"/>
      <c r="S119" s="234"/>
      <c r="T119" s="235"/>
      <c r="U119" s="233"/>
      <c r="V119" s="236"/>
      <c r="W119" s="234"/>
      <c r="X119" s="235"/>
      <c r="Y119" s="237"/>
      <c r="Z119" s="238"/>
    </row>
    <row r="120" spans="1:26" s="239" customFormat="1" ht="28.5" customHeight="1" x14ac:dyDescent="0.3">
      <c r="A120" s="222">
        <f t="shared" si="14"/>
        <v>0</v>
      </c>
      <c r="B120" s="223" t="b">
        <f t="shared" si="15"/>
        <v>1</v>
      </c>
      <c r="C120" s="222">
        <f t="shared" si="16"/>
        <v>0</v>
      </c>
      <c r="D120" s="205" t="str">
        <f t="shared" ref="D120:D154" si="17">CONCATENATE("$",TRIM(F120),"$",TRIM(G120),"$",H120,"$")</f>
        <v>$$$$</v>
      </c>
      <c r="E120" s="224"/>
      <c r="F120" s="225"/>
      <c r="G120" s="226"/>
      <c r="H120" s="227"/>
      <c r="I120" s="228"/>
      <c r="J120" s="228"/>
      <c r="K120" s="229"/>
      <c r="L120" s="230"/>
      <c r="M120" s="231"/>
      <c r="N120" s="232"/>
      <c r="O120" s="230"/>
      <c r="P120" s="231"/>
      <c r="Q120" s="232"/>
      <c r="R120" s="233"/>
      <c r="S120" s="234"/>
      <c r="T120" s="235"/>
      <c r="U120" s="233"/>
      <c r="V120" s="236"/>
      <c r="W120" s="234"/>
      <c r="X120" s="235"/>
      <c r="Y120" s="237"/>
      <c r="Z120" s="238"/>
    </row>
    <row r="121" spans="1:26" s="239" customFormat="1" ht="28.5" customHeight="1" x14ac:dyDescent="0.3">
      <c r="A121" s="222">
        <f t="shared" si="14"/>
        <v>0</v>
      </c>
      <c r="B121" s="223" t="b">
        <f t="shared" si="15"/>
        <v>1</v>
      </c>
      <c r="C121" s="222">
        <f t="shared" si="16"/>
        <v>0</v>
      </c>
      <c r="D121" s="205" t="str">
        <f t="shared" si="17"/>
        <v>$$$$</v>
      </c>
      <c r="E121" s="224"/>
      <c r="F121" s="225"/>
      <c r="G121" s="226"/>
      <c r="H121" s="227"/>
      <c r="I121" s="228"/>
      <c r="J121" s="228"/>
      <c r="K121" s="229"/>
      <c r="L121" s="230"/>
      <c r="M121" s="231"/>
      <c r="N121" s="232"/>
      <c r="O121" s="230"/>
      <c r="P121" s="231"/>
      <c r="Q121" s="232"/>
      <c r="R121" s="233"/>
      <c r="S121" s="234"/>
      <c r="T121" s="235"/>
      <c r="U121" s="233"/>
      <c r="V121" s="236"/>
      <c r="W121" s="234"/>
      <c r="X121" s="235"/>
      <c r="Y121" s="237"/>
      <c r="Z121" s="238"/>
    </row>
    <row r="122" spans="1:26" s="239" customFormat="1" ht="28.5" customHeight="1" x14ac:dyDescent="0.3">
      <c r="A122" s="222">
        <f t="shared" si="14"/>
        <v>0</v>
      </c>
      <c r="B122" s="223" t="b">
        <f t="shared" si="15"/>
        <v>1</v>
      </c>
      <c r="C122" s="222">
        <f t="shared" si="16"/>
        <v>0</v>
      </c>
      <c r="D122" s="205" t="str">
        <f t="shared" si="17"/>
        <v>$$$$</v>
      </c>
      <c r="E122" s="224"/>
      <c r="F122" s="225"/>
      <c r="G122" s="226"/>
      <c r="H122" s="227"/>
      <c r="I122" s="228"/>
      <c r="J122" s="228"/>
      <c r="K122" s="229"/>
      <c r="L122" s="230"/>
      <c r="M122" s="231"/>
      <c r="N122" s="232"/>
      <c r="O122" s="230"/>
      <c r="P122" s="231"/>
      <c r="Q122" s="232"/>
      <c r="R122" s="233"/>
      <c r="S122" s="234"/>
      <c r="T122" s="235"/>
      <c r="U122" s="233"/>
      <c r="V122" s="236"/>
      <c r="W122" s="234"/>
      <c r="X122" s="235"/>
      <c r="Y122" s="237"/>
      <c r="Z122" s="238"/>
    </row>
    <row r="123" spans="1:26" s="239" customFormat="1" ht="28.5" customHeight="1" x14ac:dyDescent="0.3">
      <c r="A123" s="222">
        <f t="shared" si="14"/>
        <v>0</v>
      </c>
      <c r="B123" s="223" t="b">
        <f t="shared" si="15"/>
        <v>1</v>
      </c>
      <c r="C123" s="222">
        <f t="shared" si="16"/>
        <v>0</v>
      </c>
      <c r="D123" s="205" t="str">
        <f t="shared" si="17"/>
        <v>$$$$</v>
      </c>
      <c r="E123" s="224"/>
      <c r="F123" s="225"/>
      <c r="G123" s="226"/>
      <c r="H123" s="227"/>
      <c r="I123" s="228"/>
      <c r="J123" s="228"/>
      <c r="K123" s="229"/>
      <c r="L123" s="230"/>
      <c r="M123" s="231"/>
      <c r="N123" s="232"/>
      <c r="O123" s="230"/>
      <c r="P123" s="231"/>
      <c r="Q123" s="232"/>
      <c r="R123" s="233"/>
      <c r="S123" s="234"/>
      <c r="T123" s="235"/>
      <c r="U123" s="233"/>
      <c r="V123" s="236"/>
      <c r="W123" s="234"/>
      <c r="X123" s="235"/>
      <c r="Y123" s="237"/>
      <c r="Z123" s="238"/>
    </row>
    <row r="124" spans="1:26" s="239" customFormat="1" ht="28.5" customHeight="1" x14ac:dyDescent="0.3">
      <c r="A124" s="222">
        <f t="shared" si="14"/>
        <v>0</v>
      </c>
      <c r="B124" s="223" t="b">
        <f t="shared" si="15"/>
        <v>1</v>
      </c>
      <c r="C124" s="222">
        <f t="shared" si="16"/>
        <v>0</v>
      </c>
      <c r="D124" s="205" t="str">
        <f t="shared" si="17"/>
        <v>$$$$</v>
      </c>
      <c r="E124" s="224"/>
      <c r="F124" s="225"/>
      <c r="G124" s="226"/>
      <c r="H124" s="227"/>
      <c r="I124" s="228"/>
      <c r="J124" s="228"/>
      <c r="K124" s="229"/>
      <c r="L124" s="230"/>
      <c r="M124" s="231"/>
      <c r="N124" s="232"/>
      <c r="O124" s="230"/>
      <c r="P124" s="231"/>
      <c r="Q124" s="232"/>
      <c r="R124" s="233"/>
      <c r="S124" s="234"/>
      <c r="T124" s="235"/>
      <c r="U124" s="233"/>
      <c r="V124" s="236"/>
      <c r="W124" s="234"/>
      <c r="X124" s="235"/>
      <c r="Y124" s="237"/>
      <c r="Z124" s="238"/>
    </row>
    <row r="125" spans="1:26" s="239" customFormat="1" ht="28.5" customHeight="1" x14ac:dyDescent="0.3">
      <c r="A125" s="222">
        <f t="shared" si="14"/>
        <v>0</v>
      </c>
      <c r="B125" s="223" t="b">
        <f t="shared" si="15"/>
        <v>1</v>
      </c>
      <c r="C125" s="222">
        <f t="shared" si="16"/>
        <v>0</v>
      </c>
      <c r="D125" s="205" t="str">
        <f t="shared" si="17"/>
        <v>$$$$</v>
      </c>
      <c r="E125" s="224"/>
      <c r="F125" s="225"/>
      <c r="G125" s="226"/>
      <c r="H125" s="227"/>
      <c r="I125" s="228"/>
      <c r="J125" s="228"/>
      <c r="K125" s="229"/>
      <c r="L125" s="230"/>
      <c r="M125" s="231"/>
      <c r="N125" s="232"/>
      <c r="O125" s="230"/>
      <c r="P125" s="231"/>
      <c r="Q125" s="232"/>
      <c r="R125" s="233"/>
      <c r="S125" s="234"/>
      <c r="T125" s="235"/>
      <c r="U125" s="233"/>
      <c r="V125" s="236"/>
      <c r="W125" s="234"/>
      <c r="X125" s="235"/>
      <c r="Y125" s="237"/>
      <c r="Z125" s="238"/>
    </row>
    <row r="126" spans="1:26" s="239" customFormat="1" ht="28.5" customHeight="1" x14ac:dyDescent="0.3">
      <c r="A126" s="222">
        <f t="shared" si="14"/>
        <v>0</v>
      </c>
      <c r="B126" s="223" t="b">
        <f t="shared" si="15"/>
        <v>1</v>
      </c>
      <c r="C126" s="222">
        <f t="shared" si="16"/>
        <v>0</v>
      </c>
      <c r="D126" s="205" t="str">
        <f t="shared" si="17"/>
        <v>$$$$</v>
      </c>
      <c r="E126" s="224"/>
      <c r="F126" s="225"/>
      <c r="G126" s="226"/>
      <c r="H126" s="227"/>
      <c r="I126" s="228"/>
      <c r="J126" s="228"/>
      <c r="K126" s="229"/>
      <c r="L126" s="230"/>
      <c r="M126" s="231"/>
      <c r="N126" s="232"/>
      <c r="O126" s="230"/>
      <c r="P126" s="231"/>
      <c r="Q126" s="232"/>
      <c r="R126" s="233"/>
      <c r="S126" s="234"/>
      <c r="T126" s="235"/>
      <c r="U126" s="233"/>
      <c r="V126" s="236"/>
      <c r="W126" s="234"/>
      <c r="X126" s="235"/>
      <c r="Y126" s="237"/>
      <c r="Z126" s="238"/>
    </row>
    <row r="127" spans="1:26" s="239" customFormat="1" ht="28.5" customHeight="1" x14ac:dyDescent="0.3">
      <c r="A127" s="222">
        <f t="shared" si="14"/>
        <v>0</v>
      </c>
      <c r="B127" s="223" t="b">
        <f t="shared" si="15"/>
        <v>1</v>
      </c>
      <c r="C127" s="222">
        <f t="shared" si="16"/>
        <v>0</v>
      </c>
      <c r="D127" s="205" t="str">
        <f t="shared" si="17"/>
        <v>$$$$</v>
      </c>
      <c r="E127" s="224"/>
      <c r="F127" s="225"/>
      <c r="G127" s="226"/>
      <c r="H127" s="227"/>
      <c r="I127" s="228"/>
      <c r="J127" s="228"/>
      <c r="K127" s="229"/>
      <c r="L127" s="230"/>
      <c r="M127" s="231"/>
      <c r="N127" s="232"/>
      <c r="O127" s="230"/>
      <c r="P127" s="231"/>
      <c r="Q127" s="232"/>
      <c r="R127" s="233"/>
      <c r="S127" s="234"/>
      <c r="T127" s="235"/>
      <c r="U127" s="233"/>
      <c r="V127" s="236"/>
      <c r="W127" s="234"/>
      <c r="X127" s="235"/>
      <c r="Y127" s="237"/>
      <c r="Z127" s="238"/>
    </row>
    <row r="128" spans="1:26" s="239" customFormat="1" ht="28.5" customHeight="1" x14ac:dyDescent="0.3">
      <c r="A128" s="222">
        <f t="shared" si="14"/>
        <v>0</v>
      </c>
      <c r="B128" s="223" t="b">
        <f t="shared" si="15"/>
        <v>1</v>
      </c>
      <c r="C128" s="222">
        <f t="shared" si="16"/>
        <v>0</v>
      </c>
      <c r="D128" s="205" t="str">
        <f t="shared" si="17"/>
        <v>$$$$</v>
      </c>
      <c r="E128" s="224"/>
      <c r="F128" s="225"/>
      <c r="G128" s="226"/>
      <c r="H128" s="227"/>
      <c r="I128" s="228"/>
      <c r="J128" s="228"/>
      <c r="K128" s="229"/>
      <c r="L128" s="230"/>
      <c r="M128" s="231"/>
      <c r="N128" s="232"/>
      <c r="O128" s="230"/>
      <c r="P128" s="231"/>
      <c r="Q128" s="232"/>
      <c r="R128" s="233"/>
      <c r="S128" s="234"/>
      <c r="T128" s="235"/>
      <c r="U128" s="233"/>
      <c r="V128" s="236"/>
      <c r="W128" s="234"/>
      <c r="X128" s="235"/>
      <c r="Y128" s="237"/>
      <c r="Z128" s="238"/>
    </row>
    <row r="129" spans="1:26" s="239" customFormat="1" ht="28.5" customHeight="1" x14ac:dyDescent="0.3">
      <c r="A129" s="222">
        <f t="shared" si="14"/>
        <v>0</v>
      </c>
      <c r="B129" s="223" t="b">
        <f t="shared" si="15"/>
        <v>1</v>
      </c>
      <c r="C129" s="222">
        <f t="shared" si="16"/>
        <v>0</v>
      </c>
      <c r="D129" s="205" t="str">
        <f t="shared" si="17"/>
        <v>$$$$</v>
      </c>
      <c r="E129" s="224"/>
      <c r="F129" s="225"/>
      <c r="G129" s="226"/>
      <c r="H129" s="227"/>
      <c r="I129" s="228"/>
      <c r="J129" s="228"/>
      <c r="K129" s="229"/>
      <c r="L129" s="230"/>
      <c r="M129" s="231"/>
      <c r="N129" s="232"/>
      <c r="O129" s="230"/>
      <c r="P129" s="231"/>
      <c r="Q129" s="232"/>
      <c r="R129" s="233"/>
      <c r="S129" s="234"/>
      <c r="T129" s="235"/>
      <c r="U129" s="233"/>
      <c r="V129" s="236"/>
      <c r="W129" s="234"/>
      <c r="X129" s="235"/>
      <c r="Y129" s="237"/>
      <c r="Z129" s="238"/>
    </row>
    <row r="130" spans="1:26" s="239" customFormat="1" ht="28.5" customHeight="1" x14ac:dyDescent="0.3">
      <c r="A130" s="222">
        <f t="shared" si="14"/>
        <v>0</v>
      </c>
      <c r="B130" s="223" t="b">
        <f t="shared" si="15"/>
        <v>1</v>
      </c>
      <c r="C130" s="222">
        <f t="shared" si="16"/>
        <v>0</v>
      </c>
      <c r="D130" s="205" t="str">
        <f t="shared" si="17"/>
        <v>$$$$</v>
      </c>
      <c r="E130" s="224"/>
      <c r="F130" s="225"/>
      <c r="G130" s="226"/>
      <c r="H130" s="227"/>
      <c r="I130" s="228"/>
      <c r="J130" s="228"/>
      <c r="K130" s="229"/>
      <c r="L130" s="230"/>
      <c r="M130" s="231"/>
      <c r="N130" s="232"/>
      <c r="O130" s="230"/>
      <c r="P130" s="231"/>
      <c r="Q130" s="232"/>
      <c r="R130" s="233"/>
      <c r="S130" s="234"/>
      <c r="T130" s="235"/>
      <c r="U130" s="233"/>
      <c r="V130" s="236"/>
      <c r="W130" s="234"/>
      <c r="X130" s="235"/>
      <c r="Y130" s="237"/>
      <c r="Z130" s="238"/>
    </row>
    <row r="131" spans="1:26" s="239" customFormat="1" ht="28.5" customHeight="1" x14ac:dyDescent="0.3">
      <c r="A131" s="222">
        <f t="shared" si="14"/>
        <v>0</v>
      </c>
      <c r="B131" s="223" t="b">
        <f t="shared" si="15"/>
        <v>1</v>
      </c>
      <c r="C131" s="222">
        <f t="shared" si="16"/>
        <v>0</v>
      </c>
      <c r="D131" s="205" t="str">
        <f t="shared" si="17"/>
        <v>$$$$</v>
      </c>
      <c r="E131" s="224"/>
      <c r="F131" s="225"/>
      <c r="G131" s="226"/>
      <c r="H131" s="227"/>
      <c r="I131" s="228"/>
      <c r="J131" s="228"/>
      <c r="K131" s="229"/>
      <c r="L131" s="230"/>
      <c r="M131" s="231"/>
      <c r="N131" s="232"/>
      <c r="O131" s="230"/>
      <c r="P131" s="231"/>
      <c r="Q131" s="232"/>
      <c r="R131" s="233"/>
      <c r="S131" s="234"/>
      <c r="T131" s="235"/>
      <c r="U131" s="233"/>
      <c r="V131" s="236"/>
      <c r="W131" s="234"/>
      <c r="X131" s="235"/>
      <c r="Y131" s="237"/>
      <c r="Z131" s="238"/>
    </row>
    <row r="132" spans="1:26" s="239" customFormat="1" ht="28.5" customHeight="1" x14ac:dyDescent="0.3">
      <c r="A132" s="222">
        <f t="shared" si="14"/>
        <v>0</v>
      </c>
      <c r="B132" s="223" t="b">
        <f t="shared" si="15"/>
        <v>1</v>
      </c>
      <c r="C132" s="222">
        <f t="shared" si="16"/>
        <v>0</v>
      </c>
      <c r="D132" s="205" t="str">
        <f t="shared" si="17"/>
        <v>$$$$</v>
      </c>
      <c r="E132" s="224"/>
      <c r="F132" s="225"/>
      <c r="G132" s="226"/>
      <c r="H132" s="227"/>
      <c r="I132" s="228"/>
      <c r="J132" s="228"/>
      <c r="K132" s="229"/>
      <c r="L132" s="230"/>
      <c r="M132" s="231"/>
      <c r="N132" s="232"/>
      <c r="O132" s="230"/>
      <c r="P132" s="231"/>
      <c r="Q132" s="232"/>
      <c r="R132" s="233"/>
      <c r="S132" s="234"/>
      <c r="T132" s="235"/>
      <c r="U132" s="233"/>
      <c r="V132" s="236"/>
      <c r="W132" s="234"/>
      <c r="X132" s="235"/>
      <c r="Y132" s="237"/>
      <c r="Z132" s="238"/>
    </row>
    <row r="133" spans="1:26" s="239" customFormat="1" ht="28.5" customHeight="1" x14ac:dyDescent="0.3">
      <c r="A133" s="222">
        <f t="shared" si="14"/>
        <v>0</v>
      </c>
      <c r="B133" s="223" t="b">
        <f t="shared" si="15"/>
        <v>1</v>
      </c>
      <c r="C133" s="222">
        <f t="shared" si="16"/>
        <v>0</v>
      </c>
      <c r="D133" s="205" t="str">
        <f t="shared" si="17"/>
        <v>$$$$</v>
      </c>
      <c r="E133" s="224"/>
      <c r="F133" s="225"/>
      <c r="G133" s="226"/>
      <c r="H133" s="227"/>
      <c r="I133" s="228"/>
      <c r="J133" s="228"/>
      <c r="K133" s="229"/>
      <c r="L133" s="230"/>
      <c r="M133" s="231"/>
      <c r="N133" s="232"/>
      <c r="O133" s="230"/>
      <c r="P133" s="231"/>
      <c r="Q133" s="232"/>
      <c r="R133" s="233"/>
      <c r="S133" s="234"/>
      <c r="T133" s="235"/>
      <c r="U133" s="233"/>
      <c r="V133" s="236"/>
      <c r="W133" s="234"/>
      <c r="X133" s="235"/>
      <c r="Y133" s="237"/>
      <c r="Z133" s="238"/>
    </row>
    <row r="134" spans="1:26" s="239" customFormat="1" ht="28.5" customHeight="1" x14ac:dyDescent="0.3">
      <c r="A134" s="222">
        <f t="shared" si="14"/>
        <v>0</v>
      </c>
      <c r="B134" s="223" t="b">
        <f t="shared" si="15"/>
        <v>1</v>
      </c>
      <c r="C134" s="222">
        <f t="shared" si="16"/>
        <v>0</v>
      </c>
      <c r="D134" s="205" t="str">
        <f t="shared" si="17"/>
        <v>$$$$</v>
      </c>
      <c r="E134" s="224"/>
      <c r="F134" s="225"/>
      <c r="G134" s="226"/>
      <c r="H134" s="227"/>
      <c r="I134" s="228"/>
      <c r="J134" s="228"/>
      <c r="K134" s="229"/>
      <c r="L134" s="230"/>
      <c r="M134" s="231"/>
      <c r="N134" s="232"/>
      <c r="O134" s="230"/>
      <c r="P134" s="231"/>
      <c r="Q134" s="232"/>
      <c r="R134" s="233"/>
      <c r="S134" s="234"/>
      <c r="T134" s="235"/>
      <c r="U134" s="233"/>
      <c r="V134" s="236"/>
      <c r="W134" s="234"/>
      <c r="X134" s="235"/>
      <c r="Y134" s="237"/>
      <c r="Z134" s="238"/>
    </row>
    <row r="135" spans="1:26" s="239" customFormat="1" ht="28.5" customHeight="1" x14ac:dyDescent="0.3">
      <c r="A135" s="222">
        <f t="shared" si="14"/>
        <v>0</v>
      </c>
      <c r="B135" s="223" t="b">
        <f t="shared" si="15"/>
        <v>1</v>
      </c>
      <c r="C135" s="222">
        <f t="shared" si="16"/>
        <v>0</v>
      </c>
      <c r="D135" s="205" t="str">
        <f t="shared" si="17"/>
        <v>$$$$</v>
      </c>
      <c r="E135" s="224"/>
      <c r="F135" s="225"/>
      <c r="G135" s="226"/>
      <c r="H135" s="227"/>
      <c r="I135" s="228"/>
      <c r="J135" s="228"/>
      <c r="K135" s="229"/>
      <c r="L135" s="230"/>
      <c r="M135" s="231"/>
      <c r="N135" s="232"/>
      <c r="O135" s="230"/>
      <c r="P135" s="231"/>
      <c r="Q135" s="232"/>
      <c r="R135" s="233"/>
      <c r="S135" s="234"/>
      <c r="T135" s="235"/>
      <c r="U135" s="233"/>
      <c r="V135" s="236"/>
      <c r="W135" s="234"/>
      <c r="X135" s="235"/>
      <c r="Y135" s="237"/>
      <c r="Z135" s="238"/>
    </row>
    <row r="136" spans="1:26" s="239" customFormat="1" ht="28.5" customHeight="1" x14ac:dyDescent="0.3">
      <c r="A136" s="222">
        <f t="shared" si="14"/>
        <v>0</v>
      </c>
      <c r="B136" s="223" t="b">
        <f t="shared" si="15"/>
        <v>1</v>
      </c>
      <c r="C136" s="222">
        <f t="shared" si="16"/>
        <v>0</v>
      </c>
      <c r="D136" s="205" t="str">
        <f t="shared" si="17"/>
        <v>$$$$</v>
      </c>
      <c r="E136" s="224"/>
      <c r="F136" s="225"/>
      <c r="G136" s="226"/>
      <c r="H136" s="227"/>
      <c r="I136" s="228"/>
      <c r="J136" s="228"/>
      <c r="K136" s="229"/>
      <c r="L136" s="230"/>
      <c r="M136" s="231"/>
      <c r="N136" s="232"/>
      <c r="O136" s="230"/>
      <c r="P136" s="231"/>
      <c r="Q136" s="232"/>
      <c r="R136" s="233"/>
      <c r="S136" s="234"/>
      <c r="T136" s="235"/>
      <c r="U136" s="233"/>
      <c r="V136" s="236"/>
      <c r="W136" s="234"/>
      <c r="X136" s="235"/>
      <c r="Y136" s="237"/>
      <c r="Z136" s="238"/>
    </row>
    <row r="137" spans="1:26" s="239" customFormat="1" ht="28.5" customHeight="1" x14ac:dyDescent="0.3">
      <c r="A137" s="222">
        <f t="shared" si="14"/>
        <v>0</v>
      </c>
      <c r="B137" s="223" t="b">
        <f t="shared" si="15"/>
        <v>1</v>
      </c>
      <c r="C137" s="222">
        <f t="shared" si="16"/>
        <v>0</v>
      </c>
      <c r="D137" s="205" t="str">
        <f t="shared" si="17"/>
        <v>$$$$</v>
      </c>
      <c r="E137" s="224"/>
      <c r="F137" s="225"/>
      <c r="G137" s="226"/>
      <c r="H137" s="227"/>
      <c r="I137" s="228"/>
      <c r="J137" s="228"/>
      <c r="K137" s="229"/>
      <c r="L137" s="230"/>
      <c r="M137" s="231"/>
      <c r="N137" s="232"/>
      <c r="O137" s="230"/>
      <c r="P137" s="231"/>
      <c r="Q137" s="232"/>
      <c r="R137" s="233"/>
      <c r="S137" s="234"/>
      <c r="T137" s="235"/>
      <c r="U137" s="233"/>
      <c r="V137" s="236"/>
      <c r="W137" s="234"/>
      <c r="X137" s="235"/>
      <c r="Y137" s="237"/>
      <c r="Z137" s="238"/>
    </row>
    <row r="138" spans="1:26" s="239" customFormat="1" ht="28.5" customHeight="1" x14ac:dyDescent="0.3">
      <c r="A138" s="222">
        <f t="shared" si="14"/>
        <v>0</v>
      </c>
      <c r="B138" s="223" t="b">
        <f t="shared" si="15"/>
        <v>1</v>
      </c>
      <c r="C138" s="222">
        <f t="shared" si="16"/>
        <v>0</v>
      </c>
      <c r="D138" s="205" t="str">
        <f t="shared" si="17"/>
        <v>$$$$</v>
      </c>
      <c r="E138" s="224"/>
      <c r="F138" s="225"/>
      <c r="G138" s="226"/>
      <c r="H138" s="227"/>
      <c r="I138" s="228"/>
      <c r="J138" s="228"/>
      <c r="K138" s="229"/>
      <c r="L138" s="230"/>
      <c r="M138" s="231"/>
      <c r="N138" s="232"/>
      <c r="O138" s="230"/>
      <c r="P138" s="231"/>
      <c r="Q138" s="232"/>
      <c r="R138" s="233"/>
      <c r="S138" s="234"/>
      <c r="T138" s="235"/>
      <c r="U138" s="233"/>
      <c r="V138" s="236"/>
      <c r="W138" s="234"/>
      <c r="X138" s="235"/>
      <c r="Y138" s="237"/>
      <c r="Z138" s="238"/>
    </row>
    <row r="139" spans="1:26" s="239" customFormat="1" ht="28.5" customHeight="1" x14ac:dyDescent="0.3">
      <c r="A139" s="222">
        <f t="shared" si="14"/>
        <v>0</v>
      </c>
      <c r="B139" s="223" t="b">
        <f t="shared" si="15"/>
        <v>1</v>
      </c>
      <c r="C139" s="222">
        <f t="shared" si="16"/>
        <v>0</v>
      </c>
      <c r="D139" s="205" t="str">
        <f t="shared" si="17"/>
        <v>$$$$</v>
      </c>
      <c r="E139" s="224"/>
      <c r="F139" s="225"/>
      <c r="G139" s="226"/>
      <c r="H139" s="227"/>
      <c r="I139" s="228"/>
      <c r="J139" s="228"/>
      <c r="K139" s="229"/>
      <c r="L139" s="230"/>
      <c r="M139" s="231"/>
      <c r="N139" s="232"/>
      <c r="O139" s="230"/>
      <c r="P139" s="231"/>
      <c r="Q139" s="232"/>
      <c r="R139" s="233"/>
      <c r="S139" s="234"/>
      <c r="T139" s="235"/>
      <c r="U139" s="233"/>
      <c r="V139" s="236"/>
      <c r="W139" s="234"/>
      <c r="X139" s="235"/>
      <c r="Y139" s="237"/>
      <c r="Z139" s="238"/>
    </row>
    <row r="140" spans="1:26" s="239" customFormat="1" ht="28.5" customHeight="1" x14ac:dyDescent="0.3">
      <c r="A140" s="222">
        <f t="shared" si="14"/>
        <v>0</v>
      </c>
      <c r="B140" s="223" t="b">
        <f t="shared" si="15"/>
        <v>1</v>
      </c>
      <c r="C140" s="222">
        <f t="shared" si="16"/>
        <v>0</v>
      </c>
      <c r="D140" s="205" t="str">
        <f t="shared" si="17"/>
        <v>$$$$</v>
      </c>
      <c r="E140" s="224"/>
      <c r="F140" s="225"/>
      <c r="G140" s="226"/>
      <c r="H140" s="227"/>
      <c r="I140" s="228"/>
      <c r="J140" s="228"/>
      <c r="K140" s="229"/>
      <c r="L140" s="230"/>
      <c r="M140" s="231"/>
      <c r="N140" s="232"/>
      <c r="O140" s="230"/>
      <c r="P140" s="231"/>
      <c r="Q140" s="232"/>
      <c r="R140" s="233"/>
      <c r="S140" s="234"/>
      <c r="T140" s="235"/>
      <c r="U140" s="233"/>
      <c r="V140" s="236"/>
      <c r="W140" s="234"/>
      <c r="X140" s="235"/>
      <c r="Y140" s="237"/>
      <c r="Z140" s="238"/>
    </row>
    <row r="141" spans="1:26" s="239" customFormat="1" ht="28.5" customHeight="1" x14ac:dyDescent="0.3">
      <c r="A141" s="222">
        <f t="shared" si="14"/>
        <v>0</v>
      </c>
      <c r="B141" s="223" t="b">
        <f t="shared" si="15"/>
        <v>1</v>
      </c>
      <c r="C141" s="222">
        <f t="shared" si="16"/>
        <v>0</v>
      </c>
      <c r="D141" s="205" t="str">
        <f t="shared" si="17"/>
        <v>$$$$</v>
      </c>
      <c r="E141" s="224"/>
      <c r="F141" s="225"/>
      <c r="G141" s="226"/>
      <c r="H141" s="227"/>
      <c r="I141" s="228"/>
      <c r="J141" s="228"/>
      <c r="K141" s="229"/>
      <c r="L141" s="230"/>
      <c r="M141" s="231"/>
      <c r="N141" s="232"/>
      <c r="O141" s="230"/>
      <c r="P141" s="231"/>
      <c r="Q141" s="232"/>
      <c r="R141" s="233"/>
      <c r="S141" s="234"/>
      <c r="T141" s="235"/>
      <c r="U141" s="233"/>
      <c r="V141" s="236"/>
      <c r="W141" s="234"/>
      <c r="X141" s="235"/>
      <c r="Y141" s="237"/>
      <c r="Z141" s="238"/>
    </row>
    <row r="142" spans="1:26" s="239" customFormat="1" ht="28.5" customHeight="1" x14ac:dyDescent="0.3">
      <c r="A142" s="222">
        <f t="shared" si="14"/>
        <v>0</v>
      </c>
      <c r="B142" s="223" t="b">
        <f t="shared" si="15"/>
        <v>1</v>
      </c>
      <c r="C142" s="222">
        <f t="shared" si="16"/>
        <v>0</v>
      </c>
      <c r="D142" s="205" t="str">
        <f t="shared" si="17"/>
        <v>$$$$</v>
      </c>
      <c r="E142" s="224"/>
      <c r="F142" s="225"/>
      <c r="G142" s="226"/>
      <c r="H142" s="227"/>
      <c r="I142" s="228"/>
      <c r="J142" s="228"/>
      <c r="K142" s="229"/>
      <c r="L142" s="230"/>
      <c r="M142" s="231"/>
      <c r="N142" s="232"/>
      <c r="O142" s="230"/>
      <c r="P142" s="231"/>
      <c r="Q142" s="232"/>
      <c r="R142" s="233"/>
      <c r="S142" s="234"/>
      <c r="T142" s="235"/>
      <c r="U142" s="233"/>
      <c r="V142" s="236"/>
      <c r="W142" s="234"/>
      <c r="X142" s="235"/>
      <c r="Y142" s="237"/>
      <c r="Z142" s="238"/>
    </row>
    <row r="143" spans="1:26" s="239" customFormat="1" ht="28.5" customHeight="1" x14ac:dyDescent="0.3">
      <c r="A143" s="222">
        <f t="shared" si="14"/>
        <v>0</v>
      </c>
      <c r="B143" s="223" t="b">
        <f t="shared" si="15"/>
        <v>1</v>
      </c>
      <c r="C143" s="222">
        <f t="shared" si="16"/>
        <v>0</v>
      </c>
      <c r="D143" s="205" t="str">
        <f t="shared" si="17"/>
        <v>$$$$</v>
      </c>
      <c r="E143" s="224"/>
      <c r="F143" s="225"/>
      <c r="G143" s="226"/>
      <c r="H143" s="227"/>
      <c r="I143" s="228"/>
      <c r="J143" s="228"/>
      <c r="K143" s="229"/>
      <c r="L143" s="230"/>
      <c r="M143" s="231"/>
      <c r="N143" s="232"/>
      <c r="O143" s="230"/>
      <c r="P143" s="231"/>
      <c r="Q143" s="232"/>
      <c r="R143" s="233"/>
      <c r="S143" s="234"/>
      <c r="T143" s="235"/>
      <c r="U143" s="233"/>
      <c r="V143" s="236"/>
      <c r="W143" s="234"/>
      <c r="X143" s="235"/>
      <c r="Y143" s="237"/>
      <c r="Z143" s="238"/>
    </row>
    <row r="144" spans="1:26" s="239" customFormat="1" ht="28.5" customHeight="1" x14ac:dyDescent="0.3">
      <c r="A144" s="222">
        <f t="shared" si="14"/>
        <v>0</v>
      </c>
      <c r="B144" s="223" t="b">
        <f t="shared" si="15"/>
        <v>1</v>
      </c>
      <c r="C144" s="222">
        <f t="shared" si="16"/>
        <v>0</v>
      </c>
      <c r="D144" s="205" t="str">
        <f t="shared" si="17"/>
        <v>$$$$</v>
      </c>
      <c r="E144" s="224"/>
      <c r="F144" s="225"/>
      <c r="G144" s="226"/>
      <c r="H144" s="227"/>
      <c r="I144" s="228"/>
      <c r="J144" s="228"/>
      <c r="K144" s="229"/>
      <c r="L144" s="230"/>
      <c r="M144" s="231"/>
      <c r="N144" s="232"/>
      <c r="O144" s="230"/>
      <c r="P144" s="231"/>
      <c r="Q144" s="232"/>
      <c r="R144" s="233"/>
      <c r="S144" s="234"/>
      <c r="T144" s="235"/>
      <c r="U144" s="233"/>
      <c r="V144" s="236"/>
      <c r="W144" s="234"/>
      <c r="X144" s="235"/>
      <c r="Y144" s="237"/>
      <c r="Z144" s="238"/>
    </row>
    <row r="145" spans="1:26" s="239" customFormat="1" ht="28.5" customHeight="1" x14ac:dyDescent="0.3">
      <c r="A145" s="222">
        <f t="shared" si="14"/>
        <v>0</v>
      </c>
      <c r="B145" s="223" t="b">
        <f t="shared" si="15"/>
        <v>1</v>
      </c>
      <c r="C145" s="222">
        <f t="shared" si="16"/>
        <v>0</v>
      </c>
      <c r="D145" s="205" t="str">
        <f t="shared" si="17"/>
        <v>$$$$</v>
      </c>
      <c r="E145" s="224"/>
      <c r="F145" s="225"/>
      <c r="G145" s="226"/>
      <c r="H145" s="227"/>
      <c r="I145" s="228"/>
      <c r="J145" s="228"/>
      <c r="K145" s="229"/>
      <c r="L145" s="230"/>
      <c r="M145" s="231"/>
      <c r="N145" s="232"/>
      <c r="O145" s="230"/>
      <c r="P145" s="231"/>
      <c r="Q145" s="232"/>
      <c r="R145" s="233"/>
      <c r="S145" s="234"/>
      <c r="T145" s="235"/>
      <c r="U145" s="233"/>
      <c r="V145" s="236"/>
      <c r="W145" s="234"/>
      <c r="X145" s="235"/>
      <c r="Y145" s="237"/>
      <c r="Z145" s="238"/>
    </row>
    <row r="146" spans="1:26" s="239" customFormat="1" ht="28.5" customHeight="1" x14ac:dyDescent="0.3">
      <c r="A146" s="222">
        <f t="shared" si="14"/>
        <v>0</v>
      </c>
      <c r="B146" s="223" t="b">
        <f t="shared" si="15"/>
        <v>1</v>
      </c>
      <c r="C146" s="222">
        <f t="shared" si="16"/>
        <v>0</v>
      </c>
      <c r="D146" s="205" t="str">
        <f t="shared" si="17"/>
        <v>$$$$</v>
      </c>
      <c r="E146" s="224"/>
      <c r="F146" s="225"/>
      <c r="G146" s="226"/>
      <c r="H146" s="227"/>
      <c r="I146" s="228"/>
      <c r="J146" s="228"/>
      <c r="K146" s="229"/>
      <c r="L146" s="230"/>
      <c r="M146" s="231"/>
      <c r="N146" s="232"/>
      <c r="O146" s="230"/>
      <c r="P146" s="231"/>
      <c r="Q146" s="232"/>
      <c r="R146" s="233"/>
      <c r="S146" s="234"/>
      <c r="T146" s="235"/>
      <c r="U146" s="233"/>
      <c r="V146" s="236"/>
      <c r="W146" s="234"/>
      <c r="X146" s="235"/>
      <c r="Y146" s="237"/>
      <c r="Z146" s="238"/>
    </row>
    <row r="147" spans="1:26" s="239" customFormat="1" ht="28.5" customHeight="1" x14ac:dyDescent="0.3">
      <c r="A147" s="222">
        <f t="shared" si="14"/>
        <v>0</v>
      </c>
      <c r="B147" s="223" t="b">
        <f t="shared" si="15"/>
        <v>1</v>
      </c>
      <c r="C147" s="222">
        <f t="shared" si="16"/>
        <v>0</v>
      </c>
      <c r="D147" s="205" t="str">
        <f t="shared" si="17"/>
        <v>$$$$</v>
      </c>
      <c r="E147" s="224"/>
      <c r="F147" s="225"/>
      <c r="G147" s="226"/>
      <c r="H147" s="227"/>
      <c r="I147" s="228"/>
      <c r="J147" s="228"/>
      <c r="K147" s="229"/>
      <c r="L147" s="230"/>
      <c r="M147" s="231"/>
      <c r="N147" s="232"/>
      <c r="O147" s="230"/>
      <c r="P147" s="231"/>
      <c r="Q147" s="232"/>
      <c r="R147" s="233"/>
      <c r="S147" s="234"/>
      <c r="T147" s="235"/>
      <c r="U147" s="233"/>
      <c r="V147" s="236"/>
      <c r="W147" s="234"/>
      <c r="X147" s="235"/>
      <c r="Y147" s="237"/>
      <c r="Z147" s="238"/>
    </row>
    <row r="148" spans="1:26" s="239" customFormat="1" ht="28.5" customHeight="1" x14ac:dyDescent="0.3">
      <c r="A148" s="222">
        <f t="shared" si="14"/>
        <v>0</v>
      </c>
      <c r="B148" s="223" t="b">
        <f t="shared" si="15"/>
        <v>1</v>
      </c>
      <c r="C148" s="222">
        <f t="shared" si="16"/>
        <v>0</v>
      </c>
      <c r="D148" s="205" t="str">
        <f t="shared" si="17"/>
        <v>$$$$</v>
      </c>
      <c r="E148" s="224"/>
      <c r="F148" s="225"/>
      <c r="G148" s="226"/>
      <c r="H148" s="227"/>
      <c r="I148" s="228"/>
      <c r="J148" s="228"/>
      <c r="K148" s="229"/>
      <c r="L148" s="230"/>
      <c r="M148" s="231"/>
      <c r="N148" s="232"/>
      <c r="O148" s="230"/>
      <c r="P148" s="231"/>
      <c r="Q148" s="232"/>
      <c r="R148" s="233"/>
      <c r="S148" s="234"/>
      <c r="T148" s="235"/>
      <c r="U148" s="233"/>
      <c r="V148" s="236"/>
      <c r="W148" s="234"/>
      <c r="X148" s="235"/>
      <c r="Y148" s="237"/>
      <c r="Z148" s="238"/>
    </row>
    <row r="149" spans="1:26" s="239" customFormat="1" ht="28.5" customHeight="1" x14ac:dyDescent="0.3">
      <c r="A149" s="222">
        <f t="shared" si="14"/>
        <v>0</v>
      </c>
      <c r="B149" s="223" t="b">
        <f t="shared" si="15"/>
        <v>1</v>
      </c>
      <c r="C149" s="222">
        <f t="shared" si="16"/>
        <v>0</v>
      </c>
      <c r="D149" s="205" t="str">
        <f t="shared" si="17"/>
        <v>$$$$</v>
      </c>
      <c r="E149" s="224"/>
      <c r="F149" s="225"/>
      <c r="G149" s="226"/>
      <c r="H149" s="227"/>
      <c r="I149" s="228"/>
      <c r="J149" s="228"/>
      <c r="K149" s="229"/>
      <c r="L149" s="230"/>
      <c r="M149" s="231"/>
      <c r="N149" s="232"/>
      <c r="O149" s="230"/>
      <c r="P149" s="231"/>
      <c r="Q149" s="232"/>
      <c r="R149" s="233"/>
      <c r="S149" s="234"/>
      <c r="T149" s="235"/>
      <c r="U149" s="233"/>
      <c r="V149" s="236"/>
      <c r="W149" s="234"/>
      <c r="X149" s="235"/>
      <c r="Y149" s="237"/>
      <c r="Z149" s="238"/>
    </row>
    <row r="150" spans="1:26" s="239" customFormat="1" ht="28.5" customHeight="1" x14ac:dyDescent="0.3">
      <c r="A150" s="222">
        <f t="shared" si="14"/>
        <v>0</v>
      </c>
      <c r="B150" s="223" t="b">
        <f t="shared" si="15"/>
        <v>1</v>
      </c>
      <c r="C150" s="222">
        <f t="shared" si="16"/>
        <v>0</v>
      </c>
      <c r="D150" s="205" t="str">
        <f t="shared" si="17"/>
        <v>$$$$</v>
      </c>
      <c r="E150" s="224"/>
      <c r="F150" s="225"/>
      <c r="G150" s="226"/>
      <c r="H150" s="227"/>
      <c r="I150" s="228"/>
      <c r="J150" s="228"/>
      <c r="K150" s="229"/>
      <c r="L150" s="230"/>
      <c r="M150" s="231"/>
      <c r="N150" s="232"/>
      <c r="O150" s="230"/>
      <c r="P150" s="231"/>
      <c r="Q150" s="232"/>
      <c r="R150" s="233"/>
      <c r="S150" s="234"/>
      <c r="T150" s="235"/>
      <c r="U150" s="233"/>
      <c r="V150" s="236"/>
      <c r="W150" s="234"/>
      <c r="X150" s="235"/>
      <c r="Y150" s="237"/>
      <c r="Z150" s="238"/>
    </row>
    <row r="151" spans="1:26" s="239" customFormat="1" ht="28.5" customHeight="1" x14ac:dyDescent="0.3">
      <c r="A151" s="222">
        <f t="shared" ref="A151:A154" si="18">IF(B151,0,MATCH(H151,ВидыНагр,0))</f>
        <v>0</v>
      </c>
      <c r="B151" s="223" t="b">
        <f t="shared" ref="B151:B154" si="19">(COUNTIF(КлючВесна,D151)&lt;&gt;1)</f>
        <v>1</v>
      </c>
      <c r="C151" s="222">
        <f t="shared" ref="C151:C158" si="20">IF(COUNTA(E151:K151,Z151)&gt;0,1,0)+IF(COUNTA(L151:Y151)&gt;0,2,0)</f>
        <v>0</v>
      </c>
      <c r="D151" s="205" t="str">
        <f t="shared" si="17"/>
        <v>$$$$</v>
      </c>
      <c r="E151" s="224"/>
      <c r="F151" s="225"/>
      <c r="G151" s="226"/>
      <c r="H151" s="227"/>
      <c r="I151" s="228"/>
      <c r="J151" s="228"/>
      <c r="K151" s="229"/>
      <c r="L151" s="230"/>
      <c r="M151" s="231"/>
      <c r="N151" s="232"/>
      <c r="O151" s="230"/>
      <c r="P151" s="231"/>
      <c r="Q151" s="232"/>
      <c r="R151" s="233"/>
      <c r="S151" s="234"/>
      <c r="T151" s="235"/>
      <c r="U151" s="233"/>
      <c r="V151" s="236"/>
      <c r="W151" s="234"/>
      <c r="X151" s="235"/>
      <c r="Y151" s="237"/>
      <c r="Z151" s="238"/>
    </row>
    <row r="152" spans="1:26" s="239" customFormat="1" ht="28.5" customHeight="1" x14ac:dyDescent="0.3">
      <c r="A152" s="222">
        <f t="shared" si="18"/>
        <v>0</v>
      </c>
      <c r="B152" s="223" t="b">
        <f t="shared" si="19"/>
        <v>1</v>
      </c>
      <c r="C152" s="222">
        <f t="shared" si="20"/>
        <v>0</v>
      </c>
      <c r="D152" s="205" t="str">
        <f t="shared" si="17"/>
        <v>$$$$</v>
      </c>
      <c r="E152" s="224"/>
      <c r="F152" s="225"/>
      <c r="G152" s="226"/>
      <c r="H152" s="227"/>
      <c r="I152" s="228"/>
      <c r="J152" s="228"/>
      <c r="K152" s="229"/>
      <c r="L152" s="230"/>
      <c r="M152" s="231"/>
      <c r="N152" s="232"/>
      <c r="O152" s="230"/>
      <c r="P152" s="231"/>
      <c r="Q152" s="232"/>
      <c r="R152" s="233"/>
      <c r="S152" s="234"/>
      <c r="T152" s="235"/>
      <c r="U152" s="233"/>
      <c r="V152" s="236"/>
      <c r="W152" s="234"/>
      <c r="X152" s="235"/>
      <c r="Y152" s="237"/>
      <c r="Z152" s="238"/>
    </row>
    <row r="153" spans="1:26" s="239" customFormat="1" ht="28.5" customHeight="1" x14ac:dyDescent="0.3">
      <c r="A153" s="222">
        <f t="shared" si="18"/>
        <v>0</v>
      </c>
      <c r="B153" s="223" t="b">
        <f t="shared" si="19"/>
        <v>1</v>
      </c>
      <c r="C153" s="222">
        <f t="shared" si="20"/>
        <v>0</v>
      </c>
      <c r="D153" s="205" t="str">
        <f t="shared" si="17"/>
        <v>$$$$</v>
      </c>
      <c r="E153" s="224"/>
      <c r="F153" s="225"/>
      <c r="G153" s="226"/>
      <c r="H153" s="227"/>
      <c r="I153" s="228"/>
      <c r="J153" s="228"/>
      <c r="K153" s="229"/>
      <c r="L153" s="230"/>
      <c r="M153" s="231"/>
      <c r="N153" s="232"/>
      <c r="O153" s="230"/>
      <c r="P153" s="231"/>
      <c r="Q153" s="232"/>
      <c r="R153" s="233"/>
      <c r="S153" s="234"/>
      <c r="T153" s="235"/>
      <c r="U153" s="233"/>
      <c r="V153" s="236"/>
      <c r="W153" s="234"/>
      <c r="X153" s="235"/>
      <c r="Y153" s="237"/>
      <c r="Z153" s="238"/>
    </row>
    <row r="154" spans="1:26" s="239" customFormat="1" ht="28.5" customHeight="1" x14ac:dyDescent="0.3">
      <c r="A154" s="222">
        <f t="shared" si="18"/>
        <v>0</v>
      </c>
      <c r="B154" s="223" t="b">
        <f t="shared" si="19"/>
        <v>1</v>
      </c>
      <c r="C154" s="222">
        <f t="shared" si="20"/>
        <v>0</v>
      </c>
      <c r="D154" s="205" t="str">
        <f t="shared" si="17"/>
        <v>$$$$</v>
      </c>
      <c r="E154" s="224"/>
      <c r="F154" s="225"/>
      <c r="G154" s="226"/>
      <c r="H154" s="227"/>
      <c r="I154" s="228"/>
      <c r="J154" s="228"/>
      <c r="K154" s="229"/>
      <c r="L154" s="230"/>
      <c r="M154" s="231"/>
      <c r="N154" s="232"/>
      <c r="O154" s="230"/>
      <c r="P154" s="231"/>
      <c r="Q154" s="232"/>
      <c r="R154" s="233"/>
      <c r="S154" s="234"/>
      <c r="T154" s="235"/>
      <c r="U154" s="233"/>
      <c r="V154" s="236"/>
      <c r="W154" s="234"/>
      <c r="X154" s="235"/>
      <c r="Y154" s="237"/>
      <c r="Z154" s="238"/>
    </row>
    <row r="155" spans="1:26" s="239" customFormat="1" ht="28.5" customHeight="1" x14ac:dyDescent="0.3">
      <c r="A155" s="222">
        <f>IF(B155,0,MATCH(H155,ВидыНагр,0))</f>
        <v>0</v>
      </c>
      <c r="B155" s="223" t="b">
        <f>(COUNTIF(КлючВесна,D155)&lt;&gt;1)</f>
        <v>1</v>
      </c>
      <c r="C155" s="222">
        <f t="shared" si="20"/>
        <v>0</v>
      </c>
      <c r="D155" s="205" t="str">
        <f>CONCATENATE("$",TRIM(F155),"$",TRIM(G155),"$",H155,"$")</f>
        <v>$$$$</v>
      </c>
      <c r="E155" s="224"/>
      <c r="F155" s="225"/>
      <c r="G155" s="226"/>
      <c r="H155" s="227"/>
      <c r="I155" s="228"/>
      <c r="J155" s="228"/>
      <c r="K155" s="229"/>
      <c r="L155" s="230"/>
      <c r="M155" s="231"/>
      <c r="N155" s="232"/>
      <c r="O155" s="230"/>
      <c r="P155" s="231"/>
      <c r="Q155" s="232"/>
      <c r="R155" s="233"/>
      <c r="S155" s="234"/>
      <c r="T155" s="235"/>
      <c r="U155" s="233"/>
      <c r="V155" s="236"/>
      <c r="W155" s="234"/>
      <c r="X155" s="235"/>
      <c r="Y155" s="237"/>
      <c r="Z155" s="238"/>
    </row>
    <row r="156" spans="1:26" s="239" customFormat="1" ht="28.5" customHeight="1" x14ac:dyDescent="0.3">
      <c r="A156" s="222">
        <f>IF(B156,0,MATCH(H156,ВидыНагр,0))</f>
        <v>0</v>
      </c>
      <c r="B156" s="223" t="b">
        <f>(COUNTIF(КлючВесна,D156)&lt;&gt;1)</f>
        <v>1</v>
      </c>
      <c r="C156" s="222">
        <f t="shared" si="20"/>
        <v>0</v>
      </c>
      <c r="D156" s="205" t="str">
        <f>CONCATENATE("$",TRIM(F156),"$",TRIM(G156),"$",H156,"$")</f>
        <v>$$$$</v>
      </c>
      <c r="E156" s="224"/>
      <c r="F156" s="225"/>
      <c r="G156" s="226"/>
      <c r="H156" s="227"/>
      <c r="I156" s="228"/>
      <c r="J156" s="228"/>
      <c r="K156" s="229"/>
      <c r="L156" s="230"/>
      <c r="M156" s="231"/>
      <c r="N156" s="232"/>
      <c r="O156" s="230"/>
      <c r="P156" s="231"/>
      <c r="Q156" s="232"/>
      <c r="R156" s="233"/>
      <c r="S156" s="234"/>
      <c r="T156" s="235"/>
      <c r="U156" s="233"/>
      <c r="V156" s="236"/>
      <c r="W156" s="234"/>
      <c r="X156" s="235"/>
      <c r="Y156" s="237"/>
      <c r="Z156" s="238"/>
    </row>
    <row r="157" spans="1:26" s="239" customFormat="1" ht="28.5" customHeight="1" x14ac:dyDescent="0.3">
      <c r="A157" s="222">
        <f t="shared" ref="A157:A158" si="21">IF(B157,0,MATCH(H157,ВидыНагр,0))</f>
        <v>0</v>
      </c>
      <c r="B157" s="223" t="b">
        <f t="shared" ref="B157:B158" si="22">(COUNTIF(КлючВесна,D157)&lt;&gt;1)</f>
        <v>1</v>
      </c>
      <c r="C157" s="222">
        <f t="shared" si="20"/>
        <v>0</v>
      </c>
      <c r="D157" s="205" t="str">
        <f t="shared" ref="D157:D158" si="23">CONCATENATE("$",TRIM(F157),"$",TRIM(G157),"$",H157,"$")</f>
        <v>$$$$</v>
      </c>
      <c r="E157" s="224"/>
      <c r="F157" s="225"/>
      <c r="G157" s="226"/>
      <c r="H157" s="227"/>
      <c r="I157" s="228"/>
      <c r="J157" s="228"/>
      <c r="K157" s="229"/>
      <c r="L157" s="230"/>
      <c r="M157" s="231"/>
      <c r="N157" s="232"/>
      <c r="O157" s="230"/>
      <c r="P157" s="231"/>
      <c r="Q157" s="232"/>
      <c r="R157" s="233"/>
      <c r="S157" s="234"/>
      <c r="T157" s="235"/>
      <c r="U157" s="233"/>
      <c r="V157" s="236"/>
      <c r="W157" s="234"/>
      <c r="X157" s="235"/>
      <c r="Y157" s="237"/>
      <c r="Z157" s="238"/>
    </row>
    <row r="158" spans="1:26" s="239" customFormat="1" ht="28.5" customHeight="1" x14ac:dyDescent="0.3">
      <c r="A158" s="222">
        <f t="shared" si="21"/>
        <v>0</v>
      </c>
      <c r="B158" s="223" t="b">
        <f t="shared" si="22"/>
        <v>1</v>
      </c>
      <c r="C158" s="222">
        <f t="shared" si="20"/>
        <v>0</v>
      </c>
      <c r="D158" s="205" t="str">
        <f t="shared" si="23"/>
        <v>$$$$</v>
      </c>
      <c r="E158" s="224"/>
      <c r="F158" s="225"/>
      <c r="G158" s="226"/>
      <c r="H158" s="227"/>
      <c r="I158" s="228"/>
      <c r="J158" s="228"/>
      <c r="K158" s="229"/>
      <c r="L158" s="230"/>
      <c r="M158" s="231"/>
      <c r="N158" s="232"/>
      <c r="O158" s="230"/>
      <c r="P158" s="231"/>
      <c r="Q158" s="232"/>
      <c r="R158" s="233"/>
      <c r="S158" s="234"/>
      <c r="T158" s="235"/>
      <c r="U158" s="233"/>
      <c r="V158" s="236"/>
      <c r="W158" s="234"/>
      <c r="X158" s="235"/>
      <c r="Y158" s="237"/>
      <c r="Z158" s="238"/>
    </row>
    <row r="159" spans="1:26" s="239" customFormat="1" ht="28.5" customHeight="1" x14ac:dyDescent="0.3">
      <c r="A159" s="222">
        <f t="shared" si="14"/>
        <v>0</v>
      </c>
      <c r="B159" s="223" t="b">
        <f t="shared" si="15"/>
        <v>1</v>
      </c>
      <c r="C159" s="222">
        <f t="shared" si="16"/>
        <v>0</v>
      </c>
      <c r="D159" s="205" t="str">
        <f t="shared" si="13"/>
        <v>$$$$</v>
      </c>
      <c r="E159" s="224"/>
      <c r="F159" s="225"/>
      <c r="G159" s="226"/>
      <c r="H159" s="227"/>
      <c r="I159" s="228"/>
      <c r="J159" s="228"/>
      <c r="K159" s="229"/>
      <c r="L159" s="230"/>
      <c r="M159" s="231"/>
      <c r="N159" s="232"/>
      <c r="O159" s="230"/>
      <c r="P159" s="231"/>
      <c r="Q159" s="232"/>
      <c r="R159" s="233"/>
      <c r="S159" s="234"/>
      <c r="T159" s="235"/>
      <c r="U159" s="233"/>
      <c r="V159" s="236"/>
      <c r="W159" s="234"/>
      <c r="X159" s="235"/>
      <c r="Y159" s="237"/>
      <c r="Z159" s="238"/>
    </row>
    <row r="160" spans="1:26" x14ac:dyDescent="0.3">
      <c r="D160" s="1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</row>
  </sheetData>
  <sheetProtection algorithmName="SHA-512" hashValue="CyKXmsvAczgrMsN/nUjJgHxUS83wXSmxYKByOwFyxfp6ii9VDlHu9PqDdt6wrdWYbPvxOvObg7BMZOe2cIiALA==" saltValue="mQb3G+iBjAz7Lf9MfRpRKQ==" spinCount="100000" sheet="1" objects="1" scenarios="1"/>
  <mergeCells count="5">
    <mergeCell ref="F2:F5"/>
    <mergeCell ref="G2:G5"/>
    <mergeCell ref="I2:J2"/>
    <mergeCell ref="I3:J3"/>
    <mergeCell ref="I4:J4"/>
  </mergeCells>
  <phoneticPr fontId="0" type="noConversion"/>
  <conditionalFormatting sqref="E7:Z159">
    <cfRule type="expression" dxfId="23" priority="3" stopIfTrue="1">
      <formula>($C7=0)</formula>
    </cfRule>
  </conditionalFormatting>
  <conditionalFormatting sqref="F7:H159">
    <cfRule type="expression" dxfId="22" priority="4" stopIfTrue="1">
      <formula>$B7</formula>
    </cfRule>
  </conditionalFormatting>
  <conditionalFormatting sqref="L6:Y6">
    <cfRule type="cellIs" dxfId="21" priority="1" stopIfTrue="1" operator="notEqual">
      <formula>0</formula>
    </cfRule>
  </conditionalFormatting>
  <conditionalFormatting sqref="F6:H6">
    <cfRule type="expression" dxfId="20" priority="2" stopIfTrue="1">
      <formula>$G$6&lt;&gt;0</formula>
    </cfRule>
  </conditionalFormatting>
  <conditionalFormatting sqref="L7:Y159">
    <cfRule type="expression" dxfId="19" priority="5" stopIfTrue="1">
      <formula>AND(NOT($B7),$C7&lt;2)</formula>
    </cfRule>
    <cfRule type="expression" dxfId="18" priority="6" stopIfTrue="1">
      <formula>AND($B7,L7&lt;&gt;0)</formula>
    </cfRule>
  </conditionalFormatting>
  <dataValidations count="4">
    <dataValidation type="list" allowBlank="1" showInputMessage="1" sqref="F7:F159">
      <formula1>OFFSET(ДисциплиныВесна,0,0,ДисциплиныВеснаКол,1)</formula1>
    </dataValidation>
    <dataValidation type="list" allowBlank="1" showInputMessage="1" sqref="G7:G159">
      <formula1>OFFSET(ГруппыВесна,0,0,ГруппыВеснаКол,1)</formula1>
    </dataValidation>
    <dataValidation type="list" allowBlank="1" showInputMessage="1" sqref="H7:H159">
      <formula1>ВидыНагр</formula1>
    </dataValidation>
    <dataValidation type="whole" allowBlank="1" showInputMessage="1" showErrorMessage="1" sqref="E7:E159">
      <formula1>1</formula1>
      <formula2>31</formula2>
    </dataValidation>
  </dataValidations>
  <printOptions horizontalCentered="1"/>
  <pageMargins left="0.39370078740157483" right="0.39370078740157483" top="1.1811023622047245" bottom="0.59055118110236227" header="0.98425196850393704" footer="0.39370078740157483"/>
  <pageSetup paperSize="9" scale="63" fitToHeight="10" orientation="landscape" r:id="rId1"/>
  <headerFooter>
    <oddHeader>&amp;L&amp;F&amp;C&amp;"Open Sans,полужирный"Месяц &amp;A &amp;"Open Sans,обычный"(с. &amp;P из &amp;N)&amp;R&amp;D  &amp;T</oddHeader>
  </headerFooter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19">
    <tabColor indexed="15"/>
    <outlinePr summaryBelow="0" summaryRight="0"/>
    <pageSetUpPr fitToPage="1"/>
  </sheetPr>
  <dimension ref="A1:Z160"/>
  <sheetViews>
    <sheetView zoomScale="85" zoomScaleNormal="100" workbookViewId="0">
      <pane xSplit="8" ySplit="6" topLeftCell="I7" activePane="bottomRight" state="frozen"/>
      <selection activeCell="E7" sqref="E7"/>
      <selection pane="topRight" activeCell="E7" sqref="E7"/>
      <selection pane="bottomLeft" activeCell="E7" sqref="E7"/>
      <selection pane="bottomRight" activeCell="E7" sqref="E7"/>
    </sheetView>
  </sheetViews>
  <sheetFormatPr defaultRowHeight="14.25" x14ac:dyDescent="0.3"/>
  <cols>
    <col min="1" max="3" width="4.7109375" style="4" hidden="1" customWidth="1"/>
    <col min="4" max="4" width="30.7109375" style="240" hidden="1" customWidth="1"/>
    <col min="5" max="5" width="4.7109375" style="167" customWidth="1"/>
    <col min="6" max="6" width="32.7109375" style="241" customWidth="1"/>
    <col min="7" max="7" width="18.7109375" style="241" customWidth="1"/>
    <col min="8" max="8" width="6.7109375" style="241" customWidth="1"/>
    <col min="9" max="10" width="4.7109375" style="241" customWidth="1"/>
    <col min="11" max="11" width="40.7109375" style="242" customWidth="1"/>
    <col min="12" max="25" width="6.85546875" style="167" customWidth="1"/>
    <col min="26" max="26" width="30.7109375" style="2" customWidth="1"/>
    <col min="27" max="27" width="2.7109375" style="2" customWidth="1"/>
    <col min="28" max="16384" width="9.140625" style="2"/>
  </cols>
  <sheetData>
    <row r="1" spans="1:26" ht="112.5" customHeight="1" x14ac:dyDescent="0.3">
      <c r="A1" s="169" t="s">
        <v>77</v>
      </c>
      <c r="B1" s="169" t="s">
        <v>114</v>
      </c>
      <c r="C1" s="169" t="s">
        <v>113</v>
      </c>
      <c r="D1" s="191" t="s">
        <v>76</v>
      </c>
      <c r="E1" s="192" t="s">
        <v>116</v>
      </c>
      <c r="F1" s="193" t="s">
        <v>69</v>
      </c>
      <c r="G1" s="194" t="s">
        <v>100</v>
      </c>
      <c r="H1" s="195" t="s">
        <v>109</v>
      </c>
      <c r="I1" s="196" t="s">
        <v>102</v>
      </c>
      <c r="J1" s="197" t="s">
        <v>85</v>
      </c>
      <c r="K1" s="198" t="s">
        <v>81</v>
      </c>
      <c r="L1" s="199" t="s">
        <v>0</v>
      </c>
      <c r="M1" s="200" t="s">
        <v>68</v>
      </c>
      <c r="N1" s="195" t="s">
        <v>3</v>
      </c>
      <c r="O1" s="201" t="s">
        <v>1</v>
      </c>
      <c r="P1" s="200" t="s">
        <v>4</v>
      </c>
      <c r="Q1" s="195" t="s">
        <v>62</v>
      </c>
      <c r="R1" s="199" t="s">
        <v>252</v>
      </c>
      <c r="S1" s="202" t="s">
        <v>2</v>
      </c>
      <c r="T1" s="195" t="s">
        <v>205</v>
      </c>
      <c r="U1" s="201" t="s">
        <v>253</v>
      </c>
      <c r="V1" s="199" t="s">
        <v>254</v>
      </c>
      <c r="W1" s="202" t="s">
        <v>70</v>
      </c>
      <c r="X1" s="195" t="s">
        <v>138</v>
      </c>
      <c r="Y1" s="196" t="s">
        <v>5</v>
      </c>
      <c r="Z1" s="203" t="s">
        <v>29</v>
      </c>
    </row>
    <row r="2" spans="1:26" ht="17.100000000000001" customHeight="1" x14ac:dyDescent="0.3">
      <c r="A2" s="204">
        <f>MATCH(H2,ВидыНагр,0)</f>
        <v>1</v>
      </c>
      <c r="B2" s="204"/>
      <c r="C2" s="204"/>
      <c r="D2" s="205"/>
      <c r="E2" s="206"/>
      <c r="F2" s="390" t="s">
        <v>134</v>
      </c>
      <c r="G2" s="393">
        <f>SUM(L5:Y5)</f>
        <v>0</v>
      </c>
      <c r="H2" s="309" t="s">
        <v>111</v>
      </c>
      <c r="I2" s="396">
        <f>SUM(L2:Y2)</f>
        <v>0</v>
      </c>
      <c r="J2" s="397"/>
      <c r="K2" s="289"/>
      <c r="L2" s="58">
        <f t="shared" ref="L2:Y4" si="0">SUMIF($A$7:$A$159,$A2,L$7:L$159)</f>
        <v>0</v>
      </c>
      <c r="M2" s="59">
        <f t="shared" si="0"/>
        <v>0</v>
      </c>
      <c r="N2" s="60">
        <f t="shared" si="0"/>
        <v>0</v>
      </c>
      <c r="O2" s="58">
        <f t="shared" si="0"/>
        <v>0</v>
      </c>
      <c r="P2" s="59">
        <f t="shared" si="0"/>
        <v>0</v>
      </c>
      <c r="Q2" s="60">
        <f t="shared" si="0"/>
        <v>0</v>
      </c>
      <c r="R2" s="58">
        <f t="shared" si="0"/>
        <v>0</v>
      </c>
      <c r="S2" s="62">
        <f t="shared" si="0"/>
        <v>0</v>
      </c>
      <c r="T2" s="60">
        <f t="shared" si="0"/>
        <v>0</v>
      </c>
      <c r="U2" s="58">
        <f t="shared" si="0"/>
        <v>0</v>
      </c>
      <c r="V2" s="61">
        <f t="shared" si="0"/>
        <v>0</v>
      </c>
      <c r="W2" s="62">
        <f t="shared" si="0"/>
        <v>0</v>
      </c>
      <c r="X2" s="60">
        <f t="shared" si="0"/>
        <v>0</v>
      </c>
      <c r="Y2" s="41">
        <f t="shared" si="0"/>
        <v>0</v>
      </c>
      <c r="Z2" s="207"/>
    </row>
    <row r="3" spans="1:26" ht="17.100000000000001" customHeight="1" x14ac:dyDescent="0.3">
      <c r="A3" s="204">
        <f>MATCH(H3,ВидыНагр,0)</f>
        <v>2</v>
      </c>
      <c r="B3" s="204"/>
      <c r="C3" s="204"/>
      <c r="D3" s="205"/>
      <c r="E3" s="208"/>
      <c r="F3" s="391"/>
      <c r="G3" s="394"/>
      <c r="H3" s="309" t="s">
        <v>112</v>
      </c>
      <c r="I3" s="398">
        <f>SUM(L3:Y3)</f>
        <v>0</v>
      </c>
      <c r="J3" s="399"/>
      <c r="K3" s="291"/>
      <c r="L3" s="58">
        <f t="shared" si="0"/>
        <v>0</v>
      </c>
      <c r="M3" s="59">
        <f t="shared" si="0"/>
        <v>0</v>
      </c>
      <c r="N3" s="60">
        <f t="shared" si="0"/>
        <v>0</v>
      </c>
      <c r="O3" s="58">
        <f t="shared" si="0"/>
        <v>0</v>
      </c>
      <c r="P3" s="59">
        <f t="shared" si="0"/>
        <v>0</v>
      </c>
      <c r="Q3" s="60">
        <f t="shared" si="0"/>
        <v>0</v>
      </c>
      <c r="R3" s="58">
        <f t="shared" si="0"/>
        <v>0</v>
      </c>
      <c r="S3" s="62">
        <f t="shared" si="0"/>
        <v>0</v>
      </c>
      <c r="T3" s="60">
        <f t="shared" si="0"/>
        <v>0</v>
      </c>
      <c r="U3" s="58">
        <f t="shared" si="0"/>
        <v>0</v>
      </c>
      <c r="V3" s="61">
        <f t="shared" si="0"/>
        <v>0</v>
      </c>
      <c r="W3" s="62">
        <f t="shared" si="0"/>
        <v>0</v>
      </c>
      <c r="X3" s="60">
        <f t="shared" si="0"/>
        <v>0</v>
      </c>
      <c r="Y3" s="41">
        <f t="shared" si="0"/>
        <v>0</v>
      </c>
      <c r="Z3" s="207"/>
    </row>
    <row r="4" spans="1:26" ht="17.100000000000001" customHeight="1" x14ac:dyDescent="0.3">
      <c r="A4" s="204">
        <f>MATCH(H4,ВидыНагр,0)</f>
        <v>3</v>
      </c>
      <c r="B4" s="204"/>
      <c r="C4" s="204"/>
      <c r="D4" s="205"/>
      <c r="E4" s="208"/>
      <c r="F4" s="391"/>
      <c r="G4" s="394"/>
      <c r="H4" s="310" t="s">
        <v>115</v>
      </c>
      <c r="I4" s="400">
        <f>SUM(L4:Y4)</f>
        <v>0</v>
      </c>
      <c r="J4" s="401"/>
      <c r="K4" s="293"/>
      <c r="L4" s="209">
        <f t="shared" si="0"/>
        <v>0</v>
      </c>
      <c r="M4" s="210">
        <f t="shared" si="0"/>
        <v>0</v>
      </c>
      <c r="N4" s="211">
        <f t="shared" si="0"/>
        <v>0</v>
      </c>
      <c r="O4" s="209">
        <f t="shared" si="0"/>
        <v>0</v>
      </c>
      <c r="P4" s="210">
        <f t="shared" si="0"/>
        <v>0</v>
      </c>
      <c r="Q4" s="211">
        <f t="shared" si="0"/>
        <v>0</v>
      </c>
      <c r="R4" s="209">
        <f t="shared" si="0"/>
        <v>0</v>
      </c>
      <c r="S4" s="212">
        <f t="shared" si="0"/>
        <v>0</v>
      </c>
      <c r="T4" s="211">
        <f t="shared" si="0"/>
        <v>0</v>
      </c>
      <c r="U4" s="209">
        <f t="shared" si="0"/>
        <v>0</v>
      </c>
      <c r="V4" s="213">
        <f t="shared" si="0"/>
        <v>0</v>
      </c>
      <c r="W4" s="212">
        <f t="shared" si="0"/>
        <v>0</v>
      </c>
      <c r="X4" s="211">
        <f t="shared" si="0"/>
        <v>0</v>
      </c>
      <c r="Y4" s="69">
        <f t="shared" si="0"/>
        <v>0</v>
      </c>
      <c r="Z4" s="207"/>
    </row>
    <row r="5" spans="1:26" ht="17.100000000000001" customHeight="1" x14ac:dyDescent="0.3">
      <c r="A5" s="204"/>
      <c r="B5" s="204"/>
      <c r="C5" s="204"/>
      <c r="D5" s="205"/>
      <c r="E5" s="208"/>
      <c r="F5" s="392"/>
      <c r="G5" s="395"/>
      <c r="H5" s="294" t="s">
        <v>6</v>
      </c>
      <c r="I5" s="295"/>
      <c r="J5" s="296"/>
      <c r="K5" s="297"/>
      <c r="L5" s="298">
        <f>SUM(L2:L4)</f>
        <v>0</v>
      </c>
      <c r="M5" s="299">
        <f t="shared" ref="M5:Y5" si="1">SUM(M2:M4)</f>
        <v>0</v>
      </c>
      <c r="N5" s="300">
        <f t="shared" si="1"/>
        <v>0</v>
      </c>
      <c r="O5" s="298">
        <f t="shared" si="1"/>
        <v>0</v>
      </c>
      <c r="P5" s="299">
        <f t="shared" si="1"/>
        <v>0</v>
      </c>
      <c r="Q5" s="300">
        <f t="shared" si="1"/>
        <v>0</v>
      </c>
      <c r="R5" s="298">
        <f t="shared" si="1"/>
        <v>0</v>
      </c>
      <c r="S5" s="301">
        <f t="shared" si="1"/>
        <v>0</v>
      </c>
      <c r="T5" s="300">
        <f t="shared" si="1"/>
        <v>0</v>
      </c>
      <c r="U5" s="298">
        <f t="shared" si="1"/>
        <v>0</v>
      </c>
      <c r="V5" s="302">
        <f t="shared" si="1"/>
        <v>0</v>
      </c>
      <c r="W5" s="301">
        <f t="shared" si="1"/>
        <v>0</v>
      </c>
      <c r="X5" s="300">
        <f t="shared" si="1"/>
        <v>0</v>
      </c>
      <c r="Y5" s="303">
        <f t="shared" si="1"/>
        <v>0</v>
      </c>
      <c r="Z5" s="214">
        <f>Утв_Весна</f>
        <v>0</v>
      </c>
    </row>
    <row r="6" spans="1:26" ht="17.100000000000001" customHeight="1" x14ac:dyDescent="0.3">
      <c r="A6" s="204"/>
      <c r="B6" s="204"/>
      <c r="C6" s="204"/>
      <c r="D6" s="205"/>
      <c r="E6" s="215"/>
      <c r="F6" s="304" t="s">
        <v>82</v>
      </c>
      <c r="G6" s="305">
        <f>SUM(L6:Y6)</f>
        <v>0</v>
      </c>
      <c r="H6" s="306"/>
      <c r="I6" s="307"/>
      <c r="J6" s="308"/>
      <c r="K6" s="297"/>
      <c r="L6" s="216">
        <f t="shared" ref="L6:Y6" si="2">SUM(L7:L159)-L5</f>
        <v>0</v>
      </c>
      <c r="M6" s="217">
        <f t="shared" si="2"/>
        <v>0</v>
      </c>
      <c r="N6" s="218">
        <f t="shared" si="2"/>
        <v>0</v>
      </c>
      <c r="O6" s="216">
        <f t="shared" si="2"/>
        <v>0</v>
      </c>
      <c r="P6" s="217">
        <f t="shared" si="2"/>
        <v>0</v>
      </c>
      <c r="Q6" s="218">
        <f t="shared" si="2"/>
        <v>0</v>
      </c>
      <c r="R6" s="216">
        <f t="shared" si="2"/>
        <v>0</v>
      </c>
      <c r="S6" s="219">
        <f t="shared" si="2"/>
        <v>0</v>
      </c>
      <c r="T6" s="218">
        <f t="shared" si="2"/>
        <v>0</v>
      </c>
      <c r="U6" s="216">
        <f t="shared" si="2"/>
        <v>0</v>
      </c>
      <c r="V6" s="220">
        <f t="shared" si="2"/>
        <v>0</v>
      </c>
      <c r="W6" s="219">
        <f t="shared" si="2"/>
        <v>0</v>
      </c>
      <c r="X6" s="218">
        <f t="shared" si="2"/>
        <v>0</v>
      </c>
      <c r="Y6" s="216">
        <f t="shared" si="2"/>
        <v>0</v>
      </c>
      <c r="Z6" s="221"/>
    </row>
    <row r="7" spans="1:26" s="239" customFormat="1" ht="28.5" customHeight="1" x14ac:dyDescent="0.3">
      <c r="A7" s="222">
        <f t="shared" ref="A7:A38" si="3">IF(B7,0,MATCH(H7,ВидыНагр,0))</f>
        <v>0</v>
      </c>
      <c r="B7" s="223" t="b">
        <f t="shared" ref="B7:B38" si="4">(COUNTIF(КлючВесна,D7)&lt;&gt;1)</f>
        <v>1</v>
      </c>
      <c r="C7" s="222">
        <f t="shared" ref="C7:C38" si="5">IF(COUNTA(E7:K7,Z7)&gt;0,1,0)+IF(COUNTA(L7:Y7)&gt;0,2,0)</f>
        <v>0</v>
      </c>
      <c r="D7" s="205" t="str">
        <f>CONCATENATE("$",TRIM(F7),"$",TRIM(G7),"$",H7,"$")</f>
        <v>$$$$</v>
      </c>
      <c r="E7" s="224"/>
      <c r="F7" s="225"/>
      <c r="G7" s="226"/>
      <c r="H7" s="227"/>
      <c r="I7" s="228"/>
      <c r="J7" s="228"/>
      <c r="K7" s="229"/>
      <c r="L7" s="230"/>
      <c r="M7" s="231"/>
      <c r="N7" s="232"/>
      <c r="O7" s="230"/>
      <c r="P7" s="231"/>
      <c r="Q7" s="232"/>
      <c r="R7" s="233"/>
      <c r="S7" s="234"/>
      <c r="T7" s="235"/>
      <c r="U7" s="233"/>
      <c r="V7" s="236"/>
      <c r="W7" s="234"/>
      <c r="X7" s="235"/>
      <c r="Y7" s="237"/>
      <c r="Z7" s="238"/>
    </row>
    <row r="8" spans="1:26" s="239" customFormat="1" ht="28.5" customHeight="1" x14ac:dyDescent="0.3">
      <c r="A8" s="222">
        <f t="shared" si="3"/>
        <v>0</v>
      </c>
      <c r="B8" s="223" t="b">
        <f t="shared" si="4"/>
        <v>1</v>
      </c>
      <c r="C8" s="222">
        <f t="shared" si="5"/>
        <v>0</v>
      </c>
      <c r="D8" s="205" t="str">
        <f t="shared" ref="D8:D71" si="6">CONCATENATE("$",TRIM(F8),"$",TRIM(G8),"$",H8,"$")</f>
        <v>$$$$</v>
      </c>
      <c r="E8" s="224"/>
      <c r="F8" s="225"/>
      <c r="G8" s="226"/>
      <c r="H8" s="227"/>
      <c r="I8" s="228"/>
      <c r="J8" s="228"/>
      <c r="K8" s="229"/>
      <c r="L8" s="230"/>
      <c r="M8" s="231"/>
      <c r="N8" s="232"/>
      <c r="O8" s="230"/>
      <c r="P8" s="231"/>
      <c r="Q8" s="232"/>
      <c r="R8" s="233"/>
      <c r="S8" s="234"/>
      <c r="T8" s="235"/>
      <c r="U8" s="233"/>
      <c r="V8" s="236"/>
      <c r="W8" s="234"/>
      <c r="X8" s="235"/>
      <c r="Y8" s="237"/>
      <c r="Z8" s="238"/>
    </row>
    <row r="9" spans="1:26" s="239" customFormat="1" ht="28.5" customHeight="1" x14ac:dyDescent="0.3">
      <c r="A9" s="222">
        <f t="shared" si="3"/>
        <v>0</v>
      </c>
      <c r="B9" s="223" t="b">
        <f t="shared" si="4"/>
        <v>1</v>
      </c>
      <c r="C9" s="222">
        <f t="shared" si="5"/>
        <v>0</v>
      </c>
      <c r="D9" s="205" t="str">
        <f t="shared" si="6"/>
        <v>$$$$</v>
      </c>
      <c r="E9" s="224"/>
      <c r="F9" s="225"/>
      <c r="G9" s="226"/>
      <c r="H9" s="227"/>
      <c r="I9" s="228"/>
      <c r="J9" s="228"/>
      <c r="K9" s="229"/>
      <c r="L9" s="230"/>
      <c r="M9" s="231"/>
      <c r="N9" s="232"/>
      <c r="O9" s="230"/>
      <c r="P9" s="231"/>
      <c r="Q9" s="232"/>
      <c r="R9" s="233"/>
      <c r="S9" s="234"/>
      <c r="T9" s="235"/>
      <c r="U9" s="233"/>
      <c r="V9" s="236"/>
      <c r="W9" s="234"/>
      <c r="X9" s="235"/>
      <c r="Y9" s="237"/>
      <c r="Z9" s="238"/>
    </row>
    <row r="10" spans="1:26" s="239" customFormat="1" ht="28.5" customHeight="1" x14ac:dyDescent="0.3">
      <c r="A10" s="222">
        <f t="shared" si="3"/>
        <v>0</v>
      </c>
      <c r="B10" s="223" t="b">
        <f t="shared" si="4"/>
        <v>1</v>
      </c>
      <c r="C10" s="222">
        <f t="shared" si="5"/>
        <v>0</v>
      </c>
      <c r="D10" s="205" t="str">
        <f t="shared" si="6"/>
        <v>$$$$</v>
      </c>
      <c r="E10" s="224"/>
      <c r="F10" s="225"/>
      <c r="G10" s="226"/>
      <c r="H10" s="227"/>
      <c r="I10" s="228"/>
      <c r="J10" s="228"/>
      <c r="K10" s="229"/>
      <c r="L10" s="230"/>
      <c r="M10" s="231"/>
      <c r="N10" s="232"/>
      <c r="O10" s="230"/>
      <c r="P10" s="231"/>
      <c r="Q10" s="232"/>
      <c r="R10" s="233"/>
      <c r="S10" s="234"/>
      <c r="T10" s="235"/>
      <c r="U10" s="233"/>
      <c r="V10" s="236"/>
      <c r="W10" s="234"/>
      <c r="X10" s="235"/>
      <c r="Y10" s="237"/>
      <c r="Z10" s="238"/>
    </row>
    <row r="11" spans="1:26" s="239" customFormat="1" ht="28.5" customHeight="1" x14ac:dyDescent="0.3">
      <c r="A11" s="222">
        <f t="shared" si="3"/>
        <v>0</v>
      </c>
      <c r="B11" s="223" t="b">
        <f t="shared" si="4"/>
        <v>1</v>
      </c>
      <c r="C11" s="222">
        <f t="shared" si="5"/>
        <v>0</v>
      </c>
      <c r="D11" s="205" t="str">
        <f t="shared" si="6"/>
        <v>$$$$</v>
      </c>
      <c r="E11" s="224"/>
      <c r="F11" s="225"/>
      <c r="G11" s="226"/>
      <c r="H11" s="227"/>
      <c r="I11" s="228"/>
      <c r="J11" s="228"/>
      <c r="K11" s="229"/>
      <c r="L11" s="230"/>
      <c r="M11" s="231"/>
      <c r="N11" s="232"/>
      <c r="O11" s="230"/>
      <c r="P11" s="231"/>
      <c r="Q11" s="232"/>
      <c r="R11" s="233"/>
      <c r="S11" s="234"/>
      <c r="T11" s="235"/>
      <c r="U11" s="233"/>
      <c r="V11" s="236"/>
      <c r="W11" s="234"/>
      <c r="X11" s="235"/>
      <c r="Y11" s="237"/>
      <c r="Z11" s="238"/>
    </row>
    <row r="12" spans="1:26" s="239" customFormat="1" ht="28.5" customHeight="1" x14ac:dyDescent="0.3">
      <c r="A12" s="222">
        <f t="shared" si="3"/>
        <v>0</v>
      </c>
      <c r="B12" s="223" t="b">
        <f t="shared" si="4"/>
        <v>1</v>
      </c>
      <c r="C12" s="222">
        <f t="shared" si="5"/>
        <v>0</v>
      </c>
      <c r="D12" s="205" t="str">
        <f t="shared" si="6"/>
        <v>$$$$</v>
      </c>
      <c r="E12" s="224"/>
      <c r="F12" s="225"/>
      <c r="G12" s="226"/>
      <c r="H12" s="227"/>
      <c r="I12" s="228"/>
      <c r="J12" s="228"/>
      <c r="K12" s="229"/>
      <c r="L12" s="230"/>
      <c r="M12" s="231"/>
      <c r="N12" s="232"/>
      <c r="O12" s="230"/>
      <c r="P12" s="231"/>
      <c r="Q12" s="232"/>
      <c r="R12" s="233"/>
      <c r="S12" s="234"/>
      <c r="T12" s="235"/>
      <c r="U12" s="233"/>
      <c r="V12" s="236"/>
      <c r="W12" s="234"/>
      <c r="X12" s="235"/>
      <c r="Y12" s="237"/>
      <c r="Z12" s="238"/>
    </row>
    <row r="13" spans="1:26" s="239" customFormat="1" ht="28.5" customHeight="1" x14ac:dyDescent="0.3">
      <c r="A13" s="222">
        <f t="shared" si="3"/>
        <v>0</v>
      </c>
      <c r="B13" s="223" t="b">
        <f t="shared" si="4"/>
        <v>1</v>
      </c>
      <c r="C13" s="222">
        <f t="shared" si="5"/>
        <v>0</v>
      </c>
      <c r="D13" s="205" t="str">
        <f t="shared" si="6"/>
        <v>$$$$</v>
      </c>
      <c r="E13" s="224"/>
      <c r="F13" s="225"/>
      <c r="G13" s="226"/>
      <c r="H13" s="227"/>
      <c r="I13" s="228"/>
      <c r="J13" s="228"/>
      <c r="K13" s="229"/>
      <c r="L13" s="230"/>
      <c r="M13" s="231"/>
      <c r="N13" s="232"/>
      <c r="O13" s="230"/>
      <c r="P13" s="231"/>
      <c r="Q13" s="232"/>
      <c r="R13" s="233"/>
      <c r="S13" s="234"/>
      <c r="T13" s="235"/>
      <c r="U13" s="233"/>
      <c r="V13" s="236"/>
      <c r="W13" s="234"/>
      <c r="X13" s="235"/>
      <c r="Y13" s="237"/>
      <c r="Z13" s="238"/>
    </row>
    <row r="14" spans="1:26" s="239" customFormat="1" ht="28.5" customHeight="1" x14ac:dyDescent="0.3">
      <c r="A14" s="222">
        <f t="shared" si="3"/>
        <v>0</v>
      </c>
      <c r="B14" s="223" t="b">
        <f t="shared" si="4"/>
        <v>1</v>
      </c>
      <c r="C14" s="222">
        <f t="shared" si="5"/>
        <v>0</v>
      </c>
      <c r="D14" s="205" t="str">
        <f t="shared" si="6"/>
        <v>$$$$</v>
      </c>
      <c r="E14" s="224"/>
      <c r="F14" s="225"/>
      <c r="G14" s="226"/>
      <c r="H14" s="227"/>
      <c r="I14" s="228"/>
      <c r="J14" s="228"/>
      <c r="K14" s="229"/>
      <c r="L14" s="230"/>
      <c r="M14" s="231"/>
      <c r="N14" s="232"/>
      <c r="O14" s="230"/>
      <c r="P14" s="231"/>
      <c r="Q14" s="232"/>
      <c r="R14" s="233"/>
      <c r="S14" s="234"/>
      <c r="T14" s="235"/>
      <c r="U14" s="233"/>
      <c r="V14" s="236"/>
      <c r="W14" s="234"/>
      <c r="X14" s="235"/>
      <c r="Y14" s="237"/>
      <c r="Z14" s="238"/>
    </row>
    <row r="15" spans="1:26" s="239" customFormat="1" ht="28.5" customHeight="1" x14ac:dyDescent="0.3">
      <c r="A15" s="222">
        <f t="shared" si="3"/>
        <v>0</v>
      </c>
      <c r="B15" s="223" t="b">
        <f t="shared" si="4"/>
        <v>1</v>
      </c>
      <c r="C15" s="222">
        <f t="shared" si="5"/>
        <v>0</v>
      </c>
      <c r="D15" s="205" t="str">
        <f t="shared" si="6"/>
        <v>$$$$</v>
      </c>
      <c r="E15" s="224"/>
      <c r="F15" s="225"/>
      <c r="G15" s="226"/>
      <c r="H15" s="227"/>
      <c r="I15" s="228"/>
      <c r="J15" s="228"/>
      <c r="K15" s="229"/>
      <c r="L15" s="230"/>
      <c r="M15" s="231"/>
      <c r="N15" s="232"/>
      <c r="O15" s="230"/>
      <c r="P15" s="231"/>
      <c r="Q15" s="232"/>
      <c r="R15" s="233"/>
      <c r="S15" s="234"/>
      <c r="T15" s="235"/>
      <c r="U15" s="233"/>
      <c r="V15" s="236"/>
      <c r="W15" s="234"/>
      <c r="X15" s="235"/>
      <c r="Y15" s="237"/>
      <c r="Z15" s="238"/>
    </row>
    <row r="16" spans="1:26" s="239" customFormat="1" ht="28.5" customHeight="1" x14ac:dyDescent="0.3">
      <c r="A16" s="222">
        <f t="shared" si="3"/>
        <v>0</v>
      </c>
      <c r="B16" s="223" t="b">
        <f t="shared" si="4"/>
        <v>1</v>
      </c>
      <c r="C16" s="222">
        <f t="shared" si="5"/>
        <v>0</v>
      </c>
      <c r="D16" s="205" t="str">
        <f t="shared" si="6"/>
        <v>$$$$</v>
      </c>
      <c r="E16" s="224"/>
      <c r="F16" s="225"/>
      <c r="G16" s="226"/>
      <c r="H16" s="227"/>
      <c r="I16" s="228"/>
      <c r="J16" s="228"/>
      <c r="K16" s="229"/>
      <c r="L16" s="230"/>
      <c r="M16" s="231"/>
      <c r="N16" s="232"/>
      <c r="O16" s="230"/>
      <c r="P16" s="231"/>
      <c r="Q16" s="232"/>
      <c r="R16" s="233"/>
      <c r="S16" s="234"/>
      <c r="T16" s="235"/>
      <c r="U16" s="233"/>
      <c r="V16" s="236"/>
      <c r="W16" s="234"/>
      <c r="X16" s="235"/>
      <c r="Y16" s="237"/>
      <c r="Z16" s="238"/>
    </row>
    <row r="17" spans="1:26" s="239" customFormat="1" ht="28.5" customHeight="1" x14ac:dyDescent="0.3">
      <c r="A17" s="222">
        <f t="shared" si="3"/>
        <v>0</v>
      </c>
      <c r="B17" s="223" t="b">
        <f t="shared" si="4"/>
        <v>1</v>
      </c>
      <c r="C17" s="222">
        <f t="shared" si="5"/>
        <v>0</v>
      </c>
      <c r="D17" s="205" t="str">
        <f t="shared" si="6"/>
        <v>$$$$</v>
      </c>
      <c r="E17" s="224"/>
      <c r="F17" s="225"/>
      <c r="G17" s="226"/>
      <c r="H17" s="227"/>
      <c r="I17" s="228"/>
      <c r="J17" s="228"/>
      <c r="K17" s="229"/>
      <c r="L17" s="230"/>
      <c r="M17" s="231"/>
      <c r="N17" s="232"/>
      <c r="O17" s="230"/>
      <c r="P17" s="231"/>
      <c r="Q17" s="232"/>
      <c r="R17" s="233"/>
      <c r="S17" s="234"/>
      <c r="T17" s="235"/>
      <c r="U17" s="233"/>
      <c r="V17" s="236"/>
      <c r="W17" s="234"/>
      <c r="X17" s="235"/>
      <c r="Y17" s="237"/>
      <c r="Z17" s="238"/>
    </row>
    <row r="18" spans="1:26" s="239" customFormat="1" ht="28.5" customHeight="1" x14ac:dyDescent="0.3">
      <c r="A18" s="222">
        <f t="shared" si="3"/>
        <v>0</v>
      </c>
      <c r="B18" s="223" t="b">
        <f t="shared" si="4"/>
        <v>1</v>
      </c>
      <c r="C18" s="222">
        <f t="shared" si="5"/>
        <v>0</v>
      </c>
      <c r="D18" s="205" t="str">
        <f t="shared" si="6"/>
        <v>$$$$</v>
      </c>
      <c r="E18" s="224"/>
      <c r="F18" s="225"/>
      <c r="G18" s="226"/>
      <c r="H18" s="227"/>
      <c r="I18" s="228"/>
      <c r="J18" s="228"/>
      <c r="K18" s="229"/>
      <c r="L18" s="230"/>
      <c r="M18" s="231"/>
      <c r="N18" s="232"/>
      <c r="O18" s="230"/>
      <c r="P18" s="231"/>
      <c r="Q18" s="232"/>
      <c r="R18" s="233"/>
      <c r="S18" s="234"/>
      <c r="T18" s="235"/>
      <c r="U18" s="233"/>
      <c r="V18" s="236"/>
      <c r="W18" s="234"/>
      <c r="X18" s="235"/>
      <c r="Y18" s="237"/>
      <c r="Z18" s="238"/>
    </row>
    <row r="19" spans="1:26" s="239" customFormat="1" ht="28.5" customHeight="1" x14ac:dyDescent="0.3">
      <c r="A19" s="222">
        <f t="shared" si="3"/>
        <v>0</v>
      </c>
      <c r="B19" s="223" t="b">
        <f t="shared" si="4"/>
        <v>1</v>
      </c>
      <c r="C19" s="222">
        <f t="shared" si="5"/>
        <v>0</v>
      </c>
      <c r="D19" s="205" t="str">
        <f t="shared" si="6"/>
        <v>$$$$</v>
      </c>
      <c r="E19" s="224"/>
      <c r="F19" s="225"/>
      <c r="G19" s="226"/>
      <c r="H19" s="227"/>
      <c r="I19" s="228"/>
      <c r="J19" s="228"/>
      <c r="K19" s="229"/>
      <c r="L19" s="230"/>
      <c r="M19" s="231"/>
      <c r="N19" s="232"/>
      <c r="O19" s="230"/>
      <c r="P19" s="231"/>
      <c r="Q19" s="232"/>
      <c r="R19" s="233"/>
      <c r="S19" s="234"/>
      <c r="T19" s="235"/>
      <c r="U19" s="233"/>
      <c r="V19" s="236"/>
      <c r="W19" s="234"/>
      <c r="X19" s="235"/>
      <c r="Y19" s="237"/>
      <c r="Z19" s="238"/>
    </row>
    <row r="20" spans="1:26" s="239" customFormat="1" ht="28.5" customHeight="1" x14ac:dyDescent="0.3">
      <c r="A20" s="222">
        <f t="shared" si="3"/>
        <v>0</v>
      </c>
      <c r="B20" s="223" t="b">
        <f t="shared" si="4"/>
        <v>1</v>
      </c>
      <c r="C20" s="222">
        <f t="shared" si="5"/>
        <v>0</v>
      </c>
      <c r="D20" s="205" t="str">
        <f t="shared" si="6"/>
        <v>$$$$</v>
      </c>
      <c r="E20" s="224"/>
      <c r="F20" s="225"/>
      <c r="G20" s="226"/>
      <c r="H20" s="227"/>
      <c r="I20" s="228"/>
      <c r="J20" s="228"/>
      <c r="K20" s="229"/>
      <c r="L20" s="230"/>
      <c r="M20" s="231"/>
      <c r="N20" s="232"/>
      <c r="O20" s="230"/>
      <c r="P20" s="231"/>
      <c r="Q20" s="232"/>
      <c r="R20" s="233"/>
      <c r="S20" s="234"/>
      <c r="T20" s="235"/>
      <c r="U20" s="233"/>
      <c r="V20" s="236"/>
      <c r="W20" s="234"/>
      <c r="X20" s="235"/>
      <c r="Y20" s="237"/>
      <c r="Z20" s="238"/>
    </row>
    <row r="21" spans="1:26" s="239" customFormat="1" ht="28.5" customHeight="1" x14ac:dyDescent="0.3">
      <c r="A21" s="222">
        <f t="shared" si="3"/>
        <v>0</v>
      </c>
      <c r="B21" s="223" t="b">
        <f t="shared" si="4"/>
        <v>1</v>
      </c>
      <c r="C21" s="222">
        <f t="shared" si="5"/>
        <v>0</v>
      </c>
      <c r="D21" s="205" t="str">
        <f t="shared" si="6"/>
        <v>$$$$</v>
      </c>
      <c r="E21" s="224"/>
      <c r="F21" s="225"/>
      <c r="G21" s="226"/>
      <c r="H21" s="227"/>
      <c r="I21" s="228"/>
      <c r="J21" s="228"/>
      <c r="K21" s="229"/>
      <c r="L21" s="230"/>
      <c r="M21" s="231"/>
      <c r="N21" s="232"/>
      <c r="O21" s="230"/>
      <c r="P21" s="231"/>
      <c r="Q21" s="232"/>
      <c r="R21" s="233"/>
      <c r="S21" s="234"/>
      <c r="T21" s="235"/>
      <c r="U21" s="233"/>
      <c r="V21" s="236"/>
      <c r="W21" s="234"/>
      <c r="X21" s="235"/>
      <c r="Y21" s="237"/>
      <c r="Z21" s="238"/>
    </row>
    <row r="22" spans="1:26" s="239" customFormat="1" ht="28.5" customHeight="1" x14ac:dyDescent="0.3">
      <c r="A22" s="222">
        <f t="shared" si="3"/>
        <v>0</v>
      </c>
      <c r="B22" s="223" t="b">
        <f t="shared" si="4"/>
        <v>1</v>
      </c>
      <c r="C22" s="222">
        <f t="shared" si="5"/>
        <v>0</v>
      </c>
      <c r="D22" s="205" t="str">
        <f t="shared" si="6"/>
        <v>$$$$</v>
      </c>
      <c r="E22" s="224"/>
      <c r="F22" s="225"/>
      <c r="G22" s="226"/>
      <c r="H22" s="227"/>
      <c r="I22" s="228"/>
      <c r="J22" s="228"/>
      <c r="K22" s="229"/>
      <c r="L22" s="230"/>
      <c r="M22" s="231"/>
      <c r="N22" s="232"/>
      <c r="O22" s="230"/>
      <c r="P22" s="231"/>
      <c r="Q22" s="232"/>
      <c r="R22" s="233"/>
      <c r="S22" s="234"/>
      <c r="T22" s="235"/>
      <c r="U22" s="233"/>
      <c r="V22" s="236"/>
      <c r="W22" s="234"/>
      <c r="X22" s="235"/>
      <c r="Y22" s="237"/>
      <c r="Z22" s="238"/>
    </row>
    <row r="23" spans="1:26" s="239" customFormat="1" ht="28.5" customHeight="1" x14ac:dyDescent="0.3">
      <c r="A23" s="222">
        <f t="shared" si="3"/>
        <v>0</v>
      </c>
      <c r="B23" s="223" t="b">
        <f t="shared" si="4"/>
        <v>1</v>
      </c>
      <c r="C23" s="222">
        <f t="shared" si="5"/>
        <v>0</v>
      </c>
      <c r="D23" s="205" t="str">
        <f t="shared" si="6"/>
        <v>$$$$</v>
      </c>
      <c r="E23" s="224"/>
      <c r="F23" s="225"/>
      <c r="G23" s="226"/>
      <c r="H23" s="227"/>
      <c r="I23" s="228"/>
      <c r="J23" s="228"/>
      <c r="K23" s="229"/>
      <c r="L23" s="230"/>
      <c r="M23" s="231"/>
      <c r="N23" s="232"/>
      <c r="O23" s="230"/>
      <c r="P23" s="231"/>
      <c r="Q23" s="232"/>
      <c r="R23" s="233"/>
      <c r="S23" s="234"/>
      <c r="T23" s="235"/>
      <c r="U23" s="233"/>
      <c r="V23" s="236"/>
      <c r="W23" s="234"/>
      <c r="X23" s="235"/>
      <c r="Y23" s="237"/>
      <c r="Z23" s="238"/>
    </row>
    <row r="24" spans="1:26" s="239" customFormat="1" ht="28.5" customHeight="1" x14ac:dyDescent="0.3">
      <c r="A24" s="222">
        <f t="shared" si="3"/>
        <v>0</v>
      </c>
      <c r="B24" s="223" t="b">
        <f t="shared" si="4"/>
        <v>1</v>
      </c>
      <c r="C24" s="222">
        <f t="shared" si="5"/>
        <v>0</v>
      </c>
      <c r="D24" s="205" t="str">
        <f t="shared" si="6"/>
        <v>$$$$</v>
      </c>
      <c r="E24" s="224"/>
      <c r="F24" s="225"/>
      <c r="G24" s="226"/>
      <c r="H24" s="227"/>
      <c r="I24" s="228"/>
      <c r="J24" s="228"/>
      <c r="K24" s="229"/>
      <c r="L24" s="230"/>
      <c r="M24" s="231"/>
      <c r="N24" s="232"/>
      <c r="O24" s="230"/>
      <c r="P24" s="231"/>
      <c r="Q24" s="232"/>
      <c r="R24" s="233"/>
      <c r="S24" s="234"/>
      <c r="T24" s="235"/>
      <c r="U24" s="233"/>
      <c r="V24" s="236"/>
      <c r="W24" s="234"/>
      <c r="X24" s="235"/>
      <c r="Y24" s="237"/>
      <c r="Z24" s="238"/>
    </row>
    <row r="25" spans="1:26" s="239" customFormat="1" ht="28.5" customHeight="1" x14ac:dyDescent="0.3">
      <c r="A25" s="222">
        <f t="shared" si="3"/>
        <v>0</v>
      </c>
      <c r="B25" s="223" t="b">
        <f t="shared" si="4"/>
        <v>1</v>
      </c>
      <c r="C25" s="222">
        <f t="shared" si="5"/>
        <v>0</v>
      </c>
      <c r="D25" s="205" t="str">
        <f t="shared" si="6"/>
        <v>$$$$</v>
      </c>
      <c r="E25" s="224"/>
      <c r="F25" s="225"/>
      <c r="G25" s="226"/>
      <c r="H25" s="227"/>
      <c r="I25" s="228"/>
      <c r="J25" s="228"/>
      <c r="K25" s="229"/>
      <c r="L25" s="230"/>
      <c r="M25" s="231"/>
      <c r="N25" s="232"/>
      <c r="O25" s="230"/>
      <c r="P25" s="231"/>
      <c r="Q25" s="232"/>
      <c r="R25" s="233"/>
      <c r="S25" s="234"/>
      <c r="T25" s="235"/>
      <c r="U25" s="233"/>
      <c r="V25" s="236"/>
      <c r="W25" s="234"/>
      <c r="X25" s="235"/>
      <c r="Y25" s="237"/>
      <c r="Z25" s="238"/>
    </row>
    <row r="26" spans="1:26" s="239" customFormat="1" ht="28.5" customHeight="1" x14ac:dyDescent="0.3">
      <c r="A26" s="222">
        <f t="shared" si="3"/>
        <v>0</v>
      </c>
      <c r="B26" s="223" t="b">
        <f t="shared" si="4"/>
        <v>1</v>
      </c>
      <c r="C26" s="222">
        <f t="shared" si="5"/>
        <v>0</v>
      </c>
      <c r="D26" s="205" t="str">
        <f t="shared" si="6"/>
        <v>$$$$</v>
      </c>
      <c r="E26" s="224"/>
      <c r="F26" s="225"/>
      <c r="G26" s="226"/>
      <c r="H26" s="227"/>
      <c r="I26" s="228"/>
      <c r="J26" s="228"/>
      <c r="K26" s="229"/>
      <c r="L26" s="230"/>
      <c r="M26" s="231"/>
      <c r="N26" s="232"/>
      <c r="O26" s="230"/>
      <c r="P26" s="231"/>
      <c r="Q26" s="232"/>
      <c r="R26" s="233"/>
      <c r="S26" s="234"/>
      <c r="T26" s="235"/>
      <c r="U26" s="233"/>
      <c r="V26" s="236"/>
      <c r="W26" s="234"/>
      <c r="X26" s="235"/>
      <c r="Y26" s="237"/>
      <c r="Z26" s="238"/>
    </row>
    <row r="27" spans="1:26" s="239" customFormat="1" ht="28.5" customHeight="1" x14ac:dyDescent="0.3">
      <c r="A27" s="222">
        <f t="shared" si="3"/>
        <v>0</v>
      </c>
      <c r="B27" s="223" t="b">
        <f t="shared" si="4"/>
        <v>1</v>
      </c>
      <c r="C27" s="222">
        <f t="shared" si="5"/>
        <v>0</v>
      </c>
      <c r="D27" s="205" t="str">
        <f t="shared" si="6"/>
        <v>$$$$</v>
      </c>
      <c r="E27" s="224"/>
      <c r="F27" s="225"/>
      <c r="G27" s="226"/>
      <c r="H27" s="227"/>
      <c r="I27" s="228"/>
      <c r="J27" s="228"/>
      <c r="K27" s="229"/>
      <c r="L27" s="230"/>
      <c r="M27" s="231"/>
      <c r="N27" s="232"/>
      <c r="O27" s="230"/>
      <c r="P27" s="231"/>
      <c r="Q27" s="232"/>
      <c r="R27" s="233"/>
      <c r="S27" s="234"/>
      <c r="T27" s="235"/>
      <c r="U27" s="233"/>
      <c r="V27" s="236"/>
      <c r="W27" s="234"/>
      <c r="X27" s="235"/>
      <c r="Y27" s="237"/>
      <c r="Z27" s="238"/>
    </row>
    <row r="28" spans="1:26" s="239" customFormat="1" ht="28.5" customHeight="1" x14ac:dyDescent="0.3">
      <c r="A28" s="222">
        <f t="shared" si="3"/>
        <v>0</v>
      </c>
      <c r="B28" s="223" t="b">
        <f t="shared" si="4"/>
        <v>1</v>
      </c>
      <c r="C28" s="222">
        <f t="shared" si="5"/>
        <v>0</v>
      </c>
      <c r="D28" s="205" t="str">
        <f t="shared" si="6"/>
        <v>$$$$</v>
      </c>
      <c r="E28" s="224"/>
      <c r="F28" s="225"/>
      <c r="G28" s="226"/>
      <c r="H28" s="227"/>
      <c r="I28" s="228"/>
      <c r="J28" s="228"/>
      <c r="K28" s="229"/>
      <c r="L28" s="230"/>
      <c r="M28" s="231"/>
      <c r="N28" s="232"/>
      <c r="O28" s="230"/>
      <c r="P28" s="231"/>
      <c r="Q28" s="232"/>
      <c r="R28" s="233"/>
      <c r="S28" s="234"/>
      <c r="T28" s="235"/>
      <c r="U28" s="233"/>
      <c r="V28" s="236"/>
      <c r="W28" s="234"/>
      <c r="X28" s="235"/>
      <c r="Y28" s="237"/>
      <c r="Z28" s="238"/>
    </row>
    <row r="29" spans="1:26" s="239" customFormat="1" ht="28.5" customHeight="1" x14ac:dyDescent="0.3">
      <c r="A29" s="222">
        <f t="shared" si="3"/>
        <v>0</v>
      </c>
      <c r="B29" s="223" t="b">
        <f t="shared" si="4"/>
        <v>1</v>
      </c>
      <c r="C29" s="222">
        <f t="shared" si="5"/>
        <v>0</v>
      </c>
      <c r="D29" s="205" t="str">
        <f t="shared" si="6"/>
        <v>$$$$</v>
      </c>
      <c r="E29" s="224"/>
      <c r="F29" s="225"/>
      <c r="G29" s="226"/>
      <c r="H29" s="227"/>
      <c r="I29" s="228"/>
      <c r="J29" s="228"/>
      <c r="K29" s="229"/>
      <c r="L29" s="230"/>
      <c r="M29" s="231"/>
      <c r="N29" s="232"/>
      <c r="O29" s="230"/>
      <c r="P29" s="231"/>
      <c r="Q29" s="232"/>
      <c r="R29" s="233"/>
      <c r="S29" s="234"/>
      <c r="T29" s="235"/>
      <c r="U29" s="233"/>
      <c r="V29" s="236"/>
      <c r="W29" s="234"/>
      <c r="X29" s="235"/>
      <c r="Y29" s="237"/>
      <c r="Z29" s="238"/>
    </row>
    <row r="30" spans="1:26" s="239" customFormat="1" ht="28.5" customHeight="1" x14ac:dyDescent="0.3">
      <c r="A30" s="222">
        <f t="shared" si="3"/>
        <v>0</v>
      </c>
      <c r="B30" s="223" t="b">
        <f t="shared" si="4"/>
        <v>1</v>
      </c>
      <c r="C30" s="222">
        <f t="shared" si="5"/>
        <v>0</v>
      </c>
      <c r="D30" s="205" t="str">
        <f t="shared" si="6"/>
        <v>$$$$</v>
      </c>
      <c r="E30" s="224"/>
      <c r="F30" s="225"/>
      <c r="G30" s="226"/>
      <c r="H30" s="227"/>
      <c r="I30" s="228"/>
      <c r="J30" s="228"/>
      <c r="K30" s="229"/>
      <c r="L30" s="230"/>
      <c r="M30" s="231"/>
      <c r="N30" s="232"/>
      <c r="O30" s="230"/>
      <c r="P30" s="231"/>
      <c r="Q30" s="232"/>
      <c r="R30" s="233"/>
      <c r="S30" s="234"/>
      <c r="T30" s="235"/>
      <c r="U30" s="233"/>
      <c r="V30" s="236"/>
      <c r="W30" s="234"/>
      <c r="X30" s="235"/>
      <c r="Y30" s="237"/>
      <c r="Z30" s="238"/>
    </row>
    <row r="31" spans="1:26" s="239" customFormat="1" ht="28.5" customHeight="1" x14ac:dyDescent="0.3">
      <c r="A31" s="222">
        <f t="shared" si="3"/>
        <v>0</v>
      </c>
      <c r="B31" s="223" t="b">
        <f t="shared" si="4"/>
        <v>1</v>
      </c>
      <c r="C31" s="222">
        <f t="shared" si="5"/>
        <v>0</v>
      </c>
      <c r="D31" s="205" t="str">
        <f t="shared" si="6"/>
        <v>$$$$</v>
      </c>
      <c r="E31" s="224"/>
      <c r="F31" s="225"/>
      <c r="G31" s="226"/>
      <c r="H31" s="227"/>
      <c r="I31" s="228"/>
      <c r="J31" s="228"/>
      <c r="K31" s="229"/>
      <c r="L31" s="230"/>
      <c r="M31" s="231"/>
      <c r="N31" s="232"/>
      <c r="O31" s="230"/>
      <c r="P31" s="231"/>
      <c r="Q31" s="232"/>
      <c r="R31" s="233"/>
      <c r="S31" s="234"/>
      <c r="T31" s="235"/>
      <c r="U31" s="233"/>
      <c r="V31" s="236"/>
      <c r="W31" s="234"/>
      <c r="X31" s="235"/>
      <c r="Y31" s="237"/>
      <c r="Z31" s="238"/>
    </row>
    <row r="32" spans="1:26" s="239" customFormat="1" ht="28.5" customHeight="1" x14ac:dyDescent="0.3">
      <c r="A32" s="222">
        <f t="shared" si="3"/>
        <v>0</v>
      </c>
      <c r="B32" s="223" t="b">
        <f t="shared" si="4"/>
        <v>1</v>
      </c>
      <c r="C32" s="222">
        <f t="shared" si="5"/>
        <v>0</v>
      </c>
      <c r="D32" s="205" t="str">
        <f t="shared" si="6"/>
        <v>$$$$</v>
      </c>
      <c r="E32" s="224"/>
      <c r="F32" s="225"/>
      <c r="G32" s="226"/>
      <c r="H32" s="227"/>
      <c r="I32" s="228"/>
      <c r="J32" s="228"/>
      <c r="K32" s="229"/>
      <c r="L32" s="230"/>
      <c r="M32" s="231"/>
      <c r="N32" s="232"/>
      <c r="O32" s="230"/>
      <c r="P32" s="231"/>
      <c r="Q32" s="232"/>
      <c r="R32" s="233"/>
      <c r="S32" s="234"/>
      <c r="T32" s="235"/>
      <c r="U32" s="233"/>
      <c r="V32" s="236"/>
      <c r="W32" s="234"/>
      <c r="X32" s="235"/>
      <c r="Y32" s="237"/>
      <c r="Z32" s="238"/>
    </row>
    <row r="33" spans="1:26" s="239" customFormat="1" ht="28.5" customHeight="1" x14ac:dyDescent="0.3">
      <c r="A33" s="222">
        <f t="shared" si="3"/>
        <v>0</v>
      </c>
      <c r="B33" s="223" t="b">
        <f t="shared" si="4"/>
        <v>1</v>
      </c>
      <c r="C33" s="222">
        <f t="shared" si="5"/>
        <v>0</v>
      </c>
      <c r="D33" s="205" t="str">
        <f t="shared" si="6"/>
        <v>$$$$</v>
      </c>
      <c r="E33" s="224"/>
      <c r="F33" s="225"/>
      <c r="G33" s="226"/>
      <c r="H33" s="227"/>
      <c r="I33" s="228"/>
      <c r="J33" s="228"/>
      <c r="K33" s="229"/>
      <c r="L33" s="230"/>
      <c r="M33" s="231"/>
      <c r="N33" s="232"/>
      <c r="O33" s="230"/>
      <c r="P33" s="231"/>
      <c r="Q33" s="232"/>
      <c r="R33" s="233"/>
      <c r="S33" s="234"/>
      <c r="T33" s="235"/>
      <c r="U33" s="233"/>
      <c r="V33" s="236"/>
      <c r="W33" s="234"/>
      <c r="X33" s="235"/>
      <c r="Y33" s="237"/>
      <c r="Z33" s="238"/>
    </row>
    <row r="34" spans="1:26" s="239" customFormat="1" ht="28.5" customHeight="1" x14ac:dyDescent="0.3">
      <c r="A34" s="222">
        <f t="shared" si="3"/>
        <v>0</v>
      </c>
      <c r="B34" s="223" t="b">
        <f t="shared" si="4"/>
        <v>1</v>
      </c>
      <c r="C34" s="222">
        <f t="shared" si="5"/>
        <v>0</v>
      </c>
      <c r="D34" s="205" t="str">
        <f t="shared" si="6"/>
        <v>$$$$</v>
      </c>
      <c r="E34" s="224"/>
      <c r="F34" s="225"/>
      <c r="G34" s="226"/>
      <c r="H34" s="227"/>
      <c r="I34" s="228"/>
      <c r="J34" s="228"/>
      <c r="K34" s="229"/>
      <c r="L34" s="230"/>
      <c r="M34" s="231"/>
      <c r="N34" s="232"/>
      <c r="O34" s="230"/>
      <c r="P34" s="231"/>
      <c r="Q34" s="232"/>
      <c r="R34" s="233"/>
      <c r="S34" s="234"/>
      <c r="T34" s="235"/>
      <c r="U34" s="233"/>
      <c r="V34" s="236"/>
      <c r="W34" s="234"/>
      <c r="X34" s="235"/>
      <c r="Y34" s="237"/>
      <c r="Z34" s="238"/>
    </row>
    <row r="35" spans="1:26" s="239" customFormat="1" ht="28.5" customHeight="1" x14ac:dyDescent="0.3">
      <c r="A35" s="222">
        <f t="shared" si="3"/>
        <v>0</v>
      </c>
      <c r="B35" s="223" t="b">
        <f t="shared" si="4"/>
        <v>1</v>
      </c>
      <c r="C35" s="222">
        <f t="shared" si="5"/>
        <v>0</v>
      </c>
      <c r="D35" s="205" t="str">
        <f t="shared" si="6"/>
        <v>$$$$</v>
      </c>
      <c r="E35" s="224"/>
      <c r="F35" s="225"/>
      <c r="G35" s="226"/>
      <c r="H35" s="227"/>
      <c r="I35" s="228"/>
      <c r="J35" s="228"/>
      <c r="K35" s="229"/>
      <c r="L35" s="230"/>
      <c r="M35" s="231"/>
      <c r="N35" s="232"/>
      <c r="O35" s="230"/>
      <c r="P35" s="231"/>
      <c r="Q35" s="232"/>
      <c r="R35" s="233"/>
      <c r="S35" s="234"/>
      <c r="T35" s="235"/>
      <c r="U35" s="233"/>
      <c r="V35" s="236"/>
      <c r="W35" s="234"/>
      <c r="X35" s="235"/>
      <c r="Y35" s="237"/>
      <c r="Z35" s="238"/>
    </row>
    <row r="36" spans="1:26" s="239" customFormat="1" ht="28.5" customHeight="1" x14ac:dyDescent="0.3">
      <c r="A36" s="222">
        <f t="shared" si="3"/>
        <v>0</v>
      </c>
      <c r="B36" s="223" t="b">
        <f t="shared" si="4"/>
        <v>1</v>
      </c>
      <c r="C36" s="222">
        <f t="shared" si="5"/>
        <v>0</v>
      </c>
      <c r="D36" s="205" t="str">
        <f t="shared" si="6"/>
        <v>$$$$</v>
      </c>
      <c r="E36" s="224"/>
      <c r="F36" s="225"/>
      <c r="G36" s="226"/>
      <c r="H36" s="227"/>
      <c r="I36" s="228"/>
      <c r="J36" s="228"/>
      <c r="K36" s="229"/>
      <c r="L36" s="230"/>
      <c r="M36" s="231"/>
      <c r="N36" s="232"/>
      <c r="O36" s="230"/>
      <c r="P36" s="231"/>
      <c r="Q36" s="232"/>
      <c r="R36" s="233"/>
      <c r="S36" s="234"/>
      <c r="T36" s="235"/>
      <c r="U36" s="233"/>
      <c r="V36" s="236"/>
      <c r="W36" s="234"/>
      <c r="X36" s="235"/>
      <c r="Y36" s="237"/>
      <c r="Z36" s="238"/>
    </row>
    <row r="37" spans="1:26" s="239" customFormat="1" ht="28.5" customHeight="1" x14ac:dyDescent="0.3">
      <c r="A37" s="222">
        <f t="shared" si="3"/>
        <v>0</v>
      </c>
      <c r="B37" s="223" t="b">
        <f t="shared" si="4"/>
        <v>1</v>
      </c>
      <c r="C37" s="222">
        <f t="shared" si="5"/>
        <v>0</v>
      </c>
      <c r="D37" s="205" t="str">
        <f t="shared" si="6"/>
        <v>$$$$</v>
      </c>
      <c r="E37" s="224"/>
      <c r="F37" s="225"/>
      <c r="G37" s="226"/>
      <c r="H37" s="227"/>
      <c r="I37" s="228"/>
      <c r="J37" s="228"/>
      <c r="K37" s="229"/>
      <c r="L37" s="230"/>
      <c r="M37" s="231"/>
      <c r="N37" s="232"/>
      <c r="O37" s="230"/>
      <c r="P37" s="231"/>
      <c r="Q37" s="232"/>
      <c r="R37" s="233"/>
      <c r="S37" s="234"/>
      <c r="T37" s="235"/>
      <c r="U37" s="233"/>
      <c r="V37" s="236"/>
      <c r="W37" s="234"/>
      <c r="X37" s="235"/>
      <c r="Y37" s="237"/>
      <c r="Z37" s="238"/>
    </row>
    <row r="38" spans="1:26" s="239" customFormat="1" ht="28.5" customHeight="1" x14ac:dyDescent="0.3">
      <c r="A38" s="222">
        <f t="shared" si="3"/>
        <v>0</v>
      </c>
      <c r="B38" s="223" t="b">
        <f t="shared" si="4"/>
        <v>1</v>
      </c>
      <c r="C38" s="222">
        <f t="shared" si="5"/>
        <v>0</v>
      </c>
      <c r="D38" s="205" t="str">
        <f t="shared" si="6"/>
        <v>$$$$</v>
      </c>
      <c r="E38" s="224"/>
      <c r="F38" s="225"/>
      <c r="G38" s="226"/>
      <c r="H38" s="227"/>
      <c r="I38" s="228"/>
      <c r="J38" s="228"/>
      <c r="K38" s="229"/>
      <c r="L38" s="230"/>
      <c r="M38" s="231"/>
      <c r="N38" s="232"/>
      <c r="O38" s="230"/>
      <c r="P38" s="231"/>
      <c r="Q38" s="232"/>
      <c r="R38" s="233"/>
      <c r="S38" s="234"/>
      <c r="T38" s="235"/>
      <c r="U38" s="233"/>
      <c r="V38" s="236"/>
      <c r="W38" s="234"/>
      <c r="X38" s="235"/>
      <c r="Y38" s="237"/>
      <c r="Z38" s="238"/>
    </row>
    <row r="39" spans="1:26" s="239" customFormat="1" ht="28.5" customHeight="1" x14ac:dyDescent="0.3">
      <c r="A39" s="222">
        <f t="shared" ref="A39:A70" si="7">IF(B39,0,MATCH(H39,ВидыНагр,0))</f>
        <v>0</v>
      </c>
      <c r="B39" s="223" t="b">
        <f t="shared" ref="B39:B70" si="8">(COUNTIF(КлючВесна,D39)&lt;&gt;1)</f>
        <v>1</v>
      </c>
      <c r="C39" s="222">
        <f t="shared" ref="C39:C70" si="9">IF(COUNTA(E39:K39,Z39)&gt;0,1,0)+IF(COUNTA(L39:Y39)&gt;0,2,0)</f>
        <v>0</v>
      </c>
      <c r="D39" s="205" t="str">
        <f t="shared" si="6"/>
        <v>$$$$</v>
      </c>
      <c r="E39" s="224"/>
      <c r="F39" s="225"/>
      <c r="G39" s="226"/>
      <c r="H39" s="227"/>
      <c r="I39" s="228"/>
      <c r="J39" s="228"/>
      <c r="K39" s="229"/>
      <c r="L39" s="230"/>
      <c r="M39" s="231"/>
      <c r="N39" s="232"/>
      <c r="O39" s="230"/>
      <c r="P39" s="231"/>
      <c r="Q39" s="232"/>
      <c r="R39" s="233"/>
      <c r="S39" s="234"/>
      <c r="T39" s="235"/>
      <c r="U39" s="233"/>
      <c r="V39" s="236"/>
      <c r="W39" s="234"/>
      <c r="X39" s="235"/>
      <c r="Y39" s="237"/>
      <c r="Z39" s="238"/>
    </row>
    <row r="40" spans="1:26" s="239" customFormat="1" ht="28.5" customHeight="1" x14ac:dyDescent="0.3">
      <c r="A40" s="222">
        <f t="shared" si="7"/>
        <v>0</v>
      </c>
      <c r="B40" s="223" t="b">
        <f t="shared" si="8"/>
        <v>1</v>
      </c>
      <c r="C40" s="222">
        <f t="shared" si="9"/>
        <v>0</v>
      </c>
      <c r="D40" s="205" t="str">
        <f t="shared" si="6"/>
        <v>$$$$</v>
      </c>
      <c r="E40" s="224"/>
      <c r="F40" s="225"/>
      <c r="G40" s="226"/>
      <c r="H40" s="227"/>
      <c r="I40" s="228"/>
      <c r="J40" s="228"/>
      <c r="K40" s="229"/>
      <c r="L40" s="230"/>
      <c r="M40" s="231"/>
      <c r="N40" s="232"/>
      <c r="O40" s="230"/>
      <c r="P40" s="231"/>
      <c r="Q40" s="232"/>
      <c r="R40" s="233"/>
      <c r="S40" s="234"/>
      <c r="T40" s="235"/>
      <c r="U40" s="233"/>
      <c r="V40" s="236"/>
      <c r="W40" s="234"/>
      <c r="X40" s="235"/>
      <c r="Y40" s="237"/>
      <c r="Z40" s="238"/>
    </row>
    <row r="41" spans="1:26" s="239" customFormat="1" ht="28.5" customHeight="1" x14ac:dyDescent="0.3">
      <c r="A41" s="222">
        <f t="shared" si="7"/>
        <v>0</v>
      </c>
      <c r="B41" s="223" t="b">
        <f t="shared" si="8"/>
        <v>1</v>
      </c>
      <c r="C41" s="222">
        <f t="shared" si="9"/>
        <v>0</v>
      </c>
      <c r="D41" s="205" t="str">
        <f t="shared" si="6"/>
        <v>$$$$</v>
      </c>
      <c r="E41" s="224"/>
      <c r="F41" s="225"/>
      <c r="G41" s="226"/>
      <c r="H41" s="227"/>
      <c r="I41" s="228"/>
      <c r="J41" s="228"/>
      <c r="K41" s="229"/>
      <c r="L41" s="230"/>
      <c r="M41" s="231"/>
      <c r="N41" s="232"/>
      <c r="O41" s="230"/>
      <c r="P41" s="231"/>
      <c r="Q41" s="232"/>
      <c r="R41" s="233"/>
      <c r="S41" s="234"/>
      <c r="T41" s="235"/>
      <c r="U41" s="233"/>
      <c r="V41" s="236"/>
      <c r="W41" s="234"/>
      <c r="X41" s="235"/>
      <c r="Y41" s="237"/>
      <c r="Z41" s="238"/>
    </row>
    <row r="42" spans="1:26" s="239" customFormat="1" ht="28.5" customHeight="1" x14ac:dyDescent="0.3">
      <c r="A42" s="222">
        <f t="shared" si="7"/>
        <v>0</v>
      </c>
      <c r="B42" s="223" t="b">
        <f t="shared" si="8"/>
        <v>1</v>
      </c>
      <c r="C42" s="222">
        <f t="shared" si="9"/>
        <v>0</v>
      </c>
      <c r="D42" s="205" t="str">
        <f t="shared" si="6"/>
        <v>$$$$</v>
      </c>
      <c r="E42" s="224"/>
      <c r="F42" s="225"/>
      <c r="G42" s="226"/>
      <c r="H42" s="227"/>
      <c r="I42" s="228"/>
      <c r="J42" s="228"/>
      <c r="K42" s="229"/>
      <c r="L42" s="230"/>
      <c r="M42" s="231"/>
      <c r="N42" s="232"/>
      <c r="O42" s="230"/>
      <c r="P42" s="231"/>
      <c r="Q42" s="232"/>
      <c r="R42" s="233"/>
      <c r="S42" s="234"/>
      <c r="T42" s="235"/>
      <c r="U42" s="233"/>
      <c r="V42" s="236"/>
      <c r="W42" s="234"/>
      <c r="X42" s="235"/>
      <c r="Y42" s="237"/>
      <c r="Z42" s="238"/>
    </row>
    <row r="43" spans="1:26" s="239" customFormat="1" ht="28.5" customHeight="1" x14ac:dyDescent="0.3">
      <c r="A43" s="222">
        <f t="shared" si="7"/>
        <v>0</v>
      </c>
      <c r="B43" s="223" t="b">
        <f t="shared" si="8"/>
        <v>1</v>
      </c>
      <c r="C43" s="222">
        <f t="shared" si="9"/>
        <v>0</v>
      </c>
      <c r="D43" s="205" t="str">
        <f t="shared" si="6"/>
        <v>$$$$</v>
      </c>
      <c r="E43" s="224"/>
      <c r="F43" s="225"/>
      <c r="G43" s="226"/>
      <c r="H43" s="227"/>
      <c r="I43" s="228"/>
      <c r="J43" s="228"/>
      <c r="K43" s="229"/>
      <c r="L43" s="230"/>
      <c r="M43" s="231"/>
      <c r="N43" s="232"/>
      <c r="O43" s="230"/>
      <c r="P43" s="231"/>
      <c r="Q43" s="232"/>
      <c r="R43" s="233"/>
      <c r="S43" s="234"/>
      <c r="T43" s="235"/>
      <c r="U43" s="233"/>
      <c r="V43" s="236"/>
      <c r="W43" s="234"/>
      <c r="X43" s="235"/>
      <c r="Y43" s="237"/>
      <c r="Z43" s="238"/>
    </row>
    <row r="44" spans="1:26" s="239" customFormat="1" ht="28.5" customHeight="1" x14ac:dyDescent="0.3">
      <c r="A44" s="222">
        <f t="shared" si="7"/>
        <v>0</v>
      </c>
      <c r="B44" s="223" t="b">
        <f t="shared" si="8"/>
        <v>1</v>
      </c>
      <c r="C44" s="222">
        <f t="shared" si="9"/>
        <v>0</v>
      </c>
      <c r="D44" s="205" t="str">
        <f t="shared" si="6"/>
        <v>$$$$</v>
      </c>
      <c r="E44" s="224"/>
      <c r="F44" s="225"/>
      <c r="G44" s="226"/>
      <c r="H44" s="227"/>
      <c r="I44" s="228"/>
      <c r="J44" s="228"/>
      <c r="K44" s="229"/>
      <c r="L44" s="230"/>
      <c r="M44" s="231"/>
      <c r="N44" s="232"/>
      <c r="O44" s="230"/>
      <c r="P44" s="231"/>
      <c r="Q44" s="232"/>
      <c r="R44" s="233"/>
      <c r="S44" s="234"/>
      <c r="T44" s="235"/>
      <c r="U44" s="233"/>
      <c r="V44" s="236"/>
      <c r="W44" s="234"/>
      <c r="X44" s="235"/>
      <c r="Y44" s="237"/>
      <c r="Z44" s="238"/>
    </row>
    <row r="45" spans="1:26" s="239" customFormat="1" ht="28.5" customHeight="1" x14ac:dyDescent="0.3">
      <c r="A45" s="222">
        <f t="shared" si="7"/>
        <v>0</v>
      </c>
      <c r="B45" s="223" t="b">
        <f t="shared" si="8"/>
        <v>1</v>
      </c>
      <c r="C45" s="222">
        <f t="shared" si="9"/>
        <v>0</v>
      </c>
      <c r="D45" s="205" t="str">
        <f t="shared" si="6"/>
        <v>$$$$</v>
      </c>
      <c r="E45" s="224"/>
      <c r="F45" s="225"/>
      <c r="G45" s="226"/>
      <c r="H45" s="227"/>
      <c r="I45" s="228"/>
      <c r="J45" s="228"/>
      <c r="K45" s="229"/>
      <c r="L45" s="230"/>
      <c r="M45" s="231"/>
      <c r="N45" s="232"/>
      <c r="O45" s="230"/>
      <c r="P45" s="231"/>
      <c r="Q45" s="232"/>
      <c r="R45" s="233"/>
      <c r="S45" s="234"/>
      <c r="T45" s="235"/>
      <c r="U45" s="233"/>
      <c r="V45" s="236"/>
      <c r="W45" s="234"/>
      <c r="X45" s="235"/>
      <c r="Y45" s="237"/>
      <c r="Z45" s="238"/>
    </row>
    <row r="46" spans="1:26" s="239" customFormat="1" ht="28.5" customHeight="1" x14ac:dyDescent="0.3">
      <c r="A46" s="222">
        <f t="shared" si="7"/>
        <v>0</v>
      </c>
      <c r="B46" s="223" t="b">
        <f t="shared" si="8"/>
        <v>1</v>
      </c>
      <c r="C46" s="222">
        <f t="shared" si="9"/>
        <v>0</v>
      </c>
      <c r="D46" s="205" t="str">
        <f t="shared" si="6"/>
        <v>$$$$</v>
      </c>
      <c r="E46" s="224"/>
      <c r="F46" s="225"/>
      <c r="G46" s="226"/>
      <c r="H46" s="227"/>
      <c r="I46" s="228"/>
      <c r="J46" s="228"/>
      <c r="K46" s="229"/>
      <c r="L46" s="230"/>
      <c r="M46" s="231"/>
      <c r="N46" s="232"/>
      <c r="O46" s="230"/>
      <c r="P46" s="231"/>
      <c r="Q46" s="232"/>
      <c r="R46" s="233"/>
      <c r="S46" s="234"/>
      <c r="T46" s="235"/>
      <c r="U46" s="233"/>
      <c r="V46" s="236"/>
      <c r="W46" s="234"/>
      <c r="X46" s="235"/>
      <c r="Y46" s="237"/>
      <c r="Z46" s="238"/>
    </row>
    <row r="47" spans="1:26" s="239" customFormat="1" ht="28.5" customHeight="1" x14ac:dyDescent="0.3">
      <c r="A47" s="222">
        <f t="shared" si="7"/>
        <v>0</v>
      </c>
      <c r="B47" s="223" t="b">
        <f t="shared" si="8"/>
        <v>1</v>
      </c>
      <c r="C47" s="222">
        <f t="shared" si="9"/>
        <v>0</v>
      </c>
      <c r="D47" s="205" t="str">
        <f t="shared" si="6"/>
        <v>$$$$</v>
      </c>
      <c r="E47" s="224"/>
      <c r="F47" s="225"/>
      <c r="G47" s="226"/>
      <c r="H47" s="227"/>
      <c r="I47" s="228"/>
      <c r="J47" s="228"/>
      <c r="K47" s="229"/>
      <c r="L47" s="230"/>
      <c r="M47" s="231"/>
      <c r="N47" s="232"/>
      <c r="O47" s="230"/>
      <c r="P47" s="231"/>
      <c r="Q47" s="232"/>
      <c r="R47" s="233"/>
      <c r="S47" s="234"/>
      <c r="T47" s="235"/>
      <c r="U47" s="233"/>
      <c r="V47" s="236"/>
      <c r="W47" s="234"/>
      <c r="X47" s="235"/>
      <c r="Y47" s="237"/>
      <c r="Z47" s="238"/>
    </row>
    <row r="48" spans="1:26" s="239" customFormat="1" ht="28.5" customHeight="1" x14ac:dyDescent="0.3">
      <c r="A48" s="222">
        <f t="shared" si="7"/>
        <v>0</v>
      </c>
      <c r="B48" s="223" t="b">
        <f t="shared" si="8"/>
        <v>1</v>
      </c>
      <c r="C48" s="222">
        <f t="shared" si="9"/>
        <v>0</v>
      </c>
      <c r="D48" s="205" t="str">
        <f t="shared" si="6"/>
        <v>$$$$</v>
      </c>
      <c r="E48" s="224"/>
      <c r="F48" s="225"/>
      <c r="G48" s="226"/>
      <c r="H48" s="227"/>
      <c r="I48" s="228"/>
      <c r="J48" s="228"/>
      <c r="K48" s="229"/>
      <c r="L48" s="230"/>
      <c r="M48" s="231"/>
      <c r="N48" s="232"/>
      <c r="O48" s="230"/>
      <c r="P48" s="231"/>
      <c r="Q48" s="232"/>
      <c r="R48" s="233"/>
      <c r="S48" s="234"/>
      <c r="T48" s="235"/>
      <c r="U48" s="233"/>
      <c r="V48" s="236"/>
      <c r="W48" s="234"/>
      <c r="X48" s="235"/>
      <c r="Y48" s="237"/>
      <c r="Z48" s="238"/>
    </row>
    <row r="49" spans="1:26" s="239" customFormat="1" ht="28.5" customHeight="1" x14ac:dyDescent="0.3">
      <c r="A49" s="222">
        <f t="shared" si="7"/>
        <v>0</v>
      </c>
      <c r="B49" s="223" t="b">
        <f t="shared" si="8"/>
        <v>1</v>
      </c>
      <c r="C49" s="222">
        <f t="shared" si="9"/>
        <v>0</v>
      </c>
      <c r="D49" s="205" t="str">
        <f t="shared" si="6"/>
        <v>$$$$</v>
      </c>
      <c r="E49" s="224"/>
      <c r="F49" s="225"/>
      <c r="G49" s="226"/>
      <c r="H49" s="227"/>
      <c r="I49" s="228"/>
      <c r="J49" s="228"/>
      <c r="K49" s="229"/>
      <c r="L49" s="230"/>
      <c r="M49" s="231"/>
      <c r="N49" s="232"/>
      <c r="O49" s="230"/>
      <c r="P49" s="231"/>
      <c r="Q49" s="232"/>
      <c r="R49" s="233"/>
      <c r="S49" s="234"/>
      <c r="T49" s="235"/>
      <c r="U49" s="233"/>
      <c r="V49" s="236"/>
      <c r="W49" s="234"/>
      <c r="X49" s="235"/>
      <c r="Y49" s="237"/>
      <c r="Z49" s="238"/>
    </row>
    <row r="50" spans="1:26" s="239" customFormat="1" ht="28.5" customHeight="1" x14ac:dyDescent="0.3">
      <c r="A50" s="222">
        <f t="shared" si="7"/>
        <v>0</v>
      </c>
      <c r="B50" s="223" t="b">
        <f t="shared" si="8"/>
        <v>1</v>
      </c>
      <c r="C50" s="222">
        <f t="shared" si="9"/>
        <v>0</v>
      </c>
      <c r="D50" s="205" t="str">
        <f t="shared" si="6"/>
        <v>$$$$</v>
      </c>
      <c r="E50" s="224"/>
      <c r="F50" s="225"/>
      <c r="G50" s="226"/>
      <c r="H50" s="227"/>
      <c r="I50" s="228"/>
      <c r="J50" s="228"/>
      <c r="K50" s="229"/>
      <c r="L50" s="230"/>
      <c r="M50" s="231"/>
      <c r="N50" s="232"/>
      <c r="O50" s="230"/>
      <c r="P50" s="231"/>
      <c r="Q50" s="232"/>
      <c r="R50" s="233"/>
      <c r="S50" s="234"/>
      <c r="T50" s="235"/>
      <c r="U50" s="233"/>
      <c r="V50" s="236"/>
      <c r="W50" s="234"/>
      <c r="X50" s="235"/>
      <c r="Y50" s="237"/>
      <c r="Z50" s="238"/>
    </row>
    <row r="51" spans="1:26" s="239" customFormat="1" ht="28.5" customHeight="1" x14ac:dyDescent="0.3">
      <c r="A51" s="222">
        <f t="shared" si="7"/>
        <v>0</v>
      </c>
      <c r="B51" s="223" t="b">
        <f t="shared" si="8"/>
        <v>1</v>
      </c>
      <c r="C51" s="222">
        <f t="shared" si="9"/>
        <v>0</v>
      </c>
      <c r="D51" s="205" t="str">
        <f t="shared" si="6"/>
        <v>$$$$</v>
      </c>
      <c r="E51" s="224"/>
      <c r="F51" s="225"/>
      <c r="G51" s="226"/>
      <c r="H51" s="227"/>
      <c r="I51" s="228"/>
      <c r="J51" s="228"/>
      <c r="K51" s="229"/>
      <c r="L51" s="230"/>
      <c r="M51" s="231"/>
      <c r="N51" s="232"/>
      <c r="O51" s="230"/>
      <c r="P51" s="231"/>
      <c r="Q51" s="232"/>
      <c r="R51" s="233"/>
      <c r="S51" s="234"/>
      <c r="T51" s="235"/>
      <c r="U51" s="233"/>
      <c r="V51" s="236"/>
      <c r="W51" s="234"/>
      <c r="X51" s="235"/>
      <c r="Y51" s="237"/>
      <c r="Z51" s="238"/>
    </row>
    <row r="52" spans="1:26" s="239" customFormat="1" ht="28.5" customHeight="1" x14ac:dyDescent="0.3">
      <c r="A52" s="222">
        <f t="shared" si="7"/>
        <v>0</v>
      </c>
      <c r="B52" s="223" t="b">
        <f t="shared" si="8"/>
        <v>1</v>
      </c>
      <c r="C52" s="222">
        <f t="shared" si="9"/>
        <v>0</v>
      </c>
      <c r="D52" s="205" t="str">
        <f t="shared" si="6"/>
        <v>$$$$</v>
      </c>
      <c r="E52" s="224"/>
      <c r="F52" s="225"/>
      <c r="G52" s="226"/>
      <c r="H52" s="227"/>
      <c r="I52" s="228"/>
      <c r="J52" s="228"/>
      <c r="K52" s="229"/>
      <c r="L52" s="230"/>
      <c r="M52" s="231"/>
      <c r="N52" s="232"/>
      <c r="O52" s="230"/>
      <c r="P52" s="231"/>
      <c r="Q52" s="232"/>
      <c r="R52" s="233"/>
      <c r="S52" s="234"/>
      <c r="T52" s="235"/>
      <c r="U52" s="233"/>
      <c r="V52" s="236"/>
      <c r="W52" s="234"/>
      <c r="X52" s="235"/>
      <c r="Y52" s="237"/>
      <c r="Z52" s="238"/>
    </row>
    <row r="53" spans="1:26" s="239" customFormat="1" ht="28.5" customHeight="1" x14ac:dyDescent="0.3">
      <c r="A53" s="222">
        <f t="shared" si="7"/>
        <v>0</v>
      </c>
      <c r="B53" s="223" t="b">
        <f t="shared" si="8"/>
        <v>1</v>
      </c>
      <c r="C53" s="222">
        <f t="shared" si="9"/>
        <v>0</v>
      </c>
      <c r="D53" s="205" t="str">
        <f t="shared" si="6"/>
        <v>$$$$</v>
      </c>
      <c r="E53" s="224"/>
      <c r="F53" s="225"/>
      <c r="G53" s="226"/>
      <c r="H53" s="227"/>
      <c r="I53" s="228"/>
      <c r="J53" s="228"/>
      <c r="K53" s="229"/>
      <c r="L53" s="230"/>
      <c r="M53" s="231"/>
      <c r="N53" s="232"/>
      <c r="O53" s="230"/>
      <c r="P53" s="231"/>
      <c r="Q53" s="232"/>
      <c r="R53" s="233"/>
      <c r="S53" s="234"/>
      <c r="T53" s="235"/>
      <c r="U53" s="233"/>
      <c r="V53" s="236"/>
      <c r="W53" s="234"/>
      <c r="X53" s="235"/>
      <c r="Y53" s="237"/>
      <c r="Z53" s="238"/>
    </row>
    <row r="54" spans="1:26" s="239" customFormat="1" ht="28.5" customHeight="1" x14ac:dyDescent="0.3">
      <c r="A54" s="222">
        <f t="shared" si="7"/>
        <v>0</v>
      </c>
      <c r="B54" s="223" t="b">
        <f t="shared" si="8"/>
        <v>1</v>
      </c>
      <c r="C54" s="222">
        <f t="shared" si="9"/>
        <v>0</v>
      </c>
      <c r="D54" s="205" t="str">
        <f t="shared" si="6"/>
        <v>$$$$</v>
      </c>
      <c r="E54" s="224"/>
      <c r="F54" s="225"/>
      <c r="G54" s="226"/>
      <c r="H54" s="227"/>
      <c r="I54" s="228"/>
      <c r="J54" s="228"/>
      <c r="K54" s="229"/>
      <c r="L54" s="230"/>
      <c r="M54" s="231"/>
      <c r="N54" s="232"/>
      <c r="O54" s="230"/>
      <c r="P54" s="231"/>
      <c r="Q54" s="232"/>
      <c r="R54" s="233"/>
      <c r="S54" s="234"/>
      <c r="T54" s="235"/>
      <c r="U54" s="233"/>
      <c r="V54" s="236"/>
      <c r="W54" s="234"/>
      <c r="X54" s="235"/>
      <c r="Y54" s="237"/>
      <c r="Z54" s="238"/>
    </row>
    <row r="55" spans="1:26" s="239" customFormat="1" ht="28.5" customHeight="1" x14ac:dyDescent="0.3">
      <c r="A55" s="222">
        <f t="shared" si="7"/>
        <v>0</v>
      </c>
      <c r="B55" s="223" t="b">
        <f t="shared" si="8"/>
        <v>1</v>
      </c>
      <c r="C55" s="222">
        <f t="shared" si="9"/>
        <v>0</v>
      </c>
      <c r="D55" s="205" t="str">
        <f t="shared" si="6"/>
        <v>$$$$</v>
      </c>
      <c r="E55" s="224"/>
      <c r="F55" s="225"/>
      <c r="G55" s="226"/>
      <c r="H55" s="227"/>
      <c r="I55" s="228"/>
      <c r="J55" s="228"/>
      <c r="K55" s="229"/>
      <c r="L55" s="230"/>
      <c r="M55" s="231"/>
      <c r="N55" s="232"/>
      <c r="O55" s="230"/>
      <c r="P55" s="231"/>
      <c r="Q55" s="232"/>
      <c r="R55" s="233"/>
      <c r="S55" s="234"/>
      <c r="T55" s="235"/>
      <c r="U55" s="233"/>
      <c r="V55" s="236"/>
      <c r="W55" s="234"/>
      <c r="X55" s="235"/>
      <c r="Y55" s="237"/>
      <c r="Z55" s="238"/>
    </row>
    <row r="56" spans="1:26" s="239" customFormat="1" ht="28.5" customHeight="1" x14ac:dyDescent="0.3">
      <c r="A56" s="222">
        <f t="shared" si="7"/>
        <v>0</v>
      </c>
      <c r="B56" s="223" t="b">
        <f t="shared" si="8"/>
        <v>1</v>
      </c>
      <c r="C56" s="222">
        <f t="shared" si="9"/>
        <v>0</v>
      </c>
      <c r="D56" s="205" t="str">
        <f t="shared" si="6"/>
        <v>$$$$</v>
      </c>
      <c r="E56" s="224"/>
      <c r="F56" s="225"/>
      <c r="G56" s="226"/>
      <c r="H56" s="227"/>
      <c r="I56" s="228"/>
      <c r="J56" s="228"/>
      <c r="K56" s="229"/>
      <c r="L56" s="230"/>
      <c r="M56" s="231"/>
      <c r="N56" s="232"/>
      <c r="O56" s="230"/>
      <c r="P56" s="231"/>
      <c r="Q56" s="232"/>
      <c r="R56" s="233"/>
      <c r="S56" s="234"/>
      <c r="T56" s="235"/>
      <c r="U56" s="233"/>
      <c r="V56" s="236"/>
      <c r="W56" s="234"/>
      <c r="X56" s="235"/>
      <c r="Y56" s="237"/>
      <c r="Z56" s="238"/>
    </row>
    <row r="57" spans="1:26" s="239" customFormat="1" ht="28.5" customHeight="1" x14ac:dyDescent="0.3">
      <c r="A57" s="222">
        <f t="shared" si="7"/>
        <v>0</v>
      </c>
      <c r="B57" s="223" t="b">
        <f t="shared" si="8"/>
        <v>1</v>
      </c>
      <c r="C57" s="222">
        <f t="shared" si="9"/>
        <v>0</v>
      </c>
      <c r="D57" s="205" t="str">
        <f t="shared" si="6"/>
        <v>$$$$</v>
      </c>
      <c r="E57" s="224"/>
      <c r="F57" s="225"/>
      <c r="G57" s="226"/>
      <c r="H57" s="227"/>
      <c r="I57" s="228"/>
      <c r="J57" s="228"/>
      <c r="K57" s="229"/>
      <c r="L57" s="230"/>
      <c r="M57" s="231"/>
      <c r="N57" s="232"/>
      <c r="O57" s="230"/>
      <c r="P57" s="231"/>
      <c r="Q57" s="232"/>
      <c r="R57" s="233"/>
      <c r="S57" s="234"/>
      <c r="T57" s="235"/>
      <c r="U57" s="233"/>
      <c r="V57" s="236"/>
      <c r="W57" s="234"/>
      <c r="X57" s="235"/>
      <c r="Y57" s="237"/>
      <c r="Z57" s="238"/>
    </row>
    <row r="58" spans="1:26" s="239" customFormat="1" ht="28.5" customHeight="1" x14ac:dyDescent="0.3">
      <c r="A58" s="222">
        <f t="shared" si="7"/>
        <v>0</v>
      </c>
      <c r="B58" s="223" t="b">
        <f t="shared" si="8"/>
        <v>1</v>
      </c>
      <c r="C58" s="222">
        <f t="shared" si="9"/>
        <v>0</v>
      </c>
      <c r="D58" s="205" t="str">
        <f t="shared" si="6"/>
        <v>$$$$</v>
      </c>
      <c r="E58" s="224"/>
      <c r="F58" s="225"/>
      <c r="G58" s="226"/>
      <c r="H58" s="227"/>
      <c r="I58" s="228"/>
      <c r="J58" s="228"/>
      <c r="K58" s="229"/>
      <c r="L58" s="230"/>
      <c r="M58" s="231"/>
      <c r="N58" s="232"/>
      <c r="O58" s="230"/>
      <c r="P58" s="231"/>
      <c r="Q58" s="232"/>
      <c r="R58" s="233"/>
      <c r="S58" s="234"/>
      <c r="T58" s="235"/>
      <c r="U58" s="233"/>
      <c r="V58" s="236"/>
      <c r="W58" s="234"/>
      <c r="X58" s="235"/>
      <c r="Y58" s="237"/>
      <c r="Z58" s="238"/>
    </row>
    <row r="59" spans="1:26" s="239" customFormat="1" ht="28.5" customHeight="1" x14ac:dyDescent="0.3">
      <c r="A59" s="222">
        <f t="shared" si="7"/>
        <v>0</v>
      </c>
      <c r="B59" s="223" t="b">
        <f t="shared" si="8"/>
        <v>1</v>
      </c>
      <c r="C59" s="222">
        <f t="shared" si="9"/>
        <v>0</v>
      </c>
      <c r="D59" s="205" t="str">
        <f t="shared" si="6"/>
        <v>$$$$</v>
      </c>
      <c r="E59" s="224"/>
      <c r="F59" s="225"/>
      <c r="G59" s="226"/>
      <c r="H59" s="227"/>
      <c r="I59" s="228"/>
      <c r="J59" s="228"/>
      <c r="K59" s="229"/>
      <c r="L59" s="230"/>
      <c r="M59" s="231"/>
      <c r="N59" s="232"/>
      <c r="O59" s="230"/>
      <c r="P59" s="231"/>
      <c r="Q59" s="232"/>
      <c r="R59" s="233"/>
      <c r="S59" s="234"/>
      <c r="T59" s="235"/>
      <c r="U59" s="233"/>
      <c r="V59" s="236"/>
      <c r="W59" s="234"/>
      <c r="X59" s="235"/>
      <c r="Y59" s="237"/>
      <c r="Z59" s="238"/>
    </row>
    <row r="60" spans="1:26" s="239" customFormat="1" ht="28.5" customHeight="1" x14ac:dyDescent="0.3">
      <c r="A60" s="222">
        <f t="shared" si="7"/>
        <v>0</v>
      </c>
      <c r="B60" s="223" t="b">
        <f t="shared" si="8"/>
        <v>1</v>
      </c>
      <c r="C60" s="222">
        <f t="shared" si="9"/>
        <v>0</v>
      </c>
      <c r="D60" s="205" t="str">
        <f t="shared" si="6"/>
        <v>$$$$</v>
      </c>
      <c r="E60" s="224"/>
      <c r="F60" s="225"/>
      <c r="G60" s="226"/>
      <c r="H60" s="227"/>
      <c r="I60" s="228"/>
      <c r="J60" s="228"/>
      <c r="K60" s="229"/>
      <c r="L60" s="230"/>
      <c r="M60" s="231"/>
      <c r="N60" s="232"/>
      <c r="O60" s="230"/>
      <c r="P60" s="231"/>
      <c r="Q60" s="232"/>
      <c r="R60" s="233"/>
      <c r="S60" s="234"/>
      <c r="T60" s="235"/>
      <c r="U60" s="233"/>
      <c r="V60" s="236"/>
      <c r="W60" s="234"/>
      <c r="X60" s="235"/>
      <c r="Y60" s="237"/>
      <c r="Z60" s="238"/>
    </row>
    <row r="61" spans="1:26" s="239" customFormat="1" ht="28.5" customHeight="1" x14ac:dyDescent="0.3">
      <c r="A61" s="222">
        <f t="shared" si="7"/>
        <v>0</v>
      </c>
      <c r="B61" s="223" t="b">
        <f t="shared" si="8"/>
        <v>1</v>
      </c>
      <c r="C61" s="222">
        <f t="shared" si="9"/>
        <v>0</v>
      </c>
      <c r="D61" s="205" t="str">
        <f t="shared" si="6"/>
        <v>$$$$</v>
      </c>
      <c r="E61" s="224"/>
      <c r="F61" s="225"/>
      <c r="G61" s="226"/>
      <c r="H61" s="227"/>
      <c r="I61" s="228"/>
      <c r="J61" s="228"/>
      <c r="K61" s="229"/>
      <c r="L61" s="230"/>
      <c r="M61" s="231"/>
      <c r="N61" s="232"/>
      <c r="O61" s="230"/>
      <c r="P61" s="231"/>
      <c r="Q61" s="232"/>
      <c r="R61" s="233"/>
      <c r="S61" s="234"/>
      <c r="T61" s="235"/>
      <c r="U61" s="233"/>
      <c r="V61" s="236"/>
      <c r="W61" s="234"/>
      <c r="X61" s="235"/>
      <c r="Y61" s="237"/>
      <c r="Z61" s="238"/>
    </row>
    <row r="62" spans="1:26" s="239" customFormat="1" ht="28.5" customHeight="1" x14ac:dyDescent="0.3">
      <c r="A62" s="222">
        <f t="shared" si="7"/>
        <v>0</v>
      </c>
      <c r="B62" s="223" t="b">
        <f t="shared" si="8"/>
        <v>1</v>
      </c>
      <c r="C62" s="222">
        <f t="shared" si="9"/>
        <v>0</v>
      </c>
      <c r="D62" s="205" t="str">
        <f t="shared" si="6"/>
        <v>$$$$</v>
      </c>
      <c r="E62" s="224"/>
      <c r="F62" s="225"/>
      <c r="G62" s="226"/>
      <c r="H62" s="227"/>
      <c r="I62" s="228"/>
      <c r="J62" s="228"/>
      <c r="K62" s="229"/>
      <c r="L62" s="230"/>
      <c r="M62" s="231"/>
      <c r="N62" s="232"/>
      <c r="O62" s="230"/>
      <c r="P62" s="231"/>
      <c r="Q62" s="232"/>
      <c r="R62" s="233"/>
      <c r="S62" s="234"/>
      <c r="T62" s="235"/>
      <c r="U62" s="233"/>
      <c r="V62" s="236"/>
      <c r="W62" s="234"/>
      <c r="X62" s="235"/>
      <c r="Y62" s="237"/>
      <c r="Z62" s="238"/>
    </row>
    <row r="63" spans="1:26" s="239" customFormat="1" ht="28.5" customHeight="1" x14ac:dyDescent="0.3">
      <c r="A63" s="222">
        <f t="shared" si="7"/>
        <v>0</v>
      </c>
      <c r="B63" s="223" t="b">
        <f t="shared" si="8"/>
        <v>1</v>
      </c>
      <c r="C63" s="222">
        <f t="shared" si="9"/>
        <v>0</v>
      </c>
      <c r="D63" s="205" t="str">
        <f t="shared" si="6"/>
        <v>$$$$</v>
      </c>
      <c r="E63" s="224"/>
      <c r="F63" s="225"/>
      <c r="G63" s="226"/>
      <c r="H63" s="227"/>
      <c r="I63" s="228"/>
      <c r="J63" s="228"/>
      <c r="K63" s="229"/>
      <c r="L63" s="230"/>
      <c r="M63" s="231"/>
      <c r="N63" s="232"/>
      <c r="O63" s="230"/>
      <c r="P63" s="231"/>
      <c r="Q63" s="232"/>
      <c r="R63" s="233"/>
      <c r="S63" s="234"/>
      <c r="T63" s="235"/>
      <c r="U63" s="233"/>
      <c r="V63" s="236"/>
      <c r="W63" s="234"/>
      <c r="X63" s="235"/>
      <c r="Y63" s="237"/>
      <c r="Z63" s="238"/>
    </row>
    <row r="64" spans="1:26" s="239" customFormat="1" ht="28.5" customHeight="1" x14ac:dyDescent="0.3">
      <c r="A64" s="222">
        <f t="shared" si="7"/>
        <v>0</v>
      </c>
      <c r="B64" s="223" t="b">
        <f t="shared" si="8"/>
        <v>1</v>
      </c>
      <c r="C64" s="222">
        <f t="shared" si="9"/>
        <v>0</v>
      </c>
      <c r="D64" s="205" t="str">
        <f t="shared" si="6"/>
        <v>$$$$</v>
      </c>
      <c r="E64" s="224"/>
      <c r="F64" s="225"/>
      <c r="G64" s="226"/>
      <c r="H64" s="227"/>
      <c r="I64" s="228"/>
      <c r="J64" s="228"/>
      <c r="K64" s="229"/>
      <c r="L64" s="230"/>
      <c r="M64" s="231"/>
      <c r="N64" s="232"/>
      <c r="O64" s="230"/>
      <c r="P64" s="231"/>
      <c r="Q64" s="232"/>
      <c r="R64" s="233"/>
      <c r="S64" s="234"/>
      <c r="T64" s="235"/>
      <c r="U64" s="233"/>
      <c r="V64" s="236"/>
      <c r="W64" s="234"/>
      <c r="X64" s="235"/>
      <c r="Y64" s="237"/>
      <c r="Z64" s="238"/>
    </row>
    <row r="65" spans="1:26" s="239" customFormat="1" ht="28.5" customHeight="1" x14ac:dyDescent="0.3">
      <c r="A65" s="222">
        <f t="shared" si="7"/>
        <v>0</v>
      </c>
      <c r="B65" s="223" t="b">
        <f t="shared" si="8"/>
        <v>1</v>
      </c>
      <c r="C65" s="222">
        <f t="shared" si="9"/>
        <v>0</v>
      </c>
      <c r="D65" s="205" t="str">
        <f t="shared" si="6"/>
        <v>$$$$</v>
      </c>
      <c r="E65" s="224"/>
      <c r="F65" s="225"/>
      <c r="G65" s="226"/>
      <c r="H65" s="227"/>
      <c r="I65" s="228"/>
      <c r="J65" s="228"/>
      <c r="K65" s="229"/>
      <c r="L65" s="230"/>
      <c r="M65" s="231"/>
      <c r="N65" s="232"/>
      <c r="O65" s="230"/>
      <c r="P65" s="231"/>
      <c r="Q65" s="232"/>
      <c r="R65" s="233"/>
      <c r="S65" s="234"/>
      <c r="T65" s="235"/>
      <c r="U65" s="233"/>
      <c r="V65" s="236"/>
      <c r="W65" s="234"/>
      <c r="X65" s="235"/>
      <c r="Y65" s="237"/>
      <c r="Z65" s="238"/>
    </row>
    <row r="66" spans="1:26" s="239" customFormat="1" ht="28.5" customHeight="1" x14ac:dyDescent="0.3">
      <c r="A66" s="222">
        <f t="shared" si="7"/>
        <v>0</v>
      </c>
      <c r="B66" s="223" t="b">
        <f t="shared" si="8"/>
        <v>1</v>
      </c>
      <c r="C66" s="222">
        <f t="shared" si="9"/>
        <v>0</v>
      </c>
      <c r="D66" s="205" t="str">
        <f t="shared" si="6"/>
        <v>$$$$</v>
      </c>
      <c r="E66" s="224"/>
      <c r="F66" s="225"/>
      <c r="G66" s="226"/>
      <c r="H66" s="227"/>
      <c r="I66" s="228"/>
      <c r="J66" s="228"/>
      <c r="K66" s="229"/>
      <c r="L66" s="230"/>
      <c r="M66" s="231"/>
      <c r="N66" s="232"/>
      <c r="O66" s="230"/>
      <c r="P66" s="231"/>
      <c r="Q66" s="232"/>
      <c r="R66" s="233"/>
      <c r="S66" s="234"/>
      <c r="T66" s="235"/>
      <c r="U66" s="233"/>
      <c r="V66" s="236"/>
      <c r="W66" s="234"/>
      <c r="X66" s="235"/>
      <c r="Y66" s="237"/>
      <c r="Z66" s="238"/>
    </row>
    <row r="67" spans="1:26" s="239" customFormat="1" ht="28.5" customHeight="1" x14ac:dyDescent="0.3">
      <c r="A67" s="222">
        <f t="shared" si="7"/>
        <v>0</v>
      </c>
      <c r="B67" s="223" t="b">
        <f t="shared" si="8"/>
        <v>1</v>
      </c>
      <c r="C67" s="222">
        <f t="shared" si="9"/>
        <v>0</v>
      </c>
      <c r="D67" s="205" t="str">
        <f t="shared" si="6"/>
        <v>$$$$</v>
      </c>
      <c r="E67" s="224"/>
      <c r="F67" s="225"/>
      <c r="G67" s="226"/>
      <c r="H67" s="227"/>
      <c r="I67" s="228"/>
      <c r="J67" s="228"/>
      <c r="K67" s="229"/>
      <c r="L67" s="230"/>
      <c r="M67" s="231"/>
      <c r="N67" s="232"/>
      <c r="O67" s="230"/>
      <c r="P67" s="231"/>
      <c r="Q67" s="232"/>
      <c r="R67" s="233"/>
      <c r="S67" s="234"/>
      <c r="T67" s="235"/>
      <c r="U67" s="233"/>
      <c r="V67" s="236"/>
      <c r="W67" s="234"/>
      <c r="X67" s="235"/>
      <c r="Y67" s="237"/>
      <c r="Z67" s="238"/>
    </row>
    <row r="68" spans="1:26" s="239" customFormat="1" ht="28.5" customHeight="1" x14ac:dyDescent="0.3">
      <c r="A68" s="222">
        <f t="shared" si="7"/>
        <v>0</v>
      </c>
      <c r="B68" s="223" t="b">
        <f t="shared" si="8"/>
        <v>1</v>
      </c>
      <c r="C68" s="222">
        <f t="shared" si="9"/>
        <v>0</v>
      </c>
      <c r="D68" s="205" t="str">
        <f t="shared" si="6"/>
        <v>$$$$</v>
      </c>
      <c r="E68" s="224"/>
      <c r="F68" s="225"/>
      <c r="G68" s="226"/>
      <c r="H68" s="227"/>
      <c r="I68" s="228"/>
      <c r="J68" s="228"/>
      <c r="K68" s="229"/>
      <c r="L68" s="230"/>
      <c r="M68" s="231"/>
      <c r="N68" s="232"/>
      <c r="O68" s="230"/>
      <c r="P68" s="231"/>
      <c r="Q68" s="232"/>
      <c r="R68" s="233"/>
      <c r="S68" s="234"/>
      <c r="T68" s="235"/>
      <c r="U68" s="233"/>
      <c r="V68" s="236"/>
      <c r="W68" s="234"/>
      <c r="X68" s="235"/>
      <c r="Y68" s="237"/>
      <c r="Z68" s="238"/>
    </row>
    <row r="69" spans="1:26" s="239" customFormat="1" ht="28.5" customHeight="1" x14ac:dyDescent="0.3">
      <c r="A69" s="222">
        <f t="shared" si="7"/>
        <v>0</v>
      </c>
      <c r="B69" s="223" t="b">
        <f t="shared" si="8"/>
        <v>1</v>
      </c>
      <c r="C69" s="222">
        <f t="shared" si="9"/>
        <v>0</v>
      </c>
      <c r="D69" s="205" t="str">
        <f t="shared" si="6"/>
        <v>$$$$</v>
      </c>
      <c r="E69" s="224"/>
      <c r="F69" s="225"/>
      <c r="G69" s="226"/>
      <c r="H69" s="227"/>
      <c r="I69" s="228"/>
      <c r="J69" s="228"/>
      <c r="K69" s="229"/>
      <c r="L69" s="230"/>
      <c r="M69" s="231"/>
      <c r="N69" s="232"/>
      <c r="O69" s="230"/>
      <c r="P69" s="231"/>
      <c r="Q69" s="232"/>
      <c r="R69" s="233"/>
      <c r="S69" s="234"/>
      <c r="T69" s="235"/>
      <c r="U69" s="233"/>
      <c r="V69" s="236"/>
      <c r="W69" s="234"/>
      <c r="X69" s="235"/>
      <c r="Y69" s="237"/>
      <c r="Z69" s="238"/>
    </row>
    <row r="70" spans="1:26" s="239" customFormat="1" ht="28.5" customHeight="1" x14ac:dyDescent="0.3">
      <c r="A70" s="222">
        <f t="shared" si="7"/>
        <v>0</v>
      </c>
      <c r="B70" s="223" t="b">
        <f t="shared" si="8"/>
        <v>1</v>
      </c>
      <c r="C70" s="222">
        <f t="shared" si="9"/>
        <v>0</v>
      </c>
      <c r="D70" s="205" t="str">
        <f t="shared" si="6"/>
        <v>$$$$</v>
      </c>
      <c r="E70" s="224"/>
      <c r="F70" s="225"/>
      <c r="G70" s="226"/>
      <c r="H70" s="227"/>
      <c r="I70" s="228"/>
      <c r="J70" s="228"/>
      <c r="K70" s="229"/>
      <c r="L70" s="230"/>
      <c r="M70" s="231"/>
      <c r="N70" s="232"/>
      <c r="O70" s="230"/>
      <c r="P70" s="231"/>
      <c r="Q70" s="232"/>
      <c r="R70" s="233"/>
      <c r="S70" s="234"/>
      <c r="T70" s="235"/>
      <c r="U70" s="233"/>
      <c r="V70" s="236"/>
      <c r="W70" s="234"/>
      <c r="X70" s="235"/>
      <c r="Y70" s="237"/>
      <c r="Z70" s="238"/>
    </row>
    <row r="71" spans="1:26" s="239" customFormat="1" ht="28.5" customHeight="1" x14ac:dyDescent="0.3">
      <c r="A71" s="222">
        <f t="shared" ref="A71:A102" si="10">IF(B71,0,MATCH(H71,ВидыНагр,0))</f>
        <v>0</v>
      </c>
      <c r="B71" s="223" t="b">
        <f t="shared" ref="B71:B102" si="11">(COUNTIF(КлючВесна,D71)&lt;&gt;1)</f>
        <v>1</v>
      </c>
      <c r="C71" s="222">
        <f t="shared" ref="C71:C102" si="12">IF(COUNTA(E71:K71,Z71)&gt;0,1,0)+IF(COUNTA(L71:Y71)&gt;0,2,0)</f>
        <v>0</v>
      </c>
      <c r="D71" s="205" t="str">
        <f t="shared" si="6"/>
        <v>$$$$</v>
      </c>
      <c r="E71" s="224"/>
      <c r="F71" s="225"/>
      <c r="G71" s="226"/>
      <c r="H71" s="227"/>
      <c r="I71" s="228"/>
      <c r="J71" s="228"/>
      <c r="K71" s="229"/>
      <c r="L71" s="230"/>
      <c r="M71" s="231"/>
      <c r="N71" s="232"/>
      <c r="O71" s="230"/>
      <c r="P71" s="231"/>
      <c r="Q71" s="232"/>
      <c r="R71" s="233"/>
      <c r="S71" s="234"/>
      <c r="T71" s="235"/>
      <c r="U71" s="233"/>
      <c r="V71" s="236"/>
      <c r="W71" s="234"/>
      <c r="X71" s="235"/>
      <c r="Y71" s="237"/>
      <c r="Z71" s="238"/>
    </row>
    <row r="72" spans="1:26" s="239" customFormat="1" ht="28.5" customHeight="1" x14ac:dyDescent="0.3">
      <c r="A72" s="222">
        <f t="shared" si="10"/>
        <v>0</v>
      </c>
      <c r="B72" s="223" t="b">
        <f t="shared" si="11"/>
        <v>1</v>
      </c>
      <c r="C72" s="222">
        <f t="shared" si="12"/>
        <v>0</v>
      </c>
      <c r="D72" s="205" t="str">
        <f t="shared" ref="D72:D159" si="13">CONCATENATE("$",TRIM(F72),"$",TRIM(G72),"$",H72,"$")</f>
        <v>$$$$</v>
      </c>
      <c r="E72" s="224"/>
      <c r="F72" s="225"/>
      <c r="G72" s="226"/>
      <c r="H72" s="227"/>
      <c r="I72" s="228"/>
      <c r="J72" s="228"/>
      <c r="K72" s="229"/>
      <c r="L72" s="230"/>
      <c r="M72" s="231"/>
      <c r="N72" s="232"/>
      <c r="O72" s="230"/>
      <c r="P72" s="231"/>
      <c r="Q72" s="232"/>
      <c r="R72" s="233"/>
      <c r="S72" s="234"/>
      <c r="T72" s="235"/>
      <c r="U72" s="233"/>
      <c r="V72" s="236"/>
      <c r="W72" s="234"/>
      <c r="X72" s="235"/>
      <c r="Y72" s="237"/>
      <c r="Z72" s="238"/>
    </row>
    <row r="73" spans="1:26" s="239" customFormat="1" ht="28.5" customHeight="1" x14ac:dyDescent="0.3">
      <c r="A73" s="222">
        <f t="shared" si="10"/>
        <v>0</v>
      </c>
      <c r="B73" s="223" t="b">
        <f t="shared" si="11"/>
        <v>1</v>
      </c>
      <c r="C73" s="222">
        <f t="shared" si="12"/>
        <v>0</v>
      </c>
      <c r="D73" s="205" t="str">
        <f t="shared" si="13"/>
        <v>$$$$</v>
      </c>
      <c r="E73" s="224"/>
      <c r="F73" s="225"/>
      <c r="G73" s="226"/>
      <c r="H73" s="227"/>
      <c r="I73" s="228"/>
      <c r="J73" s="228"/>
      <c r="K73" s="229"/>
      <c r="L73" s="230"/>
      <c r="M73" s="231"/>
      <c r="N73" s="232"/>
      <c r="O73" s="230"/>
      <c r="P73" s="231"/>
      <c r="Q73" s="232"/>
      <c r="R73" s="233"/>
      <c r="S73" s="234"/>
      <c r="T73" s="235"/>
      <c r="U73" s="233"/>
      <c r="V73" s="236"/>
      <c r="W73" s="234"/>
      <c r="X73" s="235"/>
      <c r="Y73" s="237"/>
      <c r="Z73" s="238"/>
    </row>
    <row r="74" spans="1:26" s="239" customFormat="1" ht="28.5" customHeight="1" x14ac:dyDescent="0.3">
      <c r="A74" s="222">
        <f t="shared" si="10"/>
        <v>0</v>
      </c>
      <c r="B74" s="223" t="b">
        <f t="shared" si="11"/>
        <v>1</v>
      </c>
      <c r="C74" s="222">
        <f t="shared" si="12"/>
        <v>0</v>
      </c>
      <c r="D74" s="205" t="str">
        <f t="shared" si="13"/>
        <v>$$$$</v>
      </c>
      <c r="E74" s="224"/>
      <c r="F74" s="225"/>
      <c r="G74" s="226"/>
      <c r="H74" s="227"/>
      <c r="I74" s="228"/>
      <c r="J74" s="228"/>
      <c r="K74" s="229"/>
      <c r="L74" s="230"/>
      <c r="M74" s="231"/>
      <c r="N74" s="232"/>
      <c r="O74" s="230"/>
      <c r="P74" s="231"/>
      <c r="Q74" s="232"/>
      <c r="R74" s="233"/>
      <c r="S74" s="234"/>
      <c r="T74" s="235"/>
      <c r="U74" s="233"/>
      <c r="V74" s="236"/>
      <c r="W74" s="234"/>
      <c r="X74" s="235"/>
      <c r="Y74" s="237"/>
      <c r="Z74" s="238"/>
    </row>
    <row r="75" spans="1:26" s="239" customFormat="1" ht="28.5" customHeight="1" x14ac:dyDescent="0.3">
      <c r="A75" s="222">
        <f t="shared" si="10"/>
        <v>0</v>
      </c>
      <c r="B75" s="223" t="b">
        <f t="shared" si="11"/>
        <v>1</v>
      </c>
      <c r="C75" s="222">
        <f t="shared" si="12"/>
        <v>0</v>
      </c>
      <c r="D75" s="205" t="str">
        <f t="shared" si="13"/>
        <v>$$$$</v>
      </c>
      <c r="E75" s="224"/>
      <c r="F75" s="225"/>
      <c r="G75" s="226"/>
      <c r="H75" s="227"/>
      <c r="I75" s="228"/>
      <c r="J75" s="228"/>
      <c r="K75" s="229"/>
      <c r="L75" s="230"/>
      <c r="M75" s="231"/>
      <c r="N75" s="232"/>
      <c r="O75" s="230"/>
      <c r="P75" s="231"/>
      <c r="Q75" s="232"/>
      <c r="R75" s="233"/>
      <c r="S75" s="234"/>
      <c r="T75" s="235"/>
      <c r="U75" s="233"/>
      <c r="V75" s="236"/>
      <c r="W75" s="234"/>
      <c r="X75" s="235"/>
      <c r="Y75" s="237"/>
      <c r="Z75" s="238"/>
    </row>
    <row r="76" spans="1:26" s="239" customFormat="1" ht="28.5" customHeight="1" x14ac:dyDescent="0.3">
      <c r="A76" s="222">
        <f t="shared" si="10"/>
        <v>0</v>
      </c>
      <c r="B76" s="223" t="b">
        <f t="shared" si="11"/>
        <v>1</v>
      </c>
      <c r="C76" s="222">
        <f t="shared" si="12"/>
        <v>0</v>
      </c>
      <c r="D76" s="205" t="str">
        <f t="shared" si="13"/>
        <v>$$$$</v>
      </c>
      <c r="E76" s="224"/>
      <c r="F76" s="225"/>
      <c r="G76" s="226"/>
      <c r="H76" s="227"/>
      <c r="I76" s="228"/>
      <c r="J76" s="228"/>
      <c r="K76" s="229"/>
      <c r="L76" s="230"/>
      <c r="M76" s="231"/>
      <c r="N76" s="232"/>
      <c r="O76" s="230"/>
      <c r="P76" s="231"/>
      <c r="Q76" s="232"/>
      <c r="R76" s="233"/>
      <c r="S76" s="234"/>
      <c r="T76" s="235"/>
      <c r="U76" s="233"/>
      <c r="V76" s="236"/>
      <c r="W76" s="234"/>
      <c r="X76" s="235"/>
      <c r="Y76" s="237"/>
      <c r="Z76" s="238"/>
    </row>
    <row r="77" spans="1:26" s="239" customFormat="1" ht="28.5" customHeight="1" x14ac:dyDescent="0.3">
      <c r="A77" s="222">
        <f t="shared" si="10"/>
        <v>0</v>
      </c>
      <c r="B77" s="223" t="b">
        <f t="shared" si="11"/>
        <v>1</v>
      </c>
      <c r="C77" s="222">
        <f t="shared" si="12"/>
        <v>0</v>
      </c>
      <c r="D77" s="205" t="str">
        <f t="shared" si="13"/>
        <v>$$$$</v>
      </c>
      <c r="E77" s="224"/>
      <c r="F77" s="225"/>
      <c r="G77" s="226"/>
      <c r="H77" s="227"/>
      <c r="I77" s="228"/>
      <c r="J77" s="228"/>
      <c r="K77" s="229"/>
      <c r="L77" s="230"/>
      <c r="M77" s="231"/>
      <c r="N77" s="232"/>
      <c r="O77" s="230"/>
      <c r="P77" s="231"/>
      <c r="Q77" s="232"/>
      <c r="R77" s="233"/>
      <c r="S77" s="234"/>
      <c r="T77" s="235"/>
      <c r="U77" s="233"/>
      <c r="V77" s="236"/>
      <c r="W77" s="234"/>
      <c r="X77" s="235"/>
      <c r="Y77" s="237"/>
      <c r="Z77" s="238"/>
    </row>
    <row r="78" spans="1:26" s="239" customFormat="1" ht="28.5" customHeight="1" x14ac:dyDescent="0.3">
      <c r="A78" s="222">
        <f t="shared" si="10"/>
        <v>0</v>
      </c>
      <c r="B78" s="223" t="b">
        <f t="shared" si="11"/>
        <v>1</v>
      </c>
      <c r="C78" s="222">
        <f t="shared" si="12"/>
        <v>0</v>
      </c>
      <c r="D78" s="205" t="str">
        <f t="shared" si="13"/>
        <v>$$$$</v>
      </c>
      <c r="E78" s="224"/>
      <c r="F78" s="225"/>
      <c r="G78" s="226"/>
      <c r="H78" s="227"/>
      <c r="I78" s="228"/>
      <c r="J78" s="228"/>
      <c r="K78" s="229"/>
      <c r="L78" s="230"/>
      <c r="M78" s="231"/>
      <c r="N78" s="232"/>
      <c r="O78" s="230"/>
      <c r="P78" s="231"/>
      <c r="Q78" s="232"/>
      <c r="R78" s="233"/>
      <c r="S78" s="234"/>
      <c r="T78" s="235"/>
      <c r="U78" s="233"/>
      <c r="V78" s="236"/>
      <c r="W78" s="234"/>
      <c r="X78" s="235"/>
      <c r="Y78" s="237"/>
      <c r="Z78" s="238"/>
    </row>
    <row r="79" spans="1:26" s="239" customFormat="1" ht="28.5" customHeight="1" x14ac:dyDescent="0.3">
      <c r="A79" s="222">
        <f t="shared" si="10"/>
        <v>0</v>
      </c>
      <c r="B79" s="223" t="b">
        <f t="shared" si="11"/>
        <v>1</v>
      </c>
      <c r="C79" s="222">
        <f t="shared" si="12"/>
        <v>0</v>
      </c>
      <c r="D79" s="205" t="str">
        <f t="shared" si="13"/>
        <v>$$$$</v>
      </c>
      <c r="E79" s="224"/>
      <c r="F79" s="225"/>
      <c r="G79" s="226"/>
      <c r="H79" s="227"/>
      <c r="I79" s="228"/>
      <c r="J79" s="228"/>
      <c r="K79" s="229"/>
      <c r="L79" s="230"/>
      <c r="M79" s="231"/>
      <c r="N79" s="232"/>
      <c r="O79" s="230"/>
      <c r="P79" s="231"/>
      <c r="Q79" s="232"/>
      <c r="R79" s="233"/>
      <c r="S79" s="234"/>
      <c r="T79" s="235"/>
      <c r="U79" s="233"/>
      <c r="V79" s="236"/>
      <c r="W79" s="234"/>
      <c r="X79" s="235"/>
      <c r="Y79" s="237"/>
      <c r="Z79" s="238"/>
    </row>
    <row r="80" spans="1:26" s="239" customFormat="1" ht="28.5" customHeight="1" x14ac:dyDescent="0.3">
      <c r="A80" s="222">
        <f t="shared" si="10"/>
        <v>0</v>
      </c>
      <c r="B80" s="223" t="b">
        <f t="shared" si="11"/>
        <v>1</v>
      </c>
      <c r="C80" s="222">
        <f t="shared" si="12"/>
        <v>0</v>
      </c>
      <c r="D80" s="205" t="str">
        <f t="shared" si="13"/>
        <v>$$$$</v>
      </c>
      <c r="E80" s="224"/>
      <c r="F80" s="225"/>
      <c r="G80" s="226"/>
      <c r="H80" s="227"/>
      <c r="I80" s="228"/>
      <c r="J80" s="228"/>
      <c r="K80" s="229"/>
      <c r="L80" s="230"/>
      <c r="M80" s="231"/>
      <c r="N80" s="232"/>
      <c r="O80" s="230"/>
      <c r="P80" s="231"/>
      <c r="Q80" s="232"/>
      <c r="R80" s="233"/>
      <c r="S80" s="234"/>
      <c r="T80" s="235"/>
      <c r="U80" s="233"/>
      <c r="V80" s="236"/>
      <c r="W80" s="234"/>
      <c r="X80" s="235"/>
      <c r="Y80" s="237"/>
      <c r="Z80" s="238"/>
    </row>
    <row r="81" spans="1:26" s="239" customFormat="1" ht="28.5" customHeight="1" x14ac:dyDescent="0.3">
      <c r="A81" s="222">
        <f t="shared" si="10"/>
        <v>0</v>
      </c>
      <c r="B81" s="223" t="b">
        <f t="shared" si="11"/>
        <v>1</v>
      </c>
      <c r="C81" s="222">
        <f t="shared" si="12"/>
        <v>0</v>
      </c>
      <c r="D81" s="205" t="str">
        <f t="shared" si="13"/>
        <v>$$$$</v>
      </c>
      <c r="E81" s="224"/>
      <c r="F81" s="225"/>
      <c r="G81" s="226"/>
      <c r="H81" s="227"/>
      <c r="I81" s="228"/>
      <c r="J81" s="228"/>
      <c r="K81" s="229"/>
      <c r="L81" s="230"/>
      <c r="M81" s="231"/>
      <c r="N81" s="232"/>
      <c r="O81" s="230"/>
      <c r="P81" s="231"/>
      <c r="Q81" s="232"/>
      <c r="R81" s="233"/>
      <c r="S81" s="234"/>
      <c r="T81" s="235"/>
      <c r="U81" s="233"/>
      <c r="V81" s="236"/>
      <c r="W81" s="234"/>
      <c r="X81" s="235"/>
      <c r="Y81" s="237"/>
      <c r="Z81" s="238"/>
    </row>
    <row r="82" spans="1:26" s="239" customFormat="1" ht="28.5" customHeight="1" x14ac:dyDescent="0.3">
      <c r="A82" s="222">
        <f t="shared" si="10"/>
        <v>0</v>
      </c>
      <c r="B82" s="223" t="b">
        <f t="shared" si="11"/>
        <v>1</v>
      </c>
      <c r="C82" s="222">
        <f t="shared" si="12"/>
        <v>0</v>
      </c>
      <c r="D82" s="205" t="str">
        <f t="shared" si="13"/>
        <v>$$$$</v>
      </c>
      <c r="E82" s="224"/>
      <c r="F82" s="225"/>
      <c r="G82" s="226"/>
      <c r="H82" s="227"/>
      <c r="I82" s="228"/>
      <c r="J82" s="228"/>
      <c r="K82" s="229"/>
      <c r="L82" s="230"/>
      <c r="M82" s="231"/>
      <c r="N82" s="232"/>
      <c r="O82" s="230"/>
      <c r="P82" s="231"/>
      <c r="Q82" s="232"/>
      <c r="R82" s="233"/>
      <c r="S82" s="234"/>
      <c r="T82" s="235"/>
      <c r="U82" s="233"/>
      <c r="V82" s="236"/>
      <c r="W82" s="234"/>
      <c r="X82" s="235"/>
      <c r="Y82" s="237"/>
      <c r="Z82" s="238"/>
    </row>
    <row r="83" spans="1:26" s="239" customFormat="1" ht="28.5" customHeight="1" x14ac:dyDescent="0.3">
      <c r="A83" s="222">
        <f t="shared" si="10"/>
        <v>0</v>
      </c>
      <c r="B83" s="223" t="b">
        <f t="shared" si="11"/>
        <v>1</v>
      </c>
      <c r="C83" s="222">
        <f t="shared" si="12"/>
        <v>0</v>
      </c>
      <c r="D83" s="205" t="str">
        <f t="shared" si="13"/>
        <v>$$$$</v>
      </c>
      <c r="E83" s="224"/>
      <c r="F83" s="225"/>
      <c r="G83" s="226"/>
      <c r="H83" s="227"/>
      <c r="I83" s="228"/>
      <c r="J83" s="228"/>
      <c r="K83" s="229"/>
      <c r="L83" s="230"/>
      <c r="M83" s="231"/>
      <c r="N83" s="232"/>
      <c r="O83" s="230"/>
      <c r="P83" s="231"/>
      <c r="Q83" s="232"/>
      <c r="R83" s="233"/>
      <c r="S83" s="234"/>
      <c r="T83" s="235"/>
      <c r="U83" s="233"/>
      <c r="V83" s="236"/>
      <c r="W83" s="234"/>
      <c r="X83" s="235"/>
      <c r="Y83" s="237"/>
      <c r="Z83" s="238"/>
    </row>
    <row r="84" spans="1:26" s="239" customFormat="1" ht="28.5" customHeight="1" x14ac:dyDescent="0.3">
      <c r="A84" s="222">
        <f t="shared" si="10"/>
        <v>0</v>
      </c>
      <c r="B84" s="223" t="b">
        <f t="shared" si="11"/>
        <v>1</v>
      </c>
      <c r="C84" s="222">
        <f t="shared" si="12"/>
        <v>0</v>
      </c>
      <c r="D84" s="205" t="str">
        <f t="shared" si="13"/>
        <v>$$$$</v>
      </c>
      <c r="E84" s="224"/>
      <c r="F84" s="225"/>
      <c r="G84" s="226"/>
      <c r="H84" s="227"/>
      <c r="I84" s="228"/>
      <c r="J84" s="228"/>
      <c r="K84" s="229"/>
      <c r="L84" s="230"/>
      <c r="M84" s="231"/>
      <c r="N84" s="232"/>
      <c r="O84" s="230"/>
      <c r="P84" s="231"/>
      <c r="Q84" s="232"/>
      <c r="R84" s="233"/>
      <c r="S84" s="234"/>
      <c r="T84" s="235"/>
      <c r="U84" s="233"/>
      <c r="V84" s="236"/>
      <c r="W84" s="234"/>
      <c r="X84" s="235"/>
      <c r="Y84" s="237"/>
      <c r="Z84" s="238"/>
    </row>
    <row r="85" spans="1:26" s="239" customFormat="1" ht="28.5" customHeight="1" x14ac:dyDescent="0.3">
      <c r="A85" s="222">
        <f t="shared" si="10"/>
        <v>0</v>
      </c>
      <c r="B85" s="223" t="b">
        <f t="shared" si="11"/>
        <v>1</v>
      </c>
      <c r="C85" s="222">
        <f t="shared" si="12"/>
        <v>0</v>
      </c>
      <c r="D85" s="205" t="str">
        <f t="shared" si="13"/>
        <v>$$$$</v>
      </c>
      <c r="E85" s="224"/>
      <c r="F85" s="225"/>
      <c r="G85" s="226"/>
      <c r="H85" s="227"/>
      <c r="I85" s="228"/>
      <c r="J85" s="228"/>
      <c r="K85" s="229"/>
      <c r="L85" s="230"/>
      <c r="M85" s="231"/>
      <c r="N85" s="232"/>
      <c r="O85" s="230"/>
      <c r="P85" s="231"/>
      <c r="Q85" s="232"/>
      <c r="R85" s="233"/>
      <c r="S85" s="234"/>
      <c r="T85" s="235"/>
      <c r="U85" s="233"/>
      <c r="V85" s="236"/>
      <c r="W85" s="234"/>
      <c r="X85" s="235"/>
      <c r="Y85" s="237"/>
      <c r="Z85" s="238"/>
    </row>
    <row r="86" spans="1:26" s="239" customFormat="1" ht="28.5" customHeight="1" x14ac:dyDescent="0.3">
      <c r="A86" s="222">
        <f t="shared" si="10"/>
        <v>0</v>
      </c>
      <c r="B86" s="223" t="b">
        <f t="shared" si="11"/>
        <v>1</v>
      </c>
      <c r="C86" s="222">
        <f t="shared" si="12"/>
        <v>0</v>
      </c>
      <c r="D86" s="205" t="str">
        <f t="shared" si="13"/>
        <v>$$$$</v>
      </c>
      <c r="E86" s="224"/>
      <c r="F86" s="225"/>
      <c r="G86" s="226"/>
      <c r="H86" s="227"/>
      <c r="I86" s="228"/>
      <c r="J86" s="228"/>
      <c r="K86" s="229"/>
      <c r="L86" s="230"/>
      <c r="M86" s="231"/>
      <c r="N86" s="232"/>
      <c r="O86" s="230"/>
      <c r="P86" s="231"/>
      <c r="Q86" s="232"/>
      <c r="R86" s="233"/>
      <c r="S86" s="234"/>
      <c r="T86" s="235"/>
      <c r="U86" s="233"/>
      <c r="V86" s="236"/>
      <c r="W86" s="234"/>
      <c r="X86" s="235"/>
      <c r="Y86" s="237"/>
      <c r="Z86" s="238"/>
    </row>
    <row r="87" spans="1:26" s="239" customFormat="1" ht="28.5" customHeight="1" x14ac:dyDescent="0.3">
      <c r="A87" s="222">
        <f t="shared" si="10"/>
        <v>0</v>
      </c>
      <c r="B87" s="223" t="b">
        <f t="shared" si="11"/>
        <v>1</v>
      </c>
      <c r="C87" s="222">
        <f t="shared" si="12"/>
        <v>0</v>
      </c>
      <c r="D87" s="205" t="str">
        <f t="shared" si="13"/>
        <v>$$$$</v>
      </c>
      <c r="E87" s="224"/>
      <c r="F87" s="225"/>
      <c r="G87" s="226"/>
      <c r="H87" s="227"/>
      <c r="I87" s="228"/>
      <c r="J87" s="228"/>
      <c r="K87" s="229"/>
      <c r="L87" s="230"/>
      <c r="M87" s="231"/>
      <c r="N87" s="232"/>
      <c r="O87" s="230"/>
      <c r="P87" s="231"/>
      <c r="Q87" s="232"/>
      <c r="R87" s="233"/>
      <c r="S87" s="234"/>
      <c r="T87" s="235"/>
      <c r="U87" s="233"/>
      <c r="V87" s="236"/>
      <c r="W87" s="234"/>
      <c r="X87" s="235"/>
      <c r="Y87" s="237"/>
      <c r="Z87" s="238"/>
    </row>
    <row r="88" spans="1:26" s="239" customFormat="1" ht="28.5" customHeight="1" x14ac:dyDescent="0.3">
      <c r="A88" s="222">
        <f t="shared" si="10"/>
        <v>0</v>
      </c>
      <c r="B88" s="223" t="b">
        <f t="shared" si="11"/>
        <v>1</v>
      </c>
      <c r="C88" s="222">
        <f t="shared" si="12"/>
        <v>0</v>
      </c>
      <c r="D88" s="205" t="str">
        <f t="shared" si="13"/>
        <v>$$$$</v>
      </c>
      <c r="E88" s="224"/>
      <c r="F88" s="225"/>
      <c r="G88" s="226"/>
      <c r="H88" s="227"/>
      <c r="I88" s="228"/>
      <c r="J88" s="228"/>
      <c r="K88" s="229"/>
      <c r="L88" s="230"/>
      <c r="M88" s="231"/>
      <c r="N88" s="232"/>
      <c r="O88" s="230"/>
      <c r="P88" s="231"/>
      <c r="Q88" s="232"/>
      <c r="R88" s="233"/>
      <c r="S88" s="234"/>
      <c r="T88" s="235"/>
      <c r="U88" s="233"/>
      <c r="V88" s="236"/>
      <c r="W88" s="234"/>
      <c r="X88" s="235"/>
      <c r="Y88" s="237"/>
      <c r="Z88" s="238"/>
    </row>
    <row r="89" spans="1:26" s="239" customFormat="1" ht="28.5" customHeight="1" x14ac:dyDescent="0.3">
      <c r="A89" s="222">
        <f t="shared" si="10"/>
        <v>0</v>
      </c>
      <c r="B89" s="223" t="b">
        <f t="shared" si="11"/>
        <v>1</v>
      </c>
      <c r="C89" s="222">
        <f t="shared" si="12"/>
        <v>0</v>
      </c>
      <c r="D89" s="205" t="str">
        <f t="shared" si="13"/>
        <v>$$$$</v>
      </c>
      <c r="E89" s="224"/>
      <c r="F89" s="225"/>
      <c r="G89" s="226"/>
      <c r="H89" s="227"/>
      <c r="I89" s="228"/>
      <c r="J89" s="228"/>
      <c r="K89" s="229"/>
      <c r="L89" s="230"/>
      <c r="M89" s="231"/>
      <c r="N89" s="232"/>
      <c r="O89" s="230"/>
      <c r="P89" s="231"/>
      <c r="Q89" s="232"/>
      <c r="R89" s="233"/>
      <c r="S89" s="234"/>
      <c r="T89" s="235"/>
      <c r="U89" s="233"/>
      <c r="V89" s="236"/>
      <c r="W89" s="234"/>
      <c r="X89" s="235"/>
      <c r="Y89" s="237"/>
      <c r="Z89" s="238"/>
    </row>
    <row r="90" spans="1:26" s="239" customFormat="1" ht="28.5" customHeight="1" x14ac:dyDescent="0.3">
      <c r="A90" s="222">
        <f t="shared" si="10"/>
        <v>0</v>
      </c>
      <c r="B90" s="223" t="b">
        <f t="shared" si="11"/>
        <v>1</v>
      </c>
      <c r="C90" s="222">
        <f t="shared" si="12"/>
        <v>0</v>
      </c>
      <c r="D90" s="205" t="str">
        <f t="shared" si="13"/>
        <v>$$$$</v>
      </c>
      <c r="E90" s="224"/>
      <c r="F90" s="225"/>
      <c r="G90" s="226"/>
      <c r="H90" s="227"/>
      <c r="I90" s="228"/>
      <c r="J90" s="228"/>
      <c r="K90" s="229"/>
      <c r="L90" s="230"/>
      <c r="M90" s="231"/>
      <c r="N90" s="232"/>
      <c r="O90" s="230"/>
      <c r="P90" s="231"/>
      <c r="Q90" s="232"/>
      <c r="R90" s="233"/>
      <c r="S90" s="234"/>
      <c r="T90" s="235"/>
      <c r="U90" s="233"/>
      <c r="V90" s="236"/>
      <c r="W90" s="234"/>
      <c r="X90" s="235"/>
      <c r="Y90" s="237"/>
      <c r="Z90" s="238"/>
    </row>
    <row r="91" spans="1:26" s="239" customFormat="1" ht="28.5" customHeight="1" x14ac:dyDescent="0.3">
      <c r="A91" s="222">
        <f t="shared" si="10"/>
        <v>0</v>
      </c>
      <c r="B91" s="223" t="b">
        <f t="shared" si="11"/>
        <v>1</v>
      </c>
      <c r="C91" s="222">
        <f t="shared" si="12"/>
        <v>0</v>
      </c>
      <c r="D91" s="205" t="str">
        <f t="shared" si="13"/>
        <v>$$$$</v>
      </c>
      <c r="E91" s="224"/>
      <c r="F91" s="225"/>
      <c r="G91" s="226"/>
      <c r="H91" s="227"/>
      <c r="I91" s="228"/>
      <c r="J91" s="228"/>
      <c r="K91" s="229"/>
      <c r="L91" s="230"/>
      <c r="M91" s="231"/>
      <c r="N91" s="232"/>
      <c r="O91" s="230"/>
      <c r="P91" s="231"/>
      <c r="Q91" s="232"/>
      <c r="R91" s="233"/>
      <c r="S91" s="234"/>
      <c r="T91" s="235"/>
      <c r="U91" s="233"/>
      <c r="V91" s="236"/>
      <c r="W91" s="234"/>
      <c r="X91" s="235"/>
      <c r="Y91" s="237"/>
      <c r="Z91" s="238"/>
    </row>
    <row r="92" spans="1:26" s="239" customFormat="1" ht="28.5" customHeight="1" x14ac:dyDescent="0.3">
      <c r="A92" s="222">
        <f t="shared" si="10"/>
        <v>0</v>
      </c>
      <c r="B92" s="223" t="b">
        <f t="shared" si="11"/>
        <v>1</v>
      </c>
      <c r="C92" s="222">
        <f t="shared" si="12"/>
        <v>0</v>
      </c>
      <c r="D92" s="205" t="str">
        <f t="shared" si="13"/>
        <v>$$$$</v>
      </c>
      <c r="E92" s="224"/>
      <c r="F92" s="225"/>
      <c r="G92" s="226"/>
      <c r="H92" s="227"/>
      <c r="I92" s="228"/>
      <c r="J92" s="228"/>
      <c r="K92" s="229"/>
      <c r="L92" s="230"/>
      <c r="M92" s="231"/>
      <c r="N92" s="232"/>
      <c r="O92" s="230"/>
      <c r="P92" s="231"/>
      <c r="Q92" s="232"/>
      <c r="R92" s="233"/>
      <c r="S92" s="234"/>
      <c r="T92" s="235"/>
      <c r="U92" s="233"/>
      <c r="V92" s="236"/>
      <c r="W92" s="234"/>
      <c r="X92" s="235"/>
      <c r="Y92" s="237"/>
      <c r="Z92" s="238"/>
    </row>
    <row r="93" spans="1:26" s="239" customFormat="1" ht="28.5" customHeight="1" x14ac:dyDescent="0.3">
      <c r="A93" s="222">
        <f t="shared" si="10"/>
        <v>0</v>
      </c>
      <c r="B93" s="223" t="b">
        <f t="shared" si="11"/>
        <v>1</v>
      </c>
      <c r="C93" s="222">
        <f t="shared" si="12"/>
        <v>0</v>
      </c>
      <c r="D93" s="205" t="str">
        <f t="shared" si="13"/>
        <v>$$$$</v>
      </c>
      <c r="E93" s="224"/>
      <c r="F93" s="225"/>
      <c r="G93" s="226"/>
      <c r="H93" s="227"/>
      <c r="I93" s="228"/>
      <c r="J93" s="228"/>
      <c r="K93" s="229"/>
      <c r="L93" s="230"/>
      <c r="M93" s="231"/>
      <c r="N93" s="232"/>
      <c r="O93" s="230"/>
      <c r="P93" s="231"/>
      <c r="Q93" s="232"/>
      <c r="R93" s="233"/>
      <c r="S93" s="234"/>
      <c r="T93" s="235"/>
      <c r="U93" s="233"/>
      <c r="V93" s="236"/>
      <c r="W93" s="234"/>
      <c r="X93" s="235"/>
      <c r="Y93" s="237"/>
      <c r="Z93" s="238"/>
    </row>
    <row r="94" spans="1:26" s="239" customFormat="1" ht="28.5" customHeight="1" x14ac:dyDescent="0.3">
      <c r="A94" s="222">
        <f t="shared" si="10"/>
        <v>0</v>
      </c>
      <c r="B94" s="223" t="b">
        <f t="shared" si="11"/>
        <v>1</v>
      </c>
      <c r="C94" s="222">
        <f t="shared" si="12"/>
        <v>0</v>
      </c>
      <c r="D94" s="205" t="str">
        <f t="shared" si="13"/>
        <v>$$$$</v>
      </c>
      <c r="E94" s="224"/>
      <c r="F94" s="225"/>
      <c r="G94" s="226"/>
      <c r="H94" s="227"/>
      <c r="I94" s="228"/>
      <c r="J94" s="228"/>
      <c r="K94" s="229"/>
      <c r="L94" s="230"/>
      <c r="M94" s="231"/>
      <c r="N94" s="232"/>
      <c r="O94" s="230"/>
      <c r="P94" s="231"/>
      <c r="Q94" s="232"/>
      <c r="R94" s="233"/>
      <c r="S94" s="234"/>
      <c r="T94" s="235"/>
      <c r="U94" s="233"/>
      <c r="V94" s="236"/>
      <c r="W94" s="234"/>
      <c r="X94" s="235"/>
      <c r="Y94" s="237"/>
      <c r="Z94" s="238"/>
    </row>
    <row r="95" spans="1:26" s="239" customFormat="1" ht="28.5" customHeight="1" x14ac:dyDescent="0.3">
      <c r="A95" s="222">
        <f t="shared" si="10"/>
        <v>0</v>
      </c>
      <c r="B95" s="223" t="b">
        <f t="shared" si="11"/>
        <v>1</v>
      </c>
      <c r="C95" s="222">
        <f t="shared" si="12"/>
        <v>0</v>
      </c>
      <c r="D95" s="205" t="str">
        <f t="shared" si="13"/>
        <v>$$$$</v>
      </c>
      <c r="E95" s="224"/>
      <c r="F95" s="225"/>
      <c r="G95" s="226"/>
      <c r="H95" s="227"/>
      <c r="I95" s="228"/>
      <c r="J95" s="228"/>
      <c r="K95" s="229"/>
      <c r="L95" s="230"/>
      <c r="M95" s="231"/>
      <c r="N95" s="232"/>
      <c r="O95" s="230"/>
      <c r="P95" s="231"/>
      <c r="Q95" s="232"/>
      <c r="R95" s="233"/>
      <c r="S95" s="234"/>
      <c r="T95" s="235"/>
      <c r="U95" s="233"/>
      <c r="V95" s="236"/>
      <c r="W95" s="234"/>
      <c r="X95" s="235"/>
      <c r="Y95" s="237"/>
      <c r="Z95" s="238"/>
    </row>
    <row r="96" spans="1:26" s="239" customFormat="1" ht="28.5" customHeight="1" x14ac:dyDescent="0.3">
      <c r="A96" s="222">
        <f t="shared" si="10"/>
        <v>0</v>
      </c>
      <c r="B96" s="223" t="b">
        <f t="shared" si="11"/>
        <v>1</v>
      </c>
      <c r="C96" s="222">
        <f t="shared" si="12"/>
        <v>0</v>
      </c>
      <c r="D96" s="205" t="str">
        <f t="shared" si="13"/>
        <v>$$$$</v>
      </c>
      <c r="E96" s="224"/>
      <c r="F96" s="225"/>
      <c r="G96" s="226"/>
      <c r="H96" s="227"/>
      <c r="I96" s="228"/>
      <c r="J96" s="228"/>
      <c r="K96" s="229"/>
      <c r="L96" s="230"/>
      <c r="M96" s="231"/>
      <c r="N96" s="232"/>
      <c r="O96" s="230"/>
      <c r="P96" s="231"/>
      <c r="Q96" s="232"/>
      <c r="R96" s="233"/>
      <c r="S96" s="234"/>
      <c r="T96" s="235"/>
      <c r="U96" s="233"/>
      <c r="V96" s="236"/>
      <c r="W96" s="234"/>
      <c r="X96" s="235"/>
      <c r="Y96" s="237"/>
      <c r="Z96" s="238"/>
    </row>
    <row r="97" spans="1:26" s="239" customFormat="1" ht="28.5" customHeight="1" x14ac:dyDescent="0.3">
      <c r="A97" s="222">
        <f t="shared" si="10"/>
        <v>0</v>
      </c>
      <c r="B97" s="223" t="b">
        <f t="shared" si="11"/>
        <v>1</v>
      </c>
      <c r="C97" s="222">
        <f t="shared" si="12"/>
        <v>0</v>
      </c>
      <c r="D97" s="205" t="str">
        <f t="shared" si="13"/>
        <v>$$$$</v>
      </c>
      <c r="E97" s="224"/>
      <c r="F97" s="225"/>
      <c r="G97" s="226"/>
      <c r="H97" s="227"/>
      <c r="I97" s="228"/>
      <c r="J97" s="228"/>
      <c r="K97" s="229"/>
      <c r="L97" s="230"/>
      <c r="M97" s="231"/>
      <c r="N97" s="232"/>
      <c r="O97" s="230"/>
      <c r="P97" s="231"/>
      <c r="Q97" s="232"/>
      <c r="R97" s="233"/>
      <c r="S97" s="234"/>
      <c r="T97" s="235"/>
      <c r="U97" s="233"/>
      <c r="V97" s="236"/>
      <c r="W97" s="234"/>
      <c r="X97" s="235"/>
      <c r="Y97" s="237"/>
      <c r="Z97" s="238"/>
    </row>
    <row r="98" spans="1:26" s="239" customFormat="1" ht="28.5" customHeight="1" x14ac:dyDescent="0.3">
      <c r="A98" s="222">
        <f t="shared" si="10"/>
        <v>0</v>
      </c>
      <c r="B98" s="223" t="b">
        <f t="shared" si="11"/>
        <v>1</v>
      </c>
      <c r="C98" s="222">
        <f t="shared" si="12"/>
        <v>0</v>
      </c>
      <c r="D98" s="205" t="str">
        <f t="shared" si="13"/>
        <v>$$$$</v>
      </c>
      <c r="E98" s="224"/>
      <c r="F98" s="225"/>
      <c r="G98" s="226"/>
      <c r="H98" s="227"/>
      <c r="I98" s="228"/>
      <c r="J98" s="228"/>
      <c r="K98" s="229"/>
      <c r="L98" s="230"/>
      <c r="M98" s="231"/>
      <c r="N98" s="232"/>
      <c r="O98" s="230"/>
      <c r="P98" s="231"/>
      <c r="Q98" s="232"/>
      <c r="R98" s="233"/>
      <c r="S98" s="234"/>
      <c r="T98" s="235"/>
      <c r="U98" s="233"/>
      <c r="V98" s="236"/>
      <c r="W98" s="234"/>
      <c r="X98" s="235"/>
      <c r="Y98" s="237"/>
      <c r="Z98" s="238"/>
    </row>
    <row r="99" spans="1:26" s="239" customFormat="1" ht="28.5" customHeight="1" x14ac:dyDescent="0.3">
      <c r="A99" s="222">
        <f t="shared" si="10"/>
        <v>0</v>
      </c>
      <c r="B99" s="223" t="b">
        <f t="shared" si="11"/>
        <v>1</v>
      </c>
      <c r="C99" s="222">
        <f t="shared" si="12"/>
        <v>0</v>
      </c>
      <c r="D99" s="205" t="str">
        <f t="shared" si="13"/>
        <v>$$$$</v>
      </c>
      <c r="E99" s="224"/>
      <c r="F99" s="225"/>
      <c r="G99" s="226"/>
      <c r="H99" s="227"/>
      <c r="I99" s="228"/>
      <c r="J99" s="228"/>
      <c r="K99" s="229"/>
      <c r="L99" s="230"/>
      <c r="M99" s="231"/>
      <c r="N99" s="232"/>
      <c r="O99" s="230"/>
      <c r="P99" s="231"/>
      <c r="Q99" s="232"/>
      <c r="R99" s="233"/>
      <c r="S99" s="234"/>
      <c r="T99" s="235"/>
      <c r="U99" s="233"/>
      <c r="V99" s="236"/>
      <c r="W99" s="234"/>
      <c r="X99" s="235"/>
      <c r="Y99" s="237"/>
      <c r="Z99" s="238"/>
    </row>
    <row r="100" spans="1:26" s="239" customFormat="1" ht="28.5" customHeight="1" x14ac:dyDescent="0.3">
      <c r="A100" s="222">
        <f t="shared" si="10"/>
        <v>0</v>
      </c>
      <c r="B100" s="223" t="b">
        <f t="shared" si="11"/>
        <v>1</v>
      </c>
      <c r="C100" s="222">
        <f t="shared" si="12"/>
        <v>0</v>
      </c>
      <c r="D100" s="205" t="str">
        <f t="shared" si="13"/>
        <v>$$$$</v>
      </c>
      <c r="E100" s="224"/>
      <c r="F100" s="225"/>
      <c r="G100" s="226"/>
      <c r="H100" s="227"/>
      <c r="I100" s="228"/>
      <c r="J100" s="228"/>
      <c r="K100" s="229"/>
      <c r="L100" s="230"/>
      <c r="M100" s="231"/>
      <c r="N100" s="232"/>
      <c r="O100" s="230"/>
      <c r="P100" s="231"/>
      <c r="Q100" s="232"/>
      <c r="R100" s="233"/>
      <c r="S100" s="234"/>
      <c r="T100" s="235"/>
      <c r="U100" s="233"/>
      <c r="V100" s="236"/>
      <c r="W100" s="234"/>
      <c r="X100" s="235"/>
      <c r="Y100" s="237"/>
      <c r="Z100" s="238"/>
    </row>
    <row r="101" spans="1:26" s="239" customFormat="1" ht="28.5" customHeight="1" x14ac:dyDescent="0.3">
      <c r="A101" s="222">
        <f t="shared" si="10"/>
        <v>0</v>
      </c>
      <c r="B101" s="223" t="b">
        <f t="shared" si="11"/>
        <v>1</v>
      </c>
      <c r="C101" s="222">
        <f t="shared" si="12"/>
        <v>0</v>
      </c>
      <c r="D101" s="205" t="str">
        <f t="shared" si="13"/>
        <v>$$$$</v>
      </c>
      <c r="E101" s="224"/>
      <c r="F101" s="225"/>
      <c r="G101" s="226"/>
      <c r="H101" s="227"/>
      <c r="I101" s="228"/>
      <c r="J101" s="228"/>
      <c r="K101" s="229"/>
      <c r="L101" s="230"/>
      <c r="M101" s="231"/>
      <c r="N101" s="232"/>
      <c r="O101" s="230"/>
      <c r="P101" s="231"/>
      <c r="Q101" s="232"/>
      <c r="R101" s="233"/>
      <c r="S101" s="234"/>
      <c r="T101" s="235"/>
      <c r="U101" s="233"/>
      <c r="V101" s="236"/>
      <c r="W101" s="234"/>
      <c r="X101" s="235"/>
      <c r="Y101" s="237"/>
      <c r="Z101" s="238"/>
    </row>
    <row r="102" spans="1:26" s="239" customFormat="1" ht="28.5" customHeight="1" x14ac:dyDescent="0.3">
      <c r="A102" s="222">
        <f t="shared" si="10"/>
        <v>0</v>
      </c>
      <c r="B102" s="223" t="b">
        <f t="shared" si="11"/>
        <v>1</v>
      </c>
      <c r="C102" s="222">
        <f t="shared" si="12"/>
        <v>0</v>
      </c>
      <c r="D102" s="205" t="str">
        <f t="shared" si="13"/>
        <v>$$$$</v>
      </c>
      <c r="E102" s="224"/>
      <c r="F102" s="225"/>
      <c r="G102" s="226"/>
      <c r="H102" s="227"/>
      <c r="I102" s="228"/>
      <c r="J102" s="228"/>
      <c r="K102" s="229"/>
      <c r="L102" s="230"/>
      <c r="M102" s="231"/>
      <c r="N102" s="232"/>
      <c r="O102" s="230"/>
      <c r="P102" s="231"/>
      <c r="Q102" s="232"/>
      <c r="R102" s="233"/>
      <c r="S102" s="234"/>
      <c r="T102" s="235"/>
      <c r="U102" s="233"/>
      <c r="V102" s="236"/>
      <c r="W102" s="234"/>
      <c r="X102" s="235"/>
      <c r="Y102" s="237"/>
      <c r="Z102" s="238"/>
    </row>
    <row r="103" spans="1:26" s="239" customFormat="1" ht="28.5" customHeight="1" x14ac:dyDescent="0.3">
      <c r="A103" s="222">
        <f t="shared" ref="A103:A159" si="14">IF(B103,0,MATCH(H103,ВидыНагр,0))</f>
        <v>0</v>
      </c>
      <c r="B103" s="223" t="b">
        <f t="shared" ref="B103:B159" si="15">(COUNTIF(КлючВесна,D103)&lt;&gt;1)</f>
        <v>1</v>
      </c>
      <c r="C103" s="222">
        <f t="shared" ref="C103:C159" si="16">IF(COUNTA(E103:K103,Z103)&gt;0,1,0)+IF(COUNTA(L103:Y103)&gt;0,2,0)</f>
        <v>0</v>
      </c>
      <c r="D103" s="205" t="str">
        <f t="shared" si="13"/>
        <v>$$$$</v>
      </c>
      <c r="E103" s="224"/>
      <c r="F103" s="225"/>
      <c r="G103" s="226"/>
      <c r="H103" s="227"/>
      <c r="I103" s="228"/>
      <c r="J103" s="228"/>
      <c r="K103" s="229"/>
      <c r="L103" s="230"/>
      <c r="M103" s="231"/>
      <c r="N103" s="232"/>
      <c r="O103" s="230"/>
      <c r="P103" s="231"/>
      <c r="Q103" s="232"/>
      <c r="R103" s="233"/>
      <c r="S103" s="234"/>
      <c r="T103" s="235"/>
      <c r="U103" s="233"/>
      <c r="V103" s="236"/>
      <c r="W103" s="234"/>
      <c r="X103" s="235"/>
      <c r="Y103" s="237"/>
      <c r="Z103" s="238"/>
    </row>
    <row r="104" spans="1:26" s="239" customFormat="1" ht="28.5" customHeight="1" x14ac:dyDescent="0.3">
      <c r="A104" s="222">
        <f t="shared" si="14"/>
        <v>0</v>
      </c>
      <c r="B104" s="223" t="b">
        <f t="shared" si="15"/>
        <v>1</v>
      </c>
      <c r="C104" s="222">
        <f t="shared" si="16"/>
        <v>0</v>
      </c>
      <c r="D104" s="205" t="str">
        <f t="shared" si="13"/>
        <v>$$$$</v>
      </c>
      <c r="E104" s="224"/>
      <c r="F104" s="225"/>
      <c r="G104" s="226"/>
      <c r="H104" s="227"/>
      <c r="I104" s="228"/>
      <c r="J104" s="228"/>
      <c r="K104" s="229"/>
      <c r="L104" s="230"/>
      <c r="M104" s="231"/>
      <c r="N104" s="232"/>
      <c r="O104" s="230"/>
      <c r="P104" s="231"/>
      <c r="Q104" s="232"/>
      <c r="R104" s="233"/>
      <c r="S104" s="234"/>
      <c r="T104" s="235"/>
      <c r="U104" s="233"/>
      <c r="V104" s="236"/>
      <c r="W104" s="234"/>
      <c r="X104" s="235"/>
      <c r="Y104" s="237"/>
      <c r="Z104" s="238"/>
    </row>
    <row r="105" spans="1:26" s="239" customFormat="1" ht="28.5" customHeight="1" x14ac:dyDescent="0.3">
      <c r="A105" s="222">
        <f t="shared" si="14"/>
        <v>0</v>
      </c>
      <c r="B105" s="223" t="b">
        <f t="shared" si="15"/>
        <v>1</v>
      </c>
      <c r="C105" s="222">
        <f t="shared" si="16"/>
        <v>0</v>
      </c>
      <c r="D105" s="205" t="str">
        <f t="shared" si="13"/>
        <v>$$$$</v>
      </c>
      <c r="E105" s="224"/>
      <c r="F105" s="225"/>
      <c r="G105" s="226"/>
      <c r="H105" s="227"/>
      <c r="I105" s="228"/>
      <c r="J105" s="228"/>
      <c r="K105" s="229"/>
      <c r="L105" s="230"/>
      <c r="M105" s="231"/>
      <c r="N105" s="232"/>
      <c r="O105" s="230"/>
      <c r="P105" s="231"/>
      <c r="Q105" s="232"/>
      <c r="R105" s="233"/>
      <c r="S105" s="234"/>
      <c r="T105" s="235"/>
      <c r="U105" s="233"/>
      <c r="V105" s="236"/>
      <c r="W105" s="234"/>
      <c r="X105" s="235"/>
      <c r="Y105" s="237"/>
      <c r="Z105" s="238"/>
    </row>
    <row r="106" spans="1:26" s="239" customFormat="1" ht="28.5" customHeight="1" x14ac:dyDescent="0.3">
      <c r="A106" s="222">
        <f t="shared" si="14"/>
        <v>0</v>
      </c>
      <c r="B106" s="223" t="b">
        <f t="shared" si="15"/>
        <v>1</v>
      </c>
      <c r="C106" s="222">
        <f t="shared" si="16"/>
        <v>0</v>
      </c>
      <c r="D106" s="205" t="str">
        <f t="shared" si="13"/>
        <v>$$$$</v>
      </c>
      <c r="E106" s="224"/>
      <c r="F106" s="225"/>
      <c r="G106" s="226"/>
      <c r="H106" s="227"/>
      <c r="I106" s="228"/>
      <c r="J106" s="228"/>
      <c r="K106" s="229"/>
      <c r="L106" s="230"/>
      <c r="M106" s="231"/>
      <c r="N106" s="232"/>
      <c r="O106" s="230"/>
      <c r="P106" s="231"/>
      <c r="Q106" s="232"/>
      <c r="R106" s="233"/>
      <c r="S106" s="234"/>
      <c r="T106" s="235"/>
      <c r="U106" s="233"/>
      <c r="V106" s="236"/>
      <c r="W106" s="234"/>
      <c r="X106" s="235"/>
      <c r="Y106" s="237"/>
      <c r="Z106" s="238"/>
    </row>
    <row r="107" spans="1:26" s="239" customFormat="1" ht="28.5" customHeight="1" x14ac:dyDescent="0.3">
      <c r="A107" s="222">
        <f>IF(B107,0,MATCH(H107,ВидыНагр,0))</f>
        <v>0</v>
      </c>
      <c r="B107" s="223" t="b">
        <f>(COUNTIF(КлючВесна,D107)&lt;&gt;1)</f>
        <v>1</v>
      </c>
      <c r="C107" s="222">
        <f t="shared" si="16"/>
        <v>0</v>
      </c>
      <c r="D107" s="205" t="str">
        <f>CONCATENATE("$",TRIM(F107),"$",TRIM(G107),"$",H107,"$")</f>
        <v>$$$$</v>
      </c>
      <c r="E107" s="224"/>
      <c r="F107" s="225"/>
      <c r="G107" s="226"/>
      <c r="H107" s="227"/>
      <c r="I107" s="228"/>
      <c r="J107" s="228"/>
      <c r="K107" s="229"/>
      <c r="L107" s="230"/>
      <c r="M107" s="231"/>
      <c r="N107" s="232"/>
      <c r="O107" s="230"/>
      <c r="P107" s="231"/>
      <c r="Q107" s="232"/>
      <c r="R107" s="233"/>
      <c r="S107" s="234"/>
      <c r="T107" s="235"/>
      <c r="U107" s="233"/>
      <c r="V107" s="236"/>
      <c r="W107" s="234"/>
      <c r="X107" s="235"/>
      <c r="Y107" s="237"/>
      <c r="Z107" s="238"/>
    </row>
    <row r="108" spans="1:26" s="239" customFormat="1" ht="28.5" customHeight="1" x14ac:dyDescent="0.3">
      <c r="A108" s="222">
        <f>IF(B108,0,MATCH(H108,ВидыНагр,0))</f>
        <v>0</v>
      </c>
      <c r="B108" s="223" t="b">
        <f>(COUNTIF(КлючВесна,D108)&lt;&gt;1)</f>
        <v>1</v>
      </c>
      <c r="C108" s="222">
        <f t="shared" si="16"/>
        <v>0</v>
      </c>
      <c r="D108" s="205" t="str">
        <f>CONCATENATE("$",TRIM(F108),"$",TRIM(G108),"$",H108,"$")</f>
        <v>$$$$</v>
      </c>
      <c r="E108" s="224"/>
      <c r="F108" s="225"/>
      <c r="G108" s="226"/>
      <c r="H108" s="227"/>
      <c r="I108" s="228"/>
      <c r="J108" s="228"/>
      <c r="K108" s="229"/>
      <c r="L108" s="230"/>
      <c r="M108" s="231"/>
      <c r="N108" s="232"/>
      <c r="O108" s="230"/>
      <c r="P108" s="231"/>
      <c r="Q108" s="232"/>
      <c r="R108" s="233"/>
      <c r="S108" s="234"/>
      <c r="T108" s="235"/>
      <c r="U108" s="233"/>
      <c r="V108" s="236"/>
      <c r="W108" s="234"/>
      <c r="X108" s="235"/>
      <c r="Y108" s="237"/>
      <c r="Z108" s="238"/>
    </row>
    <row r="109" spans="1:26" s="239" customFormat="1" ht="28.5" customHeight="1" x14ac:dyDescent="0.3">
      <c r="A109" s="222">
        <f t="shared" si="14"/>
        <v>0</v>
      </c>
      <c r="B109" s="223" t="b">
        <f t="shared" si="15"/>
        <v>1</v>
      </c>
      <c r="C109" s="222">
        <f t="shared" si="16"/>
        <v>0</v>
      </c>
      <c r="D109" s="205" t="str">
        <f t="shared" si="13"/>
        <v>$$$$</v>
      </c>
      <c r="E109" s="224"/>
      <c r="F109" s="225"/>
      <c r="G109" s="226"/>
      <c r="H109" s="227"/>
      <c r="I109" s="228"/>
      <c r="J109" s="228"/>
      <c r="K109" s="229"/>
      <c r="L109" s="230"/>
      <c r="M109" s="231"/>
      <c r="N109" s="232"/>
      <c r="O109" s="230"/>
      <c r="P109" s="231"/>
      <c r="Q109" s="232"/>
      <c r="R109" s="233"/>
      <c r="S109" s="234"/>
      <c r="T109" s="235"/>
      <c r="U109" s="233"/>
      <c r="V109" s="236"/>
      <c r="W109" s="234"/>
      <c r="X109" s="235"/>
      <c r="Y109" s="237"/>
      <c r="Z109" s="238"/>
    </row>
    <row r="110" spans="1:26" s="239" customFormat="1" ht="28.5" customHeight="1" x14ac:dyDescent="0.3">
      <c r="A110" s="222">
        <f t="shared" si="14"/>
        <v>0</v>
      </c>
      <c r="B110" s="223" t="b">
        <f t="shared" si="15"/>
        <v>1</v>
      </c>
      <c r="C110" s="222">
        <f t="shared" si="16"/>
        <v>0</v>
      </c>
      <c r="D110" s="205" t="str">
        <f t="shared" si="13"/>
        <v>$$$$</v>
      </c>
      <c r="E110" s="224"/>
      <c r="F110" s="225"/>
      <c r="G110" s="226"/>
      <c r="H110" s="227"/>
      <c r="I110" s="228"/>
      <c r="J110" s="228"/>
      <c r="K110" s="229"/>
      <c r="L110" s="230"/>
      <c r="M110" s="231"/>
      <c r="N110" s="232"/>
      <c r="O110" s="230"/>
      <c r="P110" s="231"/>
      <c r="Q110" s="232"/>
      <c r="R110" s="233"/>
      <c r="S110" s="234"/>
      <c r="T110" s="235"/>
      <c r="U110" s="233"/>
      <c r="V110" s="236"/>
      <c r="W110" s="234"/>
      <c r="X110" s="235"/>
      <c r="Y110" s="237"/>
      <c r="Z110" s="238"/>
    </row>
    <row r="111" spans="1:26" s="239" customFormat="1" ht="28.5" customHeight="1" x14ac:dyDescent="0.3">
      <c r="A111" s="222">
        <f t="shared" si="14"/>
        <v>0</v>
      </c>
      <c r="B111" s="223" t="b">
        <f t="shared" si="15"/>
        <v>1</v>
      </c>
      <c r="C111" s="222">
        <f t="shared" si="16"/>
        <v>0</v>
      </c>
      <c r="D111" s="205" t="str">
        <f t="shared" si="13"/>
        <v>$$$$</v>
      </c>
      <c r="E111" s="224"/>
      <c r="F111" s="225"/>
      <c r="G111" s="226"/>
      <c r="H111" s="227"/>
      <c r="I111" s="228"/>
      <c r="J111" s="228"/>
      <c r="K111" s="229"/>
      <c r="L111" s="230"/>
      <c r="M111" s="231"/>
      <c r="N111" s="232"/>
      <c r="O111" s="230"/>
      <c r="P111" s="231"/>
      <c r="Q111" s="232"/>
      <c r="R111" s="233"/>
      <c r="S111" s="234"/>
      <c r="T111" s="235"/>
      <c r="U111" s="233"/>
      <c r="V111" s="236"/>
      <c r="W111" s="234"/>
      <c r="X111" s="235"/>
      <c r="Y111" s="237"/>
      <c r="Z111" s="238"/>
    </row>
    <row r="112" spans="1:26" s="239" customFormat="1" ht="28.5" customHeight="1" x14ac:dyDescent="0.3">
      <c r="A112" s="222">
        <f t="shared" si="14"/>
        <v>0</v>
      </c>
      <c r="B112" s="223" t="b">
        <f t="shared" si="15"/>
        <v>1</v>
      </c>
      <c r="C112" s="222">
        <f t="shared" si="16"/>
        <v>0</v>
      </c>
      <c r="D112" s="205" t="str">
        <f t="shared" si="13"/>
        <v>$$$$</v>
      </c>
      <c r="E112" s="224"/>
      <c r="F112" s="225"/>
      <c r="G112" s="226"/>
      <c r="H112" s="227"/>
      <c r="I112" s="228"/>
      <c r="J112" s="228"/>
      <c r="K112" s="229"/>
      <c r="L112" s="230"/>
      <c r="M112" s="231"/>
      <c r="N112" s="232"/>
      <c r="O112" s="230"/>
      <c r="P112" s="231"/>
      <c r="Q112" s="232"/>
      <c r="R112" s="233"/>
      <c r="S112" s="234"/>
      <c r="T112" s="235"/>
      <c r="U112" s="233"/>
      <c r="V112" s="236"/>
      <c r="W112" s="234"/>
      <c r="X112" s="235"/>
      <c r="Y112" s="237"/>
      <c r="Z112" s="238"/>
    </row>
    <row r="113" spans="1:26" s="239" customFormat="1" ht="28.5" customHeight="1" x14ac:dyDescent="0.3">
      <c r="A113" s="222">
        <f t="shared" si="14"/>
        <v>0</v>
      </c>
      <c r="B113" s="223" t="b">
        <f t="shared" si="15"/>
        <v>1</v>
      </c>
      <c r="C113" s="222">
        <f t="shared" si="16"/>
        <v>0</v>
      </c>
      <c r="D113" s="205" t="str">
        <f t="shared" si="13"/>
        <v>$$$$</v>
      </c>
      <c r="E113" s="224"/>
      <c r="F113" s="225"/>
      <c r="G113" s="226"/>
      <c r="H113" s="227"/>
      <c r="I113" s="228"/>
      <c r="J113" s="228"/>
      <c r="K113" s="229"/>
      <c r="L113" s="230"/>
      <c r="M113" s="231"/>
      <c r="N113" s="232"/>
      <c r="O113" s="230"/>
      <c r="P113" s="231"/>
      <c r="Q113" s="232"/>
      <c r="R113" s="233"/>
      <c r="S113" s="234"/>
      <c r="T113" s="235"/>
      <c r="U113" s="233"/>
      <c r="V113" s="236"/>
      <c r="W113" s="234"/>
      <c r="X113" s="235"/>
      <c r="Y113" s="237"/>
      <c r="Z113" s="238"/>
    </row>
    <row r="114" spans="1:26" s="239" customFormat="1" ht="28.5" customHeight="1" x14ac:dyDescent="0.3">
      <c r="A114" s="222">
        <f t="shared" si="14"/>
        <v>0</v>
      </c>
      <c r="B114" s="223" t="b">
        <f t="shared" si="15"/>
        <v>1</v>
      </c>
      <c r="C114" s="222">
        <f t="shared" si="16"/>
        <v>0</v>
      </c>
      <c r="D114" s="205" t="str">
        <f t="shared" si="13"/>
        <v>$$$$</v>
      </c>
      <c r="E114" s="224"/>
      <c r="F114" s="225"/>
      <c r="G114" s="226"/>
      <c r="H114" s="227"/>
      <c r="I114" s="228"/>
      <c r="J114" s="228"/>
      <c r="K114" s="229"/>
      <c r="L114" s="230"/>
      <c r="M114" s="231"/>
      <c r="N114" s="232"/>
      <c r="O114" s="230"/>
      <c r="P114" s="231"/>
      <c r="Q114" s="232"/>
      <c r="R114" s="233"/>
      <c r="S114" s="234"/>
      <c r="T114" s="235"/>
      <c r="U114" s="233"/>
      <c r="V114" s="236"/>
      <c r="W114" s="234"/>
      <c r="X114" s="235"/>
      <c r="Y114" s="237"/>
      <c r="Z114" s="238"/>
    </row>
    <row r="115" spans="1:26" s="239" customFormat="1" ht="28.5" customHeight="1" x14ac:dyDescent="0.3">
      <c r="A115" s="222">
        <f t="shared" si="14"/>
        <v>0</v>
      </c>
      <c r="B115" s="223" t="b">
        <f t="shared" si="15"/>
        <v>1</v>
      </c>
      <c r="C115" s="222">
        <f t="shared" si="16"/>
        <v>0</v>
      </c>
      <c r="D115" s="205" t="str">
        <f t="shared" si="13"/>
        <v>$$$$</v>
      </c>
      <c r="E115" s="224"/>
      <c r="F115" s="225"/>
      <c r="G115" s="226"/>
      <c r="H115" s="227"/>
      <c r="I115" s="228"/>
      <c r="J115" s="228"/>
      <c r="K115" s="229"/>
      <c r="L115" s="230"/>
      <c r="M115" s="231"/>
      <c r="N115" s="232"/>
      <c r="O115" s="230"/>
      <c r="P115" s="231"/>
      <c r="Q115" s="232"/>
      <c r="R115" s="233"/>
      <c r="S115" s="234"/>
      <c r="T115" s="235"/>
      <c r="U115" s="233"/>
      <c r="V115" s="236"/>
      <c r="W115" s="234"/>
      <c r="X115" s="235"/>
      <c r="Y115" s="237"/>
      <c r="Z115" s="238"/>
    </row>
    <row r="116" spans="1:26" s="239" customFormat="1" ht="28.5" customHeight="1" x14ac:dyDescent="0.3">
      <c r="A116" s="222">
        <f t="shared" si="14"/>
        <v>0</v>
      </c>
      <c r="B116" s="223" t="b">
        <f t="shared" si="15"/>
        <v>1</v>
      </c>
      <c r="C116" s="222">
        <f t="shared" si="16"/>
        <v>0</v>
      </c>
      <c r="D116" s="205" t="str">
        <f t="shared" si="13"/>
        <v>$$$$</v>
      </c>
      <c r="E116" s="224"/>
      <c r="F116" s="225"/>
      <c r="G116" s="226"/>
      <c r="H116" s="227"/>
      <c r="I116" s="228"/>
      <c r="J116" s="228"/>
      <c r="K116" s="229"/>
      <c r="L116" s="230"/>
      <c r="M116" s="231"/>
      <c r="N116" s="232"/>
      <c r="O116" s="230"/>
      <c r="P116" s="231"/>
      <c r="Q116" s="232"/>
      <c r="R116" s="233"/>
      <c r="S116" s="234"/>
      <c r="T116" s="235"/>
      <c r="U116" s="233"/>
      <c r="V116" s="236"/>
      <c r="W116" s="234"/>
      <c r="X116" s="235"/>
      <c r="Y116" s="237"/>
      <c r="Z116" s="238"/>
    </row>
    <row r="117" spans="1:26" s="239" customFormat="1" ht="28.5" customHeight="1" x14ac:dyDescent="0.3">
      <c r="A117" s="222">
        <f t="shared" si="14"/>
        <v>0</v>
      </c>
      <c r="B117" s="223" t="b">
        <f t="shared" si="15"/>
        <v>1</v>
      </c>
      <c r="C117" s="222">
        <f t="shared" si="16"/>
        <v>0</v>
      </c>
      <c r="D117" s="205" t="str">
        <f t="shared" si="13"/>
        <v>$$$$</v>
      </c>
      <c r="E117" s="224"/>
      <c r="F117" s="225"/>
      <c r="G117" s="226"/>
      <c r="H117" s="227"/>
      <c r="I117" s="228"/>
      <c r="J117" s="228"/>
      <c r="K117" s="229"/>
      <c r="L117" s="230"/>
      <c r="M117" s="231"/>
      <c r="N117" s="232"/>
      <c r="O117" s="230"/>
      <c r="P117" s="231"/>
      <c r="Q117" s="232"/>
      <c r="R117" s="233"/>
      <c r="S117" s="234"/>
      <c r="T117" s="235"/>
      <c r="U117" s="233"/>
      <c r="V117" s="236"/>
      <c r="W117" s="234"/>
      <c r="X117" s="235"/>
      <c r="Y117" s="237"/>
      <c r="Z117" s="238"/>
    </row>
    <row r="118" spans="1:26" s="239" customFormat="1" ht="28.5" customHeight="1" x14ac:dyDescent="0.3">
      <c r="A118" s="222">
        <f t="shared" si="14"/>
        <v>0</v>
      </c>
      <c r="B118" s="223" t="b">
        <f t="shared" si="15"/>
        <v>1</v>
      </c>
      <c r="C118" s="222">
        <f t="shared" si="16"/>
        <v>0</v>
      </c>
      <c r="D118" s="205" t="str">
        <f t="shared" si="13"/>
        <v>$$$$</v>
      </c>
      <c r="E118" s="224"/>
      <c r="F118" s="225"/>
      <c r="G118" s="226"/>
      <c r="H118" s="227"/>
      <c r="I118" s="228"/>
      <c r="J118" s="228"/>
      <c r="K118" s="229"/>
      <c r="L118" s="230"/>
      <c r="M118" s="231"/>
      <c r="N118" s="232"/>
      <c r="O118" s="230"/>
      <c r="P118" s="231"/>
      <c r="Q118" s="232"/>
      <c r="R118" s="233"/>
      <c r="S118" s="234"/>
      <c r="T118" s="235"/>
      <c r="U118" s="233"/>
      <c r="V118" s="236"/>
      <c r="W118" s="234"/>
      <c r="X118" s="235"/>
      <c r="Y118" s="237"/>
      <c r="Z118" s="238"/>
    </row>
    <row r="119" spans="1:26" s="239" customFormat="1" ht="28.5" customHeight="1" x14ac:dyDescent="0.3">
      <c r="A119" s="222">
        <f t="shared" si="14"/>
        <v>0</v>
      </c>
      <c r="B119" s="223" t="b">
        <f t="shared" si="15"/>
        <v>1</v>
      </c>
      <c r="C119" s="222">
        <f t="shared" si="16"/>
        <v>0</v>
      </c>
      <c r="D119" s="205" t="str">
        <f t="shared" si="13"/>
        <v>$$$$</v>
      </c>
      <c r="E119" s="224"/>
      <c r="F119" s="225"/>
      <c r="G119" s="226"/>
      <c r="H119" s="227"/>
      <c r="I119" s="228"/>
      <c r="J119" s="228"/>
      <c r="K119" s="229"/>
      <c r="L119" s="230"/>
      <c r="M119" s="231"/>
      <c r="N119" s="232"/>
      <c r="O119" s="230"/>
      <c r="P119" s="231"/>
      <c r="Q119" s="232"/>
      <c r="R119" s="233"/>
      <c r="S119" s="234"/>
      <c r="T119" s="235"/>
      <c r="U119" s="233"/>
      <c r="V119" s="236"/>
      <c r="W119" s="234"/>
      <c r="X119" s="235"/>
      <c r="Y119" s="237"/>
      <c r="Z119" s="238"/>
    </row>
    <row r="120" spans="1:26" s="239" customFormat="1" ht="28.5" customHeight="1" x14ac:dyDescent="0.3">
      <c r="A120" s="222">
        <f t="shared" si="14"/>
        <v>0</v>
      </c>
      <c r="B120" s="223" t="b">
        <f t="shared" si="15"/>
        <v>1</v>
      </c>
      <c r="C120" s="222">
        <f t="shared" si="16"/>
        <v>0</v>
      </c>
      <c r="D120" s="205" t="str">
        <f t="shared" ref="D120:D154" si="17">CONCATENATE("$",TRIM(F120),"$",TRIM(G120),"$",H120,"$")</f>
        <v>$$$$</v>
      </c>
      <c r="E120" s="224"/>
      <c r="F120" s="225"/>
      <c r="G120" s="226"/>
      <c r="H120" s="227"/>
      <c r="I120" s="228"/>
      <c r="J120" s="228"/>
      <c r="K120" s="229"/>
      <c r="L120" s="230"/>
      <c r="M120" s="231"/>
      <c r="N120" s="232"/>
      <c r="O120" s="230"/>
      <c r="P120" s="231"/>
      <c r="Q120" s="232"/>
      <c r="R120" s="233"/>
      <c r="S120" s="234"/>
      <c r="T120" s="235"/>
      <c r="U120" s="233"/>
      <c r="V120" s="236"/>
      <c r="W120" s="234"/>
      <c r="X120" s="235"/>
      <c r="Y120" s="237"/>
      <c r="Z120" s="238"/>
    </row>
    <row r="121" spans="1:26" s="239" customFormat="1" ht="28.5" customHeight="1" x14ac:dyDescent="0.3">
      <c r="A121" s="222">
        <f t="shared" si="14"/>
        <v>0</v>
      </c>
      <c r="B121" s="223" t="b">
        <f t="shared" si="15"/>
        <v>1</v>
      </c>
      <c r="C121" s="222">
        <f t="shared" si="16"/>
        <v>0</v>
      </c>
      <c r="D121" s="205" t="str">
        <f t="shared" si="17"/>
        <v>$$$$</v>
      </c>
      <c r="E121" s="224"/>
      <c r="F121" s="225"/>
      <c r="G121" s="226"/>
      <c r="H121" s="227"/>
      <c r="I121" s="228"/>
      <c r="J121" s="228"/>
      <c r="K121" s="229"/>
      <c r="L121" s="230"/>
      <c r="M121" s="231"/>
      <c r="N121" s="232"/>
      <c r="O121" s="230"/>
      <c r="P121" s="231"/>
      <c r="Q121" s="232"/>
      <c r="R121" s="233"/>
      <c r="S121" s="234"/>
      <c r="T121" s="235"/>
      <c r="U121" s="233"/>
      <c r="V121" s="236"/>
      <c r="W121" s="234"/>
      <c r="X121" s="235"/>
      <c r="Y121" s="237"/>
      <c r="Z121" s="238"/>
    </row>
    <row r="122" spans="1:26" s="239" customFormat="1" ht="28.5" customHeight="1" x14ac:dyDescent="0.3">
      <c r="A122" s="222">
        <f t="shared" si="14"/>
        <v>0</v>
      </c>
      <c r="B122" s="223" t="b">
        <f t="shared" si="15"/>
        <v>1</v>
      </c>
      <c r="C122" s="222">
        <f t="shared" si="16"/>
        <v>0</v>
      </c>
      <c r="D122" s="205" t="str">
        <f t="shared" si="17"/>
        <v>$$$$</v>
      </c>
      <c r="E122" s="224"/>
      <c r="F122" s="225"/>
      <c r="G122" s="226"/>
      <c r="H122" s="227"/>
      <c r="I122" s="228"/>
      <c r="J122" s="228"/>
      <c r="K122" s="229"/>
      <c r="L122" s="230"/>
      <c r="M122" s="231"/>
      <c r="N122" s="232"/>
      <c r="O122" s="230"/>
      <c r="P122" s="231"/>
      <c r="Q122" s="232"/>
      <c r="R122" s="233"/>
      <c r="S122" s="234"/>
      <c r="T122" s="235"/>
      <c r="U122" s="233"/>
      <c r="V122" s="236"/>
      <c r="W122" s="234"/>
      <c r="X122" s="235"/>
      <c r="Y122" s="237"/>
      <c r="Z122" s="238"/>
    </row>
    <row r="123" spans="1:26" s="239" customFormat="1" ht="28.5" customHeight="1" x14ac:dyDescent="0.3">
      <c r="A123" s="222">
        <f t="shared" si="14"/>
        <v>0</v>
      </c>
      <c r="B123" s="223" t="b">
        <f t="shared" si="15"/>
        <v>1</v>
      </c>
      <c r="C123" s="222">
        <f t="shared" si="16"/>
        <v>0</v>
      </c>
      <c r="D123" s="205" t="str">
        <f t="shared" si="17"/>
        <v>$$$$</v>
      </c>
      <c r="E123" s="224"/>
      <c r="F123" s="225"/>
      <c r="G123" s="226"/>
      <c r="H123" s="227"/>
      <c r="I123" s="228"/>
      <c r="J123" s="228"/>
      <c r="K123" s="229"/>
      <c r="L123" s="230"/>
      <c r="M123" s="231"/>
      <c r="N123" s="232"/>
      <c r="O123" s="230"/>
      <c r="P123" s="231"/>
      <c r="Q123" s="232"/>
      <c r="R123" s="233"/>
      <c r="S123" s="234"/>
      <c r="T123" s="235"/>
      <c r="U123" s="233"/>
      <c r="V123" s="236"/>
      <c r="W123" s="234"/>
      <c r="X123" s="235"/>
      <c r="Y123" s="237"/>
      <c r="Z123" s="238"/>
    </row>
    <row r="124" spans="1:26" s="239" customFormat="1" ht="28.5" customHeight="1" x14ac:dyDescent="0.3">
      <c r="A124" s="222">
        <f t="shared" si="14"/>
        <v>0</v>
      </c>
      <c r="B124" s="223" t="b">
        <f t="shared" si="15"/>
        <v>1</v>
      </c>
      <c r="C124" s="222">
        <f t="shared" si="16"/>
        <v>0</v>
      </c>
      <c r="D124" s="205" t="str">
        <f t="shared" si="17"/>
        <v>$$$$</v>
      </c>
      <c r="E124" s="224"/>
      <c r="F124" s="225"/>
      <c r="G124" s="226"/>
      <c r="H124" s="227"/>
      <c r="I124" s="228"/>
      <c r="J124" s="228"/>
      <c r="K124" s="229"/>
      <c r="L124" s="230"/>
      <c r="M124" s="231"/>
      <c r="N124" s="232"/>
      <c r="O124" s="230"/>
      <c r="P124" s="231"/>
      <c r="Q124" s="232"/>
      <c r="R124" s="233"/>
      <c r="S124" s="234"/>
      <c r="T124" s="235"/>
      <c r="U124" s="233"/>
      <c r="V124" s="236"/>
      <c r="W124" s="234"/>
      <c r="X124" s="235"/>
      <c r="Y124" s="237"/>
      <c r="Z124" s="238"/>
    </row>
    <row r="125" spans="1:26" s="239" customFormat="1" ht="28.5" customHeight="1" x14ac:dyDescent="0.3">
      <c r="A125" s="222">
        <f t="shared" si="14"/>
        <v>0</v>
      </c>
      <c r="B125" s="223" t="b">
        <f t="shared" si="15"/>
        <v>1</v>
      </c>
      <c r="C125" s="222">
        <f t="shared" si="16"/>
        <v>0</v>
      </c>
      <c r="D125" s="205" t="str">
        <f t="shared" si="17"/>
        <v>$$$$</v>
      </c>
      <c r="E125" s="224"/>
      <c r="F125" s="225"/>
      <c r="G125" s="226"/>
      <c r="H125" s="227"/>
      <c r="I125" s="228"/>
      <c r="J125" s="228"/>
      <c r="K125" s="229"/>
      <c r="L125" s="230"/>
      <c r="M125" s="231"/>
      <c r="N125" s="232"/>
      <c r="O125" s="230"/>
      <c r="P125" s="231"/>
      <c r="Q125" s="232"/>
      <c r="R125" s="233"/>
      <c r="S125" s="234"/>
      <c r="T125" s="235"/>
      <c r="U125" s="233"/>
      <c r="V125" s="236"/>
      <c r="W125" s="234"/>
      <c r="X125" s="235"/>
      <c r="Y125" s="237"/>
      <c r="Z125" s="238"/>
    </row>
    <row r="126" spans="1:26" s="239" customFormat="1" ht="28.5" customHeight="1" x14ac:dyDescent="0.3">
      <c r="A126" s="222">
        <f t="shared" si="14"/>
        <v>0</v>
      </c>
      <c r="B126" s="223" t="b">
        <f t="shared" si="15"/>
        <v>1</v>
      </c>
      <c r="C126" s="222">
        <f t="shared" si="16"/>
        <v>0</v>
      </c>
      <c r="D126" s="205" t="str">
        <f t="shared" si="17"/>
        <v>$$$$</v>
      </c>
      <c r="E126" s="224"/>
      <c r="F126" s="225"/>
      <c r="G126" s="226"/>
      <c r="H126" s="227"/>
      <c r="I126" s="228"/>
      <c r="J126" s="228"/>
      <c r="K126" s="229"/>
      <c r="L126" s="230"/>
      <c r="M126" s="231"/>
      <c r="N126" s="232"/>
      <c r="O126" s="230"/>
      <c r="P126" s="231"/>
      <c r="Q126" s="232"/>
      <c r="R126" s="233"/>
      <c r="S126" s="234"/>
      <c r="T126" s="235"/>
      <c r="U126" s="233"/>
      <c r="V126" s="236"/>
      <c r="W126" s="234"/>
      <c r="X126" s="235"/>
      <c r="Y126" s="237"/>
      <c r="Z126" s="238"/>
    </row>
    <row r="127" spans="1:26" s="239" customFormat="1" ht="28.5" customHeight="1" x14ac:dyDescent="0.3">
      <c r="A127" s="222">
        <f t="shared" si="14"/>
        <v>0</v>
      </c>
      <c r="B127" s="223" t="b">
        <f t="shared" si="15"/>
        <v>1</v>
      </c>
      <c r="C127" s="222">
        <f t="shared" si="16"/>
        <v>0</v>
      </c>
      <c r="D127" s="205" t="str">
        <f t="shared" si="17"/>
        <v>$$$$</v>
      </c>
      <c r="E127" s="224"/>
      <c r="F127" s="225"/>
      <c r="G127" s="226"/>
      <c r="H127" s="227"/>
      <c r="I127" s="228"/>
      <c r="J127" s="228"/>
      <c r="K127" s="229"/>
      <c r="L127" s="230"/>
      <c r="M127" s="231"/>
      <c r="N127" s="232"/>
      <c r="O127" s="230"/>
      <c r="P127" s="231"/>
      <c r="Q127" s="232"/>
      <c r="R127" s="233"/>
      <c r="S127" s="234"/>
      <c r="T127" s="235"/>
      <c r="U127" s="233"/>
      <c r="V127" s="236"/>
      <c r="W127" s="234"/>
      <c r="X127" s="235"/>
      <c r="Y127" s="237"/>
      <c r="Z127" s="238"/>
    </row>
    <row r="128" spans="1:26" s="239" customFormat="1" ht="28.5" customHeight="1" x14ac:dyDescent="0.3">
      <c r="A128" s="222">
        <f t="shared" si="14"/>
        <v>0</v>
      </c>
      <c r="B128" s="223" t="b">
        <f t="shared" si="15"/>
        <v>1</v>
      </c>
      <c r="C128" s="222">
        <f t="shared" si="16"/>
        <v>0</v>
      </c>
      <c r="D128" s="205" t="str">
        <f t="shared" si="17"/>
        <v>$$$$</v>
      </c>
      <c r="E128" s="224"/>
      <c r="F128" s="225"/>
      <c r="G128" s="226"/>
      <c r="H128" s="227"/>
      <c r="I128" s="228"/>
      <c r="J128" s="228"/>
      <c r="K128" s="229"/>
      <c r="L128" s="230"/>
      <c r="M128" s="231"/>
      <c r="N128" s="232"/>
      <c r="O128" s="230"/>
      <c r="P128" s="231"/>
      <c r="Q128" s="232"/>
      <c r="R128" s="233"/>
      <c r="S128" s="234"/>
      <c r="T128" s="235"/>
      <c r="U128" s="233"/>
      <c r="V128" s="236"/>
      <c r="W128" s="234"/>
      <c r="X128" s="235"/>
      <c r="Y128" s="237"/>
      <c r="Z128" s="238"/>
    </row>
    <row r="129" spans="1:26" s="239" customFormat="1" ht="28.5" customHeight="1" x14ac:dyDescent="0.3">
      <c r="A129" s="222">
        <f t="shared" si="14"/>
        <v>0</v>
      </c>
      <c r="B129" s="223" t="b">
        <f t="shared" si="15"/>
        <v>1</v>
      </c>
      <c r="C129" s="222">
        <f t="shared" si="16"/>
        <v>0</v>
      </c>
      <c r="D129" s="205" t="str">
        <f t="shared" si="17"/>
        <v>$$$$</v>
      </c>
      <c r="E129" s="224"/>
      <c r="F129" s="225"/>
      <c r="G129" s="226"/>
      <c r="H129" s="227"/>
      <c r="I129" s="228"/>
      <c r="J129" s="228"/>
      <c r="K129" s="229"/>
      <c r="L129" s="230"/>
      <c r="M129" s="231"/>
      <c r="N129" s="232"/>
      <c r="O129" s="230"/>
      <c r="P129" s="231"/>
      <c r="Q129" s="232"/>
      <c r="R129" s="233"/>
      <c r="S129" s="234"/>
      <c r="T129" s="235"/>
      <c r="U129" s="233"/>
      <c r="V129" s="236"/>
      <c r="W129" s="234"/>
      <c r="X129" s="235"/>
      <c r="Y129" s="237"/>
      <c r="Z129" s="238"/>
    </row>
    <row r="130" spans="1:26" s="239" customFormat="1" ht="28.5" customHeight="1" x14ac:dyDescent="0.3">
      <c r="A130" s="222">
        <f t="shared" si="14"/>
        <v>0</v>
      </c>
      <c r="B130" s="223" t="b">
        <f t="shared" si="15"/>
        <v>1</v>
      </c>
      <c r="C130" s="222">
        <f t="shared" si="16"/>
        <v>0</v>
      </c>
      <c r="D130" s="205" t="str">
        <f t="shared" si="17"/>
        <v>$$$$</v>
      </c>
      <c r="E130" s="224"/>
      <c r="F130" s="225"/>
      <c r="G130" s="226"/>
      <c r="H130" s="227"/>
      <c r="I130" s="228"/>
      <c r="J130" s="228"/>
      <c r="K130" s="229"/>
      <c r="L130" s="230"/>
      <c r="M130" s="231"/>
      <c r="N130" s="232"/>
      <c r="O130" s="230"/>
      <c r="P130" s="231"/>
      <c r="Q130" s="232"/>
      <c r="R130" s="233"/>
      <c r="S130" s="234"/>
      <c r="T130" s="235"/>
      <c r="U130" s="233"/>
      <c r="V130" s="236"/>
      <c r="W130" s="234"/>
      <c r="X130" s="235"/>
      <c r="Y130" s="237"/>
      <c r="Z130" s="238"/>
    </row>
    <row r="131" spans="1:26" s="239" customFormat="1" ht="28.5" customHeight="1" x14ac:dyDescent="0.3">
      <c r="A131" s="222">
        <f t="shared" si="14"/>
        <v>0</v>
      </c>
      <c r="B131" s="223" t="b">
        <f t="shared" si="15"/>
        <v>1</v>
      </c>
      <c r="C131" s="222">
        <f t="shared" si="16"/>
        <v>0</v>
      </c>
      <c r="D131" s="205" t="str">
        <f t="shared" si="17"/>
        <v>$$$$</v>
      </c>
      <c r="E131" s="224"/>
      <c r="F131" s="225"/>
      <c r="G131" s="226"/>
      <c r="H131" s="227"/>
      <c r="I131" s="228"/>
      <c r="J131" s="228"/>
      <c r="K131" s="229"/>
      <c r="L131" s="230"/>
      <c r="M131" s="231"/>
      <c r="N131" s="232"/>
      <c r="O131" s="230"/>
      <c r="P131" s="231"/>
      <c r="Q131" s="232"/>
      <c r="R131" s="233"/>
      <c r="S131" s="234"/>
      <c r="T131" s="235"/>
      <c r="U131" s="233"/>
      <c r="V131" s="236"/>
      <c r="W131" s="234"/>
      <c r="X131" s="235"/>
      <c r="Y131" s="237"/>
      <c r="Z131" s="238"/>
    </row>
    <row r="132" spans="1:26" s="239" customFormat="1" ht="28.5" customHeight="1" x14ac:dyDescent="0.3">
      <c r="A132" s="222">
        <f t="shared" si="14"/>
        <v>0</v>
      </c>
      <c r="B132" s="223" t="b">
        <f t="shared" si="15"/>
        <v>1</v>
      </c>
      <c r="C132" s="222">
        <f t="shared" si="16"/>
        <v>0</v>
      </c>
      <c r="D132" s="205" t="str">
        <f t="shared" si="17"/>
        <v>$$$$</v>
      </c>
      <c r="E132" s="224"/>
      <c r="F132" s="225"/>
      <c r="G132" s="226"/>
      <c r="H132" s="227"/>
      <c r="I132" s="228"/>
      <c r="J132" s="228"/>
      <c r="K132" s="229"/>
      <c r="L132" s="230"/>
      <c r="M132" s="231"/>
      <c r="N132" s="232"/>
      <c r="O132" s="230"/>
      <c r="P132" s="231"/>
      <c r="Q132" s="232"/>
      <c r="R132" s="233"/>
      <c r="S132" s="234"/>
      <c r="T132" s="235"/>
      <c r="U132" s="233"/>
      <c r="V132" s="236"/>
      <c r="W132" s="234"/>
      <c r="X132" s="235"/>
      <c r="Y132" s="237"/>
      <c r="Z132" s="238"/>
    </row>
    <row r="133" spans="1:26" s="239" customFormat="1" ht="28.5" customHeight="1" x14ac:dyDescent="0.3">
      <c r="A133" s="222">
        <f t="shared" si="14"/>
        <v>0</v>
      </c>
      <c r="B133" s="223" t="b">
        <f t="shared" si="15"/>
        <v>1</v>
      </c>
      <c r="C133" s="222">
        <f t="shared" si="16"/>
        <v>0</v>
      </c>
      <c r="D133" s="205" t="str">
        <f t="shared" si="17"/>
        <v>$$$$</v>
      </c>
      <c r="E133" s="224"/>
      <c r="F133" s="225"/>
      <c r="G133" s="226"/>
      <c r="H133" s="227"/>
      <c r="I133" s="228"/>
      <c r="J133" s="228"/>
      <c r="K133" s="229"/>
      <c r="L133" s="230"/>
      <c r="M133" s="231"/>
      <c r="N133" s="232"/>
      <c r="O133" s="230"/>
      <c r="P133" s="231"/>
      <c r="Q133" s="232"/>
      <c r="R133" s="233"/>
      <c r="S133" s="234"/>
      <c r="T133" s="235"/>
      <c r="U133" s="233"/>
      <c r="V133" s="236"/>
      <c r="W133" s="234"/>
      <c r="X133" s="235"/>
      <c r="Y133" s="237"/>
      <c r="Z133" s="238"/>
    </row>
    <row r="134" spans="1:26" s="239" customFormat="1" ht="28.5" customHeight="1" x14ac:dyDescent="0.3">
      <c r="A134" s="222">
        <f t="shared" si="14"/>
        <v>0</v>
      </c>
      <c r="B134" s="223" t="b">
        <f t="shared" si="15"/>
        <v>1</v>
      </c>
      <c r="C134" s="222">
        <f t="shared" si="16"/>
        <v>0</v>
      </c>
      <c r="D134" s="205" t="str">
        <f t="shared" si="17"/>
        <v>$$$$</v>
      </c>
      <c r="E134" s="224"/>
      <c r="F134" s="225"/>
      <c r="G134" s="226"/>
      <c r="H134" s="227"/>
      <c r="I134" s="228"/>
      <c r="J134" s="228"/>
      <c r="K134" s="229"/>
      <c r="L134" s="230"/>
      <c r="M134" s="231"/>
      <c r="N134" s="232"/>
      <c r="O134" s="230"/>
      <c r="P134" s="231"/>
      <c r="Q134" s="232"/>
      <c r="R134" s="233"/>
      <c r="S134" s="234"/>
      <c r="T134" s="235"/>
      <c r="U134" s="233"/>
      <c r="V134" s="236"/>
      <c r="W134" s="234"/>
      <c r="X134" s="235"/>
      <c r="Y134" s="237"/>
      <c r="Z134" s="238"/>
    </row>
    <row r="135" spans="1:26" s="239" customFormat="1" ht="28.5" customHeight="1" x14ac:dyDescent="0.3">
      <c r="A135" s="222">
        <f t="shared" si="14"/>
        <v>0</v>
      </c>
      <c r="B135" s="223" t="b">
        <f t="shared" si="15"/>
        <v>1</v>
      </c>
      <c r="C135" s="222">
        <f t="shared" si="16"/>
        <v>0</v>
      </c>
      <c r="D135" s="205" t="str">
        <f t="shared" si="17"/>
        <v>$$$$</v>
      </c>
      <c r="E135" s="224"/>
      <c r="F135" s="225"/>
      <c r="G135" s="226"/>
      <c r="H135" s="227"/>
      <c r="I135" s="228"/>
      <c r="J135" s="228"/>
      <c r="K135" s="229"/>
      <c r="L135" s="230"/>
      <c r="M135" s="231"/>
      <c r="N135" s="232"/>
      <c r="O135" s="230"/>
      <c r="P135" s="231"/>
      <c r="Q135" s="232"/>
      <c r="R135" s="233"/>
      <c r="S135" s="234"/>
      <c r="T135" s="235"/>
      <c r="U135" s="233"/>
      <c r="V135" s="236"/>
      <c r="W135" s="234"/>
      <c r="X135" s="235"/>
      <c r="Y135" s="237"/>
      <c r="Z135" s="238"/>
    </row>
    <row r="136" spans="1:26" s="239" customFormat="1" ht="28.5" customHeight="1" x14ac:dyDescent="0.3">
      <c r="A136" s="222">
        <f t="shared" si="14"/>
        <v>0</v>
      </c>
      <c r="B136" s="223" t="b">
        <f t="shared" si="15"/>
        <v>1</v>
      </c>
      <c r="C136" s="222">
        <f t="shared" si="16"/>
        <v>0</v>
      </c>
      <c r="D136" s="205" t="str">
        <f t="shared" si="17"/>
        <v>$$$$</v>
      </c>
      <c r="E136" s="224"/>
      <c r="F136" s="225"/>
      <c r="G136" s="226"/>
      <c r="H136" s="227"/>
      <c r="I136" s="228"/>
      <c r="J136" s="228"/>
      <c r="K136" s="229"/>
      <c r="L136" s="230"/>
      <c r="M136" s="231"/>
      <c r="N136" s="232"/>
      <c r="O136" s="230"/>
      <c r="P136" s="231"/>
      <c r="Q136" s="232"/>
      <c r="R136" s="233"/>
      <c r="S136" s="234"/>
      <c r="T136" s="235"/>
      <c r="U136" s="233"/>
      <c r="V136" s="236"/>
      <c r="W136" s="234"/>
      <c r="X136" s="235"/>
      <c r="Y136" s="237"/>
      <c r="Z136" s="238"/>
    </row>
    <row r="137" spans="1:26" s="239" customFormat="1" ht="28.5" customHeight="1" x14ac:dyDescent="0.3">
      <c r="A137" s="222">
        <f t="shared" si="14"/>
        <v>0</v>
      </c>
      <c r="B137" s="223" t="b">
        <f t="shared" si="15"/>
        <v>1</v>
      </c>
      <c r="C137" s="222">
        <f t="shared" si="16"/>
        <v>0</v>
      </c>
      <c r="D137" s="205" t="str">
        <f t="shared" si="17"/>
        <v>$$$$</v>
      </c>
      <c r="E137" s="224"/>
      <c r="F137" s="225"/>
      <c r="G137" s="226"/>
      <c r="H137" s="227"/>
      <c r="I137" s="228"/>
      <c r="J137" s="228"/>
      <c r="K137" s="229"/>
      <c r="L137" s="230"/>
      <c r="M137" s="231"/>
      <c r="N137" s="232"/>
      <c r="O137" s="230"/>
      <c r="P137" s="231"/>
      <c r="Q137" s="232"/>
      <c r="R137" s="233"/>
      <c r="S137" s="234"/>
      <c r="T137" s="235"/>
      <c r="U137" s="233"/>
      <c r="V137" s="236"/>
      <c r="W137" s="234"/>
      <c r="X137" s="235"/>
      <c r="Y137" s="237"/>
      <c r="Z137" s="238"/>
    </row>
    <row r="138" spans="1:26" s="239" customFormat="1" ht="28.5" customHeight="1" x14ac:dyDescent="0.3">
      <c r="A138" s="222">
        <f t="shared" si="14"/>
        <v>0</v>
      </c>
      <c r="B138" s="223" t="b">
        <f t="shared" si="15"/>
        <v>1</v>
      </c>
      <c r="C138" s="222">
        <f t="shared" si="16"/>
        <v>0</v>
      </c>
      <c r="D138" s="205" t="str">
        <f t="shared" si="17"/>
        <v>$$$$</v>
      </c>
      <c r="E138" s="224"/>
      <c r="F138" s="225"/>
      <c r="G138" s="226"/>
      <c r="H138" s="227"/>
      <c r="I138" s="228"/>
      <c r="J138" s="228"/>
      <c r="K138" s="229"/>
      <c r="L138" s="230"/>
      <c r="M138" s="231"/>
      <c r="N138" s="232"/>
      <c r="O138" s="230"/>
      <c r="P138" s="231"/>
      <c r="Q138" s="232"/>
      <c r="R138" s="233"/>
      <c r="S138" s="234"/>
      <c r="T138" s="235"/>
      <c r="U138" s="233"/>
      <c r="V138" s="236"/>
      <c r="W138" s="234"/>
      <c r="X138" s="235"/>
      <c r="Y138" s="237"/>
      <c r="Z138" s="238"/>
    </row>
    <row r="139" spans="1:26" s="239" customFormat="1" ht="28.5" customHeight="1" x14ac:dyDescent="0.3">
      <c r="A139" s="222">
        <f t="shared" si="14"/>
        <v>0</v>
      </c>
      <c r="B139" s="223" t="b">
        <f t="shared" si="15"/>
        <v>1</v>
      </c>
      <c r="C139" s="222">
        <f t="shared" si="16"/>
        <v>0</v>
      </c>
      <c r="D139" s="205" t="str">
        <f t="shared" si="17"/>
        <v>$$$$</v>
      </c>
      <c r="E139" s="224"/>
      <c r="F139" s="225"/>
      <c r="G139" s="226"/>
      <c r="H139" s="227"/>
      <c r="I139" s="228"/>
      <c r="J139" s="228"/>
      <c r="K139" s="229"/>
      <c r="L139" s="230"/>
      <c r="M139" s="231"/>
      <c r="N139" s="232"/>
      <c r="O139" s="230"/>
      <c r="P139" s="231"/>
      <c r="Q139" s="232"/>
      <c r="R139" s="233"/>
      <c r="S139" s="234"/>
      <c r="T139" s="235"/>
      <c r="U139" s="233"/>
      <c r="V139" s="236"/>
      <c r="W139" s="234"/>
      <c r="X139" s="235"/>
      <c r="Y139" s="237"/>
      <c r="Z139" s="238"/>
    </row>
    <row r="140" spans="1:26" s="239" customFormat="1" ht="28.5" customHeight="1" x14ac:dyDescent="0.3">
      <c r="A140" s="222">
        <f t="shared" si="14"/>
        <v>0</v>
      </c>
      <c r="B140" s="223" t="b">
        <f t="shared" si="15"/>
        <v>1</v>
      </c>
      <c r="C140" s="222">
        <f t="shared" si="16"/>
        <v>0</v>
      </c>
      <c r="D140" s="205" t="str">
        <f t="shared" si="17"/>
        <v>$$$$</v>
      </c>
      <c r="E140" s="224"/>
      <c r="F140" s="225"/>
      <c r="G140" s="226"/>
      <c r="H140" s="227"/>
      <c r="I140" s="228"/>
      <c r="J140" s="228"/>
      <c r="K140" s="229"/>
      <c r="L140" s="230"/>
      <c r="M140" s="231"/>
      <c r="N140" s="232"/>
      <c r="O140" s="230"/>
      <c r="P140" s="231"/>
      <c r="Q140" s="232"/>
      <c r="R140" s="233"/>
      <c r="S140" s="234"/>
      <c r="T140" s="235"/>
      <c r="U140" s="233"/>
      <c r="V140" s="236"/>
      <c r="W140" s="234"/>
      <c r="X140" s="235"/>
      <c r="Y140" s="237"/>
      <c r="Z140" s="238"/>
    </row>
    <row r="141" spans="1:26" s="239" customFormat="1" ht="28.5" customHeight="1" x14ac:dyDescent="0.3">
      <c r="A141" s="222">
        <f t="shared" si="14"/>
        <v>0</v>
      </c>
      <c r="B141" s="223" t="b">
        <f t="shared" si="15"/>
        <v>1</v>
      </c>
      <c r="C141" s="222">
        <f t="shared" si="16"/>
        <v>0</v>
      </c>
      <c r="D141" s="205" t="str">
        <f t="shared" si="17"/>
        <v>$$$$</v>
      </c>
      <c r="E141" s="224"/>
      <c r="F141" s="225"/>
      <c r="G141" s="226"/>
      <c r="H141" s="227"/>
      <c r="I141" s="228"/>
      <c r="J141" s="228"/>
      <c r="K141" s="229"/>
      <c r="L141" s="230"/>
      <c r="M141" s="231"/>
      <c r="N141" s="232"/>
      <c r="O141" s="230"/>
      <c r="P141" s="231"/>
      <c r="Q141" s="232"/>
      <c r="R141" s="233"/>
      <c r="S141" s="234"/>
      <c r="T141" s="235"/>
      <c r="U141" s="233"/>
      <c r="V141" s="236"/>
      <c r="W141" s="234"/>
      <c r="X141" s="235"/>
      <c r="Y141" s="237"/>
      <c r="Z141" s="238"/>
    </row>
    <row r="142" spans="1:26" s="239" customFormat="1" ht="28.5" customHeight="1" x14ac:dyDescent="0.3">
      <c r="A142" s="222">
        <f t="shared" si="14"/>
        <v>0</v>
      </c>
      <c r="B142" s="223" t="b">
        <f t="shared" si="15"/>
        <v>1</v>
      </c>
      <c r="C142" s="222">
        <f t="shared" si="16"/>
        <v>0</v>
      </c>
      <c r="D142" s="205" t="str">
        <f t="shared" si="17"/>
        <v>$$$$</v>
      </c>
      <c r="E142" s="224"/>
      <c r="F142" s="225"/>
      <c r="G142" s="226"/>
      <c r="H142" s="227"/>
      <c r="I142" s="228"/>
      <c r="J142" s="228"/>
      <c r="K142" s="229"/>
      <c r="L142" s="230"/>
      <c r="M142" s="231"/>
      <c r="N142" s="232"/>
      <c r="O142" s="230"/>
      <c r="P142" s="231"/>
      <c r="Q142" s="232"/>
      <c r="R142" s="233"/>
      <c r="S142" s="234"/>
      <c r="T142" s="235"/>
      <c r="U142" s="233"/>
      <c r="V142" s="236"/>
      <c r="W142" s="234"/>
      <c r="X142" s="235"/>
      <c r="Y142" s="237"/>
      <c r="Z142" s="238"/>
    </row>
    <row r="143" spans="1:26" s="239" customFormat="1" ht="28.5" customHeight="1" x14ac:dyDescent="0.3">
      <c r="A143" s="222">
        <f t="shared" si="14"/>
        <v>0</v>
      </c>
      <c r="B143" s="223" t="b">
        <f t="shared" si="15"/>
        <v>1</v>
      </c>
      <c r="C143" s="222">
        <f t="shared" si="16"/>
        <v>0</v>
      </c>
      <c r="D143" s="205" t="str">
        <f t="shared" si="17"/>
        <v>$$$$</v>
      </c>
      <c r="E143" s="224"/>
      <c r="F143" s="225"/>
      <c r="G143" s="226"/>
      <c r="H143" s="227"/>
      <c r="I143" s="228"/>
      <c r="J143" s="228"/>
      <c r="K143" s="229"/>
      <c r="L143" s="230"/>
      <c r="M143" s="231"/>
      <c r="N143" s="232"/>
      <c r="O143" s="230"/>
      <c r="P143" s="231"/>
      <c r="Q143" s="232"/>
      <c r="R143" s="233"/>
      <c r="S143" s="234"/>
      <c r="T143" s="235"/>
      <c r="U143" s="233"/>
      <c r="V143" s="236"/>
      <c r="W143" s="234"/>
      <c r="X143" s="235"/>
      <c r="Y143" s="237"/>
      <c r="Z143" s="238"/>
    </row>
    <row r="144" spans="1:26" s="239" customFormat="1" ht="28.5" customHeight="1" x14ac:dyDescent="0.3">
      <c r="A144" s="222">
        <f t="shared" si="14"/>
        <v>0</v>
      </c>
      <c r="B144" s="223" t="b">
        <f t="shared" si="15"/>
        <v>1</v>
      </c>
      <c r="C144" s="222">
        <f t="shared" si="16"/>
        <v>0</v>
      </c>
      <c r="D144" s="205" t="str">
        <f t="shared" si="17"/>
        <v>$$$$</v>
      </c>
      <c r="E144" s="224"/>
      <c r="F144" s="225"/>
      <c r="G144" s="226"/>
      <c r="H144" s="227"/>
      <c r="I144" s="228"/>
      <c r="J144" s="228"/>
      <c r="K144" s="229"/>
      <c r="L144" s="230"/>
      <c r="M144" s="231"/>
      <c r="N144" s="232"/>
      <c r="O144" s="230"/>
      <c r="P144" s="231"/>
      <c r="Q144" s="232"/>
      <c r="R144" s="233"/>
      <c r="S144" s="234"/>
      <c r="T144" s="235"/>
      <c r="U144" s="233"/>
      <c r="V144" s="236"/>
      <c r="W144" s="234"/>
      <c r="X144" s="235"/>
      <c r="Y144" s="237"/>
      <c r="Z144" s="238"/>
    </row>
    <row r="145" spans="1:26" s="239" customFormat="1" ht="28.5" customHeight="1" x14ac:dyDescent="0.3">
      <c r="A145" s="222">
        <f t="shared" si="14"/>
        <v>0</v>
      </c>
      <c r="B145" s="223" t="b">
        <f t="shared" si="15"/>
        <v>1</v>
      </c>
      <c r="C145" s="222">
        <f t="shared" si="16"/>
        <v>0</v>
      </c>
      <c r="D145" s="205" t="str">
        <f t="shared" si="17"/>
        <v>$$$$</v>
      </c>
      <c r="E145" s="224"/>
      <c r="F145" s="225"/>
      <c r="G145" s="226"/>
      <c r="H145" s="227"/>
      <c r="I145" s="228"/>
      <c r="J145" s="228"/>
      <c r="K145" s="229"/>
      <c r="L145" s="230"/>
      <c r="M145" s="231"/>
      <c r="N145" s="232"/>
      <c r="O145" s="230"/>
      <c r="P145" s="231"/>
      <c r="Q145" s="232"/>
      <c r="R145" s="233"/>
      <c r="S145" s="234"/>
      <c r="T145" s="235"/>
      <c r="U145" s="233"/>
      <c r="V145" s="236"/>
      <c r="W145" s="234"/>
      <c r="X145" s="235"/>
      <c r="Y145" s="237"/>
      <c r="Z145" s="238"/>
    </row>
    <row r="146" spans="1:26" s="239" customFormat="1" ht="28.5" customHeight="1" x14ac:dyDescent="0.3">
      <c r="A146" s="222">
        <f t="shared" si="14"/>
        <v>0</v>
      </c>
      <c r="B146" s="223" t="b">
        <f t="shared" si="15"/>
        <v>1</v>
      </c>
      <c r="C146" s="222">
        <f t="shared" si="16"/>
        <v>0</v>
      </c>
      <c r="D146" s="205" t="str">
        <f t="shared" si="17"/>
        <v>$$$$</v>
      </c>
      <c r="E146" s="224"/>
      <c r="F146" s="225"/>
      <c r="G146" s="226"/>
      <c r="H146" s="227"/>
      <c r="I146" s="228"/>
      <c r="J146" s="228"/>
      <c r="K146" s="229"/>
      <c r="L146" s="230"/>
      <c r="M146" s="231"/>
      <c r="N146" s="232"/>
      <c r="O146" s="230"/>
      <c r="P146" s="231"/>
      <c r="Q146" s="232"/>
      <c r="R146" s="233"/>
      <c r="S146" s="234"/>
      <c r="T146" s="235"/>
      <c r="U146" s="233"/>
      <c r="V146" s="236"/>
      <c r="W146" s="234"/>
      <c r="X146" s="235"/>
      <c r="Y146" s="237"/>
      <c r="Z146" s="238"/>
    </row>
    <row r="147" spans="1:26" s="239" customFormat="1" ht="28.5" customHeight="1" x14ac:dyDescent="0.3">
      <c r="A147" s="222">
        <f t="shared" si="14"/>
        <v>0</v>
      </c>
      <c r="B147" s="223" t="b">
        <f t="shared" si="15"/>
        <v>1</v>
      </c>
      <c r="C147" s="222">
        <f t="shared" si="16"/>
        <v>0</v>
      </c>
      <c r="D147" s="205" t="str">
        <f t="shared" si="17"/>
        <v>$$$$</v>
      </c>
      <c r="E147" s="224"/>
      <c r="F147" s="225"/>
      <c r="G147" s="226"/>
      <c r="H147" s="227"/>
      <c r="I147" s="228"/>
      <c r="J147" s="228"/>
      <c r="K147" s="229"/>
      <c r="L147" s="230"/>
      <c r="M147" s="231"/>
      <c r="N147" s="232"/>
      <c r="O147" s="230"/>
      <c r="P147" s="231"/>
      <c r="Q147" s="232"/>
      <c r="R147" s="233"/>
      <c r="S147" s="234"/>
      <c r="T147" s="235"/>
      <c r="U147" s="233"/>
      <c r="V147" s="236"/>
      <c r="W147" s="234"/>
      <c r="X147" s="235"/>
      <c r="Y147" s="237"/>
      <c r="Z147" s="238"/>
    </row>
    <row r="148" spans="1:26" s="239" customFormat="1" ht="28.5" customHeight="1" x14ac:dyDescent="0.3">
      <c r="A148" s="222">
        <f t="shared" si="14"/>
        <v>0</v>
      </c>
      <c r="B148" s="223" t="b">
        <f t="shared" si="15"/>
        <v>1</v>
      </c>
      <c r="C148" s="222">
        <f t="shared" si="16"/>
        <v>0</v>
      </c>
      <c r="D148" s="205" t="str">
        <f t="shared" si="17"/>
        <v>$$$$</v>
      </c>
      <c r="E148" s="224"/>
      <c r="F148" s="225"/>
      <c r="G148" s="226"/>
      <c r="H148" s="227"/>
      <c r="I148" s="228"/>
      <c r="J148" s="228"/>
      <c r="K148" s="229"/>
      <c r="L148" s="230"/>
      <c r="M148" s="231"/>
      <c r="N148" s="232"/>
      <c r="O148" s="230"/>
      <c r="P148" s="231"/>
      <c r="Q148" s="232"/>
      <c r="R148" s="233"/>
      <c r="S148" s="234"/>
      <c r="T148" s="235"/>
      <c r="U148" s="233"/>
      <c r="V148" s="236"/>
      <c r="W148" s="234"/>
      <c r="X148" s="235"/>
      <c r="Y148" s="237"/>
      <c r="Z148" s="238"/>
    </row>
    <row r="149" spans="1:26" s="239" customFormat="1" ht="28.5" customHeight="1" x14ac:dyDescent="0.3">
      <c r="A149" s="222">
        <f t="shared" si="14"/>
        <v>0</v>
      </c>
      <c r="B149" s="223" t="b">
        <f t="shared" si="15"/>
        <v>1</v>
      </c>
      <c r="C149" s="222">
        <f t="shared" si="16"/>
        <v>0</v>
      </c>
      <c r="D149" s="205" t="str">
        <f t="shared" si="17"/>
        <v>$$$$</v>
      </c>
      <c r="E149" s="224"/>
      <c r="F149" s="225"/>
      <c r="G149" s="226"/>
      <c r="H149" s="227"/>
      <c r="I149" s="228"/>
      <c r="J149" s="228"/>
      <c r="K149" s="229"/>
      <c r="L149" s="230"/>
      <c r="M149" s="231"/>
      <c r="N149" s="232"/>
      <c r="O149" s="230"/>
      <c r="P149" s="231"/>
      <c r="Q149" s="232"/>
      <c r="R149" s="233"/>
      <c r="S149" s="234"/>
      <c r="T149" s="235"/>
      <c r="U149" s="233"/>
      <c r="V149" s="236"/>
      <c r="W149" s="234"/>
      <c r="X149" s="235"/>
      <c r="Y149" s="237"/>
      <c r="Z149" s="238"/>
    </row>
    <row r="150" spans="1:26" s="239" customFormat="1" ht="28.5" customHeight="1" x14ac:dyDescent="0.3">
      <c r="A150" s="222">
        <f t="shared" si="14"/>
        <v>0</v>
      </c>
      <c r="B150" s="223" t="b">
        <f t="shared" si="15"/>
        <v>1</v>
      </c>
      <c r="C150" s="222">
        <f t="shared" si="16"/>
        <v>0</v>
      </c>
      <c r="D150" s="205" t="str">
        <f t="shared" si="17"/>
        <v>$$$$</v>
      </c>
      <c r="E150" s="224"/>
      <c r="F150" s="225"/>
      <c r="G150" s="226"/>
      <c r="H150" s="227"/>
      <c r="I150" s="228"/>
      <c r="J150" s="228"/>
      <c r="K150" s="229"/>
      <c r="L150" s="230"/>
      <c r="M150" s="231"/>
      <c r="N150" s="232"/>
      <c r="O150" s="230"/>
      <c r="P150" s="231"/>
      <c r="Q150" s="232"/>
      <c r="R150" s="233"/>
      <c r="S150" s="234"/>
      <c r="T150" s="235"/>
      <c r="U150" s="233"/>
      <c r="V150" s="236"/>
      <c r="W150" s="234"/>
      <c r="X150" s="235"/>
      <c r="Y150" s="237"/>
      <c r="Z150" s="238"/>
    </row>
    <row r="151" spans="1:26" s="239" customFormat="1" ht="28.5" customHeight="1" x14ac:dyDescent="0.3">
      <c r="A151" s="222">
        <f t="shared" ref="A151:A154" si="18">IF(B151,0,MATCH(H151,ВидыНагр,0))</f>
        <v>0</v>
      </c>
      <c r="B151" s="223" t="b">
        <f t="shared" ref="B151:B154" si="19">(COUNTIF(КлючВесна,D151)&lt;&gt;1)</f>
        <v>1</v>
      </c>
      <c r="C151" s="222">
        <f t="shared" ref="C151:C158" si="20">IF(COUNTA(E151:K151,Z151)&gt;0,1,0)+IF(COUNTA(L151:Y151)&gt;0,2,0)</f>
        <v>0</v>
      </c>
      <c r="D151" s="205" t="str">
        <f t="shared" si="17"/>
        <v>$$$$</v>
      </c>
      <c r="E151" s="224"/>
      <c r="F151" s="225"/>
      <c r="G151" s="226"/>
      <c r="H151" s="227"/>
      <c r="I151" s="228"/>
      <c r="J151" s="228"/>
      <c r="K151" s="229"/>
      <c r="L151" s="230"/>
      <c r="M151" s="231"/>
      <c r="N151" s="232"/>
      <c r="O151" s="230"/>
      <c r="P151" s="231"/>
      <c r="Q151" s="232"/>
      <c r="R151" s="233"/>
      <c r="S151" s="234"/>
      <c r="T151" s="235"/>
      <c r="U151" s="233"/>
      <c r="V151" s="236"/>
      <c r="W151" s="234"/>
      <c r="X151" s="235"/>
      <c r="Y151" s="237"/>
      <c r="Z151" s="238"/>
    </row>
    <row r="152" spans="1:26" s="239" customFormat="1" ht="28.5" customHeight="1" x14ac:dyDescent="0.3">
      <c r="A152" s="222">
        <f t="shared" si="18"/>
        <v>0</v>
      </c>
      <c r="B152" s="223" t="b">
        <f t="shared" si="19"/>
        <v>1</v>
      </c>
      <c r="C152" s="222">
        <f t="shared" si="20"/>
        <v>0</v>
      </c>
      <c r="D152" s="205" t="str">
        <f t="shared" si="17"/>
        <v>$$$$</v>
      </c>
      <c r="E152" s="224"/>
      <c r="F152" s="225"/>
      <c r="G152" s="226"/>
      <c r="H152" s="227"/>
      <c r="I152" s="228"/>
      <c r="J152" s="228"/>
      <c r="K152" s="229"/>
      <c r="L152" s="230"/>
      <c r="M152" s="231"/>
      <c r="N152" s="232"/>
      <c r="O152" s="230"/>
      <c r="P152" s="231"/>
      <c r="Q152" s="232"/>
      <c r="R152" s="233"/>
      <c r="S152" s="234"/>
      <c r="T152" s="235"/>
      <c r="U152" s="233"/>
      <c r="V152" s="236"/>
      <c r="W152" s="234"/>
      <c r="X152" s="235"/>
      <c r="Y152" s="237"/>
      <c r="Z152" s="238"/>
    </row>
    <row r="153" spans="1:26" s="239" customFormat="1" ht="28.5" customHeight="1" x14ac:dyDescent="0.3">
      <c r="A153" s="222">
        <f t="shared" si="18"/>
        <v>0</v>
      </c>
      <c r="B153" s="223" t="b">
        <f t="shared" si="19"/>
        <v>1</v>
      </c>
      <c r="C153" s="222">
        <f t="shared" si="20"/>
        <v>0</v>
      </c>
      <c r="D153" s="205" t="str">
        <f t="shared" si="17"/>
        <v>$$$$</v>
      </c>
      <c r="E153" s="224"/>
      <c r="F153" s="225"/>
      <c r="G153" s="226"/>
      <c r="H153" s="227"/>
      <c r="I153" s="228"/>
      <c r="J153" s="228"/>
      <c r="K153" s="229"/>
      <c r="L153" s="230"/>
      <c r="M153" s="231"/>
      <c r="N153" s="232"/>
      <c r="O153" s="230"/>
      <c r="P153" s="231"/>
      <c r="Q153" s="232"/>
      <c r="R153" s="233"/>
      <c r="S153" s="234"/>
      <c r="T153" s="235"/>
      <c r="U153" s="233"/>
      <c r="V153" s="236"/>
      <c r="W153" s="234"/>
      <c r="X153" s="235"/>
      <c r="Y153" s="237"/>
      <c r="Z153" s="238"/>
    </row>
    <row r="154" spans="1:26" s="239" customFormat="1" ht="28.5" customHeight="1" x14ac:dyDescent="0.3">
      <c r="A154" s="222">
        <f t="shared" si="18"/>
        <v>0</v>
      </c>
      <c r="B154" s="223" t="b">
        <f t="shared" si="19"/>
        <v>1</v>
      </c>
      <c r="C154" s="222">
        <f t="shared" si="20"/>
        <v>0</v>
      </c>
      <c r="D154" s="205" t="str">
        <f t="shared" si="17"/>
        <v>$$$$</v>
      </c>
      <c r="E154" s="224"/>
      <c r="F154" s="225"/>
      <c r="G154" s="226"/>
      <c r="H154" s="227"/>
      <c r="I154" s="228"/>
      <c r="J154" s="228"/>
      <c r="K154" s="229"/>
      <c r="L154" s="230"/>
      <c r="M154" s="231"/>
      <c r="N154" s="232"/>
      <c r="O154" s="230"/>
      <c r="P154" s="231"/>
      <c r="Q154" s="232"/>
      <c r="R154" s="233"/>
      <c r="S154" s="234"/>
      <c r="T154" s="235"/>
      <c r="U154" s="233"/>
      <c r="V154" s="236"/>
      <c r="W154" s="234"/>
      <c r="X154" s="235"/>
      <c r="Y154" s="237"/>
      <c r="Z154" s="238"/>
    </row>
    <row r="155" spans="1:26" s="239" customFormat="1" ht="28.5" customHeight="1" x14ac:dyDescent="0.3">
      <c r="A155" s="222">
        <f>IF(B155,0,MATCH(H155,ВидыНагр,0))</f>
        <v>0</v>
      </c>
      <c r="B155" s="223" t="b">
        <f>(COUNTIF(КлючВесна,D155)&lt;&gt;1)</f>
        <v>1</v>
      </c>
      <c r="C155" s="222">
        <f t="shared" si="20"/>
        <v>0</v>
      </c>
      <c r="D155" s="205" t="str">
        <f>CONCATENATE("$",TRIM(F155),"$",TRIM(G155),"$",H155,"$")</f>
        <v>$$$$</v>
      </c>
      <c r="E155" s="224"/>
      <c r="F155" s="225"/>
      <c r="G155" s="226"/>
      <c r="H155" s="227"/>
      <c r="I155" s="228"/>
      <c r="J155" s="228"/>
      <c r="K155" s="229"/>
      <c r="L155" s="230"/>
      <c r="M155" s="231"/>
      <c r="N155" s="232"/>
      <c r="O155" s="230"/>
      <c r="P155" s="231"/>
      <c r="Q155" s="232"/>
      <c r="R155" s="233"/>
      <c r="S155" s="234"/>
      <c r="T155" s="235"/>
      <c r="U155" s="233"/>
      <c r="V155" s="236"/>
      <c r="W155" s="234"/>
      <c r="X155" s="235"/>
      <c r="Y155" s="237"/>
      <c r="Z155" s="238"/>
    </row>
    <row r="156" spans="1:26" s="239" customFormat="1" ht="28.5" customHeight="1" x14ac:dyDescent="0.3">
      <c r="A156" s="222">
        <f>IF(B156,0,MATCH(H156,ВидыНагр,0))</f>
        <v>0</v>
      </c>
      <c r="B156" s="223" t="b">
        <f>(COUNTIF(КлючВесна,D156)&lt;&gt;1)</f>
        <v>1</v>
      </c>
      <c r="C156" s="222">
        <f t="shared" si="20"/>
        <v>0</v>
      </c>
      <c r="D156" s="205" t="str">
        <f>CONCATENATE("$",TRIM(F156),"$",TRIM(G156),"$",H156,"$")</f>
        <v>$$$$</v>
      </c>
      <c r="E156" s="224"/>
      <c r="F156" s="225"/>
      <c r="G156" s="226"/>
      <c r="H156" s="227"/>
      <c r="I156" s="228"/>
      <c r="J156" s="228"/>
      <c r="K156" s="229"/>
      <c r="L156" s="230"/>
      <c r="M156" s="231"/>
      <c r="N156" s="232"/>
      <c r="O156" s="230"/>
      <c r="P156" s="231"/>
      <c r="Q156" s="232"/>
      <c r="R156" s="233"/>
      <c r="S156" s="234"/>
      <c r="T156" s="235"/>
      <c r="U156" s="233"/>
      <c r="V156" s="236"/>
      <c r="W156" s="234"/>
      <c r="X156" s="235"/>
      <c r="Y156" s="237"/>
      <c r="Z156" s="238"/>
    </row>
    <row r="157" spans="1:26" s="239" customFormat="1" ht="28.5" customHeight="1" x14ac:dyDescent="0.3">
      <c r="A157" s="222">
        <f t="shared" ref="A157:A158" si="21">IF(B157,0,MATCH(H157,ВидыНагр,0))</f>
        <v>0</v>
      </c>
      <c r="B157" s="223" t="b">
        <f t="shared" ref="B157:B158" si="22">(COUNTIF(КлючВесна,D157)&lt;&gt;1)</f>
        <v>1</v>
      </c>
      <c r="C157" s="222">
        <f t="shared" si="20"/>
        <v>0</v>
      </c>
      <c r="D157" s="205" t="str">
        <f t="shared" ref="D157:D158" si="23">CONCATENATE("$",TRIM(F157),"$",TRIM(G157),"$",H157,"$")</f>
        <v>$$$$</v>
      </c>
      <c r="E157" s="224"/>
      <c r="F157" s="225"/>
      <c r="G157" s="226"/>
      <c r="H157" s="227"/>
      <c r="I157" s="228"/>
      <c r="J157" s="228"/>
      <c r="K157" s="229"/>
      <c r="L157" s="230"/>
      <c r="M157" s="231"/>
      <c r="N157" s="232"/>
      <c r="O157" s="230"/>
      <c r="P157" s="231"/>
      <c r="Q157" s="232"/>
      <c r="R157" s="233"/>
      <c r="S157" s="234"/>
      <c r="T157" s="235"/>
      <c r="U157" s="233"/>
      <c r="V157" s="236"/>
      <c r="W157" s="234"/>
      <c r="X157" s="235"/>
      <c r="Y157" s="237"/>
      <c r="Z157" s="238"/>
    </row>
    <row r="158" spans="1:26" s="239" customFormat="1" ht="28.5" customHeight="1" x14ac:dyDescent="0.3">
      <c r="A158" s="222">
        <f t="shared" si="21"/>
        <v>0</v>
      </c>
      <c r="B158" s="223" t="b">
        <f t="shared" si="22"/>
        <v>1</v>
      </c>
      <c r="C158" s="222">
        <f t="shared" si="20"/>
        <v>0</v>
      </c>
      <c r="D158" s="205" t="str">
        <f t="shared" si="23"/>
        <v>$$$$</v>
      </c>
      <c r="E158" s="224"/>
      <c r="F158" s="225"/>
      <c r="G158" s="226"/>
      <c r="H158" s="227"/>
      <c r="I158" s="228"/>
      <c r="J158" s="228"/>
      <c r="K158" s="229"/>
      <c r="L158" s="230"/>
      <c r="M158" s="231"/>
      <c r="N158" s="232"/>
      <c r="O158" s="230"/>
      <c r="P158" s="231"/>
      <c r="Q158" s="232"/>
      <c r="R158" s="233"/>
      <c r="S158" s="234"/>
      <c r="T158" s="235"/>
      <c r="U158" s="233"/>
      <c r="V158" s="236"/>
      <c r="W158" s="234"/>
      <c r="X158" s="235"/>
      <c r="Y158" s="237"/>
      <c r="Z158" s="238"/>
    </row>
    <row r="159" spans="1:26" s="239" customFormat="1" ht="28.5" customHeight="1" x14ac:dyDescent="0.3">
      <c r="A159" s="222">
        <f t="shared" si="14"/>
        <v>0</v>
      </c>
      <c r="B159" s="223" t="b">
        <f t="shared" si="15"/>
        <v>1</v>
      </c>
      <c r="C159" s="222">
        <f t="shared" si="16"/>
        <v>0</v>
      </c>
      <c r="D159" s="205" t="str">
        <f t="shared" si="13"/>
        <v>$$$$</v>
      </c>
      <c r="E159" s="224"/>
      <c r="F159" s="225"/>
      <c r="G159" s="226"/>
      <c r="H159" s="227"/>
      <c r="I159" s="228"/>
      <c r="J159" s="228"/>
      <c r="K159" s="229"/>
      <c r="L159" s="230"/>
      <c r="M159" s="231"/>
      <c r="N159" s="232"/>
      <c r="O159" s="230"/>
      <c r="P159" s="231"/>
      <c r="Q159" s="232"/>
      <c r="R159" s="233"/>
      <c r="S159" s="234"/>
      <c r="T159" s="235"/>
      <c r="U159" s="233"/>
      <c r="V159" s="236"/>
      <c r="W159" s="234"/>
      <c r="X159" s="235"/>
      <c r="Y159" s="237"/>
      <c r="Z159" s="238"/>
    </row>
    <row r="160" spans="1:26" x14ac:dyDescent="0.3">
      <c r="D160" s="1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</row>
  </sheetData>
  <sheetProtection algorithmName="SHA-512" hashValue="w01ZaFmIUORa/3RycBTYs56Sm1/Ic5yOXEt0Bc8N9sRDRx1Z+6TKtdXZ7itV8dGQnTz7WtXZH+F+c7dvKv1rFg==" saltValue="QkW5xkW8fwkCd17itR9mZw==" spinCount="100000" sheet="1" objects="1" scenarios="1"/>
  <mergeCells count="5">
    <mergeCell ref="F2:F5"/>
    <mergeCell ref="G2:G5"/>
    <mergeCell ref="I2:J2"/>
    <mergeCell ref="I3:J3"/>
    <mergeCell ref="I4:J4"/>
  </mergeCells>
  <phoneticPr fontId="0" type="noConversion"/>
  <conditionalFormatting sqref="E7:Z159">
    <cfRule type="expression" dxfId="17" priority="3" stopIfTrue="1">
      <formula>($C7=0)</formula>
    </cfRule>
  </conditionalFormatting>
  <conditionalFormatting sqref="F7:H159">
    <cfRule type="expression" dxfId="16" priority="4" stopIfTrue="1">
      <formula>$B7</formula>
    </cfRule>
  </conditionalFormatting>
  <conditionalFormatting sqref="L6:Y6">
    <cfRule type="cellIs" dxfId="15" priority="1" stopIfTrue="1" operator="notEqual">
      <formula>0</formula>
    </cfRule>
  </conditionalFormatting>
  <conditionalFormatting sqref="F6:H6">
    <cfRule type="expression" dxfId="14" priority="2" stopIfTrue="1">
      <formula>$G$6&lt;&gt;0</formula>
    </cfRule>
  </conditionalFormatting>
  <conditionalFormatting sqref="L7:Y159">
    <cfRule type="expression" dxfId="13" priority="5" stopIfTrue="1">
      <formula>AND(NOT($B7),$C7&lt;2)</formula>
    </cfRule>
    <cfRule type="expression" dxfId="12" priority="6" stopIfTrue="1">
      <formula>AND($B7,L7&lt;&gt;0)</formula>
    </cfRule>
  </conditionalFormatting>
  <dataValidations count="4">
    <dataValidation type="list" allowBlank="1" showInputMessage="1" sqref="F7:F159">
      <formula1>OFFSET(ДисциплиныВесна,0,0,ДисциплиныВеснаКол,1)</formula1>
    </dataValidation>
    <dataValidation type="list" allowBlank="1" showInputMessage="1" sqref="G7:G159">
      <formula1>OFFSET(ГруппыВесна,0,0,ГруппыВеснаКол,1)</formula1>
    </dataValidation>
    <dataValidation type="list" allowBlank="1" showInputMessage="1" sqref="H7:H159">
      <formula1>ВидыНагр</formula1>
    </dataValidation>
    <dataValidation type="whole" allowBlank="1" showInputMessage="1" showErrorMessage="1" sqref="E7:E159">
      <formula1>1</formula1>
      <formula2>30</formula2>
    </dataValidation>
  </dataValidations>
  <printOptions horizontalCentered="1"/>
  <pageMargins left="0.39370078740157483" right="0.39370078740157483" top="1.1811023622047245" bottom="0.59055118110236227" header="0.98425196850393704" footer="0.39370078740157483"/>
  <pageSetup paperSize="9" scale="63" fitToHeight="10" orientation="landscape" r:id="rId1"/>
  <headerFooter>
    <oddHeader>&amp;L&amp;F&amp;C&amp;"Open Sans,полужирный"Месяц &amp;A &amp;"Open Sans,обычный"(с. &amp;P из &amp;N)&amp;R&amp;D  &amp;T</oddHeader>
  </headerFooter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0">
    <tabColor rgb="FF00CC99"/>
    <outlinePr summaryBelow="0" summaryRight="0"/>
    <pageSetUpPr fitToPage="1"/>
  </sheetPr>
  <dimension ref="A1:Z160"/>
  <sheetViews>
    <sheetView zoomScale="85" zoomScaleNormal="100" workbookViewId="0">
      <pane xSplit="8" ySplit="6" topLeftCell="I7" activePane="bottomRight" state="frozen"/>
      <selection activeCell="E7" sqref="E7"/>
      <selection pane="topRight" activeCell="E7" sqref="E7"/>
      <selection pane="bottomLeft" activeCell="E7" sqref="E7"/>
      <selection pane="bottomRight" activeCell="E7" sqref="E7"/>
    </sheetView>
  </sheetViews>
  <sheetFormatPr defaultRowHeight="14.25" x14ac:dyDescent="0.3"/>
  <cols>
    <col min="1" max="3" width="4.7109375" style="4" hidden="1" customWidth="1"/>
    <col min="4" max="4" width="30.7109375" style="240" hidden="1" customWidth="1"/>
    <col min="5" max="5" width="4.7109375" style="167" customWidth="1"/>
    <col min="6" max="6" width="32.7109375" style="241" customWidth="1"/>
    <col min="7" max="7" width="18.7109375" style="241" customWidth="1"/>
    <col min="8" max="8" width="6.7109375" style="241" customWidth="1"/>
    <col min="9" max="10" width="4.7109375" style="241" customWidth="1"/>
    <col min="11" max="11" width="40.7109375" style="242" customWidth="1"/>
    <col min="12" max="25" width="6.85546875" style="167" customWidth="1"/>
    <col min="26" max="26" width="30.7109375" style="2" customWidth="1"/>
    <col min="27" max="27" width="2.7109375" style="2" customWidth="1"/>
    <col min="28" max="16384" width="9.140625" style="2"/>
  </cols>
  <sheetData>
    <row r="1" spans="1:26" ht="112.5" customHeight="1" x14ac:dyDescent="0.3">
      <c r="A1" s="169" t="s">
        <v>77</v>
      </c>
      <c r="B1" s="169" t="s">
        <v>114</v>
      </c>
      <c r="C1" s="169" t="s">
        <v>113</v>
      </c>
      <c r="D1" s="191" t="s">
        <v>76</v>
      </c>
      <c r="E1" s="192" t="s">
        <v>116</v>
      </c>
      <c r="F1" s="193" t="s">
        <v>69</v>
      </c>
      <c r="G1" s="194" t="s">
        <v>100</v>
      </c>
      <c r="H1" s="195" t="s">
        <v>109</v>
      </c>
      <c r="I1" s="196" t="s">
        <v>102</v>
      </c>
      <c r="J1" s="197" t="s">
        <v>85</v>
      </c>
      <c r="K1" s="198" t="s">
        <v>81</v>
      </c>
      <c r="L1" s="199" t="s">
        <v>0</v>
      </c>
      <c r="M1" s="200" t="s">
        <v>68</v>
      </c>
      <c r="N1" s="195" t="s">
        <v>3</v>
      </c>
      <c r="O1" s="201" t="s">
        <v>1</v>
      </c>
      <c r="P1" s="200" t="s">
        <v>4</v>
      </c>
      <c r="Q1" s="195" t="s">
        <v>62</v>
      </c>
      <c r="R1" s="199" t="s">
        <v>252</v>
      </c>
      <c r="S1" s="202" t="s">
        <v>2</v>
      </c>
      <c r="T1" s="195" t="s">
        <v>205</v>
      </c>
      <c r="U1" s="201" t="s">
        <v>253</v>
      </c>
      <c r="V1" s="199" t="s">
        <v>254</v>
      </c>
      <c r="W1" s="202" t="s">
        <v>70</v>
      </c>
      <c r="X1" s="195" t="s">
        <v>138</v>
      </c>
      <c r="Y1" s="196" t="s">
        <v>5</v>
      </c>
      <c r="Z1" s="203" t="s">
        <v>29</v>
      </c>
    </row>
    <row r="2" spans="1:26" ht="17.100000000000001" customHeight="1" x14ac:dyDescent="0.3">
      <c r="A2" s="204">
        <f>MATCH(H2,ВидыНагр,0)</f>
        <v>1</v>
      </c>
      <c r="B2" s="204"/>
      <c r="C2" s="204"/>
      <c r="D2" s="205"/>
      <c r="E2" s="206"/>
      <c r="F2" s="390" t="s">
        <v>134</v>
      </c>
      <c r="G2" s="393">
        <f>SUM(L5:Y5)</f>
        <v>0</v>
      </c>
      <c r="H2" s="309" t="s">
        <v>111</v>
      </c>
      <c r="I2" s="396">
        <f>SUM(L2:Y2)</f>
        <v>0</v>
      </c>
      <c r="J2" s="397"/>
      <c r="K2" s="289"/>
      <c r="L2" s="58">
        <f t="shared" ref="L2:Y4" si="0">SUMIF($A$7:$A$159,$A2,L$7:L$159)</f>
        <v>0</v>
      </c>
      <c r="M2" s="59">
        <f t="shared" si="0"/>
        <v>0</v>
      </c>
      <c r="N2" s="60">
        <f t="shared" si="0"/>
        <v>0</v>
      </c>
      <c r="O2" s="58">
        <f t="shared" si="0"/>
        <v>0</v>
      </c>
      <c r="P2" s="59">
        <f t="shared" si="0"/>
        <v>0</v>
      </c>
      <c r="Q2" s="60">
        <f t="shared" si="0"/>
        <v>0</v>
      </c>
      <c r="R2" s="58">
        <f t="shared" si="0"/>
        <v>0</v>
      </c>
      <c r="S2" s="62">
        <f t="shared" si="0"/>
        <v>0</v>
      </c>
      <c r="T2" s="60">
        <f t="shared" si="0"/>
        <v>0</v>
      </c>
      <c r="U2" s="58">
        <f t="shared" si="0"/>
        <v>0</v>
      </c>
      <c r="V2" s="61">
        <f t="shared" si="0"/>
        <v>0</v>
      </c>
      <c r="W2" s="62">
        <f t="shared" si="0"/>
        <v>0</v>
      </c>
      <c r="X2" s="60">
        <f t="shared" si="0"/>
        <v>0</v>
      </c>
      <c r="Y2" s="41">
        <f t="shared" si="0"/>
        <v>0</v>
      </c>
      <c r="Z2" s="207"/>
    </row>
    <row r="3" spans="1:26" ht="17.100000000000001" customHeight="1" x14ac:dyDescent="0.3">
      <c r="A3" s="204">
        <f>MATCH(H3,ВидыНагр,0)</f>
        <v>2</v>
      </c>
      <c r="B3" s="204"/>
      <c r="C3" s="204"/>
      <c r="D3" s="205"/>
      <c r="E3" s="208"/>
      <c r="F3" s="391"/>
      <c r="G3" s="394"/>
      <c r="H3" s="309" t="s">
        <v>112</v>
      </c>
      <c r="I3" s="398">
        <f>SUM(L3:Y3)</f>
        <v>0</v>
      </c>
      <c r="J3" s="399"/>
      <c r="K3" s="291"/>
      <c r="L3" s="58">
        <f t="shared" si="0"/>
        <v>0</v>
      </c>
      <c r="M3" s="59">
        <f t="shared" si="0"/>
        <v>0</v>
      </c>
      <c r="N3" s="60">
        <f t="shared" si="0"/>
        <v>0</v>
      </c>
      <c r="O3" s="58">
        <f t="shared" si="0"/>
        <v>0</v>
      </c>
      <c r="P3" s="59">
        <f t="shared" si="0"/>
        <v>0</v>
      </c>
      <c r="Q3" s="60">
        <f t="shared" si="0"/>
        <v>0</v>
      </c>
      <c r="R3" s="58">
        <f t="shared" si="0"/>
        <v>0</v>
      </c>
      <c r="S3" s="62">
        <f t="shared" si="0"/>
        <v>0</v>
      </c>
      <c r="T3" s="60">
        <f t="shared" si="0"/>
        <v>0</v>
      </c>
      <c r="U3" s="58">
        <f t="shared" si="0"/>
        <v>0</v>
      </c>
      <c r="V3" s="61">
        <f t="shared" si="0"/>
        <v>0</v>
      </c>
      <c r="W3" s="62">
        <f t="shared" si="0"/>
        <v>0</v>
      </c>
      <c r="X3" s="60">
        <f t="shared" si="0"/>
        <v>0</v>
      </c>
      <c r="Y3" s="41">
        <f t="shared" si="0"/>
        <v>0</v>
      </c>
      <c r="Z3" s="207"/>
    </row>
    <row r="4" spans="1:26" ht="17.100000000000001" customHeight="1" x14ac:dyDescent="0.3">
      <c r="A4" s="204">
        <f>MATCH(H4,ВидыНагр,0)</f>
        <v>3</v>
      </c>
      <c r="B4" s="204"/>
      <c r="C4" s="204"/>
      <c r="D4" s="205"/>
      <c r="E4" s="208"/>
      <c r="F4" s="391"/>
      <c r="G4" s="394"/>
      <c r="H4" s="310" t="s">
        <v>115</v>
      </c>
      <c r="I4" s="400">
        <f>SUM(L4:Y4)</f>
        <v>0</v>
      </c>
      <c r="J4" s="401"/>
      <c r="K4" s="293"/>
      <c r="L4" s="209">
        <f t="shared" si="0"/>
        <v>0</v>
      </c>
      <c r="M4" s="210">
        <f t="shared" si="0"/>
        <v>0</v>
      </c>
      <c r="N4" s="211">
        <f t="shared" si="0"/>
        <v>0</v>
      </c>
      <c r="O4" s="209">
        <f t="shared" si="0"/>
        <v>0</v>
      </c>
      <c r="P4" s="210">
        <f t="shared" si="0"/>
        <v>0</v>
      </c>
      <c r="Q4" s="211">
        <f t="shared" si="0"/>
        <v>0</v>
      </c>
      <c r="R4" s="209">
        <f t="shared" si="0"/>
        <v>0</v>
      </c>
      <c r="S4" s="212">
        <f t="shared" si="0"/>
        <v>0</v>
      </c>
      <c r="T4" s="211">
        <f t="shared" si="0"/>
        <v>0</v>
      </c>
      <c r="U4" s="209">
        <f t="shared" si="0"/>
        <v>0</v>
      </c>
      <c r="V4" s="213">
        <f t="shared" si="0"/>
        <v>0</v>
      </c>
      <c r="W4" s="212">
        <f t="shared" si="0"/>
        <v>0</v>
      </c>
      <c r="X4" s="211">
        <f t="shared" si="0"/>
        <v>0</v>
      </c>
      <c r="Y4" s="69">
        <f t="shared" si="0"/>
        <v>0</v>
      </c>
      <c r="Z4" s="207"/>
    </row>
    <row r="5" spans="1:26" ht="17.100000000000001" customHeight="1" x14ac:dyDescent="0.3">
      <c r="A5" s="204"/>
      <c r="B5" s="204"/>
      <c r="C5" s="204"/>
      <c r="D5" s="205"/>
      <c r="E5" s="208"/>
      <c r="F5" s="392"/>
      <c r="G5" s="395"/>
      <c r="H5" s="294" t="s">
        <v>6</v>
      </c>
      <c r="I5" s="295"/>
      <c r="J5" s="296"/>
      <c r="K5" s="297"/>
      <c r="L5" s="298">
        <f>SUM(L2:L4)</f>
        <v>0</v>
      </c>
      <c r="M5" s="299">
        <f t="shared" ref="M5:Y5" si="1">SUM(M2:M4)</f>
        <v>0</v>
      </c>
      <c r="N5" s="300">
        <f t="shared" si="1"/>
        <v>0</v>
      </c>
      <c r="O5" s="298">
        <f t="shared" si="1"/>
        <v>0</v>
      </c>
      <c r="P5" s="299">
        <f t="shared" si="1"/>
        <v>0</v>
      </c>
      <c r="Q5" s="300">
        <f t="shared" si="1"/>
        <v>0</v>
      </c>
      <c r="R5" s="298">
        <f t="shared" si="1"/>
        <v>0</v>
      </c>
      <c r="S5" s="301">
        <f t="shared" si="1"/>
        <v>0</v>
      </c>
      <c r="T5" s="300">
        <f t="shared" si="1"/>
        <v>0</v>
      </c>
      <c r="U5" s="298">
        <f t="shared" si="1"/>
        <v>0</v>
      </c>
      <c r="V5" s="302">
        <f t="shared" si="1"/>
        <v>0</v>
      </c>
      <c r="W5" s="301">
        <f t="shared" si="1"/>
        <v>0</v>
      </c>
      <c r="X5" s="300">
        <f t="shared" si="1"/>
        <v>0</v>
      </c>
      <c r="Y5" s="303">
        <f t="shared" si="1"/>
        <v>0</v>
      </c>
      <c r="Z5" s="214">
        <f>Утв_Весна</f>
        <v>0</v>
      </c>
    </row>
    <row r="6" spans="1:26" ht="17.100000000000001" customHeight="1" x14ac:dyDescent="0.3">
      <c r="A6" s="204"/>
      <c r="B6" s="204"/>
      <c r="C6" s="204"/>
      <c r="D6" s="205"/>
      <c r="E6" s="215"/>
      <c r="F6" s="304" t="s">
        <v>82</v>
      </c>
      <c r="G6" s="305">
        <f>SUM(L6:Y6)</f>
        <v>0</v>
      </c>
      <c r="H6" s="306"/>
      <c r="I6" s="307"/>
      <c r="J6" s="308"/>
      <c r="K6" s="297"/>
      <c r="L6" s="216">
        <f t="shared" ref="L6:Y6" si="2">SUM(L7:L159)-L5</f>
        <v>0</v>
      </c>
      <c r="M6" s="217">
        <f t="shared" si="2"/>
        <v>0</v>
      </c>
      <c r="N6" s="218">
        <f t="shared" si="2"/>
        <v>0</v>
      </c>
      <c r="O6" s="216">
        <f t="shared" si="2"/>
        <v>0</v>
      </c>
      <c r="P6" s="217">
        <f t="shared" si="2"/>
        <v>0</v>
      </c>
      <c r="Q6" s="218">
        <f t="shared" si="2"/>
        <v>0</v>
      </c>
      <c r="R6" s="216">
        <f t="shared" si="2"/>
        <v>0</v>
      </c>
      <c r="S6" s="219">
        <f t="shared" si="2"/>
        <v>0</v>
      </c>
      <c r="T6" s="218">
        <f t="shared" si="2"/>
        <v>0</v>
      </c>
      <c r="U6" s="216">
        <f t="shared" si="2"/>
        <v>0</v>
      </c>
      <c r="V6" s="220">
        <f t="shared" si="2"/>
        <v>0</v>
      </c>
      <c r="W6" s="219">
        <f t="shared" si="2"/>
        <v>0</v>
      </c>
      <c r="X6" s="218">
        <f t="shared" si="2"/>
        <v>0</v>
      </c>
      <c r="Y6" s="216">
        <f t="shared" si="2"/>
        <v>0</v>
      </c>
      <c r="Z6" s="221"/>
    </row>
    <row r="7" spans="1:26" s="239" customFormat="1" ht="28.5" customHeight="1" x14ac:dyDescent="0.3">
      <c r="A7" s="222">
        <f t="shared" ref="A7:A38" si="3">IF(B7,0,MATCH(H7,ВидыНагр,0))</f>
        <v>0</v>
      </c>
      <c r="B7" s="223" t="b">
        <f t="shared" ref="B7:B38" si="4">(COUNTIF(КлючВесна,D7)&lt;&gt;1)</f>
        <v>1</v>
      </c>
      <c r="C7" s="222">
        <f t="shared" ref="C7:C38" si="5">IF(COUNTA(E7:K7,Z7)&gt;0,1,0)+IF(COUNTA(L7:Y7)&gt;0,2,0)</f>
        <v>0</v>
      </c>
      <c r="D7" s="205" t="str">
        <f>CONCATENATE("$",TRIM(F7),"$",TRIM(G7),"$",H7,"$")</f>
        <v>$$$$</v>
      </c>
      <c r="E7" s="224"/>
      <c r="F7" s="225"/>
      <c r="G7" s="226"/>
      <c r="H7" s="227"/>
      <c r="I7" s="228"/>
      <c r="J7" s="228"/>
      <c r="K7" s="229"/>
      <c r="L7" s="230"/>
      <c r="M7" s="231"/>
      <c r="N7" s="232"/>
      <c r="O7" s="230"/>
      <c r="P7" s="231"/>
      <c r="Q7" s="232"/>
      <c r="R7" s="233"/>
      <c r="S7" s="234"/>
      <c r="T7" s="235"/>
      <c r="U7" s="233"/>
      <c r="V7" s="236"/>
      <c r="W7" s="234"/>
      <c r="X7" s="235"/>
      <c r="Y7" s="237"/>
      <c r="Z7" s="238"/>
    </row>
    <row r="8" spans="1:26" s="239" customFormat="1" ht="28.5" customHeight="1" x14ac:dyDescent="0.3">
      <c r="A8" s="222">
        <f t="shared" si="3"/>
        <v>0</v>
      </c>
      <c r="B8" s="223" t="b">
        <f t="shared" si="4"/>
        <v>1</v>
      </c>
      <c r="C8" s="222">
        <f t="shared" si="5"/>
        <v>0</v>
      </c>
      <c r="D8" s="205" t="str">
        <f t="shared" ref="D8:D71" si="6">CONCATENATE("$",TRIM(F8),"$",TRIM(G8),"$",H8,"$")</f>
        <v>$$$$</v>
      </c>
      <c r="E8" s="224"/>
      <c r="F8" s="225"/>
      <c r="G8" s="226"/>
      <c r="H8" s="227"/>
      <c r="I8" s="228"/>
      <c r="J8" s="228"/>
      <c r="K8" s="229"/>
      <c r="L8" s="230"/>
      <c r="M8" s="231"/>
      <c r="N8" s="232"/>
      <c r="O8" s="230"/>
      <c r="P8" s="231"/>
      <c r="Q8" s="232"/>
      <c r="R8" s="233"/>
      <c r="S8" s="234"/>
      <c r="T8" s="235"/>
      <c r="U8" s="233"/>
      <c r="V8" s="236"/>
      <c r="W8" s="234"/>
      <c r="X8" s="235"/>
      <c r="Y8" s="237"/>
      <c r="Z8" s="238"/>
    </row>
    <row r="9" spans="1:26" s="239" customFormat="1" ht="28.5" customHeight="1" x14ac:dyDescent="0.3">
      <c r="A9" s="222">
        <f t="shared" si="3"/>
        <v>0</v>
      </c>
      <c r="B9" s="223" t="b">
        <f t="shared" si="4"/>
        <v>1</v>
      </c>
      <c r="C9" s="222">
        <f t="shared" si="5"/>
        <v>0</v>
      </c>
      <c r="D9" s="205" t="str">
        <f t="shared" si="6"/>
        <v>$$$$</v>
      </c>
      <c r="E9" s="224"/>
      <c r="F9" s="225"/>
      <c r="G9" s="226"/>
      <c r="H9" s="227"/>
      <c r="I9" s="228"/>
      <c r="J9" s="228"/>
      <c r="K9" s="229"/>
      <c r="L9" s="230"/>
      <c r="M9" s="231"/>
      <c r="N9" s="232"/>
      <c r="O9" s="230"/>
      <c r="P9" s="231"/>
      <c r="Q9" s="232"/>
      <c r="R9" s="233"/>
      <c r="S9" s="234"/>
      <c r="T9" s="235"/>
      <c r="U9" s="233"/>
      <c r="V9" s="236"/>
      <c r="W9" s="234"/>
      <c r="X9" s="235"/>
      <c r="Y9" s="237"/>
      <c r="Z9" s="238"/>
    </row>
    <row r="10" spans="1:26" s="239" customFormat="1" ht="28.5" customHeight="1" x14ac:dyDescent="0.3">
      <c r="A10" s="222">
        <f t="shared" si="3"/>
        <v>0</v>
      </c>
      <c r="B10" s="223" t="b">
        <f t="shared" si="4"/>
        <v>1</v>
      </c>
      <c r="C10" s="222">
        <f t="shared" si="5"/>
        <v>0</v>
      </c>
      <c r="D10" s="205" t="str">
        <f t="shared" si="6"/>
        <v>$$$$</v>
      </c>
      <c r="E10" s="224"/>
      <c r="F10" s="225"/>
      <c r="G10" s="226"/>
      <c r="H10" s="227"/>
      <c r="I10" s="228"/>
      <c r="J10" s="228"/>
      <c r="K10" s="229"/>
      <c r="L10" s="230"/>
      <c r="M10" s="231"/>
      <c r="N10" s="232"/>
      <c r="O10" s="230"/>
      <c r="P10" s="231"/>
      <c r="Q10" s="232"/>
      <c r="R10" s="233"/>
      <c r="S10" s="234"/>
      <c r="T10" s="235"/>
      <c r="U10" s="233"/>
      <c r="V10" s="236"/>
      <c r="W10" s="234"/>
      <c r="X10" s="235"/>
      <c r="Y10" s="237"/>
      <c r="Z10" s="238"/>
    </row>
    <row r="11" spans="1:26" s="239" customFormat="1" ht="28.5" customHeight="1" x14ac:dyDescent="0.3">
      <c r="A11" s="222">
        <f t="shared" si="3"/>
        <v>0</v>
      </c>
      <c r="B11" s="223" t="b">
        <f t="shared" si="4"/>
        <v>1</v>
      </c>
      <c r="C11" s="222">
        <f t="shared" si="5"/>
        <v>0</v>
      </c>
      <c r="D11" s="205" t="str">
        <f t="shared" si="6"/>
        <v>$$$$</v>
      </c>
      <c r="E11" s="224"/>
      <c r="F11" s="225"/>
      <c r="G11" s="226"/>
      <c r="H11" s="227"/>
      <c r="I11" s="228"/>
      <c r="J11" s="228"/>
      <c r="K11" s="229"/>
      <c r="L11" s="230"/>
      <c r="M11" s="231"/>
      <c r="N11" s="232"/>
      <c r="O11" s="230"/>
      <c r="P11" s="231"/>
      <c r="Q11" s="232"/>
      <c r="R11" s="233"/>
      <c r="S11" s="234"/>
      <c r="T11" s="235"/>
      <c r="U11" s="233"/>
      <c r="V11" s="236"/>
      <c r="W11" s="234"/>
      <c r="X11" s="235"/>
      <c r="Y11" s="237"/>
      <c r="Z11" s="238"/>
    </row>
    <row r="12" spans="1:26" s="239" customFormat="1" ht="28.5" customHeight="1" x14ac:dyDescent="0.3">
      <c r="A12" s="222">
        <f t="shared" si="3"/>
        <v>0</v>
      </c>
      <c r="B12" s="223" t="b">
        <f t="shared" si="4"/>
        <v>1</v>
      </c>
      <c r="C12" s="222">
        <f t="shared" si="5"/>
        <v>0</v>
      </c>
      <c r="D12" s="205" t="str">
        <f t="shared" si="6"/>
        <v>$$$$</v>
      </c>
      <c r="E12" s="224"/>
      <c r="F12" s="225"/>
      <c r="G12" s="226"/>
      <c r="H12" s="227"/>
      <c r="I12" s="228"/>
      <c r="J12" s="228"/>
      <c r="K12" s="229"/>
      <c r="L12" s="230"/>
      <c r="M12" s="231"/>
      <c r="N12" s="232"/>
      <c r="O12" s="230"/>
      <c r="P12" s="231"/>
      <c r="Q12" s="232"/>
      <c r="R12" s="233"/>
      <c r="S12" s="234"/>
      <c r="T12" s="235"/>
      <c r="U12" s="233"/>
      <c r="V12" s="236"/>
      <c r="W12" s="234"/>
      <c r="X12" s="235"/>
      <c r="Y12" s="237"/>
      <c r="Z12" s="238"/>
    </row>
    <row r="13" spans="1:26" s="239" customFormat="1" ht="28.5" customHeight="1" x14ac:dyDescent="0.3">
      <c r="A13" s="222">
        <f t="shared" si="3"/>
        <v>0</v>
      </c>
      <c r="B13" s="223" t="b">
        <f t="shared" si="4"/>
        <v>1</v>
      </c>
      <c r="C13" s="222">
        <f t="shared" si="5"/>
        <v>0</v>
      </c>
      <c r="D13" s="205" t="str">
        <f t="shared" si="6"/>
        <v>$$$$</v>
      </c>
      <c r="E13" s="224"/>
      <c r="F13" s="225"/>
      <c r="G13" s="226"/>
      <c r="H13" s="227"/>
      <c r="I13" s="228"/>
      <c r="J13" s="228"/>
      <c r="K13" s="229"/>
      <c r="L13" s="230"/>
      <c r="M13" s="231"/>
      <c r="N13" s="232"/>
      <c r="O13" s="230"/>
      <c r="P13" s="231"/>
      <c r="Q13" s="232"/>
      <c r="R13" s="233"/>
      <c r="S13" s="234"/>
      <c r="T13" s="235"/>
      <c r="U13" s="233"/>
      <c r="V13" s="236"/>
      <c r="W13" s="234"/>
      <c r="X13" s="235"/>
      <c r="Y13" s="237"/>
      <c r="Z13" s="238"/>
    </row>
    <row r="14" spans="1:26" s="239" customFormat="1" ht="28.5" customHeight="1" x14ac:dyDescent="0.3">
      <c r="A14" s="222">
        <f t="shared" si="3"/>
        <v>0</v>
      </c>
      <c r="B14" s="223" t="b">
        <f t="shared" si="4"/>
        <v>1</v>
      </c>
      <c r="C14" s="222">
        <f t="shared" si="5"/>
        <v>0</v>
      </c>
      <c r="D14" s="205" t="str">
        <f t="shared" si="6"/>
        <v>$$$$</v>
      </c>
      <c r="E14" s="224"/>
      <c r="F14" s="225"/>
      <c r="G14" s="226"/>
      <c r="H14" s="227"/>
      <c r="I14" s="228"/>
      <c r="J14" s="228"/>
      <c r="K14" s="229"/>
      <c r="L14" s="230"/>
      <c r="M14" s="231"/>
      <c r="N14" s="232"/>
      <c r="O14" s="230"/>
      <c r="P14" s="231"/>
      <c r="Q14" s="232"/>
      <c r="R14" s="233"/>
      <c r="S14" s="234"/>
      <c r="T14" s="235"/>
      <c r="U14" s="233"/>
      <c r="V14" s="236"/>
      <c r="W14" s="234"/>
      <c r="X14" s="235"/>
      <c r="Y14" s="237"/>
      <c r="Z14" s="238"/>
    </row>
    <row r="15" spans="1:26" s="239" customFormat="1" ht="28.5" customHeight="1" x14ac:dyDescent="0.3">
      <c r="A15" s="222">
        <f t="shared" si="3"/>
        <v>0</v>
      </c>
      <c r="B15" s="223" t="b">
        <f t="shared" si="4"/>
        <v>1</v>
      </c>
      <c r="C15" s="222">
        <f t="shared" si="5"/>
        <v>0</v>
      </c>
      <c r="D15" s="205" t="str">
        <f t="shared" si="6"/>
        <v>$$$$</v>
      </c>
      <c r="E15" s="224"/>
      <c r="F15" s="225"/>
      <c r="G15" s="226"/>
      <c r="H15" s="227"/>
      <c r="I15" s="228"/>
      <c r="J15" s="228"/>
      <c r="K15" s="229"/>
      <c r="L15" s="230"/>
      <c r="M15" s="231"/>
      <c r="N15" s="232"/>
      <c r="O15" s="230"/>
      <c r="P15" s="231"/>
      <c r="Q15" s="232"/>
      <c r="R15" s="233"/>
      <c r="S15" s="234"/>
      <c r="T15" s="235"/>
      <c r="U15" s="233"/>
      <c r="V15" s="236"/>
      <c r="W15" s="234"/>
      <c r="X15" s="235"/>
      <c r="Y15" s="237"/>
      <c r="Z15" s="238"/>
    </row>
    <row r="16" spans="1:26" s="239" customFormat="1" ht="28.5" customHeight="1" x14ac:dyDescent="0.3">
      <c r="A16" s="222">
        <f t="shared" si="3"/>
        <v>0</v>
      </c>
      <c r="B16" s="223" t="b">
        <f t="shared" si="4"/>
        <v>1</v>
      </c>
      <c r="C16" s="222">
        <f t="shared" si="5"/>
        <v>0</v>
      </c>
      <c r="D16" s="205" t="str">
        <f t="shared" si="6"/>
        <v>$$$$</v>
      </c>
      <c r="E16" s="224"/>
      <c r="F16" s="225"/>
      <c r="G16" s="226"/>
      <c r="H16" s="227"/>
      <c r="I16" s="228"/>
      <c r="J16" s="228"/>
      <c r="K16" s="229"/>
      <c r="L16" s="230"/>
      <c r="M16" s="231"/>
      <c r="N16" s="232"/>
      <c r="O16" s="230"/>
      <c r="P16" s="231"/>
      <c r="Q16" s="232"/>
      <c r="R16" s="233"/>
      <c r="S16" s="234"/>
      <c r="T16" s="235"/>
      <c r="U16" s="233"/>
      <c r="V16" s="236"/>
      <c r="W16" s="234"/>
      <c r="X16" s="235"/>
      <c r="Y16" s="237"/>
      <c r="Z16" s="238"/>
    </row>
    <row r="17" spans="1:26" s="239" customFormat="1" ht="28.5" customHeight="1" x14ac:dyDescent="0.3">
      <c r="A17" s="222">
        <f t="shared" si="3"/>
        <v>0</v>
      </c>
      <c r="B17" s="223" t="b">
        <f t="shared" si="4"/>
        <v>1</v>
      </c>
      <c r="C17" s="222">
        <f t="shared" si="5"/>
        <v>0</v>
      </c>
      <c r="D17" s="205" t="str">
        <f t="shared" si="6"/>
        <v>$$$$</v>
      </c>
      <c r="E17" s="224"/>
      <c r="F17" s="225"/>
      <c r="G17" s="226"/>
      <c r="H17" s="227"/>
      <c r="I17" s="228"/>
      <c r="J17" s="228"/>
      <c r="K17" s="229"/>
      <c r="L17" s="230"/>
      <c r="M17" s="231"/>
      <c r="N17" s="232"/>
      <c r="O17" s="230"/>
      <c r="P17" s="231"/>
      <c r="Q17" s="232"/>
      <c r="R17" s="233"/>
      <c r="S17" s="234"/>
      <c r="T17" s="235"/>
      <c r="U17" s="233"/>
      <c r="V17" s="236"/>
      <c r="W17" s="234"/>
      <c r="X17" s="235"/>
      <c r="Y17" s="237"/>
      <c r="Z17" s="238"/>
    </row>
    <row r="18" spans="1:26" s="239" customFormat="1" ht="28.5" customHeight="1" x14ac:dyDescent="0.3">
      <c r="A18" s="222">
        <f t="shared" si="3"/>
        <v>0</v>
      </c>
      <c r="B18" s="223" t="b">
        <f t="shared" si="4"/>
        <v>1</v>
      </c>
      <c r="C18" s="222">
        <f t="shared" si="5"/>
        <v>0</v>
      </c>
      <c r="D18" s="205" t="str">
        <f t="shared" si="6"/>
        <v>$$$$</v>
      </c>
      <c r="E18" s="224"/>
      <c r="F18" s="225"/>
      <c r="G18" s="226"/>
      <c r="H18" s="227"/>
      <c r="I18" s="228"/>
      <c r="J18" s="228"/>
      <c r="K18" s="229"/>
      <c r="L18" s="230"/>
      <c r="M18" s="231"/>
      <c r="N18" s="232"/>
      <c r="O18" s="230"/>
      <c r="P18" s="231"/>
      <c r="Q18" s="232"/>
      <c r="R18" s="233"/>
      <c r="S18" s="234"/>
      <c r="T18" s="235"/>
      <c r="U18" s="233"/>
      <c r="V18" s="236"/>
      <c r="W18" s="234"/>
      <c r="X18" s="235"/>
      <c r="Y18" s="237"/>
      <c r="Z18" s="238"/>
    </row>
    <row r="19" spans="1:26" s="239" customFormat="1" ht="28.5" customHeight="1" x14ac:dyDescent="0.3">
      <c r="A19" s="222">
        <f t="shared" si="3"/>
        <v>0</v>
      </c>
      <c r="B19" s="223" t="b">
        <f t="shared" si="4"/>
        <v>1</v>
      </c>
      <c r="C19" s="222">
        <f t="shared" si="5"/>
        <v>0</v>
      </c>
      <c r="D19" s="205" t="str">
        <f t="shared" si="6"/>
        <v>$$$$</v>
      </c>
      <c r="E19" s="224"/>
      <c r="F19" s="225"/>
      <c r="G19" s="226"/>
      <c r="H19" s="227"/>
      <c r="I19" s="228"/>
      <c r="J19" s="228"/>
      <c r="K19" s="229"/>
      <c r="L19" s="230"/>
      <c r="M19" s="231"/>
      <c r="N19" s="232"/>
      <c r="O19" s="230"/>
      <c r="P19" s="231"/>
      <c r="Q19" s="232"/>
      <c r="R19" s="233"/>
      <c r="S19" s="234"/>
      <c r="T19" s="235"/>
      <c r="U19" s="233"/>
      <c r="V19" s="236"/>
      <c r="W19" s="234"/>
      <c r="X19" s="235"/>
      <c r="Y19" s="237"/>
      <c r="Z19" s="238"/>
    </row>
    <row r="20" spans="1:26" s="239" customFormat="1" ht="28.5" customHeight="1" x14ac:dyDescent="0.3">
      <c r="A20" s="222">
        <f t="shared" si="3"/>
        <v>0</v>
      </c>
      <c r="B20" s="223" t="b">
        <f t="shared" si="4"/>
        <v>1</v>
      </c>
      <c r="C20" s="222">
        <f t="shared" si="5"/>
        <v>0</v>
      </c>
      <c r="D20" s="205" t="str">
        <f t="shared" si="6"/>
        <v>$$$$</v>
      </c>
      <c r="E20" s="224"/>
      <c r="F20" s="225"/>
      <c r="G20" s="226"/>
      <c r="H20" s="227"/>
      <c r="I20" s="228"/>
      <c r="J20" s="228"/>
      <c r="K20" s="229"/>
      <c r="L20" s="230"/>
      <c r="M20" s="231"/>
      <c r="N20" s="232"/>
      <c r="O20" s="230"/>
      <c r="P20" s="231"/>
      <c r="Q20" s="232"/>
      <c r="R20" s="233"/>
      <c r="S20" s="234"/>
      <c r="T20" s="235"/>
      <c r="U20" s="233"/>
      <c r="V20" s="236"/>
      <c r="W20" s="234"/>
      <c r="X20" s="235"/>
      <c r="Y20" s="237"/>
      <c r="Z20" s="238"/>
    </row>
    <row r="21" spans="1:26" s="239" customFormat="1" ht="28.5" customHeight="1" x14ac:dyDescent="0.3">
      <c r="A21" s="222">
        <f t="shared" si="3"/>
        <v>0</v>
      </c>
      <c r="B21" s="223" t="b">
        <f t="shared" si="4"/>
        <v>1</v>
      </c>
      <c r="C21" s="222">
        <f t="shared" si="5"/>
        <v>0</v>
      </c>
      <c r="D21" s="205" t="str">
        <f t="shared" si="6"/>
        <v>$$$$</v>
      </c>
      <c r="E21" s="224"/>
      <c r="F21" s="225"/>
      <c r="G21" s="226"/>
      <c r="H21" s="227"/>
      <c r="I21" s="228"/>
      <c r="J21" s="228"/>
      <c r="K21" s="229"/>
      <c r="L21" s="230"/>
      <c r="M21" s="231"/>
      <c r="N21" s="232"/>
      <c r="O21" s="230"/>
      <c r="P21" s="231"/>
      <c r="Q21" s="232"/>
      <c r="R21" s="233"/>
      <c r="S21" s="234"/>
      <c r="T21" s="235"/>
      <c r="U21" s="233"/>
      <c r="V21" s="236"/>
      <c r="W21" s="234"/>
      <c r="X21" s="235"/>
      <c r="Y21" s="237"/>
      <c r="Z21" s="238"/>
    </row>
    <row r="22" spans="1:26" s="239" customFormat="1" ht="28.5" customHeight="1" x14ac:dyDescent="0.3">
      <c r="A22" s="222">
        <f t="shared" si="3"/>
        <v>0</v>
      </c>
      <c r="B22" s="223" t="b">
        <f t="shared" si="4"/>
        <v>1</v>
      </c>
      <c r="C22" s="222">
        <f t="shared" si="5"/>
        <v>0</v>
      </c>
      <c r="D22" s="205" t="str">
        <f t="shared" si="6"/>
        <v>$$$$</v>
      </c>
      <c r="E22" s="224"/>
      <c r="F22" s="225"/>
      <c r="G22" s="226"/>
      <c r="H22" s="227"/>
      <c r="I22" s="228"/>
      <c r="J22" s="228"/>
      <c r="K22" s="229"/>
      <c r="L22" s="230"/>
      <c r="M22" s="231"/>
      <c r="N22" s="232"/>
      <c r="O22" s="230"/>
      <c r="P22" s="231"/>
      <c r="Q22" s="232"/>
      <c r="R22" s="233"/>
      <c r="S22" s="234"/>
      <c r="T22" s="235"/>
      <c r="U22" s="233"/>
      <c r="V22" s="236"/>
      <c r="W22" s="234"/>
      <c r="X22" s="235"/>
      <c r="Y22" s="237"/>
      <c r="Z22" s="238"/>
    </row>
    <row r="23" spans="1:26" s="239" customFormat="1" ht="28.5" customHeight="1" x14ac:dyDescent="0.3">
      <c r="A23" s="222">
        <f t="shared" si="3"/>
        <v>0</v>
      </c>
      <c r="B23" s="223" t="b">
        <f t="shared" si="4"/>
        <v>1</v>
      </c>
      <c r="C23" s="222">
        <f t="shared" si="5"/>
        <v>0</v>
      </c>
      <c r="D23" s="205" t="str">
        <f t="shared" si="6"/>
        <v>$$$$</v>
      </c>
      <c r="E23" s="224"/>
      <c r="F23" s="225"/>
      <c r="G23" s="226"/>
      <c r="H23" s="227"/>
      <c r="I23" s="228"/>
      <c r="J23" s="228"/>
      <c r="K23" s="229"/>
      <c r="L23" s="230"/>
      <c r="M23" s="231"/>
      <c r="N23" s="232"/>
      <c r="O23" s="230"/>
      <c r="P23" s="231"/>
      <c r="Q23" s="232"/>
      <c r="R23" s="233"/>
      <c r="S23" s="234"/>
      <c r="T23" s="235"/>
      <c r="U23" s="233"/>
      <c r="V23" s="236"/>
      <c r="W23" s="234"/>
      <c r="X23" s="235"/>
      <c r="Y23" s="237"/>
      <c r="Z23" s="238"/>
    </row>
    <row r="24" spans="1:26" s="239" customFormat="1" ht="28.5" customHeight="1" x14ac:dyDescent="0.3">
      <c r="A24" s="222">
        <f t="shared" si="3"/>
        <v>0</v>
      </c>
      <c r="B24" s="223" t="b">
        <f t="shared" si="4"/>
        <v>1</v>
      </c>
      <c r="C24" s="222">
        <f t="shared" si="5"/>
        <v>0</v>
      </c>
      <c r="D24" s="205" t="str">
        <f t="shared" si="6"/>
        <v>$$$$</v>
      </c>
      <c r="E24" s="224"/>
      <c r="F24" s="225"/>
      <c r="G24" s="226"/>
      <c r="H24" s="227"/>
      <c r="I24" s="228"/>
      <c r="J24" s="228"/>
      <c r="K24" s="229"/>
      <c r="L24" s="230"/>
      <c r="M24" s="231"/>
      <c r="N24" s="232"/>
      <c r="O24" s="230"/>
      <c r="P24" s="231"/>
      <c r="Q24" s="232"/>
      <c r="R24" s="233"/>
      <c r="S24" s="234"/>
      <c r="T24" s="235"/>
      <c r="U24" s="233"/>
      <c r="V24" s="236"/>
      <c r="W24" s="234"/>
      <c r="X24" s="235"/>
      <c r="Y24" s="237"/>
      <c r="Z24" s="238"/>
    </row>
    <row r="25" spans="1:26" s="239" customFormat="1" ht="28.5" customHeight="1" x14ac:dyDescent="0.3">
      <c r="A25" s="222">
        <f t="shared" si="3"/>
        <v>0</v>
      </c>
      <c r="B25" s="223" t="b">
        <f t="shared" si="4"/>
        <v>1</v>
      </c>
      <c r="C25" s="222">
        <f t="shared" si="5"/>
        <v>0</v>
      </c>
      <c r="D25" s="205" t="str">
        <f t="shared" si="6"/>
        <v>$$$$</v>
      </c>
      <c r="E25" s="224"/>
      <c r="F25" s="225"/>
      <c r="G25" s="226"/>
      <c r="H25" s="227"/>
      <c r="I25" s="228"/>
      <c r="J25" s="228"/>
      <c r="K25" s="229"/>
      <c r="L25" s="230"/>
      <c r="M25" s="231"/>
      <c r="N25" s="232"/>
      <c r="O25" s="230"/>
      <c r="P25" s="231"/>
      <c r="Q25" s="232"/>
      <c r="R25" s="233"/>
      <c r="S25" s="234"/>
      <c r="T25" s="235"/>
      <c r="U25" s="233"/>
      <c r="V25" s="236"/>
      <c r="W25" s="234"/>
      <c r="X25" s="235"/>
      <c r="Y25" s="237"/>
      <c r="Z25" s="238"/>
    </row>
    <row r="26" spans="1:26" s="239" customFormat="1" ht="28.5" customHeight="1" x14ac:dyDescent="0.3">
      <c r="A26" s="222">
        <f t="shared" si="3"/>
        <v>0</v>
      </c>
      <c r="B26" s="223" t="b">
        <f t="shared" si="4"/>
        <v>1</v>
      </c>
      <c r="C26" s="222">
        <f t="shared" si="5"/>
        <v>0</v>
      </c>
      <c r="D26" s="205" t="str">
        <f t="shared" si="6"/>
        <v>$$$$</v>
      </c>
      <c r="E26" s="224"/>
      <c r="F26" s="225"/>
      <c r="G26" s="226"/>
      <c r="H26" s="227"/>
      <c r="I26" s="228"/>
      <c r="J26" s="228"/>
      <c r="K26" s="229"/>
      <c r="L26" s="230"/>
      <c r="M26" s="231"/>
      <c r="N26" s="232"/>
      <c r="O26" s="230"/>
      <c r="P26" s="231"/>
      <c r="Q26" s="232"/>
      <c r="R26" s="233"/>
      <c r="S26" s="234"/>
      <c r="T26" s="235"/>
      <c r="U26" s="233"/>
      <c r="V26" s="236"/>
      <c r="W26" s="234"/>
      <c r="X26" s="235"/>
      <c r="Y26" s="237"/>
      <c r="Z26" s="238"/>
    </row>
    <row r="27" spans="1:26" s="239" customFormat="1" ht="28.5" customHeight="1" x14ac:dyDescent="0.3">
      <c r="A27" s="222">
        <f t="shared" si="3"/>
        <v>0</v>
      </c>
      <c r="B27" s="223" t="b">
        <f t="shared" si="4"/>
        <v>1</v>
      </c>
      <c r="C27" s="222">
        <f t="shared" si="5"/>
        <v>0</v>
      </c>
      <c r="D27" s="205" t="str">
        <f t="shared" si="6"/>
        <v>$$$$</v>
      </c>
      <c r="E27" s="224"/>
      <c r="F27" s="225"/>
      <c r="G27" s="226"/>
      <c r="H27" s="227"/>
      <c r="I27" s="228"/>
      <c r="J27" s="228"/>
      <c r="K27" s="229"/>
      <c r="L27" s="230"/>
      <c r="M27" s="231"/>
      <c r="N27" s="232"/>
      <c r="O27" s="230"/>
      <c r="P27" s="231"/>
      <c r="Q27" s="232"/>
      <c r="R27" s="233"/>
      <c r="S27" s="234"/>
      <c r="T27" s="235"/>
      <c r="U27" s="233"/>
      <c r="V27" s="236"/>
      <c r="W27" s="234"/>
      <c r="X27" s="235"/>
      <c r="Y27" s="237"/>
      <c r="Z27" s="238"/>
    </row>
    <row r="28" spans="1:26" s="239" customFormat="1" ht="28.5" customHeight="1" x14ac:dyDescent="0.3">
      <c r="A28" s="222">
        <f t="shared" si="3"/>
        <v>0</v>
      </c>
      <c r="B28" s="223" t="b">
        <f t="shared" si="4"/>
        <v>1</v>
      </c>
      <c r="C28" s="222">
        <f t="shared" si="5"/>
        <v>0</v>
      </c>
      <c r="D28" s="205" t="str">
        <f t="shared" si="6"/>
        <v>$$$$</v>
      </c>
      <c r="E28" s="224"/>
      <c r="F28" s="225"/>
      <c r="G28" s="226"/>
      <c r="H28" s="227"/>
      <c r="I28" s="228"/>
      <c r="J28" s="228"/>
      <c r="K28" s="229"/>
      <c r="L28" s="230"/>
      <c r="M28" s="231"/>
      <c r="N28" s="232"/>
      <c r="O28" s="230"/>
      <c r="P28" s="231"/>
      <c r="Q28" s="232"/>
      <c r="R28" s="233"/>
      <c r="S28" s="234"/>
      <c r="T28" s="235"/>
      <c r="U28" s="233"/>
      <c r="V28" s="236"/>
      <c r="W28" s="234"/>
      <c r="X28" s="235"/>
      <c r="Y28" s="237"/>
      <c r="Z28" s="238"/>
    </row>
    <row r="29" spans="1:26" s="239" customFormat="1" ht="28.5" customHeight="1" x14ac:dyDescent="0.3">
      <c r="A29" s="222">
        <f t="shared" si="3"/>
        <v>0</v>
      </c>
      <c r="B29" s="223" t="b">
        <f t="shared" si="4"/>
        <v>1</v>
      </c>
      <c r="C29" s="222">
        <f t="shared" si="5"/>
        <v>0</v>
      </c>
      <c r="D29" s="205" t="str">
        <f t="shared" si="6"/>
        <v>$$$$</v>
      </c>
      <c r="E29" s="224"/>
      <c r="F29" s="225"/>
      <c r="G29" s="226"/>
      <c r="H29" s="227"/>
      <c r="I29" s="228"/>
      <c r="J29" s="228"/>
      <c r="K29" s="229"/>
      <c r="L29" s="230"/>
      <c r="M29" s="231"/>
      <c r="N29" s="232"/>
      <c r="O29" s="230"/>
      <c r="P29" s="231"/>
      <c r="Q29" s="232"/>
      <c r="R29" s="233"/>
      <c r="S29" s="234"/>
      <c r="T29" s="235"/>
      <c r="U29" s="233"/>
      <c r="V29" s="236"/>
      <c r="W29" s="234"/>
      <c r="X29" s="235"/>
      <c r="Y29" s="237"/>
      <c r="Z29" s="238"/>
    </row>
    <row r="30" spans="1:26" s="239" customFormat="1" ht="28.5" customHeight="1" x14ac:dyDescent="0.3">
      <c r="A30" s="222">
        <f t="shared" si="3"/>
        <v>0</v>
      </c>
      <c r="B30" s="223" t="b">
        <f t="shared" si="4"/>
        <v>1</v>
      </c>
      <c r="C30" s="222">
        <f t="shared" si="5"/>
        <v>0</v>
      </c>
      <c r="D30" s="205" t="str">
        <f t="shared" si="6"/>
        <v>$$$$</v>
      </c>
      <c r="E30" s="224"/>
      <c r="F30" s="225"/>
      <c r="G30" s="226"/>
      <c r="H30" s="227"/>
      <c r="I30" s="228"/>
      <c r="J30" s="228"/>
      <c r="K30" s="229"/>
      <c r="L30" s="230"/>
      <c r="M30" s="231"/>
      <c r="N30" s="232"/>
      <c r="O30" s="230"/>
      <c r="P30" s="231"/>
      <c r="Q30" s="232"/>
      <c r="R30" s="233"/>
      <c r="S30" s="234"/>
      <c r="T30" s="235"/>
      <c r="U30" s="233"/>
      <c r="V30" s="236"/>
      <c r="W30" s="234"/>
      <c r="X30" s="235"/>
      <c r="Y30" s="237"/>
      <c r="Z30" s="238"/>
    </row>
    <row r="31" spans="1:26" s="239" customFormat="1" ht="28.5" customHeight="1" x14ac:dyDescent="0.3">
      <c r="A31" s="222">
        <f t="shared" si="3"/>
        <v>0</v>
      </c>
      <c r="B31" s="223" t="b">
        <f t="shared" si="4"/>
        <v>1</v>
      </c>
      <c r="C31" s="222">
        <f t="shared" si="5"/>
        <v>0</v>
      </c>
      <c r="D31" s="205" t="str">
        <f t="shared" si="6"/>
        <v>$$$$</v>
      </c>
      <c r="E31" s="224"/>
      <c r="F31" s="225"/>
      <c r="G31" s="226"/>
      <c r="H31" s="227"/>
      <c r="I31" s="228"/>
      <c r="J31" s="228"/>
      <c r="K31" s="229"/>
      <c r="L31" s="230"/>
      <c r="M31" s="231"/>
      <c r="N31" s="232"/>
      <c r="O31" s="230"/>
      <c r="P31" s="231"/>
      <c r="Q31" s="232"/>
      <c r="R31" s="233"/>
      <c r="S31" s="234"/>
      <c r="T31" s="235"/>
      <c r="U31" s="233"/>
      <c r="V31" s="236"/>
      <c r="W31" s="234"/>
      <c r="X31" s="235"/>
      <c r="Y31" s="237"/>
      <c r="Z31" s="238"/>
    </row>
    <row r="32" spans="1:26" s="239" customFormat="1" ht="28.5" customHeight="1" x14ac:dyDescent="0.3">
      <c r="A32" s="222">
        <f t="shared" si="3"/>
        <v>0</v>
      </c>
      <c r="B32" s="223" t="b">
        <f t="shared" si="4"/>
        <v>1</v>
      </c>
      <c r="C32" s="222">
        <f t="shared" si="5"/>
        <v>0</v>
      </c>
      <c r="D32" s="205" t="str">
        <f t="shared" si="6"/>
        <v>$$$$</v>
      </c>
      <c r="E32" s="224"/>
      <c r="F32" s="225"/>
      <c r="G32" s="226"/>
      <c r="H32" s="227"/>
      <c r="I32" s="228"/>
      <c r="J32" s="228"/>
      <c r="K32" s="229"/>
      <c r="L32" s="230"/>
      <c r="M32" s="231"/>
      <c r="N32" s="232"/>
      <c r="O32" s="230"/>
      <c r="P32" s="231"/>
      <c r="Q32" s="232"/>
      <c r="R32" s="233"/>
      <c r="S32" s="234"/>
      <c r="T32" s="235"/>
      <c r="U32" s="233"/>
      <c r="V32" s="236"/>
      <c r="W32" s="234"/>
      <c r="X32" s="235"/>
      <c r="Y32" s="237"/>
      <c r="Z32" s="238"/>
    </row>
    <row r="33" spans="1:26" s="239" customFormat="1" ht="28.5" customHeight="1" x14ac:dyDescent="0.3">
      <c r="A33" s="222">
        <f t="shared" si="3"/>
        <v>0</v>
      </c>
      <c r="B33" s="223" t="b">
        <f t="shared" si="4"/>
        <v>1</v>
      </c>
      <c r="C33" s="222">
        <f t="shared" si="5"/>
        <v>0</v>
      </c>
      <c r="D33" s="205" t="str">
        <f t="shared" si="6"/>
        <v>$$$$</v>
      </c>
      <c r="E33" s="224"/>
      <c r="F33" s="225"/>
      <c r="G33" s="226"/>
      <c r="H33" s="227"/>
      <c r="I33" s="228"/>
      <c r="J33" s="228"/>
      <c r="K33" s="229"/>
      <c r="L33" s="230"/>
      <c r="M33" s="231"/>
      <c r="N33" s="232"/>
      <c r="O33" s="230"/>
      <c r="P33" s="231"/>
      <c r="Q33" s="232"/>
      <c r="R33" s="233"/>
      <c r="S33" s="234"/>
      <c r="T33" s="235"/>
      <c r="U33" s="233"/>
      <c r="V33" s="236"/>
      <c r="W33" s="234"/>
      <c r="X33" s="235"/>
      <c r="Y33" s="237"/>
      <c r="Z33" s="238"/>
    </row>
    <row r="34" spans="1:26" s="239" customFormat="1" ht="28.5" customHeight="1" x14ac:dyDescent="0.3">
      <c r="A34" s="222">
        <f t="shared" si="3"/>
        <v>0</v>
      </c>
      <c r="B34" s="223" t="b">
        <f t="shared" si="4"/>
        <v>1</v>
      </c>
      <c r="C34" s="222">
        <f t="shared" si="5"/>
        <v>0</v>
      </c>
      <c r="D34" s="205" t="str">
        <f t="shared" si="6"/>
        <v>$$$$</v>
      </c>
      <c r="E34" s="224"/>
      <c r="F34" s="225"/>
      <c r="G34" s="226"/>
      <c r="H34" s="227"/>
      <c r="I34" s="228"/>
      <c r="J34" s="228"/>
      <c r="K34" s="229"/>
      <c r="L34" s="230"/>
      <c r="M34" s="231"/>
      <c r="N34" s="232"/>
      <c r="O34" s="230"/>
      <c r="P34" s="231"/>
      <c r="Q34" s="232"/>
      <c r="R34" s="233"/>
      <c r="S34" s="234"/>
      <c r="T34" s="235"/>
      <c r="U34" s="233"/>
      <c r="V34" s="236"/>
      <c r="W34" s="234"/>
      <c r="X34" s="235"/>
      <c r="Y34" s="237"/>
      <c r="Z34" s="238"/>
    </row>
    <row r="35" spans="1:26" s="239" customFormat="1" ht="28.5" customHeight="1" x14ac:dyDescent="0.3">
      <c r="A35" s="222">
        <f t="shared" si="3"/>
        <v>0</v>
      </c>
      <c r="B35" s="223" t="b">
        <f t="shared" si="4"/>
        <v>1</v>
      </c>
      <c r="C35" s="222">
        <f t="shared" si="5"/>
        <v>0</v>
      </c>
      <c r="D35" s="205" t="str">
        <f t="shared" si="6"/>
        <v>$$$$</v>
      </c>
      <c r="E35" s="224"/>
      <c r="F35" s="225"/>
      <c r="G35" s="226"/>
      <c r="H35" s="227"/>
      <c r="I35" s="228"/>
      <c r="J35" s="228"/>
      <c r="K35" s="229"/>
      <c r="L35" s="230"/>
      <c r="M35" s="231"/>
      <c r="N35" s="232"/>
      <c r="O35" s="230"/>
      <c r="P35" s="231"/>
      <c r="Q35" s="232"/>
      <c r="R35" s="233"/>
      <c r="S35" s="234"/>
      <c r="T35" s="235"/>
      <c r="U35" s="233"/>
      <c r="V35" s="236"/>
      <c r="W35" s="234"/>
      <c r="X35" s="235"/>
      <c r="Y35" s="237"/>
      <c r="Z35" s="238"/>
    </row>
    <row r="36" spans="1:26" s="239" customFormat="1" ht="28.5" customHeight="1" x14ac:dyDescent="0.3">
      <c r="A36" s="222">
        <f t="shared" si="3"/>
        <v>0</v>
      </c>
      <c r="B36" s="223" t="b">
        <f t="shared" si="4"/>
        <v>1</v>
      </c>
      <c r="C36" s="222">
        <f t="shared" si="5"/>
        <v>0</v>
      </c>
      <c r="D36" s="205" t="str">
        <f t="shared" si="6"/>
        <v>$$$$</v>
      </c>
      <c r="E36" s="224"/>
      <c r="F36" s="225"/>
      <c r="G36" s="226"/>
      <c r="H36" s="227"/>
      <c r="I36" s="228"/>
      <c r="J36" s="228"/>
      <c r="K36" s="229"/>
      <c r="L36" s="230"/>
      <c r="M36" s="231"/>
      <c r="N36" s="232"/>
      <c r="O36" s="230"/>
      <c r="P36" s="231"/>
      <c r="Q36" s="232"/>
      <c r="R36" s="233"/>
      <c r="S36" s="234"/>
      <c r="T36" s="235"/>
      <c r="U36" s="233"/>
      <c r="V36" s="236"/>
      <c r="W36" s="234"/>
      <c r="X36" s="235"/>
      <c r="Y36" s="237"/>
      <c r="Z36" s="238"/>
    </row>
    <row r="37" spans="1:26" s="239" customFormat="1" ht="28.5" customHeight="1" x14ac:dyDescent="0.3">
      <c r="A37" s="222">
        <f t="shared" si="3"/>
        <v>0</v>
      </c>
      <c r="B37" s="223" t="b">
        <f t="shared" si="4"/>
        <v>1</v>
      </c>
      <c r="C37" s="222">
        <f t="shared" si="5"/>
        <v>0</v>
      </c>
      <c r="D37" s="205" t="str">
        <f t="shared" si="6"/>
        <v>$$$$</v>
      </c>
      <c r="E37" s="224"/>
      <c r="F37" s="225"/>
      <c r="G37" s="226"/>
      <c r="H37" s="227"/>
      <c r="I37" s="228"/>
      <c r="J37" s="228"/>
      <c r="K37" s="229"/>
      <c r="L37" s="230"/>
      <c r="M37" s="231"/>
      <c r="N37" s="232"/>
      <c r="O37" s="230"/>
      <c r="P37" s="231"/>
      <c r="Q37" s="232"/>
      <c r="R37" s="233"/>
      <c r="S37" s="234"/>
      <c r="T37" s="235"/>
      <c r="U37" s="233"/>
      <c r="V37" s="236"/>
      <c r="W37" s="234"/>
      <c r="X37" s="235"/>
      <c r="Y37" s="237"/>
      <c r="Z37" s="238"/>
    </row>
    <row r="38" spans="1:26" s="239" customFormat="1" ht="28.5" customHeight="1" x14ac:dyDescent="0.3">
      <c r="A38" s="222">
        <f t="shared" si="3"/>
        <v>0</v>
      </c>
      <c r="B38" s="223" t="b">
        <f t="shared" si="4"/>
        <v>1</v>
      </c>
      <c r="C38" s="222">
        <f t="shared" si="5"/>
        <v>0</v>
      </c>
      <c r="D38" s="205" t="str">
        <f t="shared" si="6"/>
        <v>$$$$</v>
      </c>
      <c r="E38" s="224"/>
      <c r="F38" s="225"/>
      <c r="G38" s="226"/>
      <c r="H38" s="227"/>
      <c r="I38" s="228"/>
      <c r="J38" s="228"/>
      <c r="K38" s="229"/>
      <c r="L38" s="230"/>
      <c r="M38" s="231"/>
      <c r="N38" s="232"/>
      <c r="O38" s="230"/>
      <c r="P38" s="231"/>
      <c r="Q38" s="232"/>
      <c r="R38" s="233"/>
      <c r="S38" s="234"/>
      <c r="T38" s="235"/>
      <c r="U38" s="233"/>
      <c r="V38" s="236"/>
      <c r="W38" s="234"/>
      <c r="X38" s="235"/>
      <c r="Y38" s="237"/>
      <c r="Z38" s="238"/>
    </row>
    <row r="39" spans="1:26" s="239" customFormat="1" ht="28.5" customHeight="1" x14ac:dyDescent="0.3">
      <c r="A39" s="222">
        <f t="shared" ref="A39:A70" si="7">IF(B39,0,MATCH(H39,ВидыНагр,0))</f>
        <v>0</v>
      </c>
      <c r="B39" s="223" t="b">
        <f t="shared" ref="B39:B70" si="8">(COUNTIF(КлючВесна,D39)&lt;&gt;1)</f>
        <v>1</v>
      </c>
      <c r="C39" s="222">
        <f t="shared" ref="C39:C70" si="9">IF(COUNTA(E39:K39,Z39)&gt;0,1,0)+IF(COUNTA(L39:Y39)&gt;0,2,0)</f>
        <v>0</v>
      </c>
      <c r="D39" s="205" t="str">
        <f t="shared" si="6"/>
        <v>$$$$</v>
      </c>
      <c r="E39" s="224"/>
      <c r="F39" s="225"/>
      <c r="G39" s="226"/>
      <c r="H39" s="227"/>
      <c r="I39" s="228"/>
      <c r="J39" s="228"/>
      <c r="K39" s="229"/>
      <c r="L39" s="230"/>
      <c r="M39" s="231"/>
      <c r="N39" s="232"/>
      <c r="O39" s="230"/>
      <c r="P39" s="231"/>
      <c r="Q39" s="232"/>
      <c r="R39" s="233"/>
      <c r="S39" s="234"/>
      <c r="T39" s="235"/>
      <c r="U39" s="233"/>
      <c r="V39" s="236"/>
      <c r="W39" s="234"/>
      <c r="X39" s="235"/>
      <c r="Y39" s="237"/>
      <c r="Z39" s="238"/>
    </row>
    <row r="40" spans="1:26" s="239" customFormat="1" ht="28.5" customHeight="1" x14ac:dyDescent="0.3">
      <c r="A40" s="222">
        <f t="shared" si="7"/>
        <v>0</v>
      </c>
      <c r="B40" s="223" t="b">
        <f t="shared" si="8"/>
        <v>1</v>
      </c>
      <c r="C40" s="222">
        <f t="shared" si="9"/>
        <v>0</v>
      </c>
      <c r="D40" s="205" t="str">
        <f t="shared" si="6"/>
        <v>$$$$</v>
      </c>
      <c r="E40" s="224"/>
      <c r="F40" s="225"/>
      <c r="G40" s="226"/>
      <c r="H40" s="227"/>
      <c r="I40" s="228"/>
      <c r="J40" s="228"/>
      <c r="K40" s="229"/>
      <c r="L40" s="230"/>
      <c r="M40" s="231"/>
      <c r="N40" s="232"/>
      <c r="O40" s="230"/>
      <c r="P40" s="231"/>
      <c r="Q40" s="232"/>
      <c r="R40" s="233"/>
      <c r="S40" s="234"/>
      <c r="T40" s="235"/>
      <c r="U40" s="233"/>
      <c r="V40" s="236"/>
      <c r="W40" s="234"/>
      <c r="X40" s="235"/>
      <c r="Y40" s="237"/>
      <c r="Z40" s="238"/>
    </row>
    <row r="41" spans="1:26" s="239" customFormat="1" ht="28.5" customHeight="1" x14ac:dyDescent="0.3">
      <c r="A41" s="222">
        <f t="shared" si="7"/>
        <v>0</v>
      </c>
      <c r="B41" s="223" t="b">
        <f t="shared" si="8"/>
        <v>1</v>
      </c>
      <c r="C41" s="222">
        <f t="shared" si="9"/>
        <v>0</v>
      </c>
      <c r="D41" s="205" t="str">
        <f t="shared" si="6"/>
        <v>$$$$</v>
      </c>
      <c r="E41" s="224"/>
      <c r="F41" s="225"/>
      <c r="G41" s="226"/>
      <c r="H41" s="227"/>
      <c r="I41" s="228"/>
      <c r="J41" s="228"/>
      <c r="K41" s="229"/>
      <c r="L41" s="230"/>
      <c r="M41" s="231"/>
      <c r="N41" s="232"/>
      <c r="O41" s="230"/>
      <c r="P41" s="231"/>
      <c r="Q41" s="232"/>
      <c r="R41" s="233"/>
      <c r="S41" s="234"/>
      <c r="T41" s="235"/>
      <c r="U41" s="233"/>
      <c r="V41" s="236"/>
      <c r="W41" s="234"/>
      <c r="X41" s="235"/>
      <c r="Y41" s="237"/>
      <c r="Z41" s="238"/>
    </row>
    <row r="42" spans="1:26" s="239" customFormat="1" ht="28.5" customHeight="1" x14ac:dyDescent="0.3">
      <c r="A42" s="222">
        <f t="shared" si="7"/>
        <v>0</v>
      </c>
      <c r="B42" s="223" t="b">
        <f t="shared" si="8"/>
        <v>1</v>
      </c>
      <c r="C42" s="222">
        <f t="shared" si="9"/>
        <v>0</v>
      </c>
      <c r="D42" s="205" t="str">
        <f t="shared" si="6"/>
        <v>$$$$</v>
      </c>
      <c r="E42" s="224"/>
      <c r="F42" s="225"/>
      <c r="G42" s="226"/>
      <c r="H42" s="227"/>
      <c r="I42" s="228"/>
      <c r="J42" s="228"/>
      <c r="K42" s="229"/>
      <c r="L42" s="230"/>
      <c r="M42" s="231"/>
      <c r="N42" s="232"/>
      <c r="O42" s="230"/>
      <c r="P42" s="231"/>
      <c r="Q42" s="232"/>
      <c r="R42" s="233"/>
      <c r="S42" s="234"/>
      <c r="T42" s="235"/>
      <c r="U42" s="233"/>
      <c r="V42" s="236"/>
      <c r="W42" s="234"/>
      <c r="X42" s="235"/>
      <c r="Y42" s="237"/>
      <c r="Z42" s="238"/>
    </row>
    <row r="43" spans="1:26" s="239" customFormat="1" ht="28.5" customHeight="1" x14ac:dyDescent="0.3">
      <c r="A43" s="222">
        <f t="shared" si="7"/>
        <v>0</v>
      </c>
      <c r="B43" s="223" t="b">
        <f t="shared" si="8"/>
        <v>1</v>
      </c>
      <c r="C43" s="222">
        <f t="shared" si="9"/>
        <v>0</v>
      </c>
      <c r="D43" s="205" t="str">
        <f t="shared" si="6"/>
        <v>$$$$</v>
      </c>
      <c r="E43" s="224"/>
      <c r="F43" s="225"/>
      <c r="G43" s="226"/>
      <c r="H43" s="227"/>
      <c r="I43" s="228"/>
      <c r="J43" s="228"/>
      <c r="K43" s="229"/>
      <c r="L43" s="230"/>
      <c r="M43" s="231"/>
      <c r="N43" s="232"/>
      <c r="O43" s="230"/>
      <c r="P43" s="231"/>
      <c r="Q43" s="232"/>
      <c r="R43" s="233"/>
      <c r="S43" s="234"/>
      <c r="T43" s="235"/>
      <c r="U43" s="233"/>
      <c r="V43" s="236"/>
      <c r="W43" s="234"/>
      <c r="X43" s="235"/>
      <c r="Y43" s="237"/>
      <c r="Z43" s="238"/>
    </row>
    <row r="44" spans="1:26" s="239" customFormat="1" ht="28.5" customHeight="1" x14ac:dyDescent="0.3">
      <c r="A44" s="222">
        <f t="shared" si="7"/>
        <v>0</v>
      </c>
      <c r="B44" s="223" t="b">
        <f t="shared" si="8"/>
        <v>1</v>
      </c>
      <c r="C44" s="222">
        <f t="shared" si="9"/>
        <v>0</v>
      </c>
      <c r="D44" s="205" t="str">
        <f t="shared" si="6"/>
        <v>$$$$</v>
      </c>
      <c r="E44" s="224"/>
      <c r="F44" s="225"/>
      <c r="G44" s="226"/>
      <c r="H44" s="227"/>
      <c r="I44" s="228"/>
      <c r="J44" s="228"/>
      <c r="K44" s="229"/>
      <c r="L44" s="230"/>
      <c r="M44" s="231"/>
      <c r="N44" s="232"/>
      <c r="O44" s="230"/>
      <c r="P44" s="231"/>
      <c r="Q44" s="232"/>
      <c r="R44" s="233"/>
      <c r="S44" s="234"/>
      <c r="T44" s="235"/>
      <c r="U44" s="233"/>
      <c r="V44" s="236"/>
      <c r="W44" s="234"/>
      <c r="X44" s="235"/>
      <c r="Y44" s="237"/>
      <c r="Z44" s="238"/>
    </row>
    <row r="45" spans="1:26" s="239" customFormat="1" ht="28.5" customHeight="1" x14ac:dyDescent="0.3">
      <c r="A45" s="222">
        <f t="shared" si="7"/>
        <v>0</v>
      </c>
      <c r="B45" s="223" t="b">
        <f t="shared" si="8"/>
        <v>1</v>
      </c>
      <c r="C45" s="222">
        <f t="shared" si="9"/>
        <v>0</v>
      </c>
      <c r="D45" s="205" t="str">
        <f t="shared" si="6"/>
        <v>$$$$</v>
      </c>
      <c r="E45" s="224"/>
      <c r="F45" s="225"/>
      <c r="G45" s="226"/>
      <c r="H45" s="227"/>
      <c r="I45" s="228"/>
      <c r="J45" s="228"/>
      <c r="K45" s="229"/>
      <c r="L45" s="230"/>
      <c r="M45" s="231"/>
      <c r="N45" s="232"/>
      <c r="O45" s="230"/>
      <c r="P45" s="231"/>
      <c r="Q45" s="232"/>
      <c r="R45" s="233"/>
      <c r="S45" s="234"/>
      <c r="T45" s="235"/>
      <c r="U45" s="233"/>
      <c r="V45" s="236"/>
      <c r="W45" s="234"/>
      <c r="X45" s="235"/>
      <c r="Y45" s="237"/>
      <c r="Z45" s="238"/>
    </row>
    <row r="46" spans="1:26" s="239" customFormat="1" ht="28.5" customHeight="1" x14ac:dyDescent="0.3">
      <c r="A46" s="222">
        <f t="shared" si="7"/>
        <v>0</v>
      </c>
      <c r="B46" s="223" t="b">
        <f t="shared" si="8"/>
        <v>1</v>
      </c>
      <c r="C46" s="222">
        <f t="shared" si="9"/>
        <v>0</v>
      </c>
      <c r="D46" s="205" t="str">
        <f t="shared" si="6"/>
        <v>$$$$</v>
      </c>
      <c r="E46" s="224"/>
      <c r="F46" s="225"/>
      <c r="G46" s="226"/>
      <c r="H46" s="227"/>
      <c r="I46" s="228"/>
      <c r="J46" s="228"/>
      <c r="K46" s="229"/>
      <c r="L46" s="230"/>
      <c r="M46" s="231"/>
      <c r="N46" s="232"/>
      <c r="O46" s="230"/>
      <c r="P46" s="231"/>
      <c r="Q46" s="232"/>
      <c r="R46" s="233"/>
      <c r="S46" s="234"/>
      <c r="T46" s="235"/>
      <c r="U46" s="233"/>
      <c r="V46" s="236"/>
      <c r="W46" s="234"/>
      <c r="X46" s="235"/>
      <c r="Y46" s="237"/>
      <c r="Z46" s="238"/>
    </row>
    <row r="47" spans="1:26" s="239" customFormat="1" ht="28.5" customHeight="1" x14ac:dyDescent="0.3">
      <c r="A47" s="222">
        <f t="shared" si="7"/>
        <v>0</v>
      </c>
      <c r="B47" s="223" t="b">
        <f t="shared" si="8"/>
        <v>1</v>
      </c>
      <c r="C47" s="222">
        <f t="shared" si="9"/>
        <v>0</v>
      </c>
      <c r="D47" s="205" t="str">
        <f t="shared" si="6"/>
        <v>$$$$</v>
      </c>
      <c r="E47" s="224"/>
      <c r="F47" s="225"/>
      <c r="G47" s="226"/>
      <c r="H47" s="227"/>
      <c r="I47" s="228"/>
      <c r="J47" s="228"/>
      <c r="K47" s="229"/>
      <c r="L47" s="230"/>
      <c r="M47" s="231"/>
      <c r="N47" s="232"/>
      <c r="O47" s="230"/>
      <c r="P47" s="231"/>
      <c r="Q47" s="232"/>
      <c r="R47" s="233"/>
      <c r="S47" s="234"/>
      <c r="T47" s="235"/>
      <c r="U47" s="233"/>
      <c r="V47" s="236"/>
      <c r="W47" s="234"/>
      <c r="X47" s="235"/>
      <c r="Y47" s="237"/>
      <c r="Z47" s="238"/>
    </row>
    <row r="48" spans="1:26" s="239" customFormat="1" ht="28.5" customHeight="1" x14ac:dyDescent="0.3">
      <c r="A48" s="222">
        <f t="shared" si="7"/>
        <v>0</v>
      </c>
      <c r="B48" s="223" t="b">
        <f t="shared" si="8"/>
        <v>1</v>
      </c>
      <c r="C48" s="222">
        <f t="shared" si="9"/>
        <v>0</v>
      </c>
      <c r="D48" s="205" t="str">
        <f t="shared" si="6"/>
        <v>$$$$</v>
      </c>
      <c r="E48" s="224"/>
      <c r="F48" s="225"/>
      <c r="G48" s="226"/>
      <c r="H48" s="227"/>
      <c r="I48" s="228"/>
      <c r="J48" s="228"/>
      <c r="K48" s="229"/>
      <c r="L48" s="230"/>
      <c r="M48" s="231"/>
      <c r="N48" s="232"/>
      <c r="O48" s="230"/>
      <c r="P48" s="231"/>
      <c r="Q48" s="232"/>
      <c r="R48" s="233"/>
      <c r="S48" s="234"/>
      <c r="T48" s="235"/>
      <c r="U48" s="233"/>
      <c r="V48" s="236"/>
      <c r="W48" s="234"/>
      <c r="X48" s="235"/>
      <c r="Y48" s="237"/>
      <c r="Z48" s="238"/>
    </row>
    <row r="49" spans="1:26" s="239" customFormat="1" ht="28.5" customHeight="1" x14ac:dyDescent="0.3">
      <c r="A49" s="222">
        <f t="shared" si="7"/>
        <v>0</v>
      </c>
      <c r="B49" s="223" t="b">
        <f t="shared" si="8"/>
        <v>1</v>
      </c>
      <c r="C49" s="222">
        <f t="shared" si="9"/>
        <v>0</v>
      </c>
      <c r="D49" s="205" t="str">
        <f t="shared" si="6"/>
        <v>$$$$</v>
      </c>
      <c r="E49" s="224"/>
      <c r="F49" s="225"/>
      <c r="G49" s="226"/>
      <c r="H49" s="227"/>
      <c r="I49" s="228"/>
      <c r="J49" s="228"/>
      <c r="K49" s="229"/>
      <c r="L49" s="230"/>
      <c r="M49" s="231"/>
      <c r="N49" s="232"/>
      <c r="O49" s="230"/>
      <c r="P49" s="231"/>
      <c r="Q49" s="232"/>
      <c r="R49" s="233"/>
      <c r="S49" s="234"/>
      <c r="T49" s="235"/>
      <c r="U49" s="233"/>
      <c r="V49" s="236"/>
      <c r="W49" s="234"/>
      <c r="X49" s="235"/>
      <c r="Y49" s="237"/>
      <c r="Z49" s="238"/>
    </row>
    <row r="50" spans="1:26" s="239" customFormat="1" ht="28.5" customHeight="1" x14ac:dyDescent="0.3">
      <c r="A50" s="222">
        <f t="shared" si="7"/>
        <v>0</v>
      </c>
      <c r="B50" s="223" t="b">
        <f t="shared" si="8"/>
        <v>1</v>
      </c>
      <c r="C50" s="222">
        <f t="shared" si="9"/>
        <v>0</v>
      </c>
      <c r="D50" s="205" t="str">
        <f t="shared" si="6"/>
        <v>$$$$</v>
      </c>
      <c r="E50" s="224"/>
      <c r="F50" s="225"/>
      <c r="G50" s="226"/>
      <c r="H50" s="227"/>
      <c r="I50" s="228"/>
      <c r="J50" s="228"/>
      <c r="K50" s="229"/>
      <c r="L50" s="230"/>
      <c r="M50" s="231"/>
      <c r="N50" s="232"/>
      <c r="O50" s="230"/>
      <c r="P50" s="231"/>
      <c r="Q50" s="232"/>
      <c r="R50" s="233"/>
      <c r="S50" s="234"/>
      <c r="T50" s="235"/>
      <c r="U50" s="233"/>
      <c r="V50" s="236"/>
      <c r="W50" s="234"/>
      <c r="X50" s="235"/>
      <c r="Y50" s="237"/>
      <c r="Z50" s="238"/>
    </row>
    <row r="51" spans="1:26" s="239" customFormat="1" ht="28.5" customHeight="1" x14ac:dyDescent="0.3">
      <c r="A51" s="222">
        <f t="shared" si="7"/>
        <v>0</v>
      </c>
      <c r="B51" s="223" t="b">
        <f t="shared" si="8"/>
        <v>1</v>
      </c>
      <c r="C51" s="222">
        <f t="shared" si="9"/>
        <v>0</v>
      </c>
      <c r="D51" s="205" t="str">
        <f t="shared" si="6"/>
        <v>$$$$</v>
      </c>
      <c r="E51" s="224"/>
      <c r="F51" s="225"/>
      <c r="G51" s="226"/>
      <c r="H51" s="227"/>
      <c r="I51" s="228"/>
      <c r="J51" s="228"/>
      <c r="K51" s="229"/>
      <c r="L51" s="230"/>
      <c r="M51" s="231"/>
      <c r="N51" s="232"/>
      <c r="O51" s="230"/>
      <c r="P51" s="231"/>
      <c r="Q51" s="232"/>
      <c r="R51" s="233"/>
      <c r="S51" s="234"/>
      <c r="T51" s="235"/>
      <c r="U51" s="233"/>
      <c r="V51" s="236"/>
      <c r="W51" s="234"/>
      <c r="X51" s="235"/>
      <c r="Y51" s="237"/>
      <c r="Z51" s="238"/>
    </row>
    <row r="52" spans="1:26" s="239" customFormat="1" ht="28.5" customHeight="1" x14ac:dyDescent="0.3">
      <c r="A52" s="222">
        <f t="shared" si="7"/>
        <v>0</v>
      </c>
      <c r="B52" s="223" t="b">
        <f t="shared" si="8"/>
        <v>1</v>
      </c>
      <c r="C52" s="222">
        <f t="shared" si="9"/>
        <v>0</v>
      </c>
      <c r="D52" s="205" t="str">
        <f t="shared" si="6"/>
        <v>$$$$</v>
      </c>
      <c r="E52" s="224"/>
      <c r="F52" s="225"/>
      <c r="G52" s="226"/>
      <c r="H52" s="227"/>
      <c r="I52" s="228"/>
      <c r="J52" s="228"/>
      <c r="K52" s="229"/>
      <c r="L52" s="230"/>
      <c r="M52" s="231"/>
      <c r="N52" s="232"/>
      <c r="O52" s="230"/>
      <c r="P52" s="231"/>
      <c r="Q52" s="232"/>
      <c r="R52" s="233"/>
      <c r="S52" s="234"/>
      <c r="T52" s="235"/>
      <c r="U52" s="233"/>
      <c r="V52" s="236"/>
      <c r="W52" s="234"/>
      <c r="X52" s="235"/>
      <c r="Y52" s="237"/>
      <c r="Z52" s="238"/>
    </row>
    <row r="53" spans="1:26" s="239" customFormat="1" ht="28.5" customHeight="1" x14ac:dyDescent="0.3">
      <c r="A53" s="222">
        <f t="shared" si="7"/>
        <v>0</v>
      </c>
      <c r="B53" s="223" t="b">
        <f t="shared" si="8"/>
        <v>1</v>
      </c>
      <c r="C53" s="222">
        <f t="shared" si="9"/>
        <v>0</v>
      </c>
      <c r="D53" s="205" t="str">
        <f t="shared" si="6"/>
        <v>$$$$</v>
      </c>
      <c r="E53" s="224"/>
      <c r="F53" s="225"/>
      <c r="G53" s="226"/>
      <c r="H53" s="227"/>
      <c r="I53" s="228"/>
      <c r="J53" s="228"/>
      <c r="K53" s="229"/>
      <c r="L53" s="230"/>
      <c r="M53" s="231"/>
      <c r="N53" s="232"/>
      <c r="O53" s="230"/>
      <c r="P53" s="231"/>
      <c r="Q53" s="232"/>
      <c r="R53" s="233"/>
      <c r="S53" s="234"/>
      <c r="T53" s="235"/>
      <c r="U53" s="233"/>
      <c r="V53" s="236"/>
      <c r="W53" s="234"/>
      <c r="X53" s="235"/>
      <c r="Y53" s="237"/>
      <c r="Z53" s="238"/>
    </row>
    <row r="54" spans="1:26" s="239" customFormat="1" ht="28.5" customHeight="1" x14ac:dyDescent="0.3">
      <c r="A54" s="222">
        <f t="shared" si="7"/>
        <v>0</v>
      </c>
      <c r="B54" s="223" t="b">
        <f t="shared" si="8"/>
        <v>1</v>
      </c>
      <c r="C54" s="222">
        <f t="shared" si="9"/>
        <v>0</v>
      </c>
      <c r="D54" s="205" t="str">
        <f t="shared" si="6"/>
        <v>$$$$</v>
      </c>
      <c r="E54" s="224"/>
      <c r="F54" s="225"/>
      <c r="G54" s="226"/>
      <c r="H54" s="227"/>
      <c r="I54" s="228"/>
      <c r="J54" s="228"/>
      <c r="K54" s="229"/>
      <c r="L54" s="230"/>
      <c r="M54" s="231"/>
      <c r="N54" s="232"/>
      <c r="O54" s="230"/>
      <c r="P54" s="231"/>
      <c r="Q54" s="232"/>
      <c r="R54" s="233"/>
      <c r="S54" s="234"/>
      <c r="T54" s="235"/>
      <c r="U54" s="233"/>
      <c r="V54" s="236"/>
      <c r="W54" s="234"/>
      <c r="X54" s="235"/>
      <c r="Y54" s="237"/>
      <c r="Z54" s="238"/>
    </row>
    <row r="55" spans="1:26" s="239" customFormat="1" ht="28.5" customHeight="1" x14ac:dyDescent="0.3">
      <c r="A55" s="222">
        <f t="shared" si="7"/>
        <v>0</v>
      </c>
      <c r="B55" s="223" t="b">
        <f t="shared" si="8"/>
        <v>1</v>
      </c>
      <c r="C55" s="222">
        <f t="shared" si="9"/>
        <v>0</v>
      </c>
      <c r="D55" s="205" t="str">
        <f t="shared" si="6"/>
        <v>$$$$</v>
      </c>
      <c r="E55" s="224"/>
      <c r="F55" s="225"/>
      <c r="G55" s="226"/>
      <c r="H55" s="227"/>
      <c r="I55" s="228"/>
      <c r="J55" s="228"/>
      <c r="K55" s="229"/>
      <c r="L55" s="230"/>
      <c r="M55" s="231"/>
      <c r="N55" s="232"/>
      <c r="O55" s="230"/>
      <c r="P55" s="231"/>
      <c r="Q55" s="232"/>
      <c r="R55" s="233"/>
      <c r="S55" s="234"/>
      <c r="T55" s="235"/>
      <c r="U55" s="233"/>
      <c r="V55" s="236"/>
      <c r="W55" s="234"/>
      <c r="X55" s="235"/>
      <c r="Y55" s="237"/>
      <c r="Z55" s="238"/>
    </row>
    <row r="56" spans="1:26" s="239" customFormat="1" ht="28.5" customHeight="1" x14ac:dyDescent="0.3">
      <c r="A56" s="222">
        <f t="shared" si="7"/>
        <v>0</v>
      </c>
      <c r="B56" s="223" t="b">
        <f t="shared" si="8"/>
        <v>1</v>
      </c>
      <c r="C56" s="222">
        <f t="shared" si="9"/>
        <v>0</v>
      </c>
      <c r="D56" s="205" t="str">
        <f t="shared" si="6"/>
        <v>$$$$</v>
      </c>
      <c r="E56" s="224"/>
      <c r="F56" s="225"/>
      <c r="G56" s="226"/>
      <c r="H56" s="227"/>
      <c r="I56" s="228"/>
      <c r="J56" s="228"/>
      <c r="K56" s="229"/>
      <c r="L56" s="230"/>
      <c r="M56" s="231"/>
      <c r="N56" s="232"/>
      <c r="O56" s="230"/>
      <c r="P56" s="231"/>
      <c r="Q56" s="232"/>
      <c r="R56" s="233"/>
      <c r="S56" s="234"/>
      <c r="T56" s="235"/>
      <c r="U56" s="233"/>
      <c r="V56" s="236"/>
      <c r="W56" s="234"/>
      <c r="X56" s="235"/>
      <c r="Y56" s="237"/>
      <c r="Z56" s="238"/>
    </row>
    <row r="57" spans="1:26" s="239" customFormat="1" ht="28.5" customHeight="1" x14ac:dyDescent="0.3">
      <c r="A57" s="222">
        <f t="shared" si="7"/>
        <v>0</v>
      </c>
      <c r="B57" s="223" t="b">
        <f t="shared" si="8"/>
        <v>1</v>
      </c>
      <c r="C57" s="222">
        <f t="shared" si="9"/>
        <v>0</v>
      </c>
      <c r="D57" s="205" t="str">
        <f t="shared" si="6"/>
        <v>$$$$</v>
      </c>
      <c r="E57" s="224"/>
      <c r="F57" s="225"/>
      <c r="G57" s="226"/>
      <c r="H57" s="227"/>
      <c r="I57" s="228"/>
      <c r="J57" s="228"/>
      <c r="K57" s="229"/>
      <c r="L57" s="230"/>
      <c r="M57" s="231"/>
      <c r="N57" s="232"/>
      <c r="O57" s="230"/>
      <c r="P57" s="231"/>
      <c r="Q57" s="232"/>
      <c r="R57" s="233"/>
      <c r="S57" s="234"/>
      <c r="T57" s="235"/>
      <c r="U57" s="233"/>
      <c r="V57" s="236"/>
      <c r="W57" s="234"/>
      <c r="X57" s="235"/>
      <c r="Y57" s="237"/>
      <c r="Z57" s="238"/>
    </row>
    <row r="58" spans="1:26" s="239" customFormat="1" ht="28.5" customHeight="1" x14ac:dyDescent="0.3">
      <c r="A58" s="222">
        <f t="shared" si="7"/>
        <v>0</v>
      </c>
      <c r="B58" s="223" t="b">
        <f t="shared" si="8"/>
        <v>1</v>
      </c>
      <c r="C58" s="222">
        <f t="shared" si="9"/>
        <v>0</v>
      </c>
      <c r="D58" s="205" t="str">
        <f t="shared" si="6"/>
        <v>$$$$</v>
      </c>
      <c r="E58" s="224"/>
      <c r="F58" s="225"/>
      <c r="G58" s="226"/>
      <c r="H58" s="227"/>
      <c r="I58" s="228"/>
      <c r="J58" s="228"/>
      <c r="K58" s="229"/>
      <c r="L58" s="230"/>
      <c r="M58" s="231"/>
      <c r="N58" s="232"/>
      <c r="O58" s="230"/>
      <c r="P58" s="231"/>
      <c r="Q58" s="232"/>
      <c r="R58" s="233"/>
      <c r="S58" s="234"/>
      <c r="T58" s="235"/>
      <c r="U58" s="233"/>
      <c r="V58" s="236"/>
      <c r="W58" s="234"/>
      <c r="X58" s="235"/>
      <c r="Y58" s="237"/>
      <c r="Z58" s="238"/>
    </row>
    <row r="59" spans="1:26" s="239" customFormat="1" ht="28.5" customHeight="1" x14ac:dyDescent="0.3">
      <c r="A59" s="222">
        <f t="shared" si="7"/>
        <v>0</v>
      </c>
      <c r="B59" s="223" t="b">
        <f t="shared" si="8"/>
        <v>1</v>
      </c>
      <c r="C59" s="222">
        <f t="shared" si="9"/>
        <v>0</v>
      </c>
      <c r="D59" s="205" t="str">
        <f t="shared" si="6"/>
        <v>$$$$</v>
      </c>
      <c r="E59" s="224"/>
      <c r="F59" s="225"/>
      <c r="G59" s="226"/>
      <c r="H59" s="227"/>
      <c r="I59" s="228"/>
      <c r="J59" s="228"/>
      <c r="K59" s="229"/>
      <c r="L59" s="230"/>
      <c r="M59" s="231"/>
      <c r="N59" s="232"/>
      <c r="O59" s="230"/>
      <c r="P59" s="231"/>
      <c r="Q59" s="232"/>
      <c r="R59" s="233"/>
      <c r="S59" s="234"/>
      <c r="T59" s="235"/>
      <c r="U59" s="233"/>
      <c r="V59" s="236"/>
      <c r="W59" s="234"/>
      <c r="X59" s="235"/>
      <c r="Y59" s="237"/>
      <c r="Z59" s="238"/>
    </row>
    <row r="60" spans="1:26" s="239" customFormat="1" ht="28.5" customHeight="1" x14ac:dyDescent="0.3">
      <c r="A60" s="222">
        <f t="shared" si="7"/>
        <v>0</v>
      </c>
      <c r="B60" s="223" t="b">
        <f t="shared" si="8"/>
        <v>1</v>
      </c>
      <c r="C60" s="222">
        <f t="shared" si="9"/>
        <v>0</v>
      </c>
      <c r="D60" s="205" t="str">
        <f t="shared" si="6"/>
        <v>$$$$</v>
      </c>
      <c r="E60" s="224"/>
      <c r="F60" s="225"/>
      <c r="G60" s="226"/>
      <c r="H60" s="227"/>
      <c r="I60" s="228"/>
      <c r="J60" s="228"/>
      <c r="K60" s="229"/>
      <c r="L60" s="230"/>
      <c r="M60" s="231"/>
      <c r="N60" s="232"/>
      <c r="O60" s="230"/>
      <c r="P60" s="231"/>
      <c r="Q60" s="232"/>
      <c r="R60" s="233"/>
      <c r="S60" s="234"/>
      <c r="T60" s="235"/>
      <c r="U60" s="233"/>
      <c r="V60" s="236"/>
      <c r="W60" s="234"/>
      <c r="X60" s="235"/>
      <c r="Y60" s="237"/>
      <c r="Z60" s="238"/>
    </row>
    <row r="61" spans="1:26" s="239" customFormat="1" ht="28.5" customHeight="1" x14ac:dyDescent="0.3">
      <c r="A61" s="222">
        <f t="shared" si="7"/>
        <v>0</v>
      </c>
      <c r="B61" s="223" t="b">
        <f t="shared" si="8"/>
        <v>1</v>
      </c>
      <c r="C61" s="222">
        <f t="shared" si="9"/>
        <v>0</v>
      </c>
      <c r="D61" s="205" t="str">
        <f t="shared" si="6"/>
        <v>$$$$</v>
      </c>
      <c r="E61" s="224"/>
      <c r="F61" s="225"/>
      <c r="G61" s="226"/>
      <c r="H61" s="227"/>
      <c r="I61" s="228"/>
      <c r="J61" s="228"/>
      <c r="K61" s="229"/>
      <c r="L61" s="230"/>
      <c r="M61" s="231"/>
      <c r="N61" s="232"/>
      <c r="O61" s="230"/>
      <c r="P61" s="231"/>
      <c r="Q61" s="232"/>
      <c r="R61" s="233"/>
      <c r="S61" s="234"/>
      <c r="T61" s="235"/>
      <c r="U61" s="233"/>
      <c r="V61" s="236"/>
      <c r="W61" s="234"/>
      <c r="X61" s="235"/>
      <c r="Y61" s="237"/>
      <c r="Z61" s="238"/>
    </row>
    <row r="62" spans="1:26" s="239" customFormat="1" ht="28.5" customHeight="1" x14ac:dyDescent="0.3">
      <c r="A62" s="222">
        <f t="shared" si="7"/>
        <v>0</v>
      </c>
      <c r="B62" s="223" t="b">
        <f t="shared" si="8"/>
        <v>1</v>
      </c>
      <c r="C62" s="222">
        <f t="shared" si="9"/>
        <v>0</v>
      </c>
      <c r="D62" s="205" t="str">
        <f t="shared" si="6"/>
        <v>$$$$</v>
      </c>
      <c r="E62" s="224"/>
      <c r="F62" s="225"/>
      <c r="G62" s="226"/>
      <c r="H62" s="227"/>
      <c r="I62" s="228"/>
      <c r="J62" s="228"/>
      <c r="K62" s="229"/>
      <c r="L62" s="230"/>
      <c r="M62" s="231"/>
      <c r="N62" s="232"/>
      <c r="O62" s="230"/>
      <c r="P62" s="231"/>
      <c r="Q62" s="232"/>
      <c r="R62" s="233"/>
      <c r="S62" s="234"/>
      <c r="T62" s="235"/>
      <c r="U62" s="233"/>
      <c r="V62" s="236"/>
      <c r="W62" s="234"/>
      <c r="X62" s="235"/>
      <c r="Y62" s="237"/>
      <c r="Z62" s="238"/>
    </row>
    <row r="63" spans="1:26" s="239" customFormat="1" ht="28.5" customHeight="1" x14ac:dyDescent="0.3">
      <c r="A63" s="222">
        <f t="shared" si="7"/>
        <v>0</v>
      </c>
      <c r="B63" s="223" t="b">
        <f t="shared" si="8"/>
        <v>1</v>
      </c>
      <c r="C63" s="222">
        <f t="shared" si="9"/>
        <v>0</v>
      </c>
      <c r="D63" s="205" t="str">
        <f t="shared" si="6"/>
        <v>$$$$</v>
      </c>
      <c r="E63" s="224"/>
      <c r="F63" s="225"/>
      <c r="G63" s="226"/>
      <c r="H63" s="227"/>
      <c r="I63" s="228"/>
      <c r="J63" s="228"/>
      <c r="K63" s="229"/>
      <c r="L63" s="230"/>
      <c r="M63" s="231"/>
      <c r="N63" s="232"/>
      <c r="O63" s="230"/>
      <c r="P63" s="231"/>
      <c r="Q63" s="232"/>
      <c r="R63" s="233"/>
      <c r="S63" s="234"/>
      <c r="T63" s="235"/>
      <c r="U63" s="233"/>
      <c r="V63" s="236"/>
      <c r="W63" s="234"/>
      <c r="X63" s="235"/>
      <c r="Y63" s="237"/>
      <c r="Z63" s="238"/>
    </row>
    <row r="64" spans="1:26" s="239" customFormat="1" ht="28.5" customHeight="1" x14ac:dyDescent="0.3">
      <c r="A64" s="222">
        <f t="shared" si="7"/>
        <v>0</v>
      </c>
      <c r="B64" s="223" t="b">
        <f t="shared" si="8"/>
        <v>1</v>
      </c>
      <c r="C64" s="222">
        <f t="shared" si="9"/>
        <v>0</v>
      </c>
      <c r="D64" s="205" t="str">
        <f t="shared" si="6"/>
        <v>$$$$</v>
      </c>
      <c r="E64" s="224"/>
      <c r="F64" s="225"/>
      <c r="G64" s="226"/>
      <c r="H64" s="227"/>
      <c r="I64" s="228"/>
      <c r="J64" s="228"/>
      <c r="K64" s="229"/>
      <c r="L64" s="230"/>
      <c r="M64" s="231"/>
      <c r="N64" s="232"/>
      <c r="O64" s="230"/>
      <c r="P64" s="231"/>
      <c r="Q64" s="232"/>
      <c r="R64" s="233"/>
      <c r="S64" s="234"/>
      <c r="T64" s="235"/>
      <c r="U64" s="233"/>
      <c r="V64" s="236"/>
      <c r="W64" s="234"/>
      <c r="X64" s="235"/>
      <c r="Y64" s="237"/>
      <c r="Z64" s="238"/>
    </row>
    <row r="65" spans="1:26" s="239" customFormat="1" ht="28.5" customHeight="1" x14ac:dyDescent="0.3">
      <c r="A65" s="222">
        <f t="shared" si="7"/>
        <v>0</v>
      </c>
      <c r="B65" s="223" t="b">
        <f t="shared" si="8"/>
        <v>1</v>
      </c>
      <c r="C65" s="222">
        <f t="shared" si="9"/>
        <v>0</v>
      </c>
      <c r="D65" s="205" t="str">
        <f t="shared" si="6"/>
        <v>$$$$</v>
      </c>
      <c r="E65" s="224"/>
      <c r="F65" s="225"/>
      <c r="G65" s="226"/>
      <c r="H65" s="227"/>
      <c r="I65" s="228"/>
      <c r="J65" s="228"/>
      <c r="K65" s="229"/>
      <c r="L65" s="230"/>
      <c r="M65" s="231"/>
      <c r="N65" s="232"/>
      <c r="O65" s="230"/>
      <c r="P65" s="231"/>
      <c r="Q65" s="232"/>
      <c r="R65" s="233"/>
      <c r="S65" s="234"/>
      <c r="T65" s="235"/>
      <c r="U65" s="233"/>
      <c r="V65" s="236"/>
      <c r="W65" s="234"/>
      <c r="X65" s="235"/>
      <c r="Y65" s="237"/>
      <c r="Z65" s="238"/>
    </row>
    <row r="66" spans="1:26" s="239" customFormat="1" ht="28.5" customHeight="1" x14ac:dyDescent="0.3">
      <c r="A66" s="222">
        <f t="shared" si="7"/>
        <v>0</v>
      </c>
      <c r="B66" s="223" t="b">
        <f t="shared" si="8"/>
        <v>1</v>
      </c>
      <c r="C66" s="222">
        <f t="shared" si="9"/>
        <v>0</v>
      </c>
      <c r="D66" s="205" t="str">
        <f t="shared" si="6"/>
        <v>$$$$</v>
      </c>
      <c r="E66" s="224"/>
      <c r="F66" s="225"/>
      <c r="G66" s="226"/>
      <c r="H66" s="227"/>
      <c r="I66" s="228"/>
      <c r="J66" s="228"/>
      <c r="K66" s="229"/>
      <c r="L66" s="230"/>
      <c r="M66" s="231"/>
      <c r="N66" s="232"/>
      <c r="O66" s="230"/>
      <c r="P66" s="231"/>
      <c r="Q66" s="232"/>
      <c r="R66" s="233"/>
      <c r="S66" s="234"/>
      <c r="T66" s="235"/>
      <c r="U66" s="233"/>
      <c r="V66" s="236"/>
      <c r="W66" s="234"/>
      <c r="X66" s="235"/>
      <c r="Y66" s="237"/>
      <c r="Z66" s="238"/>
    </row>
    <row r="67" spans="1:26" s="239" customFormat="1" ht="28.5" customHeight="1" x14ac:dyDescent="0.3">
      <c r="A67" s="222">
        <f t="shared" si="7"/>
        <v>0</v>
      </c>
      <c r="B67" s="223" t="b">
        <f t="shared" si="8"/>
        <v>1</v>
      </c>
      <c r="C67" s="222">
        <f t="shared" si="9"/>
        <v>0</v>
      </c>
      <c r="D67" s="205" t="str">
        <f t="shared" si="6"/>
        <v>$$$$</v>
      </c>
      <c r="E67" s="224"/>
      <c r="F67" s="225"/>
      <c r="G67" s="226"/>
      <c r="H67" s="227"/>
      <c r="I67" s="228"/>
      <c r="J67" s="228"/>
      <c r="K67" s="229"/>
      <c r="L67" s="230"/>
      <c r="M67" s="231"/>
      <c r="N67" s="232"/>
      <c r="O67" s="230"/>
      <c r="P67" s="231"/>
      <c r="Q67" s="232"/>
      <c r="R67" s="233"/>
      <c r="S67" s="234"/>
      <c r="T67" s="235"/>
      <c r="U67" s="233"/>
      <c r="V67" s="236"/>
      <c r="W67" s="234"/>
      <c r="X67" s="235"/>
      <c r="Y67" s="237"/>
      <c r="Z67" s="238"/>
    </row>
    <row r="68" spans="1:26" s="239" customFormat="1" ht="28.5" customHeight="1" x14ac:dyDescent="0.3">
      <c r="A68" s="222">
        <f t="shared" si="7"/>
        <v>0</v>
      </c>
      <c r="B68" s="223" t="b">
        <f t="shared" si="8"/>
        <v>1</v>
      </c>
      <c r="C68" s="222">
        <f t="shared" si="9"/>
        <v>0</v>
      </c>
      <c r="D68" s="205" t="str">
        <f t="shared" si="6"/>
        <v>$$$$</v>
      </c>
      <c r="E68" s="224"/>
      <c r="F68" s="225"/>
      <c r="G68" s="226"/>
      <c r="H68" s="227"/>
      <c r="I68" s="228"/>
      <c r="J68" s="228"/>
      <c r="K68" s="229"/>
      <c r="L68" s="230"/>
      <c r="M68" s="231"/>
      <c r="N68" s="232"/>
      <c r="O68" s="230"/>
      <c r="P68" s="231"/>
      <c r="Q68" s="232"/>
      <c r="R68" s="233"/>
      <c r="S68" s="234"/>
      <c r="T68" s="235"/>
      <c r="U68" s="233"/>
      <c r="V68" s="236"/>
      <c r="W68" s="234"/>
      <c r="X68" s="235"/>
      <c r="Y68" s="237"/>
      <c r="Z68" s="238"/>
    </row>
    <row r="69" spans="1:26" s="239" customFormat="1" ht="28.5" customHeight="1" x14ac:dyDescent="0.3">
      <c r="A69" s="222">
        <f t="shared" si="7"/>
        <v>0</v>
      </c>
      <c r="B69" s="223" t="b">
        <f t="shared" si="8"/>
        <v>1</v>
      </c>
      <c r="C69" s="222">
        <f t="shared" si="9"/>
        <v>0</v>
      </c>
      <c r="D69" s="205" t="str">
        <f t="shared" si="6"/>
        <v>$$$$</v>
      </c>
      <c r="E69" s="224"/>
      <c r="F69" s="225"/>
      <c r="G69" s="226"/>
      <c r="H69" s="227"/>
      <c r="I69" s="228"/>
      <c r="J69" s="228"/>
      <c r="K69" s="229"/>
      <c r="L69" s="230"/>
      <c r="M69" s="231"/>
      <c r="N69" s="232"/>
      <c r="O69" s="230"/>
      <c r="P69" s="231"/>
      <c r="Q69" s="232"/>
      <c r="R69" s="233"/>
      <c r="S69" s="234"/>
      <c r="T69" s="235"/>
      <c r="U69" s="233"/>
      <c r="V69" s="236"/>
      <c r="W69" s="234"/>
      <c r="X69" s="235"/>
      <c r="Y69" s="237"/>
      <c r="Z69" s="238"/>
    </row>
    <row r="70" spans="1:26" s="239" customFormat="1" ht="28.5" customHeight="1" x14ac:dyDescent="0.3">
      <c r="A70" s="222">
        <f t="shared" si="7"/>
        <v>0</v>
      </c>
      <c r="B70" s="223" t="b">
        <f t="shared" si="8"/>
        <v>1</v>
      </c>
      <c r="C70" s="222">
        <f t="shared" si="9"/>
        <v>0</v>
      </c>
      <c r="D70" s="205" t="str">
        <f t="shared" si="6"/>
        <v>$$$$</v>
      </c>
      <c r="E70" s="224"/>
      <c r="F70" s="225"/>
      <c r="G70" s="226"/>
      <c r="H70" s="227"/>
      <c r="I70" s="228"/>
      <c r="J70" s="228"/>
      <c r="K70" s="229"/>
      <c r="L70" s="230"/>
      <c r="M70" s="231"/>
      <c r="N70" s="232"/>
      <c r="O70" s="230"/>
      <c r="P70" s="231"/>
      <c r="Q70" s="232"/>
      <c r="R70" s="233"/>
      <c r="S70" s="234"/>
      <c r="T70" s="235"/>
      <c r="U70" s="233"/>
      <c r="V70" s="236"/>
      <c r="W70" s="234"/>
      <c r="X70" s="235"/>
      <c r="Y70" s="237"/>
      <c r="Z70" s="238"/>
    </row>
    <row r="71" spans="1:26" s="239" customFormat="1" ht="28.5" customHeight="1" x14ac:dyDescent="0.3">
      <c r="A71" s="222">
        <f t="shared" ref="A71:A102" si="10">IF(B71,0,MATCH(H71,ВидыНагр,0))</f>
        <v>0</v>
      </c>
      <c r="B71" s="223" t="b">
        <f t="shared" ref="B71:B102" si="11">(COUNTIF(КлючВесна,D71)&lt;&gt;1)</f>
        <v>1</v>
      </c>
      <c r="C71" s="222">
        <f t="shared" ref="C71:C102" si="12">IF(COUNTA(E71:K71,Z71)&gt;0,1,0)+IF(COUNTA(L71:Y71)&gt;0,2,0)</f>
        <v>0</v>
      </c>
      <c r="D71" s="205" t="str">
        <f t="shared" si="6"/>
        <v>$$$$</v>
      </c>
      <c r="E71" s="224"/>
      <c r="F71" s="225"/>
      <c r="G71" s="226"/>
      <c r="H71" s="227"/>
      <c r="I71" s="228"/>
      <c r="J71" s="228"/>
      <c r="K71" s="229"/>
      <c r="L71" s="230"/>
      <c r="M71" s="231"/>
      <c r="N71" s="232"/>
      <c r="O71" s="230"/>
      <c r="P71" s="231"/>
      <c r="Q71" s="232"/>
      <c r="R71" s="233"/>
      <c r="S71" s="234"/>
      <c r="T71" s="235"/>
      <c r="U71" s="233"/>
      <c r="V71" s="236"/>
      <c r="W71" s="234"/>
      <c r="X71" s="235"/>
      <c r="Y71" s="237"/>
      <c r="Z71" s="238"/>
    </row>
    <row r="72" spans="1:26" s="239" customFormat="1" ht="28.5" customHeight="1" x14ac:dyDescent="0.3">
      <c r="A72" s="222">
        <f t="shared" si="10"/>
        <v>0</v>
      </c>
      <c r="B72" s="223" t="b">
        <f t="shared" si="11"/>
        <v>1</v>
      </c>
      <c r="C72" s="222">
        <f t="shared" si="12"/>
        <v>0</v>
      </c>
      <c r="D72" s="205" t="str">
        <f t="shared" ref="D72:D159" si="13">CONCATENATE("$",TRIM(F72),"$",TRIM(G72),"$",H72,"$")</f>
        <v>$$$$</v>
      </c>
      <c r="E72" s="224"/>
      <c r="F72" s="225"/>
      <c r="G72" s="226"/>
      <c r="H72" s="227"/>
      <c r="I72" s="228"/>
      <c r="J72" s="228"/>
      <c r="K72" s="229"/>
      <c r="L72" s="230"/>
      <c r="M72" s="231"/>
      <c r="N72" s="232"/>
      <c r="O72" s="230"/>
      <c r="P72" s="231"/>
      <c r="Q72" s="232"/>
      <c r="R72" s="233"/>
      <c r="S72" s="234"/>
      <c r="T72" s="235"/>
      <c r="U72" s="233"/>
      <c r="V72" s="236"/>
      <c r="W72" s="234"/>
      <c r="X72" s="235"/>
      <c r="Y72" s="237"/>
      <c r="Z72" s="238"/>
    </row>
    <row r="73" spans="1:26" s="239" customFormat="1" ht="28.5" customHeight="1" x14ac:dyDescent="0.3">
      <c r="A73" s="222">
        <f t="shared" si="10"/>
        <v>0</v>
      </c>
      <c r="B73" s="223" t="b">
        <f t="shared" si="11"/>
        <v>1</v>
      </c>
      <c r="C73" s="222">
        <f t="shared" si="12"/>
        <v>0</v>
      </c>
      <c r="D73" s="205" t="str">
        <f t="shared" si="13"/>
        <v>$$$$</v>
      </c>
      <c r="E73" s="224"/>
      <c r="F73" s="225"/>
      <c r="G73" s="226"/>
      <c r="H73" s="227"/>
      <c r="I73" s="228"/>
      <c r="J73" s="228"/>
      <c r="K73" s="229"/>
      <c r="L73" s="230"/>
      <c r="M73" s="231"/>
      <c r="N73" s="232"/>
      <c r="O73" s="230"/>
      <c r="P73" s="231"/>
      <c r="Q73" s="232"/>
      <c r="R73" s="233"/>
      <c r="S73" s="234"/>
      <c r="T73" s="235"/>
      <c r="U73" s="233"/>
      <c r="V73" s="236"/>
      <c r="W73" s="234"/>
      <c r="X73" s="235"/>
      <c r="Y73" s="237"/>
      <c r="Z73" s="238"/>
    </row>
    <row r="74" spans="1:26" s="239" customFormat="1" ht="28.5" customHeight="1" x14ac:dyDescent="0.3">
      <c r="A74" s="222">
        <f t="shared" si="10"/>
        <v>0</v>
      </c>
      <c r="B74" s="223" t="b">
        <f t="shared" si="11"/>
        <v>1</v>
      </c>
      <c r="C74" s="222">
        <f t="shared" si="12"/>
        <v>0</v>
      </c>
      <c r="D74" s="205" t="str">
        <f t="shared" si="13"/>
        <v>$$$$</v>
      </c>
      <c r="E74" s="224"/>
      <c r="F74" s="225"/>
      <c r="G74" s="226"/>
      <c r="H74" s="227"/>
      <c r="I74" s="228"/>
      <c r="J74" s="228"/>
      <c r="K74" s="229"/>
      <c r="L74" s="230"/>
      <c r="M74" s="231"/>
      <c r="N74" s="232"/>
      <c r="O74" s="230"/>
      <c r="P74" s="231"/>
      <c r="Q74" s="232"/>
      <c r="R74" s="233"/>
      <c r="S74" s="234"/>
      <c r="T74" s="235"/>
      <c r="U74" s="233"/>
      <c r="V74" s="236"/>
      <c r="W74" s="234"/>
      <c r="X74" s="235"/>
      <c r="Y74" s="237"/>
      <c r="Z74" s="238"/>
    </row>
    <row r="75" spans="1:26" s="239" customFormat="1" ht="28.5" customHeight="1" x14ac:dyDescent="0.3">
      <c r="A75" s="222">
        <f t="shared" si="10"/>
        <v>0</v>
      </c>
      <c r="B75" s="223" t="b">
        <f t="shared" si="11"/>
        <v>1</v>
      </c>
      <c r="C75" s="222">
        <f t="shared" si="12"/>
        <v>0</v>
      </c>
      <c r="D75" s="205" t="str">
        <f t="shared" si="13"/>
        <v>$$$$</v>
      </c>
      <c r="E75" s="224"/>
      <c r="F75" s="225"/>
      <c r="G75" s="226"/>
      <c r="H75" s="227"/>
      <c r="I75" s="228"/>
      <c r="J75" s="228"/>
      <c r="K75" s="229"/>
      <c r="L75" s="230"/>
      <c r="M75" s="231"/>
      <c r="N75" s="232"/>
      <c r="O75" s="230"/>
      <c r="P75" s="231"/>
      <c r="Q75" s="232"/>
      <c r="R75" s="233"/>
      <c r="S75" s="234"/>
      <c r="T75" s="235"/>
      <c r="U75" s="233"/>
      <c r="V75" s="236"/>
      <c r="W75" s="234"/>
      <c r="X75" s="235"/>
      <c r="Y75" s="237"/>
      <c r="Z75" s="238"/>
    </row>
    <row r="76" spans="1:26" s="239" customFormat="1" ht="28.5" customHeight="1" x14ac:dyDescent="0.3">
      <c r="A76" s="222">
        <f t="shared" si="10"/>
        <v>0</v>
      </c>
      <c r="B76" s="223" t="b">
        <f t="shared" si="11"/>
        <v>1</v>
      </c>
      <c r="C76" s="222">
        <f t="shared" si="12"/>
        <v>0</v>
      </c>
      <c r="D76" s="205" t="str">
        <f t="shared" si="13"/>
        <v>$$$$</v>
      </c>
      <c r="E76" s="224"/>
      <c r="F76" s="225"/>
      <c r="G76" s="226"/>
      <c r="H76" s="227"/>
      <c r="I76" s="228"/>
      <c r="J76" s="228"/>
      <c r="K76" s="229"/>
      <c r="L76" s="230"/>
      <c r="M76" s="231"/>
      <c r="N76" s="232"/>
      <c r="O76" s="230"/>
      <c r="P76" s="231"/>
      <c r="Q76" s="232"/>
      <c r="R76" s="233"/>
      <c r="S76" s="234"/>
      <c r="T76" s="235"/>
      <c r="U76" s="233"/>
      <c r="V76" s="236"/>
      <c r="W76" s="234"/>
      <c r="X76" s="235"/>
      <c r="Y76" s="237"/>
      <c r="Z76" s="238"/>
    </row>
    <row r="77" spans="1:26" s="239" customFormat="1" ht="28.5" customHeight="1" x14ac:dyDescent="0.3">
      <c r="A77" s="222">
        <f t="shared" si="10"/>
        <v>0</v>
      </c>
      <c r="B77" s="223" t="b">
        <f t="shared" si="11"/>
        <v>1</v>
      </c>
      <c r="C77" s="222">
        <f t="shared" si="12"/>
        <v>0</v>
      </c>
      <c r="D77" s="205" t="str">
        <f t="shared" si="13"/>
        <v>$$$$</v>
      </c>
      <c r="E77" s="224"/>
      <c r="F77" s="225"/>
      <c r="G77" s="226"/>
      <c r="H77" s="227"/>
      <c r="I77" s="228"/>
      <c r="J77" s="228"/>
      <c r="K77" s="229"/>
      <c r="L77" s="230"/>
      <c r="M77" s="231"/>
      <c r="N77" s="232"/>
      <c r="O77" s="230"/>
      <c r="P77" s="231"/>
      <c r="Q77" s="232"/>
      <c r="R77" s="233"/>
      <c r="S77" s="234"/>
      <c r="T77" s="235"/>
      <c r="U77" s="233"/>
      <c r="V77" s="236"/>
      <c r="W77" s="234"/>
      <c r="X77" s="235"/>
      <c r="Y77" s="237"/>
      <c r="Z77" s="238"/>
    </row>
    <row r="78" spans="1:26" s="239" customFormat="1" ht="28.5" customHeight="1" x14ac:dyDescent="0.3">
      <c r="A78" s="222">
        <f t="shared" si="10"/>
        <v>0</v>
      </c>
      <c r="B78" s="223" t="b">
        <f t="shared" si="11"/>
        <v>1</v>
      </c>
      <c r="C78" s="222">
        <f t="shared" si="12"/>
        <v>0</v>
      </c>
      <c r="D78" s="205" t="str">
        <f t="shared" si="13"/>
        <v>$$$$</v>
      </c>
      <c r="E78" s="224"/>
      <c r="F78" s="225"/>
      <c r="G78" s="226"/>
      <c r="H78" s="227"/>
      <c r="I78" s="228"/>
      <c r="J78" s="228"/>
      <c r="K78" s="229"/>
      <c r="L78" s="230"/>
      <c r="M78" s="231"/>
      <c r="N78" s="232"/>
      <c r="O78" s="230"/>
      <c r="P78" s="231"/>
      <c r="Q78" s="232"/>
      <c r="R78" s="233"/>
      <c r="S78" s="234"/>
      <c r="T78" s="235"/>
      <c r="U78" s="233"/>
      <c r="V78" s="236"/>
      <c r="W78" s="234"/>
      <c r="X78" s="235"/>
      <c r="Y78" s="237"/>
      <c r="Z78" s="238"/>
    </row>
    <row r="79" spans="1:26" s="239" customFormat="1" ht="28.5" customHeight="1" x14ac:dyDescent="0.3">
      <c r="A79" s="222">
        <f t="shared" si="10"/>
        <v>0</v>
      </c>
      <c r="B79" s="223" t="b">
        <f t="shared" si="11"/>
        <v>1</v>
      </c>
      <c r="C79" s="222">
        <f t="shared" si="12"/>
        <v>0</v>
      </c>
      <c r="D79" s="205" t="str">
        <f t="shared" si="13"/>
        <v>$$$$</v>
      </c>
      <c r="E79" s="224"/>
      <c r="F79" s="225"/>
      <c r="G79" s="226"/>
      <c r="H79" s="227"/>
      <c r="I79" s="228"/>
      <c r="J79" s="228"/>
      <c r="K79" s="229"/>
      <c r="L79" s="230"/>
      <c r="M79" s="231"/>
      <c r="N79" s="232"/>
      <c r="O79" s="230"/>
      <c r="P79" s="231"/>
      <c r="Q79" s="232"/>
      <c r="R79" s="233"/>
      <c r="S79" s="234"/>
      <c r="T79" s="235"/>
      <c r="U79" s="233"/>
      <c r="V79" s="236"/>
      <c r="W79" s="234"/>
      <c r="X79" s="235"/>
      <c r="Y79" s="237"/>
      <c r="Z79" s="238"/>
    </row>
    <row r="80" spans="1:26" s="239" customFormat="1" ht="28.5" customHeight="1" x14ac:dyDescent="0.3">
      <c r="A80" s="222">
        <f t="shared" si="10"/>
        <v>0</v>
      </c>
      <c r="B80" s="223" t="b">
        <f t="shared" si="11"/>
        <v>1</v>
      </c>
      <c r="C80" s="222">
        <f t="shared" si="12"/>
        <v>0</v>
      </c>
      <c r="D80" s="205" t="str">
        <f t="shared" si="13"/>
        <v>$$$$</v>
      </c>
      <c r="E80" s="224"/>
      <c r="F80" s="225"/>
      <c r="G80" s="226"/>
      <c r="H80" s="227"/>
      <c r="I80" s="228"/>
      <c r="J80" s="228"/>
      <c r="K80" s="229"/>
      <c r="L80" s="230"/>
      <c r="M80" s="231"/>
      <c r="N80" s="232"/>
      <c r="O80" s="230"/>
      <c r="P80" s="231"/>
      <c r="Q80" s="232"/>
      <c r="R80" s="233"/>
      <c r="S80" s="234"/>
      <c r="T80" s="235"/>
      <c r="U80" s="233"/>
      <c r="V80" s="236"/>
      <c r="W80" s="234"/>
      <c r="X80" s="235"/>
      <c r="Y80" s="237"/>
      <c r="Z80" s="238"/>
    </row>
    <row r="81" spans="1:26" s="239" customFormat="1" ht="28.5" customHeight="1" x14ac:dyDescent="0.3">
      <c r="A81" s="222">
        <f t="shared" si="10"/>
        <v>0</v>
      </c>
      <c r="B81" s="223" t="b">
        <f t="shared" si="11"/>
        <v>1</v>
      </c>
      <c r="C81" s="222">
        <f t="shared" si="12"/>
        <v>0</v>
      </c>
      <c r="D81" s="205" t="str">
        <f t="shared" si="13"/>
        <v>$$$$</v>
      </c>
      <c r="E81" s="224"/>
      <c r="F81" s="225"/>
      <c r="G81" s="226"/>
      <c r="H81" s="227"/>
      <c r="I81" s="228"/>
      <c r="J81" s="228"/>
      <c r="K81" s="229"/>
      <c r="L81" s="230"/>
      <c r="M81" s="231"/>
      <c r="N81" s="232"/>
      <c r="O81" s="230"/>
      <c r="P81" s="231"/>
      <c r="Q81" s="232"/>
      <c r="R81" s="233"/>
      <c r="S81" s="234"/>
      <c r="T81" s="235"/>
      <c r="U81" s="233"/>
      <c r="V81" s="236"/>
      <c r="W81" s="234"/>
      <c r="X81" s="235"/>
      <c r="Y81" s="237"/>
      <c r="Z81" s="238"/>
    </row>
    <row r="82" spans="1:26" s="239" customFormat="1" ht="28.5" customHeight="1" x14ac:dyDescent="0.3">
      <c r="A82" s="222">
        <f t="shared" si="10"/>
        <v>0</v>
      </c>
      <c r="B82" s="223" t="b">
        <f t="shared" si="11"/>
        <v>1</v>
      </c>
      <c r="C82" s="222">
        <f t="shared" si="12"/>
        <v>0</v>
      </c>
      <c r="D82" s="205" t="str">
        <f t="shared" si="13"/>
        <v>$$$$</v>
      </c>
      <c r="E82" s="224"/>
      <c r="F82" s="225"/>
      <c r="G82" s="226"/>
      <c r="H82" s="227"/>
      <c r="I82" s="228"/>
      <c r="J82" s="228"/>
      <c r="K82" s="229"/>
      <c r="L82" s="230"/>
      <c r="M82" s="231"/>
      <c r="N82" s="232"/>
      <c r="O82" s="230"/>
      <c r="P82" s="231"/>
      <c r="Q82" s="232"/>
      <c r="R82" s="233"/>
      <c r="S82" s="234"/>
      <c r="T82" s="235"/>
      <c r="U82" s="233"/>
      <c r="V82" s="236"/>
      <c r="W82" s="234"/>
      <c r="X82" s="235"/>
      <c r="Y82" s="237"/>
      <c r="Z82" s="238"/>
    </row>
    <row r="83" spans="1:26" s="239" customFormat="1" ht="28.5" customHeight="1" x14ac:dyDescent="0.3">
      <c r="A83" s="222">
        <f t="shared" si="10"/>
        <v>0</v>
      </c>
      <c r="B83" s="223" t="b">
        <f t="shared" si="11"/>
        <v>1</v>
      </c>
      <c r="C83" s="222">
        <f t="shared" si="12"/>
        <v>0</v>
      </c>
      <c r="D83" s="205" t="str">
        <f t="shared" si="13"/>
        <v>$$$$</v>
      </c>
      <c r="E83" s="224"/>
      <c r="F83" s="225"/>
      <c r="G83" s="226"/>
      <c r="H83" s="227"/>
      <c r="I83" s="228"/>
      <c r="J83" s="228"/>
      <c r="K83" s="229"/>
      <c r="L83" s="230"/>
      <c r="M83" s="231"/>
      <c r="N83" s="232"/>
      <c r="O83" s="230"/>
      <c r="P83" s="231"/>
      <c r="Q83" s="232"/>
      <c r="R83" s="233"/>
      <c r="S83" s="234"/>
      <c r="T83" s="235"/>
      <c r="U83" s="233"/>
      <c r="V83" s="236"/>
      <c r="W83" s="234"/>
      <c r="X83" s="235"/>
      <c r="Y83" s="237"/>
      <c r="Z83" s="238"/>
    </row>
    <row r="84" spans="1:26" s="239" customFormat="1" ht="28.5" customHeight="1" x14ac:dyDescent="0.3">
      <c r="A84" s="222">
        <f t="shared" si="10"/>
        <v>0</v>
      </c>
      <c r="B84" s="223" t="b">
        <f t="shared" si="11"/>
        <v>1</v>
      </c>
      <c r="C84" s="222">
        <f t="shared" si="12"/>
        <v>0</v>
      </c>
      <c r="D84" s="205" t="str">
        <f t="shared" si="13"/>
        <v>$$$$</v>
      </c>
      <c r="E84" s="224"/>
      <c r="F84" s="225"/>
      <c r="G84" s="226"/>
      <c r="H84" s="227"/>
      <c r="I84" s="228"/>
      <c r="J84" s="228"/>
      <c r="K84" s="229"/>
      <c r="L84" s="230"/>
      <c r="M84" s="231"/>
      <c r="N84" s="232"/>
      <c r="O84" s="230"/>
      <c r="P84" s="231"/>
      <c r="Q84" s="232"/>
      <c r="R84" s="233"/>
      <c r="S84" s="234"/>
      <c r="T84" s="235"/>
      <c r="U84" s="233"/>
      <c r="V84" s="236"/>
      <c r="W84" s="234"/>
      <c r="X84" s="235"/>
      <c r="Y84" s="237"/>
      <c r="Z84" s="238"/>
    </row>
    <row r="85" spans="1:26" s="239" customFormat="1" ht="28.5" customHeight="1" x14ac:dyDescent="0.3">
      <c r="A85" s="222">
        <f t="shared" si="10"/>
        <v>0</v>
      </c>
      <c r="B85" s="223" t="b">
        <f t="shared" si="11"/>
        <v>1</v>
      </c>
      <c r="C85" s="222">
        <f t="shared" si="12"/>
        <v>0</v>
      </c>
      <c r="D85" s="205" t="str">
        <f t="shared" si="13"/>
        <v>$$$$</v>
      </c>
      <c r="E85" s="224"/>
      <c r="F85" s="225"/>
      <c r="G85" s="226"/>
      <c r="H85" s="227"/>
      <c r="I85" s="228"/>
      <c r="J85" s="228"/>
      <c r="K85" s="229"/>
      <c r="L85" s="230"/>
      <c r="M85" s="231"/>
      <c r="N85" s="232"/>
      <c r="O85" s="230"/>
      <c r="P85" s="231"/>
      <c r="Q85" s="232"/>
      <c r="R85" s="233"/>
      <c r="S85" s="234"/>
      <c r="T85" s="235"/>
      <c r="U85" s="233"/>
      <c r="V85" s="236"/>
      <c r="W85" s="234"/>
      <c r="X85" s="235"/>
      <c r="Y85" s="237"/>
      <c r="Z85" s="238"/>
    </row>
    <row r="86" spans="1:26" s="239" customFormat="1" ht="28.5" customHeight="1" x14ac:dyDescent="0.3">
      <c r="A86" s="222">
        <f t="shared" si="10"/>
        <v>0</v>
      </c>
      <c r="B86" s="223" t="b">
        <f t="shared" si="11"/>
        <v>1</v>
      </c>
      <c r="C86" s="222">
        <f t="shared" si="12"/>
        <v>0</v>
      </c>
      <c r="D86" s="205" t="str">
        <f t="shared" si="13"/>
        <v>$$$$</v>
      </c>
      <c r="E86" s="224"/>
      <c r="F86" s="225"/>
      <c r="G86" s="226"/>
      <c r="H86" s="227"/>
      <c r="I86" s="228"/>
      <c r="J86" s="228"/>
      <c r="K86" s="229"/>
      <c r="L86" s="230"/>
      <c r="M86" s="231"/>
      <c r="N86" s="232"/>
      <c r="O86" s="230"/>
      <c r="P86" s="231"/>
      <c r="Q86" s="232"/>
      <c r="R86" s="233"/>
      <c r="S86" s="234"/>
      <c r="T86" s="235"/>
      <c r="U86" s="233"/>
      <c r="V86" s="236"/>
      <c r="W86" s="234"/>
      <c r="X86" s="235"/>
      <c r="Y86" s="237"/>
      <c r="Z86" s="238"/>
    </row>
    <row r="87" spans="1:26" s="239" customFormat="1" ht="28.5" customHeight="1" x14ac:dyDescent="0.3">
      <c r="A87" s="222">
        <f t="shared" si="10"/>
        <v>0</v>
      </c>
      <c r="B87" s="223" t="b">
        <f t="shared" si="11"/>
        <v>1</v>
      </c>
      <c r="C87" s="222">
        <f t="shared" si="12"/>
        <v>0</v>
      </c>
      <c r="D87" s="205" t="str">
        <f t="shared" si="13"/>
        <v>$$$$</v>
      </c>
      <c r="E87" s="224"/>
      <c r="F87" s="225"/>
      <c r="G87" s="226"/>
      <c r="H87" s="227"/>
      <c r="I87" s="228"/>
      <c r="J87" s="228"/>
      <c r="K87" s="229"/>
      <c r="L87" s="230"/>
      <c r="M87" s="231"/>
      <c r="N87" s="232"/>
      <c r="O87" s="230"/>
      <c r="P87" s="231"/>
      <c r="Q87" s="232"/>
      <c r="R87" s="233"/>
      <c r="S87" s="234"/>
      <c r="T87" s="235"/>
      <c r="U87" s="233"/>
      <c r="V87" s="236"/>
      <c r="W87" s="234"/>
      <c r="X87" s="235"/>
      <c r="Y87" s="237"/>
      <c r="Z87" s="238"/>
    </row>
    <row r="88" spans="1:26" s="239" customFormat="1" ht="28.5" customHeight="1" x14ac:dyDescent="0.3">
      <c r="A88" s="222">
        <f t="shared" si="10"/>
        <v>0</v>
      </c>
      <c r="B88" s="223" t="b">
        <f t="shared" si="11"/>
        <v>1</v>
      </c>
      <c r="C88" s="222">
        <f t="shared" si="12"/>
        <v>0</v>
      </c>
      <c r="D88" s="205" t="str">
        <f t="shared" si="13"/>
        <v>$$$$</v>
      </c>
      <c r="E88" s="224"/>
      <c r="F88" s="225"/>
      <c r="G88" s="226"/>
      <c r="H88" s="227"/>
      <c r="I88" s="228"/>
      <c r="J88" s="228"/>
      <c r="K88" s="229"/>
      <c r="L88" s="230"/>
      <c r="M88" s="231"/>
      <c r="N88" s="232"/>
      <c r="O88" s="230"/>
      <c r="P88" s="231"/>
      <c r="Q88" s="232"/>
      <c r="R88" s="233"/>
      <c r="S88" s="234"/>
      <c r="T88" s="235"/>
      <c r="U88" s="233"/>
      <c r="V88" s="236"/>
      <c r="W88" s="234"/>
      <c r="X88" s="235"/>
      <c r="Y88" s="237"/>
      <c r="Z88" s="238"/>
    </row>
    <row r="89" spans="1:26" s="239" customFormat="1" ht="28.5" customHeight="1" x14ac:dyDescent="0.3">
      <c r="A89" s="222">
        <f t="shared" si="10"/>
        <v>0</v>
      </c>
      <c r="B89" s="223" t="b">
        <f t="shared" si="11"/>
        <v>1</v>
      </c>
      <c r="C89" s="222">
        <f t="shared" si="12"/>
        <v>0</v>
      </c>
      <c r="D89" s="205" t="str">
        <f t="shared" si="13"/>
        <v>$$$$</v>
      </c>
      <c r="E89" s="224"/>
      <c r="F89" s="225"/>
      <c r="G89" s="226"/>
      <c r="H89" s="227"/>
      <c r="I89" s="228"/>
      <c r="J89" s="228"/>
      <c r="K89" s="229"/>
      <c r="L89" s="230"/>
      <c r="M89" s="231"/>
      <c r="N89" s="232"/>
      <c r="O89" s="230"/>
      <c r="P89" s="231"/>
      <c r="Q89" s="232"/>
      <c r="R89" s="233"/>
      <c r="S89" s="234"/>
      <c r="T89" s="235"/>
      <c r="U89" s="233"/>
      <c r="V89" s="236"/>
      <c r="W89" s="234"/>
      <c r="X89" s="235"/>
      <c r="Y89" s="237"/>
      <c r="Z89" s="238"/>
    </row>
    <row r="90" spans="1:26" s="239" customFormat="1" ht="28.5" customHeight="1" x14ac:dyDescent="0.3">
      <c r="A90" s="222">
        <f t="shared" si="10"/>
        <v>0</v>
      </c>
      <c r="B90" s="223" t="b">
        <f t="shared" si="11"/>
        <v>1</v>
      </c>
      <c r="C90" s="222">
        <f t="shared" si="12"/>
        <v>0</v>
      </c>
      <c r="D90" s="205" t="str">
        <f t="shared" si="13"/>
        <v>$$$$</v>
      </c>
      <c r="E90" s="224"/>
      <c r="F90" s="225"/>
      <c r="G90" s="226"/>
      <c r="H90" s="227"/>
      <c r="I90" s="228"/>
      <c r="J90" s="228"/>
      <c r="K90" s="229"/>
      <c r="L90" s="230"/>
      <c r="M90" s="231"/>
      <c r="N90" s="232"/>
      <c r="O90" s="230"/>
      <c r="P90" s="231"/>
      <c r="Q90" s="232"/>
      <c r="R90" s="233"/>
      <c r="S90" s="234"/>
      <c r="T90" s="235"/>
      <c r="U90" s="233"/>
      <c r="V90" s="236"/>
      <c r="W90" s="234"/>
      <c r="X90" s="235"/>
      <c r="Y90" s="237"/>
      <c r="Z90" s="238"/>
    </row>
    <row r="91" spans="1:26" s="239" customFormat="1" ht="28.5" customHeight="1" x14ac:dyDescent="0.3">
      <c r="A91" s="222">
        <f t="shared" si="10"/>
        <v>0</v>
      </c>
      <c r="B91" s="223" t="b">
        <f t="shared" si="11"/>
        <v>1</v>
      </c>
      <c r="C91" s="222">
        <f t="shared" si="12"/>
        <v>0</v>
      </c>
      <c r="D91" s="205" t="str">
        <f t="shared" si="13"/>
        <v>$$$$</v>
      </c>
      <c r="E91" s="224"/>
      <c r="F91" s="225"/>
      <c r="G91" s="226"/>
      <c r="H91" s="227"/>
      <c r="I91" s="228"/>
      <c r="J91" s="228"/>
      <c r="K91" s="229"/>
      <c r="L91" s="230"/>
      <c r="M91" s="231"/>
      <c r="N91" s="232"/>
      <c r="O91" s="230"/>
      <c r="P91" s="231"/>
      <c r="Q91" s="232"/>
      <c r="R91" s="233"/>
      <c r="S91" s="234"/>
      <c r="T91" s="235"/>
      <c r="U91" s="233"/>
      <c r="V91" s="236"/>
      <c r="W91" s="234"/>
      <c r="X91" s="235"/>
      <c r="Y91" s="237"/>
      <c r="Z91" s="238"/>
    </row>
    <row r="92" spans="1:26" s="239" customFormat="1" ht="28.5" customHeight="1" x14ac:dyDescent="0.3">
      <c r="A92" s="222">
        <f t="shared" si="10"/>
        <v>0</v>
      </c>
      <c r="B92" s="223" t="b">
        <f t="shared" si="11"/>
        <v>1</v>
      </c>
      <c r="C92" s="222">
        <f t="shared" si="12"/>
        <v>0</v>
      </c>
      <c r="D92" s="205" t="str">
        <f t="shared" si="13"/>
        <v>$$$$</v>
      </c>
      <c r="E92" s="224"/>
      <c r="F92" s="225"/>
      <c r="G92" s="226"/>
      <c r="H92" s="227"/>
      <c r="I92" s="228"/>
      <c r="J92" s="228"/>
      <c r="K92" s="229"/>
      <c r="L92" s="230"/>
      <c r="M92" s="231"/>
      <c r="N92" s="232"/>
      <c r="O92" s="230"/>
      <c r="P92" s="231"/>
      <c r="Q92" s="232"/>
      <c r="R92" s="233"/>
      <c r="S92" s="234"/>
      <c r="T92" s="235"/>
      <c r="U92" s="233"/>
      <c r="V92" s="236"/>
      <c r="W92" s="234"/>
      <c r="X92" s="235"/>
      <c r="Y92" s="237"/>
      <c r="Z92" s="238"/>
    </row>
    <row r="93" spans="1:26" s="239" customFormat="1" ht="28.5" customHeight="1" x14ac:dyDescent="0.3">
      <c r="A93" s="222">
        <f t="shared" si="10"/>
        <v>0</v>
      </c>
      <c r="B93" s="223" t="b">
        <f t="shared" si="11"/>
        <v>1</v>
      </c>
      <c r="C93" s="222">
        <f t="shared" si="12"/>
        <v>0</v>
      </c>
      <c r="D93" s="205" t="str">
        <f t="shared" si="13"/>
        <v>$$$$</v>
      </c>
      <c r="E93" s="224"/>
      <c r="F93" s="225"/>
      <c r="G93" s="226"/>
      <c r="H93" s="227"/>
      <c r="I93" s="228"/>
      <c r="J93" s="228"/>
      <c r="K93" s="229"/>
      <c r="L93" s="230"/>
      <c r="M93" s="231"/>
      <c r="N93" s="232"/>
      <c r="O93" s="230"/>
      <c r="P93" s="231"/>
      <c r="Q93" s="232"/>
      <c r="R93" s="233"/>
      <c r="S93" s="234"/>
      <c r="T93" s="235"/>
      <c r="U93" s="233"/>
      <c r="V93" s="236"/>
      <c r="W93" s="234"/>
      <c r="X93" s="235"/>
      <c r="Y93" s="237"/>
      <c r="Z93" s="238"/>
    </row>
    <row r="94" spans="1:26" s="239" customFormat="1" ht="28.5" customHeight="1" x14ac:dyDescent="0.3">
      <c r="A94" s="222">
        <f t="shared" si="10"/>
        <v>0</v>
      </c>
      <c r="B94" s="223" t="b">
        <f t="shared" si="11"/>
        <v>1</v>
      </c>
      <c r="C94" s="222">
        <f t="shared" si="12"/>
        <v>0</v>
      </c>
      <c r="D94" s="205" t="str">
        <f t="shared" si="13"/>
        <v>$$$$</v>
      </c>
      <c r="E94" s="224"/>
      <c r="F94" s="225"/>
      <c r="G94" s="226"/>
      <c r="H94" s="227"/>
      <c r="I94" s="228"/>
      <c r="J94" s="228"/>
      <c r="K94" s="229"/>
      <c r="L94" s="230"/>
      <c r="M94" s="231"/>
      <c r="N94" s="232"/>
      <c r="O94" s="230"/>
      <c r="P94" s="231"/>
      <c r="Q94" s="232"/>
      <c r="R94" s="233"/>
      <c r="S94" s="234"/>
      <c r="T94" s="235"/>
      <c r="U94" s="233"/>
      <c r="V94" s="236"/>
      <c r="W94" s="234"/>
      <c r="X94" s="235"/>
      <c r="Y94" s="237"/>
      <c r="Z94" s="238"/>
    </row>
    <row r="95" spans="1:26" s="239" customFormat="1" ht="28.5" customHeight="1" x14ac:dyDescent="0.3">
      <c r="A95" s="222">
        <f t="shared" si="10"/>
        <v>0</v>
      </c>
      <c r="B95" s="223" t="b">
        <f t="shared" si="11"/>
        <v>1</v>
      </c>
      <c r="C95" s="222">
        <f t="shared" si="12"/>
        <v>0</v>
      </c>
      <c r="D95" s="205" t="str">
        <f t="shared" si="13"/>
        <v>$$$$</v>
      </c>
      <c r="E95" s="224"/>
      <c r="F95" s="225"/>
      <c r="G95" s="226"/>
      <c r="H95" s="227"/>
      <c r="I95" s="228"/>
      <c r="J95" s="228"/>
      <c r="K95" s="229"/>
      <c r="L95" s="230"/>
      <c r="M95" s="231"/>
      <c r="N95" s="232"/>
      <c r="O95" s="230"/>
      <c r="P95" s="231"/>
      <c r="Q95" s="232"/>
      <c r="R95" s="233"/>
      <c r="S95" s="234"/>
      <c r="T95" s="235"/>
      <c r="U95" s="233"/>
      <c r="V95" s="236"/>
      <c r="W95" s="234"/>
      <c r="X95" s="235"/>
      <c r="Y95" s="237"/>
      <c r="Z95" s="238"/>
    </row>
    <row r="96" spans="1:26" s="239" customFormat="1" ht="28.5" customHeight="1" x14ac:dyDescent="0.3">
      <c r="A96" s="222">
        <f t="shared" si="10"/>
        <v>0</v>
      </c>
      <c r="B96" s="223" t="b">
        <f t="shared" si="11"/>
        <v>1</v>
      </c>
      <c r="C96" s="222">
        <f t="shared" si="12"/>
        <v>0</v>
      </c>
      <c r="D96" s="205" t="str">
        <f t="shared" si="13"/>
        <v>$$$$</v>
      </c>
      <c r="E96" s="224"/>
      <c r="F96" s="225"/>
      <c r="G96" s="226"/>
      <c r="H96" s="227"/>
      <c r="I96" s="228"/>
      <c r="J96" s="228"/>
      <c r="K96" s="229"/>
      <c r="L96" s="230"/>
      <c r="M96" s="231"/>
      <c r="N96" s="232"/>
      <c r="O96" s="230"/>
      <c r="P96" s="231"/>
      <c r="Q96" s="232"/>
      <c r="R96" s="233"/>
      <c r="S96" s="234"/>
      <c r="T96" s="235"/>
      <c r="U96" s="233"/>
      <c r="V96" s="236"/>
      <c r="W96" s="234"/>
      <c r="X96" s="235"/>
      <c r="Y96" s="237"/>
      <c r="Z96" s="238"/>
    </row>
    <row r="97" spans="1:26" s="239" customFormat="1" ht="28.5" customHeight="1" x14ac:dyDescent="0.3">
      <c r="A97" s="222">
        <f t="shared" si="10"/>
        <v>0</v>
      </c>
      <c r="B97" s="223" t="b">
        <f t="shared" si="11"/>
        <v>1</v>
      </c>
      <c r="C97" s="222">
        <f t="shared" si="12"/>
        <v>0</v>
      </c>
      <c r="D97" s="205" t="str">
        <f t="shared" si="13"/>
        <v>$$$$</v>
      </c>
      <c r="E97" s="224"/>
      <c r="F97" s="225"/>
      <c r="G97" s="226"/>
      <c r="H97" s="227"/>
      <c r="I97" s="228"/>
      <c r="J97" s="228"/>
      <c r="K97" s="229"/>
      <c r="L97" s="230"/>
      <c r="M97" s="231"/>
      <c r="N97" s="232"/>
      <c r="O97" s="230"/>
      <c r="P97" s="231"/>
      <c r="Q97" s="232"/>
      <c r="R97" s="233"/>
      <c r="S97" s="234"/>
      <c r="T97" s="235"/>
      <c r="U97" s="233"/>
      <c r="V97" s="236"/>
      <c r="W97" s="234"/>
      <c r="X97" s="235"/>
      <c r="Y97" s="237"/>
      <c r="Z97" s="238"/>
    </row>
    <row r="98" spans="1:26" s="239" customFormat="1" ht="28.5" customHeight="1" x14ac:dyDescent="0.3">
      <c r="A98" s="222">
        <f t="shared" si="10"/>
        <v>0</v>
      </c>
      <c r="B98" s="223" t="b">
        <f t="shared" si="11"/>
        <v>1</v>
      </c>
      <c r="C98" s="222">
        <f t="shared" si="12"/>
        <v>0</v>
      </c>
      <c r="D98" s="205" t="str">
        <f t="shared" si="13"/>
        <v>$$$$</v>
      </c>
      <c r="E98" s="224"/>
      <c r="F98" s="225"/>
      <c r="G98" s="226"/>
      <c r="H98" s="227"/>
      <c r="I98" s="228"/>
      <c r="J98" s="228"/>
      <c r="K98" s="229"/>
      <c r="L98" s="230"/>
      <c r="M98" s="231"/>
      <c r="N98" s="232"/>
      <c r="O98" s="230"/>
      <c r="P98" s="231"/>
      <c r="Q98" s="232"/>
      <c r="R98" s="233"/>
      <c r="S98" s="234"/>
      <c r="T98" s="235"/>
      <c r="U98" s="233"/>
      <c r="V98" s="236"/>
      <c r="W98" s="234"/>
      <c r="X98" s="235"/>
      <c r="Y98" s="237"/>
      <c r="Z98" s="238"/>
    </row>
    <row r="99" spans="1:26" s="239" customFormat="1" ht="28.5" customHeight="1" x14ac:dyDescent="0.3">
      <c r="A99" s="222">
        <f t="shared" si="10"/>
        <v>0</v>
      </c>
      <c r="B99" s="223" t="b">
        <f t="shared" si="11"/>
        <v>1</v>
      </c>
      <c r="C99" s="222">
        <f t="shared" si="12"/>
        <v>0</v>
      </c>
      <c r="D99" s="205" t="str">
        <f t="shared" si="13"/>
        <v>$$$$</v>
      </c>
      <c r="E99" s="224"/>
      <c r="F99" s="225"/>
      <c r="G99" s="226"/>
      <c r="H99" s="227"/>
      <c r="I99" s="228"/>
      <c r="J99" s="228"/>
      <c r="K99" s="229"/>
      <c r="L99" s="230"/>
      <c r="M99" s="231"/>
      <c r="N99" s="232"/>
      <c r="O99" s="230"/>
      <c r="P99" s="231"/>
      <c r="Q99" s="232"/>
      <c r="R99" s="233"/>
      <c r="S99" s="234"/>
      <c r="T99" s="235"/>
      <c r="U99" s="233"/>
      <c r="V99" s="236"/>
      <c r="W99" s="234"/>
      <c r="X99" s="235"/>
      <c r="Y99" s="237"/>
      <c r="Z99" s="238"/>
    </row>
    <row r="100" spans="1:26" s="239" customFormat="1" ht="28.5" customHeight="1" x14ac:dyDescent="0.3">
      <c r="A100" s="222">
        <f t="shared" si="10"/>
        <v>0</v>
      </c>
      <c r="B100" s="223" t="b">
        <f t="shared" si="11"/>
        <v>1</v>
      </c>
      <c r="C100" s="222">
        <f t="shared" si="12"/>
        <v>0</v>
      </c>
      <c r="D100" s="205" t="str">
        <f t="shared" si="13"/>
        <v>$$$$</v>
      </c>
      <c r="E100" s="224"/>
      <c r="F100" s="225"/>
      <c r="G100" s="226"/>
      <c r="H100" s="227"/>
      <c r="I100" s="228"/>
      <c r="J100" s="228"/>
      <c r="K100" s="229"/>
      <c r="L100" s="230"/>
      <c r="M100" s="231"/>
      <c r="N100" s="232"/>
      <c r="O100" s="230"/>
      <c r="P100" s="231"/>
      <c r="Q100" s="232"/>
      <c r="R100" s="233"/>
      <c r="S100" s="234"/>
      <c r="T100" s="235"/>
      <c r="U100" s="233"/>
      <c r="V100" s="236"/>
      <c r="W100" s="234"/>
      <c r="X100" s="235"/>
      <c r="Y100" s="237"/>
      <c r="Z100" s="238"/>
    </row>
    <row r="101" spans="1:26" s="239" customFormat="1" ht="28.5" customHeight="1" x14ac:dyDescent="0.3">
      <c r="A101" s="222">
        <f t="shared" si="10"/>
        <v>0</v>
      </c>
      <c r="B101" s="223" t="b">
        <f t="shared" si="11"/>
        <v>1</v>
      </c>
      <c r="C101" s="222">
        <f t="shared" si="12"/>
        <v>0</v>
      </c>
      <c r="D101" s="205" t="str">
        <f t="shared" si="13"/>
        <v>$$$$</v>
      </c>
      <c r="E101" s="224"/>
      <c r="F101" s="225"/>
      <c r="G101" s="226"/>
      <c r="H101" s="227"/>
      <c r="I101" s="228"/>
      <c r="J101" s="228"/>
      <c r="K101" s="229"/>
      <c r="L101" s="230"/>
      <c r="M101" s="231"/>
      <c r="N101" s="232"/>
      <c r="O101" s="230"/>
      <c r="P101" s="231"/>
      <c r="Q101" s="232"/>
      <c r="R101" s="233"/>
      <c r="S101" s="234"/>
      <c r="T101" s="235"/>
      <c r="U101" s="233"/>
      <c r="V101" s="236"/>
      <c r="W101" s="234"/>
      <c r="X101" s="235"/>
      <c r="Y101" s="237"/>
      <c r="Z101" s="238"/>
    </row>
    <row r="102" spans="1:26" s="239" customFormat="1" ht="28.5" customHeight="1" x14ac:dyDescent="0.3">
      <c r="A102" s="222">
        <f t="shared" si="10"/>
        <v>0</v>
      </c>
      <c r="B102" s="223" t="b">
        <f t="shared" si="11"/>
        <v>1</v>
      </c>
      <c r="C102" s="222">
        <f t="shared" si="12"/>
        <v>0</v>
      </c>
      <c r="D102" s="205" t="str">
        <f t="shared" si="13"/>
        <v>$$$$</v>
      </c>
      <c r="E102" s="224"/>
      <c r="F102" s="225"/>
      <c r="G102" s="226"/>
      <c r="H102" s="227"/>
      <c r="I102" s="228"/>
      <c r="J102" s="228"/>
      <c r="K102" s="229"/>
      <c r="L102" s="230"/>
      <c r="M102" s="231"/>
      <c r="N102" s="232"/>
      <c r="O102" s="230"/>
      <c r="P102" s="231"/>
      <c r="Q102" s="232"/>
      <c r="R102" s="233"/>
      <c r="S102" s="234"/>
      <c r="T102" s="235"/>
      <c r="U102" s="233"/>
      <c r="V102" s="236"/>
      <c r="W102" s="234"/>
      <c r="X102" s="235"/>
      <c r="Y102" s="237"/>
      <c r="Z102" s="238"/>
    </row>
    <row r="103" spans="1:26" s="239" customFormat="1" ht="28.5" customHeight="1" x14ac:dyDescent="0.3">
      <c r="A103" s="222">
        <f t="shared" ref="A103:A159" si="14">IF(B103,0,MATCH(H103,ВидыНагр,0))</f>
        <v>0</v>
      </c>
      <c r="B103" s="223" t="b">
        <f t="shared" ref="B103:B159" si="15">(COUNTIF(КлючВесна,D103)&lt;&gt;1)</f>
        <v>1</v>
      </c>
      <c r="C103" s="222">
        <f t="shared" ref="C103:C159" si="16">IF(COUNTA(E103:K103,Z103)&gt;0,1,0)+IF(COUNTA(L103:Y103)&gt;0,2,0)</f>
        <v>0</v>
      </c>
      <c r="D103" s="205" t="str">
        <f t="shared" si="13"/>
        <v>$$$$</v>
      </c>
      <c r="E103" s="224"/>
      <c r="F103" s="225"/>
      <c r="G103" s="226"/>
      <c r="H103" s="227"/>
      <c r="I103" s="228"/>
      <c r="J103" s="228"/>
      <c r="K103" s="229"/>
      <c r="L103" s="230"/>
      <c r="M103" s="231"/>
      <c r="N103" s="232"/>
      <c r="O103" s="230"/>
      <c r="P103" s="231"/>
      <c r="Q103" s="232"/>
      <c r="R103" s="233"/>
      <c r="S103" s="234"/>
      <c r="T103" s="235"/>
      <c r="U103" s="233"/>
      <c r="V103" s="236"/>
      <c r="W103" s="234"/>
      <c r="X103" s="235"/>
      <c r="Y103" s="237"/>
      <c r="Z103" s="238"/>
    </row>
    <row r="104" spans="1:26" s="239" customFormat="1" ht="28.5" customHeight="1" x14ac:dyDescent="0.3">
      <c r="A104" s="222">
        <f t="shared" si="14"/>
        <v>0</v>
      </c>
      <c r="B104" s="223" t="b">
        <f t="shared" si="15"/>
        <v>1</v>
      </c>
      <c r="C104" s="222">
        <f t="shared" si="16"/>
        <v>0</v>
      </c>
      <c r="D104" s="205" t="str">
        <f t="shared" si="13"/>
        <v>$$$$</v>
      </c>
      <c r="E104" s="224"/>
      <c r="F104" s="225"/>
      <c r="G104" s="226"/>
      <c r="H104" s="227"/>
      <c r="I104" s="228"/>
      <c r="J104" s="228"/>
      <c r="K104" s="229"/>
      <c r="L104" s="230"/>
      <c r="M104" s="231"/>
      <c r="N104" s="232"/>
      <c r="O104" s="230"/>
      <c r="P104" s="231"/>
      <c r="Q104" s="232"/>
      <c r="R104" s="233"/>
      <c r="S104" s="234"/>
      <c r="T104" s="235"/>
      <c r="U104" s="233"/>
      <c r="V104" s="236"/>
      <c r="W104" s="234"/>
      <c r="X104" s="235"/>
      <c r="Y104" s="237"/>
      <c r="Z104" s="238"/>
    </row>
    <row r="105" spans="1:26" s="239" customFormat="1" ht="28.5" customHeight="1" x14ac:dyDescent="0.3">
      <c r="A105" s="222">
        <f t="shared" si="14"/>
        <v>0</v>
      </c>
      <c r="B105" s="223" t="b">
        <f t="shared" si="15"/>
        <v>1</v>
      </c>
      <c r="C105" s="222">
        <f t="shared" si="16"/>
        <v>0</v>
      </c>
      <c r="D105" s="205" t="str">
        <f t="shared" si="13"/>
        <v>$$$$</v>
      </c>
      <c r="E105" s="224"/>
      <c r="F105" s="225"/>
      <c r="G105" s="226"/>
      <c r="H105" s="227"/>
      <c r="I105" s="228"/>
      <c r="J105" s="228"/>
      <c r="K105" s="229"/>
      <c r="L105" s="230"/>
      <c r="M105" s="231"/>
      <c r="N105" s="232"/>
      <c r="O105" s="230"/>
      <c r="P105" s="231"/>
      <c r="Q105" s="232"/>
      <c r="R105" s="233"/>
      <c r="S105" s="234"/>
      <c r="T105" s="235"/>
      <c r="U105" s="233"/>
      <c r="V105" s="236"/>
      <c r="W105" s="234"/>
      <c r="X105" s="235"/>
      <c r="Y105" s="237"/>
      <c r="Z105" s="238"/>
    </row>
    <row r="106" spans="1:26" s="239" customFormat="1" ht="28.5" customHeight="1" x14ac:dyDescent="0.3">
      <c r="A106" s="222">
        <f t="shared" si="14"/>
        <v>0</v>
      </c>
      <c r="B106" s="223" t="b">
        <f t="shared" si="15"/>
        <v>1</v>
      </c>
      <c r="C106" s="222">
        <f t="shared" si="16"/>
        <v>0</v>
      </c>
      <c r="D106" s="205" t="str">
        <f t="shared" si="13"/>
        <v>$$$$</v>
      </c>
      <c r="E106" s="224"/>
      <c r="F106" s="225"/>
      <c r="G106" s="226"/>
      <c r="H106" s="227"/>
      <c r="I106" s="228"/>
      <c r="J106" s="228"/>
      <c r="K106" s="229"/>
      <c r="L106" s="230"/>
      <c r="M106" s="231"/>
      <c r="N106" s="232"/>
      <c r="O106" s="230"/>
      <c r="P106" s="231"/>
      <c r="Q106" s="232"/>
      <c r="R106" s="233"/>
      <c r="S106" s="234"/>
      <c r="T106" s="235"/>
      <c r="U106" s="233"/>
      <c r="V106" s="236"/>
      <c r="W106" s="234"/>
      <c r="X106" s="235"/>
      <c r="Y106" s="237"/>
      <c r="Z106" s="238"/>
    </row>
    <row r="107" spans="1:26" s="239" customFormat="1" ht="28.5" customHeight="1" x14ac:dyDescent="0.3">
      <c r="A107" s="222">
        <f>IF(B107,0,MATCH(H107,ВидыНагр,0))</f>
        <v>0</v>
      </c>
      <c r="B107" s="223" t="b">
        <f>(COUNTIF(КлючВесна,D107)&lt;&gt;1)</f>
        <v>1</v>
      </c>
      <c r="C107" s="222">
        <f t="shared" si="16"/>
        <v>0</v>
      </c>
      <c r="D107" s="205" t="str">
        <f>CONCATENATE("$",TRIM(F107),"$",TRIM(G107),"$",H107,"$")</f>
        <v>$$$$</v>
      </c>
      <c r="E107" s="224"/>
      <c r="F107" s="225"/>
      <c r="G107" s="226"/>
      <c r="H107" s="227"/>
      <c r="I107" s="228"/>
      <c r="J107" s="228"/>
      <c r="K107" s="229"/>
      <c r="L107" s="230"/>
      <c r="M107" s="231"/>
      <c r="N107" s="232"/>
      <c r="O107" s="230"/>
      <c r="P107" s="231"/>
      <c r="Q107" s="232"/>
      <c r="R107" s="233"/>
      <c r="S107" s="234"/>
      <c r="T107" s="235"/>
      <c r="U107" s="233"/>
      <c r="V107" s="236"/>
      <c r="W107" s="234"/>
      <c r="X107" s="235"/>
      <c r="Y107" s="237"/>
      <c r="Z107" s="238"/>
    </row>
    <row r="108" spans="1:26" s="239" customFormat="1" ht="28.5" customHeight="1" x14ac:dyDescent="0.3">
      <c r="A108" s="222">
        <f>IF(B108,0,MATCH(H108,ВидыНагр,0))</f>
        <v>0</v>
      </c>
      <c r="B108" s="223" t="b">
        <f>(COUNTIF(КлючВесна,D108)&lt;&gt;1)</f>
        <v>1</v>
      </c>
      <c r="C108" s="222">
        <f t="shared" si="16"/>
        <v>0</v>
      </c>
      <c r="D108" s="205" t="str">
        <f>CONCATENATE("$",TRIM(F108),"$",TRIM(G108),"$",H108,"$")</f>
        <v>$$$$</v>
      </c>
      <c r="E108" s="224"/>
      <c r="F108" s="225"/>
      <c r="G108" s="226"/>
      <c r="H108" s="227"/>
      <c r="I108" s="228"/>
      <c r="J108" s="228"/>
      <c r="K108" s="229"/>
      <c r="L108" s="230"/>
      <c r="M108" s="231"/>
      <c r="N108" s="232"/>
      <c r="O108" s="230"/>
      <c r="P108" s="231"/>
      <c r="Q108" s="232"/>
      <c r="R108" s="233"/>
      <c r="S108" s="234"/>
      <c r="T108" s="235"/>
      <c r="U108" s="233"/>
      <c r="V108" s="236"/>
      <c r="W108" s="234"/>
      <c r="X108" s="235"/>
      <c r="Y108" s="237"/>
      <c r="Z108" s="238"/>
    </row>
    <row r="109" spans="1:26" s="239" customFormat="1" ht="28.5" customHeight="1" x14ac:dyDescent="0.3">
      <c r="A109" s="222">
        <f t="shared" si="14"/>
        <v>0</v>
      </c>
      <c r="B109" s="223" t="b">
        <f t="shared" si="15"/>
        <v>1</v>
      </c>
      <c r="C109" s="222">
        <f t="shared" si="16"/>
        <v>0</v>
      </c>
      <c r="D109" s="205" t="str">
        <f t="shared" si="13"/>
        <v>$$$$</v>
      </c>
      <c r="E109" s="224"/>
      <c r="F109" s="225"/>
      <c r="G109" s="226"/>
      <c r="H109" s="227"/>
      <c r="I109" s="228"/>
      <c r="J109" s="228"/>
      <c r="K109" s="229"/>
      <c r="L109" s="230"/>
      <c r="M109" s="231"/>
      <c r="N109" s="232"/>
      <c r="O109" s="230"/>
      <c r="P109" s="231"/>
      <c r="Q109" s="232"/>
      <c r="R109" s="233"/>
      <c r="S109" s="234"/>
      <c r="T109" s="235"/>
      <c r="U109" s="233"/>
      <c r="V109" s="236"/>
      <c r="W109" s="234"/>
      <c r="X109" s="235"/>
      <c r="Y109" s="237"/>
      <c r="Z109" s="238"/>
    </row>
    <row r="110" spans="1:26" s="239" customFormat="1" ht="28.5" customHeight="1" x14ac:dyDescent="0.3">
      <c r="A110" s="222">
        <f t="shared" si="14"/>
        <v>0</v>
      </c>
      <c r="B110" s="223" t="b">
        <f t="shared" si="15"/>
        <v>1</v>
      </c>
      <c r="C110" s="222">
        <f t="shared" si="16"/>
        <v>0</v>
      </c>
      <c r="D110" s="205" t="str">
        <f t="shared" si="13"/>
        <v>$$$$</v>
      </c>
      <c r="E110" s="224"/>
      <c r="F110" s="225"/>
      <c r="G110" s="226"/>
      <c r="H110" s="227"/>
      <c r="I110" s="228"/>
      <c r="J110" s="228"/>
      <c r="K110" s="229"/>
      <c r="L110" s="230"/>
      <c r="M110" s="231"/>
      <c r="N110" s="232"/>
      <c r="O110" s="230"/>
      <c r="P110" s="231"/>
      <c r="Q110" s="232"/>
      <c r="R110" s="233"/>
      <c r="S110" s="234"/>
      <c r="T110" s="235"/>
      <c r="U110" s="233"/>
      <c r="V110" s="236"/>
      <c r="W110" s="234"/>
      <c r="X110" s="235"/>
      <c r="Y110" s="237"/>
      <c r="Z110" s="238"/>
    </row>
    <row r="111" spans="1:26" s="239" customFormat="1" ht="28.5" customHeight="1" x14ac:dyDescent="0.3">
      <c r="A111" s="222">
        <f t="shared" si="14"/>
        <v>0</v>
      </c>
      <c r="B111" s="223" t="b">
        <f t="shared" si="15"/>
        <v>1</v>
      </c>
      <c r="C111" s="222">
        <f t="shared" si="16"/>
        <v>0</v>
      </c>
      <c r="D111" s="205" t="str">
        <f t="shared" si="13"/>
        <v>$$$$</v>
      </c>
      <c r="E111" s="224"/>
      <c r="F111" s="225"/>
      <c r="G111" s="226"/>
      <c r="H111" s="227"/>
      <c r="I111" s="228"/>
      <c r="J111" s="228"/>
      <c r="K111" s="229"/>
      <c r="L111" s="230"/>
      <c r="M111" s="231"/>
      <c r="N111" s="232"/>
      <c r="O111" s="230"/>
      <c r="P111" s="231"/>
      <c r="Q111" s="232"/>
      <c r="R111" s="233"/>
      <c r="S111" s="234"/>
      <c r="T111" s="235"/>
      <c r="U111" s="233"/>
      <c r="V111" s="236"/>
      <c r="W111" s="234"/>
      <c r="X111" s="235"/>
      <c r="Y111" s="237"/>
      <c r="Z111" s="238"/>
    </row>
    <row r="112" spans="1:26" s="239" customFormat="1" ht="28.5" customHeight="1" x14ac:dyDescent="0.3">
      <c r="A112" s="222">
        <f t="shared" si="14"/>
        <v>0</v>
      </c>
      <c r="B112" s="223" t="b">
        <f t="shared" si="15"/>
        <v>1</v>
      </c>
      <c r="C112" s="222">
        <f t="shared" si="16"/>
        <v>0</v>
      </c>
      <c r="D112" s="205" t="str">
        <f t="shared" si="13"/>
        <v>$$$$</v>
      </c>
      <c r="E112" s="224"/>
      <c r="F112" s="225"/>
      <c r="G112" s="226"/>
      <c r="H112" s="227"/>
      <c r="I112" s="228"/>
      <c r="J112" s="228"/>
      <c r="K112" s="229"/>
      <c r="L112" s="230"/>
      <c r="M112" s="231"/>
      <c r="N112" s="232"/>
      <c r="O112" s="230"/>
      <c r="P112" s="231"/>
      <c r="Q112" s="232"/>
      <c r="R112" s="233"/>
      <c r="S112" s="234"/>
      <c r="T112" s="235"/>
      <c r="U112" s="233"/>
      <c r="V112" s="236"/>
      <c r="W112" s="234"/>
      <c r="X112" s="235"/>
      <c r="Y112" s="237"/>
      <c r="Z112" s="238"/>
    </row>
    <row r="113" spans="1:26" s="239" customFormat="1" ht="28.5" customHeight="1" x14ac:dyDescent="0.3">
      <c r="A113" s="222">
        <f t="shared" si="14"/>
        <v>0</v>
      </c>
      <c r="B113" s="223" t="b">
        <f t="shared" si="15"/>
        <v>1</v>
      </c>
      <c r="C113" s="222">
        <f t="shared" si="16"/>
        <v>0</v>
      </c>
      <c r="D113" s="205" t="str">
        <f t="shared" si="13"/>
        <v>$$$$</v>
      </c>
      <c r="E113" s="224"/>
      <c r="F113" s="225"/>
      <c r="G113" s="226"/>
      <c r="H113" s="227"/>
      <c r="I113" s="228"/>
      <c r="J113" s="228"/>
      <c r="K113" s="229"/>
      <c r="L113" s="230"/>
      <c r="M113" s="231"/>
      <c r="N113" s="232"/>
      <c r="O113" s="230"/>
      <c r="P113" s="231"/>
      <c r="Q113" s="232"/>
      <c r="R113" s="233"/>
      <c r="S113" s="234"/>
      <c r="T113" s="235"/>
      <c r="U113" s="233"/>
      <c r="V113" s="236"/>
      <c r="W113" s="234"/>
      <c r="X113" s="235"/>
      <c r="Y113" s="237"/>
      <c r="Z113" s="238"/>
    </row>
    <row r="114" spans="1:26" s="239" customFormat="1" ht="28.5" customHeight="1" x14ac:dyDescent="0.3">
      <c r="A114" s="222">
        <f t="shared" si="14"/>
        <v>0</v>
      </c>
      <c r="B114" s="223" t="b">
        <f t="shared" si="15"/>
        <v>1</v>
      </c>
      <c r="C114" s="222">
        <f t="shared" si="16"/>
        <v>0</v>
      </c>
      <c r="D114" s="205" t="str">
        <f t="shared" si="13"/>
        <v>$$$$</v>
      </c>
      <c r="E114" s="224"/>
      <c r="F114" s="225"/>
      <c r="G114" s="226"/>
      <c r="H114" s="227"/>
      <c r="I114" s="228"/>
      <c r="J114" s="228"/>
      <c r="K114" s="229"/>
      <c r="L114" s="230"/>
      <c r="M114" s="231"/>
      <c r="N114" s="232"/>
      <c r="O114" s="230"/>
      <c r="P114" s="231"/>
      <c r="Q114" s="232"/>
      <c r="R114" s="233"/>
      <c r="S114" s="234"/>
      <c r="T114" s="235"/>
      <c r="U114" s="233"/>
      <c r="V114" s="236"/>
      <c r="W114" s="234"/>
      <c r="X114" s="235"/>
      <c r="Y114" s="237"/>
      <c r="Z114" s="238"/>
    </row>
    <row r="115" spans="1:26" s="239" customFormat="1" ht="28.5" customHeight="1" x14ac:dyDescent="0.3">
      <c r="A115" s="222">
        <f t="shared" si="14"/>
        <v>0</v>
      </c>
      <c r="B115" s="223" t="b">
        <f t="shared" si="15"/>
        <v>1</v>
      </c>
      <c r="C115" s="222">
        <f t="shared" si="16"/>
        <v>0</v>
      </c>
      <c r="D115" s="205" t="str">
        <f t="shared" si="13"/>
        <v>$$$$</v>
      </c>
      <c r="E115" s="224"/>
      <c r="F115" s="225"/>
      <c r="G115" s="226"/>
      <c r="H115" s="227"/>
      <c r="I115" s="228"/>
      <c r="J115" s="228"/>
      <c r="K115" s="229"/>
      <c r="L115" s="230"/>
      <c r="M115" s="231"/>
      <c r="N115" s="232"/>
      <c r="O115" s="230"/>
      <c r="P115" s="231"/>
      <c r="Q115" s="232"/>
      <c r="R115" s="233"/>
      <c r="S115" s="234"/>
      <c r="T115" s="235"/>
      <c r="U115" s="233"/>
      <c r="V115" s="236"/>
      <c r="W115" s="234"/>
      <c r="X115" s="235"/>
      <c r="Y115" s="237"/>
      <c r="Z115" s="238"/>
    </row>
    <row r="116" spans="1:26" s="239" customFormat="1" ht="28.5" customHeight="1" x14ac:dyDescent="0.3">
      <c r="A116" s="222">
        <f t="shared" si="14"/>
        <v>0</v>
      </c>
      <c r="B116" s="223" t="b">
        <f t="shared" si="15"/>
        <v>1</v>
      </c>
      <c r="C116" s="222">
        <f t="shared" si="16"/>
        <v>0</v>
      </c>
      <c r="D116" s="205" t="str">
        <f t="shared" si="13"/>
        <v>$$$$</v>
      </c>
      <c r="E116" s="224"/>
      <c r="F116" s="225"/>
      <c r="G116" s="226"/>
      <c r="H116" s="227"/>
      <c r="I116" s="228"/>
      <c r="J116" s="228"/>
      <c r="K116" s="229"/>
      <c r="L116" s="230"/>
      <c r="M116" s="231"/>
      <c r="N116" s="232"/>
      <c r="O116" s="230"/>
      <c r="P116" s="231"/>
      <c r="Q116" s="232"/>
      <c r="R116" s="233"/>
      <c r="S116" s="234"/>
      <c r="T116" s="235"/>
      <c r="U116" s="233"/>
      <c r="V116" s="236"/>
      <c r="W116" s="234"/>
      <c r="X116" s="235"/>
      <c r="Y116" s="237"/>
      <c r="Z116" s="238"/>
    </row>
    <row r="117" spans="1:26" s="239" customFormat="1" ht="28.5" customHeight="1" x14ac:dyDescent="0.3">
      <c r="A117" s="222">
        <f t="shared" si="14"/>
        <v>0</v>
      </c>
      <c r="B117" s="223" t="b">
        <f t="shared" si="15"/>
        <v>1</v>
      </c>
      <c r="C117" s="222">
        <f t="shared" si="16"/>
        <v>0</v>
      </c>
      <c r="D117" s="205" t="str">
        <f t="shared" si="13"/>
        <v>$$$$</v>
      </c>
      <c r="E117" s="224"/>
      <c r="F117" s="225"/>
      <c r="G117" s="226"/>
      <c r="H117" s="227"/>
      <c r="I117" s="228"/>
      <c r="J117" s="228"/>
      <c r="K117" s="229"/>
      <c r="L117" s="230"/>
      <c r="M117" s="231"/>
      <c r="N117" s="232"/>
      <c r="O117" s="230"/>
      <c r="P117" s="231"/>
      <c r="Q117" s="232"/>
      <c r="R117" s="233"/>
      <c r="S117" s="234"/>
      <c r="T117" s="235"/>
      <c r="U117" s="233"/>
      <c r="V117" s="236"/>
      <c r="W117" s="234"/>
      <c r="X117" s="235"/>
      <c r="Y117" s="237"/>
      <c r="Z117" s="238"/>
    </row>
    <row r="118" spans="1:26" s="239" customFormat="1" ht="28.5" customHeight="1" x14ac:dyDescent="0.3">
      <c r="A118" s="222">
        <f t="shared" si="14"/>
        <v>0</v>
      </c>
      <c r="B118" s="223" t="b">
        <f t="shared" si="15"/>
        <v>1</v>
      </c>
      <c r="C118" s="222">
        <f t="shared" si="16"/>
        <v>0</v>
      </c>
      <c r="D118" s="205" t="str">
        <f t="shared" si="13"/>
        <v>$$$$</v>
      </c>
      <c r="E118" s="224"/>
      <c r="F118" s="225"/>
      <c r="G118" s="226"/>
      <c r="H118" s="227"/>
      <c r="I118" s="228"/>
      <c r="J118" s="228"/>
      <c r="K118" s="229"/>
      <c r="L118" s="230"/>
      <c r="M118" s="231"/>
      <c r="N118" s="232"/>
      <c r="O118" s="230"/>
      <c r="P118" s="231"/>
      <c r="Q118" s="232"/>
      <c r="R118" s="233"/>
      <c r="S118" s="234"/>
      <c r="T118" s="235"/>
      <c r="U118" s="233"/>
      <c r="V118" s="236"/>
      <c r="W118" s="234"/>
      <c r="X118" s="235"/>
      <c r="Y118" s="237"/>
      <c r="Z118" s="238"/>
    </row>
    <row r="119" spans="1:26" s="239" customFormat="1" ht="28.5" customHeight="1" x14ac:dyDescent="0.3">
      <c r="A119" s="222">
        <f t="shared" si="14"/>
        <v>0</v>
      </c>
      <c r="B119" s="223" t="b">
        <f t="shared" si="15"/>
        <v>1</v>
      </c>
      <c r="C119" s="222">
        <f t="shared" si="16"/>
        <v>0</v>
      </c>
      <c r="D119" s="205" t="str">
        <f t="shared" si="13"/>
        <v>$$$$</v>
      </c>
      <c r="E119" s="224"/>
      <c r="F119" s="225"/>
      <c r="G119" s="226"/>
      <c r="H119" s="227"/>
      <c r="I119" s="228"/>
      <c r="J119" s="228"/>
      <c r="K119" s="229"/>
      <c r="L119" s="230"/>
      <c r="M119" s="231"/>
      <c r="N119" s="232"/>
      <c r="O119" s="230"/>
      <c r="P119" s="231"/>
      <c r="Q119" s="232"/>
      <c r="R119" s="233"/>
      <c r="S119" s="234"/>
      <c r="T119" s="235"/>
      <c r="U119" s="233"/>
      <c r="V119" s="236"/>
      <c r="W119" s="234"/>
      <c r="X119" s="235"/>
      <c r="Y119" s="237"/>
      <c r="Z119" s="238"/>
    </row>
    <row r="120" spans="1:26" s="239" customFormat="1" ht="28.5" customHeight="1" x14ac:dyDescent="0.3">
      <c r="A120" s="222">
        <f t="shared" si="14"/>
        <v>0</v>
      </c>
      <c r="B120" s="223" t="b">
        <f t="shared" si="15"/>
        <v>1</v>
      </c>
      <c r="C120" s="222">
        <f t="shared" si="16"/>
        <v>0</v>
      </c>
      <c r="D120" s="205" t="str">
        <f t="shared" ref="D120:D154" si="17">CONCATENATE("$",TRIM(F120),"$",TRIM(G120),"$",H120,"$")</f>
        <v>$$$$</v>
      </c>
      <c r="E120" s="224"/>
      <c r="F120" s="225"/>
      <c r="G120" s="226"/>
      <c r="H120" s="227"/>
      <c r="I120" s="228"/>
      <c r="J120" s="228"/>
      <c r="K120" s="229"/>
      <c r="L120" s="230"/>
      <c r="M120" s="231"/>
      <c r="N120" s="232"/>
      <c r="O120" s="230"/>
      <c r="P120" s="231"/>
      <c r="Q120" s="232"/>
      <c r="R120" s="233"/>
      <c r="S120" s="234"/>
      <c r="T120" s="235"/>
      <c r="U120" s="233"/>
      <c r="V120" s="236"/>
      <c r="W120" s="234"/>
      <c r="X120" s="235"/>
      <c r="Y120" s="237"/>
      <c r="Z120" s="238"/>
    </row>
    <row r="121" spans="1:26" s="239" customFormat="1" ht="28.5" customHeight="1" x14ac:dyDescent="0.3">
      <c r="A121" s="222">
        <f t="shared" si="14"/>
        <v>0</v>
      </c>
      <c r="B121" s="223" t="b">
        <f t="shared" si="15"/>
        <v>1</v>
      </c>
      <c r="C121" s="222">
        <f t="shared" si="16"/>
        <v>0</v>
      </c>
      <c r="D121" s="205" t="str">
        <f t="shared" si="17"/>
        <v>$$$$</v>
      </c>
      <c r="E121" s="224"/>
      <c r="F121" s="225"/>
      <c r="G121" s="226"/>
      <c r="H121" s="227"/>
      <c r="I121" s="228"/>
      <c r="J121" s="228"/>
      <c r="K121" s="229"/>
      <c r="L121" s="230"/>
      <c r="M121" s="231"/>
      <c r="N121" s="232"/>
      <c r="O121" s="230"/>
      <c r="P121" s="231"/>
      <c r="Q121" s="232"/>
      <c r="R121" s="233"/>
      <c r="S121" s="234"/>
      <c r="T121" s="235"/>
      <c r="U121" s="233"/>
      <c r="V121" s="236"/>
      <c r="W121" s="234"/>
      <c r="X121" s="235"/>
      <c r="Y121" s="237"/>
      <c r="Z121" s="238"/>
    </row>
    <row r="122" spans="1:26" s="239" customFormat="1" ht="28.5" customHeight="1" x14ac:dyDescent="0.3">
      <c r="A122" s="222">
        <f t="shared" si="14"/>
        <v>0</v>
      </c>
      <c r="B122" s="223" t="b">
        <f t="shared" si="15"/>
        <v>1</v>
      </c>
      <c r="C122" s="222">
        <f t="shared" si="16"/>
        <v>0</v>
      </c>
      <c r="D122" s="205" t="str">
        <f t="shared" si="17"/>
        <v>$$$$</v>
      </c>
      <c r="E122" s="224"/>
      <c r="F122" s="225"/>
      <c r="G122" s="226"/>
      <c r="H122" s="227"/>
      <c r="I122" s="228"/>
      <c r="J122" s="228"/>
      <c r="K122" s="229"/>
      <c r="L122" s="230"/>
      <c r="M122" s="231"/>
      <c r="N122" s="232"/>
      <c r="O122" s="230"/>
      <c r="P122" s="231"/>
      <c r="Q122" s="232"/>
      <c r="R122" s="233"/>
      <c r="S122" s="234"/>
      <c r="T122" s="235"/>
      <c r="U122" s="233"/>
      <c r="V122" s="236"/>
      <c r="W122" s="234"/>
      <c r="X122" s="235"/>
      <c r="Y122" s="237"/>
      <c r="Z122" s="238"/>
    </row>
    <row r="123" spans="1:26" s="239" customFormat="1" ht="28.5" customHeight="1" x14ac:dyDescent="0.3">
      <c r="A123" s="222">
        <f t="shared" si="14"/>
        <v>0</v>
      </c>
      <c r="B123" s="223" t="b">
        <f t="shared" si="15"/>
        <v>1</v>
      </c>
      <c r="C123" s="222">
        <f t="shared" si="16"/>
        <v>0</v>
      </c>
      <c r="D123" s="205" t="str">
        <f t="shared" si="17"/>
        <v>$$$$</v>
      </c>
      <c r="E123" s="224"/>
      <c r="F123" s="225"/>
      <c r="G123" s="226"/>
      <c r="H123" s="227"/>
      <c r="I123" s="228"/>
      <c r="J123" s="228"/>
      <c r="K123" s="229"/>
      <c r="L123" s="230"/>
      <c r="M123" s="231"/>
      <c r="N123" s="232"/>
      <c r="O123" s="230"/>
      <c r="P123" s="231"/>
      <c r="Q123" s="232"/>
      <c r="R123" s="233"/>
      <c r="S123" s="234"/>
      <c r="T123" s="235"/>
      <c r="U123" s="233"/>
      <c r="V123" s="236"/>
      <c r="W123" s="234"/>
      <c r="X123" s="235"/>
      <c r="Y123" s="237"/>
      <c r="Z123" s="238"/>
    </row>
    <row r="124" spans="1:26" s="239" customFormat="1" ht="28.5" customHeight="1" x14ac:dyDescent="0.3">
      <c r="A124" s="222">
        <f t="shared" si="14"/>
        <v>0</v>
      </c>
      <c r="B124" s="223" t="b">
        <f t="shared" si="15"/>
        <v>1</v>
      </c>
      <c r="C124" s="222">
        <f t="shared" si="16"/>
        <v>0</v>
      </c>
      <c r="D124" s="205" t="str">
        <f t="shared" si="17"/>
        <v>$$$$</v>
      </c>
      <c r="E124" s="224"/>
      <c r="F124" s="225"/>
      <c r="G124" s="226"/>
      <c r="H124" s="227"/>
      <c r="I124" s="228"/>
      <c r="J124" s="228"/>
      <c r="K124" s="229"/>
      <c r="L124" s="230"/>
      <c r="M124" s="231"/>
      <c r="N124" s="232"/>
      <c r="O124" s="230"/>
      <c r="P124" s="231"/>
      <c r="Q124" s="232"/>
      <c r="R124" s="233"/>
      <c r="S124" s="234"/>
      <c r="T124" s="235"/>
      <c r="U124" s="233"/>
      <c r="V124" s="236"/>
      <c r="W124" s="234"/>
      <c r="X124" s="235"/>
      <c r="Y124" s="237"/>
      <c r="Z124" s="238"/>
    </row>
    <row r="125" spans="1:26" s="239" customFormat="1" ht="28.5" customHeight="1" x14ac:dyDescent="0.3">
      <c r="A125" s="222">
        <f t="shared" si="14"/>
        <v>0</v>
      </c>
      <c r="B125" s="223" t="b">
        <f t="shared" si="15"/>
        <v>1</v>
      </c>
      <c r="C125" s="222">
        <f t="shared" si="16"/>
        <v>0</v>
      </c>
      <c r="D125" s="205" t="str">
        <f t="shared" si="17"/>
        <v>$$$$</v>
      </c>
      <c r="E125" s="224"/>
      <c r="F125" s="225"/>
      <c r="G125" s="226"/>
      <c r="H125" s="227"/>
      <c r="I125" s="228"/>
      <c r="J125" s="228"/>
      <c r="K125" s="229"/>
      <c r="L125" s="230"/>
      <c r="M125" s="231"/>
      <c r="N125" s="232"/>
      <c r="O125" s="230"/>
      <c r="P125" s="231"/>
      <c r="Q125" s="232"/>
      <c r="R125" s="233"/>
      <c r="S125" s="234"/>
      <c r="T125" s="235"/>
      <c r="U125" s="233"/>
      <c r="V125" s="236"/>
      <c r="W125" s="234"/>
      <c r="X125" s="235"/>
      <c r="Y125" s="237"/>
      <c r="Z125" s="238"/>
    </row>
    <row r="126" spans="1:26" s="239" customFormat="1" ht="28.5" customHeight="1" x14ac:dyDescent="0.3">
      <c r="A126" s="222">
        <f t="shared" si="14"/>
        <v>0</v>
      </c>
      <c r="B126" s="223" t="b">
        <f t="shared" si="15"/>
        <v>1</v>
      </c>
      <c r="C126" s="222">
        <f t="shared" si="16"/>
        <v>0</v>
      </c>
      <c r="D126" s="205" t="str">
        <f t="shared" si="17"/>
        <v>$$$$</v>
      </c>
      <c r="E126" s="224"/>
      <c r="F126" s="225"/>
      <c r="G126" s="226"/>
      <c r="H126" s="227"/>
      <c r="I126" s="228"/>
      <c r="J126" s="228"/>
      <c r="K126" s="229"/>
      <c r="L126" s="230"/>
      <c r="M126" s="231"/>
      <c r="N126" s="232"/>
      <c r="O126" s="230"/>
      <c r="P126" s="231"/>
      <c r="Q126" s="232"/>
      <c r="R126" s="233"/>
      <c r="S126" s="234"/>
      <c r="T126" s="235"/>
      <c r="U126" s="233"/>
      <c r="V126" s="236"/>
      <c r="W126" s="234"/>
      <c r="X126" s="235"/>
      <c r="Y126" s="237"/>
      <c r="Z126" s="238"/>
    </row>
    <row r="127" spans="1:26" s="239" customFormat="1" ht="28.5" customHeight="1" x14ac:dyDescent="0.3">
      <c r="A127" s="222">
        <f t="shared" si="14"/>
        <v>0</v>
      </c>
      <c r="B127" s="223" t="b">
        <f t="shared" si="15"/>
        <v>1</v>
      </c>
      <c r="C127" s="222">
        <f t="shared" si="16"/>
        <v>0</v>
      </c>
      <c r="D127" s="205" t="str">
        <f t="shared" si="17"/>
        <v>$$$$</v>
      </c>
      <c r="E127" s="224"/>
      <c r="F127" s="225"/>
      <c r="G127" s="226"/>
      <c r="H127" s="227"/>
      <c r="I127" s="228"/>
      <c r="J127" s="228"/>
      <c r="K127" s="229"/>
      <c r="L127" s="230"/>
      <c r="M127" s="231"/>
      <c r="N127" s="232"/>
      <c r="O127" s="230"/>
      <c r="P127" s="231"/>
      <c r="Q127" s="232"/>
      <c r="R127" s="233"/>
      <c r="S127" s="234"/>
      <c r="T127" s="235"/>
      <c r="U127" s="233"/>
      <c r="V127" s="236"/>
      <c r="W127" s="234"/>
      <c r="X127" s="235"/>
      <c r="Y127" s="237"/>
      <c r="Z127" s="238"/>
    </row>
    <row r="128" spans="1:26" s="239" customFormat="1" ht="28.5" customHeight="1" x14ac:dyDescent="0.3">
      <c r="A128" s="222">
        <f t="shared" si="14"/>
        <v>0</v>
      </c>
      <c r="B128" s="223" t="b">
        <f t="shared" si="15"/>
        <v>1</v>
      </c>
      <c r="C128" s="222">
        <f t="shared" si="16"/>
        <v>0</v>
      </c>
      <c r="D128" s="205" t="str">
        <f t="shared" si="17"/>
        <v>$$$$</v>
      </c>
      <c r="E128" s="224"/>
      <c r="F128" s="225"/>
      <c r="G128" s="226"/>
      <c r="H128" s="227"/>
      <c r="I128" s="228"/>
      <c r="J128" s="228"/>
      <c r="K128" s="229"/>
      <c r="L128" s="230"/>
      <c r="M128" s="231"/>
      <c r="N128" s="232"/>
      <c r="O128" s="230"/>
      <c r="P128" s="231"/>
      <c r="Q128" s="232"/>
      <c r="R128" s="233"/>
      <c r="S128" s="234"/>
      <c r="T128" s="235"/>
      <c r="U128" s="233"/>
      <c r="V128" s="236"/>
      <c r="W128" s="234"/>
      <c r="X128" s="235"/>
      <c r="Y128" s="237"/>
      <c r="Z128" s="238"/>
    </row>
    <row r="129" spans="1:26" s="239" customFormat="1" ht="28.5" customHeight="1" x14ac:dyDescent="0.3">
      <c r="A129" s="222">
        <f t="shared" si="14"/>
        <v>0</v>
      </c>
      <c r="B129" s="223" t="b">
        <f t="shared" si="15"/>
        <v>1</v>
      </c>
      <c r="C129" s="222">
        <f t="shared" si="16"/>
        <v>0</v>
      </c>
      <c r="D129" s="205" t="str">
        <f t="shared" si="17"/>
        <v>$$$$</v>
      </c>
      <c r="E129" s="224"/>
      <c r="F129" s="225"/>
      <c r="G129" s="226"/>
      <c r="H129" s="227"/>
      <c r="I129" s="228"/>
      <c r="J129" s="228"/>
      <c r="K129" s="229"/>
      <c r="L129" s="230"/>
      <c r="M129" s="231"/>
      <c r="N129" s="232"/>
      <c r="O129" s="230"/>
      <c r="P129" s="231"/>
      <c r="Q129" s="232"/>
      <c r="R129" s="233"/>
      <c r="S129" s="234"/>
      <c r="T129" s="235"/>
      <c r="U129" s="233"/>
      <c r="V129" s="236"/>
      <c r="W129" s="234"/>
      <c r="X129" s="235"/>
      <c r="Y129" s="237"/>
      <c r="Z129" s="238"/>
    </row>
    <row r="130" spans="1:26" s="239" customFormat="1" ht="28.5" customHeight="1" x14ac:dyDescent="0.3">
      <c r="A130" s="222">
        <f t="shared" si="14"/>
        <v>0</v>
      </c>
      <c r="B130" s="223" t="b">
        <f t="shared" si="15"/>
        <v>1</v>
      </c>
      <c r="C130" s="222">
        <f t="shared" si="16"/>
        <v>0</v>
      </c>
      <c r="D130" s="205" t="str">
        <f t="shared" si="17"/>
        <v>$$$$</v>
      </c>
      <c r="E130" s="224"/>
      <c r="F130" s="225"/>
      <c r="G130" s="226"/>
      <c r="H130" s="227"/>
      <c r="I130" s="228"/>
      <c r="J130" s="228"/>
      <c r="K130" s="229"/>
      <c r="L130" s="230"/>
      <c r="M130" s="231"/>
      <c r="N130" s="232"/>
      <c r="O130" s="230"/>
      <c r="P130" s="231"/>
      <c r="Q130" s="232"/>
      <c r="R130" s="233"/>
      <c r="S130" s="234"/>
      <c r="T130" s="235"/>
      <c r="U130" s="233"/>
      <c r="V130" s="236"/>
      <c r="W130" s="234"/>
      <c r="X130" s="235"/>
      <c r="Y130" s="237"/>
      <c r="Z130" s="238"/>
    </row>
    <row r="131" spans="1:26" s="239" customFormat="1" ht="28.5" customHeight="1" x14ac:dyDescent="0.3">
      <c r="A131" s="222">
        <f t="shared" si="14"/>
        <v>0</v>
      </c>
      <c r="B131" s="223" t="b">
        <f t="shared" si="15"/>
        <v>1</v>
      </c>
      <c r="C131" s="222">
        <f t="shared" si="16"/>
        <v>0</v>
      </c>
      <c r="D131" s="205" t="str">
        <f t="shared" si="17"/>
        <v>$$$$</v>
      </c>
      <c r="E131" s="224"/>
      <c r="F131" s="225"/>
      <c r="G131" s="226"/>
      <c r="H131" s="227"/>
      <c r="I131" s="228"/>
      <c r="J131" s="228"/>
      <c r="K131" s="229"/>
      <c r="L131" s="230"/>
      <c r="M131" s="231"/>
      <c r="N131" s="232"/>
      <c r="O131" s="230"/>
      <c r="P131" s="231"/>
      <c r="Q131" s="232"/>
      <c r="R131" s="233"/>
      <c r="S131" s="234"/>
      <c r="T131" s="235"/>
      <c r="U131" s="233"/>
      <c r="V131" s="236"/>
      <c r="W131" s="234"/>
      <c r="X131" s="235"/>
      <c r="Y131" s="237"/>
      <c r="Z131" s="238"/>
    </row>
    <row r="132" spans="1:26" s="239" customFormat="1" ht="28.5" customHeight="1" x14ac:dyDescent="0.3">
      <c r="A132" s="222">
        <f t="shared" si="14"/>
        <v>0</v>
      </c>
      <c r="B132" s="223" t="b">
        <f t="shared" si="15"/>
        <v>1</v>
      </c>
      <c r="C132" s="222">
        <f t="shared" si="16"/>
        <v>0</v>
      </c>
      <c r="D132" s="205" t="str">
        <f t="shared" si="17"/>
        <v>$$$$</v>
      </c>
      <c r="E132" s="224"/>
      <c r="F132" s="225"/>
      <c r="G132" s="226"/>
      <c r="H132" s="227"/>
      <c r="I132" s="228"/>
      <c r="J132" s="228"/>
      <c r="K132" s="229"/>
      <c r="L132" s="230"/>
      <c r="M132" s="231"/>
      <c r="N132" s="232"/>
      <c r="O132" s="230"/>
      <c r="P132" s="231"/>
      <c r="Q132" s="232"/>
      <c r="R132" s="233"/>
      <c r="S132" s="234"/>
      <c r="T132" s="235"/>
      <c r="U132" s="233"/>
      <c r="V132" s="236"/>
      <c r="W132" s="234"/>
      <c r="X132" s="235"/>
      <c r="Y132" s="237"/>
      <c r="Z132" s="238"/>
    </row>
    <row r="133" spans="1:26" s="239" customFormat="1" ht="28.5" customHeight="1" x14ac:dyDescent="0.3">
      <c r="A133" s="222">
        <f t="shared" si="14"/>
        <v>0</v>
      </c>
      <c r="B133" s="223" t="b">
        <f t="shared" si="15"/>
        <v>1</v>
      </c>
      <c r="C133" s="222">
        <f t="shared" si="16"/>
        <v>0</v>
      </c>
      <c r="D133" s="205" t="str">
        <f t="shared" si="17"/>
        <v>$$$$</v>
      </c>
      <c r="E133" s="224"/>
      <c r="F133" s="225"/>
      <c r="G133" s="226"/>
      <c r="H133" s="227"/>
      <c r="I133" s="228"/>
      <c r="J133" s="228"/>
      <c r="K133" s="229"/>
      <c r="L133" s="230"/>
      <c r="M133" s="231"/>
      <c r="N133" s="232"/>
      <c r="O133" s="230"/>
      <c r="P133" s="231"/>
      <c r="Q133" s="232"/>
      <c r="R133" s="233"/>
      <c r="S133" s="234"/>
      <c r="T133" s="235"/>
      <c r="U133" s="233"/>
      <c r="V133" s="236"/>
      <c r="W133" s="234"/>
      <c r="X133" s="235"/>
      <c r="Y133" s="237"/>
      <c r="Z133" s="238"/>
    </row>
    <row r="134" spans="1:26" s="239" customFormat="1" ht="28.5" customHeight="1" x14ac:dyDescent="0.3">
      <c r="A134" s="222">
        <f t="shared" si="14"/>
        <v>0</v>
      </c>
      <c r="B134" s="223" t="b">
        <f t="shared" si="15"/>
        <v>1</v>
      </c>
      <c r="C134" s="222">
        <f t="shared" si="16"/>
        <v>0</v>
      </c>
      <c r="D134" s="205" t="str">
        <f t="shared" si="17"/>
        <v>$$$$</v>
      </c>
      <c r="E134" s="224"/>
      <c r="F134" s="225"/>
      <c r="G134" s="226"/>
      <c r="H134" s="227"/>
      <c r="I134" s="228"/>
      <c r="J134" s="228"/>
      <c r="K134" s="229"/>
      <c r="L134" s="230"/>
      <c r="M134" s="231"/>
      <c r="N134" s="232"/>
      <c r="O134" s="230"/>
      <c r="P134" s="231"/>
      <c r="Q134" s="232"/>
      <c r="R134" s="233"/>
      <c r="S134" s="234"/>
      <c r="T134" s="235"/>
      <c r="U134" s="233"/>
      <c r="V134" s="236"/>
      <c r="W134" s="234"/>
      <c r="X134" s="235"/>
      <c r="Y134" s="237"/>
      <c r="Z134" s="238"/>
    </row>
    <row r="135" spans="1:26" s="239" customFormat="1" ht="28.5" customHeight="1" x14ac:dyDescent="0.3">
      <c r="A135" s="222">
        <f t="shared" si="14"/>
        <v>0</v>
      </c>
      <c r="B135" s="223" t="b">
        <f t="shared" si="15"/>
        <v>1</v>
      </c>
      <c r="C135" s="222">
        <f t="shared" si="16"/>
        <v>0</v>
      </c>
      <c r="D135" s="205" t="str">
        <f t="shared" si="17"/>
        <v>$$$$</v>
      </c>
      <c r="E135" s="224"/>
      <c r="F135" s="225"/>
      <c r="G135" s="226"/>
      <c r="H135" s="227"/>
      <c r="I135" s="228"/>
      <c r="J135" s="228"/>
      <c r="K135" s="229"/>
      <c r="L135" s="230"/>
      <c r="M135" s="231"/>
      <c r="N135" s="232"/>
      <c r="O135" s="230"/>
      <c r="P135" s="231"/>
      <c r="Q135" s="232"/>
      <c r="R135" s="233"/>
      <c r="S135" s="234"/>
      <c r="T135" s="235"/>
      <c r="U135" s="233"/>
      <c r="V135" s="236"/>
      <c r="W135" s="234"/>
      <c r="X135" s="235"/>
      <c r="Y135" s="237"/>
      <c r="Z135" s="238"/>
    </row>
    <row r="136" spans="1:26" s="239" customFormat="1" ht="28.5" customHeight="1" x14ac:dyDescent="0.3">
      <c r="A136" s="222">
        <f t="shared" si="14"/>
        <v>0</v>
      </c>
      <c r="B136" s="223" t="b">
        <f t="shared" si="15"/>
        <v>1</v>
      </c>
      <c r="C136" s="222">
        <f t="shared" si="16"/>
        <v>0</v>
      </c>
      <c r="D136" s="205" t="str">
        <f t="shared" si="17"/>
        <v>$$$$</v>
      </c>
      <c r="E136" s="224"/>
      <c r="F136" s="225"/>
      <c r="G136" s="226"/>
      <c r="H136" s="227"/>
      <c r="I136" s="228"/>
      <c r="J136" s="228"/>
      <c r="K136" s="229"/>
      <c r="L136" s="230"/>
      <c r="M136" s="231"/>
      <c r="N136" s="232"/>
      <c r="O136" s="230"/>
      <c r="P136" s="231"/>
      <c r="Q136" s="232"/>
      <c r="R136" s="233"/>
      <c r="S136" s="234"/>
      <c r="T136" s="235"/>
      <c r="U136" s="233"/>
      <c r="V136" s="236"/>
      <c r="W136" s="234"/>
      <c r="X136" s="235"/>
      <c r="Y136" s="237"/>
      <c r="Z136" s="238"/>
    </row>
    <row r="137" spans="1:26" s="239" customFormat="1" ht="28.5" customHeight="1" x14ac:dyDescent="0.3">
      <c r="A137" s="222">
        <f t="shared" si="14"/>
        <v>0</v>
      </c>
      <c r="B137" s="223" t="b">
        <f t="shared" si="15"/>
        <v>1</v>
      </c>
      <c r="C137" s="222">
        <f t="shared" si="16"/>
        <v>0</v>
      </c>
      <c r="D137" s="205" t="str">
        <f t="shared" si="17"/>
        <v>$$$$</v>
      </c>
      <c r="E137" s="224"/>
      <c r="F137" s="225"/>
      <c r="G137" s="226"/>
      <c r="H137" s="227"/>
      <c r="I137" s="228"/>
      <c r="J137" s="228"/>
      <c r="K137" s="229"/>
      <c r="L137" s="230"/>
      <c r="M137" s="231"/>
      <c r="N137" s="232"/>
      <c r="O137" s="230"/>
      <c r="P137" s="231"/>
      <c r="Q137" s="232"/>
      <c r="R137" s="233"/>
      <c r="S137" s="234"/>
      <c r="T137" s="235"/>
      <c r="U137" s="233"/>
      <c r="V137" s="236"/>
      <c r="W137" s="234"/>
      <c r="X137" s="235"/>
      <c r="Y137" s="237"/>
      <c r="Z137" s="238"/>
    </row>
    <row r="138" spans="1:26" s="239" customFormat="1" ht="28.5" customHeight="1" x14ac:dyDescent="0.3">
      <c r="A138" s="222">
        <f t="shared" si="14"/>
        <v>0</v>
      </c>
      <c r="B138" s="223" t="b">
        <f t="shared" si="15"/>
        <v>1</v>
      </c>
      <c r="C138" s="222">
        <f t="shared" si="16"/>
        <v>0</v>
      </c>
      <c r="D138" s="205" t="str">
        <f t="shared" si="17"/>
        <v>$$$$</v>
      </c>
      <c r="E138" s="224"/>
      <c r="F138" s="225"/>
      <c r="G138" s="226"/>
      <c r="H138" s="227"/>
      <c r="I138" s="228"/>
      <c r="J138" s="228"/>
      <c r="K138" s="229"/>
      <c r="L138" s="230"/>
      <c r="M138" s="231"/>
      <c r="N138" s="232"/>
      <c r="O138" s="230"/>
      <c r="P138" s="231"/>
      <c r="Q138" s="232"/>
      <c r="R138" s="233"/>
      <c r="S138" s="234"/>
      <c r="T138" s="235"/>
      <c r="U138" s="233"/>
      <c r="V138" s="236"/>
      <c r="W138" s="234"/>
      <c r="X138" s="235"/>
      <c r="Y138" s="237"/>
      <c r="Z138" s="238"/>
    </row>
    <row r="139" spans="1:26" s="239" customFormat="1" ht="28.5" customHeight="1" x14ac:dyDescent="0.3">
      <c r="A139" s="222">
        <f t="shared" si="14"/>
        <v>0</v>
      </c>
      <c r="B139" s="223" t="b">
        <f t="shared" si="15"/>
        <v>1</v>
      </c>
      <c r="C139" s="222">
        <f t="shared" si="16"/>
        <v>0</v>
      </c>
      <c r="D139" s="205" t="str">
        <f t="shared" si="17"/>
        <v>$$$$</v>
      </c>
      <c r="E139" s="224"/>
      <c r="F139" s="225"/>
      <c r="G139" s="226"/>
      <c r="H139" s="227"/>
      <c r="I139" s="228"/>
      <c r="J139" s="228"/>
      <c r="K139" s="229"/>
      <c r="L139" s="230"/>
      <c r="M139" s="231"/>
      <c r="N139" s="232"/>
      <c r="O139" s="230"/>
      <c r="P139" s="231"/>
      <c r="Q139" s="232"/>
      <c r="R139" s="233"/>
      <c r="S139" s="234"/>
      <c r="T139" s="235"/>
      <c r="U139" s="233"/>
      <c r="V139" s="236"/>
      <c r="W139" s="234"/>
      <c r="X139" s="235"/>
      <c r="Y139" s="237"/>
      <c r="Z139" s="238"/>
    </row>
    <row r="140" spans="1:26" s="239" customFormat="1" ht="28.5" customHeight="1" x14ac:dyDescent="0.3">
      <c r="A140" s="222">
        <f t="shared" si="14"/>
        <v>0</v>
      </c>
      <c r="B140" s="223" t="b">
        <f t="shared" si="15"/>
        <v>1</v>
      </c>
      <c r="C140" s="222">
        <f t="shared" si="16"/>
        <v>0</v>
      </c>
      <c r="D140" s="205" t="str">
        <f t="shared" si="17"/>
        <v>$$$$</v>
      </c>
      <c r="E140" s="224"/>
      <c r="F140" s="225"/>
      <c r="G140" s="226"/>
      <c r="H140" s="227"/>
      <c r="I140" s="228"/>
      <c r="J140" s="228"/>
      <c r="K140" s="229"/>
      <c r="L140" s="230"/>
      <c r="M140" s="231"/>
      <c r="N140" s="232"/>
      <c r="O140" s="230"/>
      <c r="P140" s="231"/>
      <c r="Q140" s="232"/>
      <c r="R140" s="233"/>
      <c r="S140" s="234"/>
      <c r="T140" s="235"/>
      <c r="U140" s="233"/>
      <c r="V140" s="236"/>
      <c r="W140" s="234"/>
      <c r="X140" s="235"/>
      <c r="Y140" s="237"/>
      <c r="Z140" s="238"/>
    </row>
    <row r="141" spans="1:26" s="239" customFormat="1" ht="28.5" customHeight="1" x14ac:dyDescent="0.3">
      <c r="A141" s="222">
        <f t="shared" si="14"/>
        <v>0</v>
      </c>
      <c r="B141" s="223" t="b">
        <f t="shared" si="15"/>
        <v>1</v>
      </c>
      <c r="C141" s="222">
        <f t="shared" si="16"/>
        <v>0</v>
      </c>
      <c r="D141" s="205" t="str">
        <f t="shared" si="17"/>
        <v>$$$$</v>
      </c>
      <c r="E141" s="224"/>
      <c r="F141" s="225"/>
      <c r="G141" s="226"/>
      <c r="H141" s="227"/>
      <c r="I141" s="228"/>
      <c r="J141" s="228"/>
      <c r="K141" s="229"/>
      <c r="L141" s="230"/>
      <c r="M141" s="231"/>
      <c r="N141" s="232"/>
      <c r="O141" s="230"/>
      <c r="P141" s="231"/>
      <c r="Q141" s="232"/>
      <c r="R141" s="233"/>
      <c r="S141" s="234"/>
      <c r="T141" s="235"/>
      <c r="U141" s="233"/>
      <c r="V141" s="236"/>
      <c r="W141" s="234"/>
      <c r="X141" s="235"/>
      <c r="Y141" s="237"/>
      <c r="Z141" s="238"/>
    </row>
    <row r="142" spans="1:26" s="239" customFormat="1" ht="28.5" customHeight="1" x14ac:dyDescent="0.3">
      <c r="A142" s="222">
        <f t="shared" si="14"/>
        <v>0</v>
      </c>
      <c r="B142" s="223" t="b">
        <f t="shared" si="15"/>
        <v>1</v>
      </c>
      <c r="C142" s="222">
        <f t="shared" si="16"/>
        <v>0</v>
      </c>
      <c r="D142" s="205" t="str">
        <f t="shared" si="17"/>
        <v>$$$$</v>
      </c>
      <c r="E142" s="224"/>
      <c r="F142" s="225"/>
      <c r="G142" s="226"/>
      <c r="H142" s="227"/>
      <c r="I142" s="228"/>
      <c r="J142" s="228"/>
      <c r="K142" s="229"/>
      <c r="L142" s="230"/>
      <c r="M142" s="231"/>
      <c r="N142" s="232"/>
      <c r="O142" s="230"/>
      <c r="P142" s="231"/>
      <c r="Q142" s="232"/>
      <c r="R142" s="233"/>
      <c r="S142" s="234"/>
      <c r="T142" s="235"/>
      <c r="U142" s="233"/>
      <c r="V142" s="236"/>
      <c r="W142" s="234"/>
      <c r="X142" s="235"/>
      <c r="Y142" s="237"/>
      <c r="Z142" s="238"/>
    </row>
    <row r="143" spans="1:26" s="239" customFormat="1" ht="28.5" customHeight="1" x14ac:dyDescent="0.3">
      <c r="A143" s="222">
        <f t="shared" si="14"/>
        <v>0</v>
      </c>
      <c r="B143" s="223" t="b">
        <f t="shared" si="15"/>
        <v>1</v>
      </c>
      <c r="C143" s="222">
        <f t="shared" si="16"/>
        <v>0</v>
      </c>
      <c r="D143" s="205" t="str">
        <f t="shared" si="17"/>
        <v>$$$$</v>
      </c>
      <c r="E143" s="224"/>
      <c r="F143" s="225"/>
      <c r="G143" s="226"/>
      <c r="H143" s="227"/>
      <c r="I143" s="228"/>
      <c r="J143" s="228"/>
      <c r="K143" s="229"/>
      <c r="L143" s="230"/>
      <c r="M143" s="231"/>
      <c r="N143" s="232"/>
      <c r="O143" s="230"/>
      <c r="P143" s="231"/>
      <c r="Q143" s="232"/>
      <c r="R143" s="233"/>
      <c r="S143" s="234"/>
      <c r="T143" s="235"/>
      <c r="U143" s="233"/>
      <c r="V143" s="236"/>
      <c r="W143" s="234"/>
      <c r="X143" s="235"/>
      <c r="Y143" s="237"/>
      <c r="Z143" s="238"/>
    </row>
    <row r="144" spans="1:26" s="239" customFormat="1" ht="28.5" customHeight="1" x14ac:dyDescent="0.3">
      <c r="A144" s="222">
        <f t="shared" si="14"/>
        <v>0</v>
      </c>
      <c r="B144" s="223" t="b">
        <f t="shared" si="15"/>
        <v>1</v>
      </c>
      <c r="C144" s="222">
        <f t="shared" si="16"/>
        <v>0</v>
      </c>
      <c r="D144" s="205" t="str">
        <f t="shared" si="17"/>
        <v>$$$$</v>
      </c>
      <c r="E144" s="224"/>
      <c r="F144" s="225"/>
      <c r="G144" s="226"/>
      <c r="H144" s="227"/>
      <c r="I144" s="228"/>
      <c r="J144" s="228"/>
      <c r="K144" s="229"/>
      <c r="L144" s="230"/>
      <c r="M144" s="231"/>
      <c r="N144" s="232"/>
      <c r="O144" s="230"/>
      <c r="P144" s="231"/>
      <c r="Q144" s="232"/>
      <c r="R144" s="233"/>
      <c r="S144" s="234"/>
      <c r="T144" s="235"/>
      <c r="U144" s="233"/>
      <c r="V144" s="236"/>
      <c r="W144" s="234"/>
      <c r="X144" s="235"/>
      <c r="Y144" s="237"/>
      <c r="Z144" s="238"/>
    </row>
    <row r="145" spans="1:26" s="239" customFormat="1" ht="28.5" customHeight="1" x14ac:dyDescent="0.3">
      <c r="A145" s="222">
        <f t="shared" si="14"/>
        <v>0</v>
      </c>
      <c r="B145" s="223" t="b">
        <f t="shared" si="15"/>
        <v>1</v>
      </c>
      <c r="C145" s="222">
        <f t="shared" si="16"/>
        <v>0</v>
      </c>
      <c r="D145" s="205" t="str">
        <f t="shared" si="17"/>
        <v>$$$$</v>
      </c>
      <c r="E145" s="224"/>
      <c r="F145" s="225"/>
      <c r="G145" s="226"/>
      <c r="H145" s="227"/>
      <c r="I145" s="228"/>
      <c r="J145" s="228"/>
      <c r="K145" s="229"/>
      <c r="L145" s="230"/>
      <c r="M145" s="231"/>
      <c r="N145" s="232"/>
      <c r="O145" s="230"/>
      <c r="P145" s="231"/>
      <c r="Q145" s="232"/>
      <c r="R145" s="233"/>
      <c r="S145" s="234"/>
      <c r="T145" s="235"/>
      <c r="U145" s="233"/>
      <c r="V145" s="236"/>
      <c r="W145" s="234"/>
      <c r="X145" s="235"/>
      <c r="Y145" s="237"/>
      <c r="Z145" s="238"/>
    </row>
    <row r="146" spans="1:26" s="239" customFormat="1" ht="28.5" customHeight="1" x14ac:dyDescent="0.3">
      <c r="A146" s="222">
        <f t="shared" si="14"/>
        <v>0</v>
      </c>
      <c r="B146" s="223" t="b">
        <f t="shared" si="15"/>
        <v>1</v>
      </c>
      <c r="C146" s="222">
        <f t="shared" si="16"/>
        <v>0</v>
      </c>
      <c r="D146" s="205" t="str">
        <f t="shared" si="17"/>
        <v>$$$$</v>
      </c>
      <c r="E146" s="224"/>
      <c r="F146" s="225"/>
      <c r="G146" s="226"/>
      <c r="H146" s="227"/>
      <c r="I146" s="228"/>
      <c r="J146" s="228"/>
      <c r="K146" s="229"/>
      <c r="L146" s="230"/>
      <c r="M146" s="231"/>
      <c r="N146" s="232"/>
      <c r="O146" s="230"/>
      <c r="P146" s="231"/>
      <c r="Q146" s="232"/>
      <c r="R146" s="233"/>
      <c r="S146" s="234"/>
      <c r="T146" s="235"/>
      <c r="U146" s="233"/>
      <c r="V146" s="236"/>
      <c r="W146" s="234"/>
      <c r="X146" s="235"/>
      <c r="Y146" s="237"/>
      <c r="Z146" s="238"/>
    </row>
    <row r="147" spans="1:26" s="239" customFormat="1" ht="28.5" customHeight="1" x14ac:dyDescent="0.3">
      <c r="A147" s="222">
        <f t="shared" si="14"/>
        <v>0</v>
      </c>
      <c r="B147" s="223" t="b">
        <f t="shared" si="15"/>
        <v>1</v>
      </c>
      <c r="C147" s="222">
        <f t="shared" si="16"/>
        <v>0</v>
      </c>
      <c r="D147" s="205" t="str">
        <f t="shared" si="17"/>
        <v>$$$$</v>
      </c>
      <c r="E147" s="224"/>
      <c r="F147" s="225"/>
      <c r="G147" s="226"/>
      <c r="H147" s="227"/>
      <c r="I147" s="228"/>
      <c r="J147" s="228"/>
      <c r="K147" s="229"/>
      <c r="L147" s="230"/>
      <c r="M147" s="231"/>
      <c r="N147" s="232"/>
      <c r="O147" s="230"/>
      <c r="P147" s="231"/>
      <c r="Q147" s="232"/>
      <c r="R147" s="233"/>
      <c r="S147" s="234"/>
      <c r="T147" s="235"/>
      <c r="U147" s="233"/>
      <c r="V147" s="236"/>
      <c r="W147" s="234"/>
      <c r="X147" s="235"/>
      <c r="Y147" s="237"/>
      <c r="Z147" s="238"/>
    </row>
    <row r="148" spans="1:26" s="239" customFormat="1" ht="28.5" customHeight="1" x14ac:dyDescent="0.3">
      <c r="A148" s="222">
        <f t="shared" si="14"/>
        <v>0</v>
      </c>
      <c r="B148" s="223" t="b">
        <f t="shared" si="15"/>
        <v>1</v>
      </c>
      <c r="C148" s="222">
        <f t="shared" si="16"/>
        <v>0</v>
      </c>
      <c r="D148" s="205" t="str">
        <f t="shared" si="17"/>
        <v>$$$$</v>
      </c>
      <c r="E148" s="224"/>
      <c r="F148" s="225"/>
      <c r="G148" s="226"/>
      <c r="H148" s="227"/>
      <c r="I148" s="228"/>
      <c r="J148" s="228"/>
      <c r="K148" s="229"/>
      <c r="L148" s="230"/>
      <c r="M148" s="231"/>
      <c r="N148" s="232"/>
      <c r="O148" s="230"/>
      <c r="P148" s="231"/>
      <c r="Q148" s="232"/>
      <c r="R148" s="233"/>
      <c r="S148" s="234"/>
      <c r="T148" s="235"/>
      <c r="U148" s="233"/>
      <c r="V148" s="236"/>
      <c r="W148" s="234"/>
      <c r="X148" s="235"/>
      <c r="Y148" s="237"/>
      <c r="Z148" s="238"/>
    </row>
    <row r="149" spans="1:26" s="239" customFormat="1" ht="28.5" customHeight="1" x14ac:dyDescent="0.3">
      <c r="A149" s="222">
        <f t="shared" si="14"/>
        <v>0</v>
      </c>
      <c r="B149" s="223" t="b">
        <f t="shared" si="15"/>
        <v>1</v>
      </c>
      <c r="C149" s="222">
        <f t="shared" si="16"/>
        <v>0</v>
      </c>
      <c r="D149" s="205" t="str">
        <f t="shared" si="17"/>
        <v>$$$$</v>
      </c>
      <c r="E149" s="224"/>
      <c r="F149" s="225"/>
      <c r="G149" s="226"/>
      <c r="H149" s="227"/>
      <c r="I149" s="228"/>
      <c r="J149" s="228"/>
      <c r="K149" s="229"/>
      <c r="L149" s="230"/>
      <c r="M149" s="231"/>
      <c r="N149" s="232"/>
      <c r="O149" s="230"/>
      <c r="P149" s="231"/>
      <c r="Q149" s="232"/>
      <c r="R149" s="233"/>
      <c r="S149" s="234"/>
      <c r="T149" s="235"/>
      <c r="U149" s="233"/>
      <c r="V149" s="236"/>
      <c r="W149" s="234"/>
      <c r="X149" s="235"/>
      <c r="Y149" s="237"/>
      <c r="Z149" s="238"/>
    </row>
    <row r="150" spans="1:26" s="239" customFormat="1" ht="28.5" customHeight="1" x14ac:dyDescent="0.3">
      <c r="A150" s="222">
        <f t="shared" si="14"/>
        <v>0</v>
      </c>
      <c r="B150" s="223" t="b">
        <f t="shared" si="15"/>
        <v>1</v>
      </c>
      <c r="C150" s="222">
        <f t="shared" si="16"/>
        <v>0</v>
      </c>
      <c r="D150" s="205" t="str">
        <f t="shared" si="17"/>
        <v>$$$$</v>
      </c>
      <c r="E150" s="224"/>
      <c r="F150" s="225"/>
      <c r="G150" s="226"/>
      <c r="H150" s="227"/>
      <c r="I150" s="228"/>
      <c r="J150" s="228"/>
      <c r="K150" s="229"/>
      <c r="L150" s="230"/>
      <c r="M150" s="231"/>
      <c r="N150" s="232"/>
      <c r="O150" s="230"/>
      <c r="P150" s="231"/>
      <c r="Q150" s="232"/>
      <c r="R150" s="233"/>
      <c r="S150" s="234"/>
      <c r="T150" s="235"/>
      <c r="U150" s="233"/>
      <c r="V150" s="236"/>
      <c r="W150" s="234"/>
      <c r="X150" s="235"/>
      <c r="Y150" s="237"/>
      <c r="Z150" s="238"/>
    </row>
    <row r="151" spans="1:26" s="239" customFormat="1" ht="28.5" customHeight="1" x14ac:dyDescent="0.3">
      <c r="A151" s="222">
        <f t="shared" ref="A151:A154" si="18">IF(B151,0,MATCH(H151,ВидыНагр,0))</f>
        <v>0</v>
      </c>
      <c r="B151" s="223" t="b">
        <f t="shared" ref="B151:B154" si="19">(COUNTIF(КлючВесна,D151)&lt;&gt;1)</f>
        <v>1</v>
      </c>
      <c r="C151" s="222">
        <f t="shared" ref="C151:C158" si="20">IF(COUNTA(E151:K151,Z151)&gt;0,1,0)+IF(COUNTA(L151:Y151)&gt;0,2,0)</f>
        <v>0</v>
      </c>
      <c r="D151" s="205" t="str">
        <f t="shared" si="17"/>
        <v>$$$$</v>
      </c>
      <c r="E151" s="224"/>
      <c r="F151" s="225"/>
      <c r="G151" s="226"/>
      <c r="H151" s="227"/>
      <c r="I151" s="228"/>
      <c r="J151" s="228"/>
      <c r="K151" s="229"/>
      <c r="L151" s="230"/>
      <c r="M151" s="231"/>
      <c r="N151" s="232"/>
      <c r="O151" s="230"/>
      <c r="P151" s="231"/>
      <c r="Q151" s="232"/>
      <c r="R151" s="233"/>
      <c r="S151" s="234"/>
      <c r="T151" s="235"/>
      <c r="U151" s="233"/>
      <c r="V151" s="236"/>
      <c r="W151" s="234"/>
      <c r="X151" s="235"/>
      <c r="Y151" s="237"/>
      <c r="Z151" s="238"/>
    </row>
    <row r="152" spans="1:26" s="239" customFormat="1" ht="28.5" customHeight="1" x14ac:dyDescent="0.3">
      <c r="A152" s="222">
        <f t="shared" si="18"/>
        <v>0</v>
      </c>
      <c r="B152" s="223" t="b">
        <f t="shared" si="19"/>
        <v>1</v>
      </c>
      <c r="C152" s="222">
        <f t="shared" si="20"/>
        <v>0</v>
      </c>
      <c r="D152" s="205" t="str">
        <f t="shared" si="17"/>
        <v>$$$$</v>
      </c>
      <c r="E152" s="224"/>
      <c r="F152" s="225"/>
      <c r="G152" s="226"/>
      <c r="H152" s="227"/>
      <c r="I152" s="228"/>
      <c r="J152" s="228"/>
      <c r="K152" s="229"/>
      <c r="L152" s="230"/>
      <c r="M152" s="231"/>
      <c r="N152" s="232"/>
      <c r="O152" s="230"/>
      <c r="P152" s="231"/>
      <c r="Q152" s="232"/>
      <c r="R152" s="233"/>
      <c r="S152" s="234"/>
      <c r="T152" s="235"/>
      <c r="U152" s="233"/>
      <c r="V152" s="236"/>
      <c r="W152" s="234"/>
      <c r="X152" s="235"/>
      <c r="Y152" s="237"/>
      <c r="Z152" s="238"/>
    </row>
    <row r="153" spans="1:26" s="239" customFormat="1" ht="28.5" customHeight="1" x14ac:dyDescent="0.3">
      <c r="A153" s="222">
        <f t="shared" si="18"/>
        <v>0</v>
      </c>
      <c r="B153" s="223" t="b">
        <f t="shared" si="19"/>
        <v>1</v>
      </c>
      <c r="C153" s="222">
        <f t="shared" si="20"/>
        <v>0</v>
      </c>
      <c r="D153" s="205" t="str">
        <f t="shared" si="17"/>
        <v>$$$$</v>
      </c>
      <c r="E153" s="224"/>
      <c r="F153" s="225"/>
      <c r="G153" s="226"/>
      <c r="H153" s="227"/>
      <c r="I153" s="228"/>
      <c r="J153" s="228"/>
      <c r="K153" s="229"/>
      <c r="L153" s="230"/>
      <c r="M153" s="231"/>
      <c r="N153" s="232"/>
      <c r="O153" s="230"/>
      <c r="P153" s="231"/>
      <c r="Q153" s="232"/>
      <c r="R153" s="233"/>
      <c r="S153" s="234"/>
      <c r="T153" s="235"/>
      <c r="U153" s="233"/>
      <c r="V153" s="236"/>
      <c r="W153" s="234"/>
      <c r="X153" s="235"/>
      <c r="Y153" s="237"/>
      <c r="Z153" s="238"/>
    </row>
    <row r="154" spans="1:26" s="239" customFormat="1" ht="28.5" customHeight="1" x14ac:dyDescent="0.3">
      <c r="A154" s="222">
        <f t="shared" si="18"/>
        <v>0</v>
      </c>
      <c r="B154" s="223" t="b">
        <f t="shared" si="19"/>
        <v>1</v>
      </c>
      <c r="C154" s="222">
        <f t="shared" si="20"/>
        <v>0</v>
      </c>
      <c r="D154" s="205" t="str">
        <f t="shared" si="17"/>
        <v>$$$$</v>
      </c>
      <c r="E154" s="224"/>
      <c r="F154" s="225"/>
      <c r="G154" s="226"/>
      <c r="H154" s="227"/>
      <c r="I154" s="228"/>
      <c r="J154" s="228"/>
      <c r="K154" s="229"/>
      <c r="L154" s="230"/>
      <c r="M154" s="231"/>
      <c r="N154" s="232"/>
      <c r="O154" s="230"/>
      <c r="P154" s="231"/>
      <c r="Q154" s="232"/>
      <c r="R154" s="233"/>
      <c r="S154" s="234"/>
      <c r="T154" s="235"/>
      <c r="U154" s="233"/>
      <c r="V154" s="236"/>
      <c r="W154" s="234"/>
      <c r="X154" s="235"/>
      <c r="Y154" s="237"/>
      <c r="Z154" s="238"/>
    </row>
    <row r="155" spans="1:26" s="239" customFormat="1" ht="28.5" customHeight="1" x14ac:dyDescent="0.3">
      <c r="A155" s="222">
        <f>IF(B155,0,MATCH(H155,ВидыНагр,0))</f>
        <v>0</v>
      </c>
      <c r="B155" s="223" t="b">
        <f>(COUNTIF(КлючВесна,D155)&lt;&gt;1)</f>
        <v>1</v>
      </c>
      <c r="C155" s="222">
        <f t="shared" si="20"/>
        <v>0</v>
      </c>
      <c r="D155" s="205" t="str">
        <f>CONCATENATE("$",TRIM(F155),"$",TRIM(G155),"$",H155,"$")</f>
        <v>$$$$</v>
      </c>
      <c r="E155" s="224"/>
      <c r="F155" s="225"/>
      <c r="G155" s="226"/>
      <c r="H155" s="227"/>
      <c r="I155" s="228"/>
      <c r="J155" s="228"/>
      <c r="K155" s="229"/>
      <c r="L155" s="230"/>
      <c r="M155" s="231"/>
      <c r="N155" s="232"/>
      <c r="O155" s="230"/>
      <c r="P155" s="231"/>
      <c r="Q155" s="232"/>
      <c r="R155" s="233"/>
      <c r="S155" s="234"/>
      <c r="T155" s="235"/>
      <c r="U155" s="233"/>
      <c r="V155" s="236"/>
      <c r="W155" s="234"/>
      <c r="X155" s="235"/>
      <c r="Y155" s="237"/>
      <c r="Z155" s="238"/>
    </row>
    <row r="156" spans="1:26" s="239" customFormat="1" ht="28.5" customHeight="1" x14ac:dyDescent="0.3">
      <c r="A156" s="222">
        <f>IF(B156,0,MATCH(H156,ВидыНагр,0))</f>
        <v>0</v>
      </c>
      <c r="B156" s="223" t="b">
        <f>(COUNTIF(КлючВесна,D156)&lt;&gt;1)</f>
        <v>1</v>
      </c>
      <c r="C156" s="222">
        <f t="shared" si="20"/>
        <v>0</v>
      </c>
      <c r="D156" s="205" t="str">
        <f>CONCATENATE("$",TRIM(F156),"$",TRIM(G156),"$",H156,"$")</f>
        <v>$$$$</v>
      </c>
      <c r="E156" s="224"/>
      <c r="F156" s="225"/>
      <c r="G156" s="226"/>
      <c r="H156" s="227"/>
      <c r="I156" s="228"/>
      <c r="J156" s="228"/>
      <c r="K156" s="229"/>
      <c r="L156" s="230"/>
      <c r="M156" s="231"/>
      <c r="N156" s="232"/>
      <c r="O156" s="230"/>
      <c r="P156" s="231"/>
      <c r="Q156" s="232"/>
      <c r="R156" s="233"/>
      <c r="S156" s="234"/>
      <c r="T156" s="235"/>
      <c r="U156" s="233"/>
      <c r="V156" s="236"/>
      <c r="W156" s="234"/>
      <c r="X156" s="235"/>
      <c r="Y156" s="237"/>
      <c r="Z156" s="238"/>
    </row>
    <row r="157" spans="1:26" s="239" customFormat="1" ht="28.5" customHeight="1" x14ac:dyDescent="0.3">
      <c r="A157" s="222">
        <f t="shared" ref="A157:A158" si="21">IF(B157,0,MATCH(H157,ВидыНагр,0))</f>
        <v>0</v>
      </c>
      <c r="B157" s="223" t="b">
        <f t="shared" ref="B157:B158" si="22">(COUNTIF(КлючВесна,D157)&lt;&gt;1)</f>
        <v>1</v>
      </c>
      <c r="C157" s="222">
        <f t="shared" si="20"/>
        <v>0</v>
      </c>
      <c r="D157" s="205" t="str">
        <f t="shared" ref="D157:D158" si="23">CONCATENATE("$",TRIM(F157),"$",TRIM(G157),"$",H157,"$")</f>
        <v>$$$$</v>
      </c>
      <c r="E157" s="224"/>
      <c r="F157" s="225"/>
      <c r="G157" s="226"/>
      <c r="H157" s="227"/>
      <c r="I157" s="228"/>
      <c r="J157" s="228"/>
      <c r="K157" s="229"/>
      <c r="L157" s="230"/>
      <c r="M157" s="231"/>
      <c r="N157" s="232"/>
      <c r="O157" s="230"/>
      <c r="P157" s="231"/>
      <c r="Q157" s="232"/>
      <c r="R157" s="233"/>
      <c r="S157" s="234"/>
      <c r="T157" s="235"/>
      <c r="U157" s="233"/>
      <c r="V157" s="236"/>
      <c r="W157" s="234"/>
      <c r="X157" s="235"/>
      <c r="Y157" s="237"/>
      <c r="Z157" s="238"/>
    </row>
    <row r="158" spans="1:26" s="239" customFormat="1" ht="28.5" customHeight="1" x14ac:dyDescent="0.3">
      <c r="A158" s="222">
        <f t="shared" si="21"/>
        <v>0</v>
      </c>
      <c r="B158" s="223" t="b">
        <f t="shared" si="22"/>
        <v>1</v>
      </c>
      <c r="C158" s="222">
        <f t="shared" si="20"/>
        <v>0</v>
      </c>
      <c r="D158" s="205" t="str">
        <f t="shared" si="23"/>
        <v>$$$$</v>
      </c>
      <c r="E158" s="224"/>
      <c r="F158" s="225"/>
      <c r="G158" s="226"/>
      <c r="H158" s="227"/>
      <c r="I158" s="228"/>
      <c r="J158" s="228"/>
      <c r="K158" s="229"/>
      <c r="L158" s="230"/>
      <c r="M158" s="231"/>
      <c r="N158" s="232"/>
      <c r="O158" s="230"/>
      <c r="P158" s="231"/>
      <c r="Q158" s="232"/>
      <c r="R158" s="233"/>
      <c r="S158" s="234"/>
      <c r="T158" s="235"/>
      <c r="U158" s="233"/>
      <c r="V158" s="236"/>
      <c r="W158" s="234"/>
      <c r="X158" s="235"/>
      <c r="Y158" s="237"/>
      <c r="Z158" s="238"/>
    </row>
    <row r="159" spans="1:26" s="239" customFormat="1" ht="28.5" customHeight="1" x14ac:dyDescent="0.3">
      <c r="A159" s="222">
        <f t="shared" si="14"/>
        <v>0</v>
      </c>
      <c r="B159" s="223" t="b">
        <f t="shared" si="15"/>
        <v>1</v>
      </c>
      <c r="C159" s="222">
        <f t="shared" si="16"/>
        <v>0</v>
      </c>
      <c r="D159" s="205" t="str">
        <f t="shared" si="13"/>
        <v>$$$$</v>
      </c>
      <c r="E159" s="224"/>
      <c r="F159" s="225"/>
      <c r="G159" s="226"/>
      <c r="H159" s="227"/>
      <c r="I159" s="228"/>
      <c r="J159" s="228"/>
      <c r="K159" s="229"/>
      <c r="L159" s="230"/>
      <c r="M159" s="231"/>
      <c r="N159" s="232"/>
      <c r="O159" s="230"/>
      <c r="P159" s="231"/>
      <c r="Q159" s="232"/>
      <c r="R159" s="233"/>
      <c r="S159" s="234"/>
      <c r="T159" s="235"/>
      <c r="U159" s="233"/>
      <c r="V159" s="236"/>
      <c r="W159" s="234"/>
      <c r="X159" s="235"/>
      <c r="Y159" s="237"/>
      <c r="Z159" s="238"/>
    </row>
    <row r="160" spans="1:26" x14ac:dyDescent="0.3">
      <c r="D160" s="1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</row>
  </sheetData>
  <sheetProtection algorithmName="SHA-512" hashValue="RlP7Tamj8LP+F9UCZw7vLFnN29pDd79t73ob+yHNYant1Qt4GnoRE37s0LMSVdevgIIMclWW73ZRIvtbvrg7XA==" saltValue="iJKzGH6t6JDlnYiWQHSUSg==" spinCount="100000" sheet="1" objects="1" scenarios="1"/>
  <mergeCells count="5">
    <mergeCell ref="F2:F5"/>
    <mergeCell ref="G2:G5"/>
    <mergeCell ref="I2:J2"/>
    <mergeCell ref="I3:J3"/>
    <mergeCell ref="I4:J4"/>
  </mergeCells>
  <phoneticPr fontId="0" type="noConversion"/>
  <conditionalFormatting sqref="E7:Z159">
    <cfRule type="expression" dxfId="11" priority="3" stopIfTrue="1">
      <formula>($C7=0)</formula>
    </cfRule>
  </conditionalFormatting>
  <conditionalFormatting sqref="F7:H159">
    <cfRule type="expression" dxfId="10" priority="4" stopIfTrue="1">
      <formula>$B7</formula>
    </cfRule>
  </conditionalFormatting>
  <conditionalFormatting sqref="L6:Y6">
    <cfRule type="cellIs" dxfId="9" priority="1" stopIfTrue="1" operator="notEqual">
      <formula>0</formula>
    </cfRule>
  </conditionalFormatting>
  <conditionalFormatting sqref="F6:H6">
    <cfRule type="expression" dxfId="8" priority="2" stopIfTrue="1">
      <formula>$G$6&lt;&gt;0</formula>
    </cfRule>
  </conditionalFormatting>
  <conditionalFormatting sqref="L7:Y159">
    <cfRule type="expression" dxfId="7" priority="5" stopIfTrue="1">
      <formula>AND(NOT($B7),$C7&lt;2)</formula>
    </cfRule>
    <cfRule type="expression" dxfId="6" priority="6" stopIfTrue="1">
      <formula>AND($B7,L7&lt;&gt;0)</formula>
    </cfRule>
  </conditionalFormatting>
  <dataValidations count="4">
    <dataValidation type="list" allowBlank="1" showInputMessage="1" sqref="F7:F159">
      <formula1>OFFSET(ДисциплиныВесна,0,0,ДисциплиныВеснаКол,1)</formula1>
    </dataValidation>
    <dataValidation type="list" allowBlank="1" showInputMessage="1" sqref="G7:G159">
      <formula1>OFFSET(ГруппыВесна,0,0,ГруппыВеснаКол,1)</formula1>
    </dataValidation>
    <dataValidation type="list" allowBlank="1" showInputMessage="1" sqref="H7:H159">
      <formula1>ВидыНагр</formula1>
    </dataValidation>
    <dataValidation type="whole" allowBlank="1" showInputMessage="1" showErrorMessage="1" sqref="E7:E159">
      <formula1>1</formula1>
      <formula2>31</formula2>
    </dataValidation>
  </dataValidations>
  <printOptions horizontalCentered="1"/>
  <pageMargins left="0.39370078740157483" right="0.39370078740157483" top="1.1811023622047245" bottom="0.59055118110236227" header="0.98425196850393704" footer="0.39370078740157483"/>
  <pageSetup paperSize="9" scale="63" fitToHeight="10" orientation="landscape" r:id="rId1"/>
  <headerFooter>
    <oddHeader>&amp;L&amp;F&amp;C&amp;"Open Sans,полужирный"Месяц &amp;A &amp;"Open Sans,обычный"(с. &amp;P из &amp;N)&amp;R&amp;D  &amp;T</oddHeader>
  </headerFooter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1">
    <tabColor rgb="FF00CC99"/>
    <outlinePr summaryBelow="0" summaryRight="0"/>
    <pageSetUpPr fitToPage="1"/>
  </sheetPr>
  <dimension ref="A1:Z160"/>
  <sheetViews>
    <sheetView zoomScale="85" zoomScaleNormal="100" workbookViewId="0">
      <pane xSplit="8" ySplit="6" topLeftCell="I7" activePane="bottomRight" state="frozen"/>
      <selection activeCell="E7" sqref="E7"/>
      <selection pane="topRight" activeCell="E7" sqref="E7"/>
      <selection pane="bottomLeft" activeCell="E7" sqref="E7"/>
      <selection pane="bottomRight" activeCell="E7" sqref="E7"/>
    </sheetView>
  </sheetViews>
  <sheetFormatPr defaultRowHeight="14.25" x14ac:dyDescent="0.3"/>
  <cols>
    <col min="1" max="3" width="4.7109375" style="4" hidden="1" customWidth="1"/>
    <col min="4" max="4" width="30.7109375" style="240" hidden="1" customWidth="1"/>
    <col min="5" max="5" width="4.7109375" style="167" customWidth="1"/>
    <col min="6" max="6" width="32.7109375" style="241" customWidth="1"/>
    <col min="7" max="7" width="18.7109375" style="241" customWidth="1"/>
    <col min="8" max="8" width="6.7109375" style="241" customWidth="1"/>
    <col min="9" max="10" width="4.7109375" style="241" customWidth="1"/>
    <col min="11" max="11" width="40.7109375" style="242" customWidth="1"/>
    <col min="12" max="25" width="6.85546875" style="167" customWidth="1"/>
    <col min="26" max="26" width="30.7109375" style="2" customWidth="1"/>
    <col min="27" max="27" width="2.7109375" style="2" customWidth="1"/>
    <col min="28" max="16384" width="9.140625" style="2"/>
  </cols>
  <sheetData>
    <row r="1" spans="1:26" ht="112.5" customHeight="1" x14ac:dyDescent="0.3">
      <c r="A1" s="169" t="s">
        <v>77</v>
      </c>
      <c r="B1" s="169" t="s">
        <v>114</v>
      </c>
      <c r="C1" s="169" t="s">
        <v>113</v>
      </c>
      <c r="D1" s="191" t="s">
        <v>76</v>
      </c>
      <c r="E1" s="192" t="s">
        <v>116</v>
      </c>
      <c r="F1" s="193" t="s">
        <v>69</v>
      </c>
      <c r="G1" s="194" t="s">
        <v>100</v>
      </c>
      <c r="H1" s="195" t="s">
        <v>109</v>
      </c>
      <c r="I1" s="196" t="s">
        <v>102</v>
      </c>
      <c r="J1" s="197" t="s">
        <v>85</v>
      </c>
      <c r="K1" s="198" t="s">
        <v>81</v>
      </c>
      <c r="L1" s="199" t="s">
        <v>0</v>
      </c>
      <c r="M1" s="200" t="s">
        <v>68</v>
      </c>
      <c r="N1" s="195" t="s">
        <v>3</v>
      </c>
      <c r="O1" s="201" t="s">
        <v>1</v>
      </c>
      <c r="P1" s="200" t="s">
        <v>4</v>
      </c>
      <c r="Q1" s="195" t="s">
        <v>62</v>
      </c>
      <c r="R1" s="199" t="s">
        <v>252</v>
      </c>
      <c r="S1" s="202" t="s">
        <v>2</v>
      </c>
      <c r="T1" s="195" t="s">
        <v>205</v>
      </c>
      <c r="U1" s="201" t="s">
        <v>253</v>
      </c>
      <c r="V1" s="199" t="s">
        <v>254</v>
      </c>
      <c r="W1" s="202" t="s">
        <v>70</v>
      </c>
      <c r="X1" s="195" t="s">
        <v>138</v>
      </c>
      <c r="Y1" s="196" t="s">
        <v>5</v>
      </c>
      <c r="Z1" s="203" t="s">
        <v>29</v>
      </c>
    </row>
    <row r="2" spans="1:26" ht="17.100000000000001" customHeight="1" x14ac:dyDescent="0.3">
      <c r="A2" s="204">
        <f>MATCH(H2,ВидыНагр,0)</f>
        <v>1</v>
      </c>
      <c r="B2" s="204"/>
      <c r="C2" s="204"/>
      <c r="D2" s="205"/>
      <c r="E2" s="206"/>
      <c r="F2" s="390" t="s">
        <v>134</v>
      </c>
      <c r="G2" s="393">
        <f>SUM(L5:Y5)</f>
        <v>0</v>
      </c>
      <c r="H2" s="309" t="s">
        <v>111</v>
      </c>
      <c r="I2" s="396">
        <f>SUM(L2:Y2)</f>
        <v>0</v>
      </c>
      <c r="J2" s="397"/>
      <c r="K2" s="289"/>
      <c r="L2" s="58">
        <f t="shared" ref="L2:Y4" si="0">SUMIF($A$7:$A$159,$A2,L$7:L$159)</f>
        <v>0</v>
      </c>
      <c r="M2" s="59">
        <f t="shared" si="0"/>
        <v>0</v>
      </c>
      <c r="N2" s="60">
        <f t="shared" si="0"/>
        <v>0</v>
      </c>
      <c r="O2" s="58">
        <f t="shared" si="0"/>
        <v>0</v>
      </c>
      <c r="P2" s="59">
        <f t="shared" si="0"/>
        <v>0</v>
      </c>
      <c r="Q2" s="60">
        <f t="shared" si="0"/>
        <v>0</v>
      </c>
      <c r="R2" s="58">
        <f t="shared" si="0"/>
        <v>0</v>
      </c>
      <c r="S2" s="62">
        <f t="shared" si="0"/>
        <v>0</v>
      </c>
      <c r="T2" s="60">
        <f t="shared" si="0"/>
        <v>0</v>
      </c>
      <c r="U2" s="58">
        <f t="shared" si="0"/>
        <v>0</v>
      </c>
      <c r="V2" s="61">
        <f t="shared" si="0"/>
        <v>0</v>
      </c>
      <c r="W2" s="62">
        <f t="shared" si="0"/>
        <v>0</v>
      </c>
      <c r="X2" s="60">
        <f t="shared" si="0"/>
        <v>0</v>
      </c>
      <c r="Y2" s="41">
        <f t="shared" si="0"/>
        <v>0</v>
      </c>
      <c r="Z2" s="207"/>
    </row>
    <row r="3" spans="1:26" ht="17.100000000000001" customHeight="1" x14ac:dyDescent="0.3">
      <c r="A3" s="204">
        <f>MATCH(H3,ВидыНагр,0)</f>
        <v>2</v>
      </c>
      <c r="B3" s="204"/>
      <c r="C3" s="204"/>
      <c r="D3" s="205"/>
      <c r="E3" s="208"/>
      <c r="F3" s="391"/>
      <c r="G3" s="394"/>
      <c r="H3" s="309" t="s">
        <v>112</v>
      </c>
      <c r="I3" s="398">
        <f>SUM(L3:Y3)</f>
        <v>0</v>
      </c>
      <c r="J3" s="399"/>
      <c r="K3" s="291"/>
      <c r="L3" s="58">
        <f t="shared" si="0"/>
        <v>0</v>
      </c>
      <c r="M3" s="59">
        <f t="shared" si="0"/>
        <v>0</v>
      </c>
      <c r="N3" s="60">
        <f t="shared" si="0"/>
        <v>0</v>
      </c>
      <c r="O3" s="58">
        <f t="shared" si="0"/>
        <v>0</v>
      </c>
      <c r="P3" s="59">
        <f t="shared" si="0"/>
        <v>0</v>
      </c>
      <c r="Q3" s="60">
        <f t="shared" si="0"/>
        <v>0</v>
      </c>
      <c r="R3" s="58">
        <f t="shared" si="0"/>
        <v>0</v>
      </c>
      <c r="S3" s="62">
        <f t="shared" si="0"/>
        <v>0</v>
      </c>
      <c r="T3" s="60">
        <f t="shared" si="0"/>
        <v>0</v>
      </c>
      <c r="U3" s="58">
        <f t="shared" si="0"/>
        <v>0</v>
      </c>
      <c r="V3" s="61">
        <f t="shared" si="0"/>
        <v>0</v>
      </c>
      <c r="W3" s="62">
        <f t="shared" si="0"/>
        <v>0</v>
      </c>
      <c r="X3" s="60">
        <f t="shared" si="0"/>
        <v>0</v>
      </c>
      <c r="Y3" s="41">
        <f t="shared" si="0"/>
        <v>0</v>
      </c>
      <c r="Z3" s="207"/>
    </row>
    <row r="4" spans="1:26" ht="17.100000000000001" customHeight="1" x14ac:dyDescent="0.3">
      <c r="A4" s="204">
        <f>MATCH(H4,ВидыНагр,0)</f>
        <v>3</v>
      </c>
      <c r="B4" s="204"/>
      <c r="C4" s="204"/>
      <c r="D4" s="205"/>
      <c r="E4" s="208"/>
      <c r="F4" s="391"/>
      <c r="G4" s="394"/>
      <c r="H4" s="310" t="s">
        <v>115</v>
      </c>
      <c r="I4" s="400">
        <f>SUM(L4:Y4)</f>
        <v>0</v>
      </c>
      <c r="J4" s="401"/>
      <c r="K4" s="293"/>
      <c r="L4" s="209">
        <f t="shared" si="0"/>
        <v>0</v>
      </c>
      <c r="M4" s="210">
        <f t="shared" si="0"/>
        <v>0</v>
      </c>
      <c r="N4" s="211">
        <f t="shared" si="0"/>
        <v>0</v>
      </c>
      <c r="O4" s="209">
        <f t="shared" si="0"/>
        <v>0</v>
      </c>
      <c r="P4" s="210">
        <f t="shared" si="0"/>
        <v>0</v>
      </c>
      <c r="Q4" s="211">
        <f t="shared" si="0"/>
        <v>0</v>
      </c>
      <c r="R4" s="209">
        <f t="shared" si="0"/>
        <v>0</v>
      </c>
      <c r="S4" s="212">
        <f t="shared" si="0"/>
        <v>0</v>
      </c>
      <c r="T4" s="211">
        <f t="shared" si="0"/>
        <v>0</v>
      </c>
      <c r="U4" s="209">
        <f t="shared" si="0"/>
        <v>0</v>
      </c>
      <c r="V4" s="213">
        <f t="shared" si="0"/>
        <v>0</v>
      </c>
      <c r="W4" s="212">
        <f t="shared" si="0"/>
        <v>0</v>
      </c>
      <c r="X4" s="211">
        <f t="shared" si="0"/>
        <v>0</v>
      </c>
      <c r="Y4" s="69">
        <f t="shared" si="0"/>
        <v>0</v>
      </c>
      <c r="Z4" s="207"/>
    </row>
    <row r="5" spans="1:26" ht="17.100000000000001" customHeight="1" x14ac:dyDescent="0.3">
      <c r="A5" s="204"/>
      <c r="B5" s="204"/>
      <c r="C5" s="204"/>
      <c r="D5" s="205"/>
      <c r="E5" s="208"/>
      <c r="F5" s="392"/>
      <c r="G5" s="395"/>
      <c r="H5" s="294" t="s">
        <v>6</v>
      </c>
      <c r="I5" s="295"/>
      <c r="J5" s="296"/>
      <c r="K5" s="297"/>
      <c r="L5" s="298">
        <f>SUM(L2:L4)</f>
        <v>0</v>
      </c>
      <c r="M5" s="299">
        <f t="shared" ref="M5:Y5" si="1">SUM(M2:M4)</f>
        <v>0</v>
      </c>
      <c r="N5" s="300">
        <f t="shared" si="1"/>
        <v>0</v>
      </c>
      <c r="O5" s="298">
        <f t="shared" si="1"/>
        <v>0</v>
      </c>
      <c r="P5" s="299">
        <f t="shared" si="1"/>
        <v>0</v>
      </c>
      <c r="Q5" s="300">
        <f t="shared" si="1"/>
        <v>0</v>
      </c>
      <c r="R5" s="298">
        <f t="shared" si="1"/>
        <v>0</v>
      </c>
      <c r="S5" s="301">
        <f t="shared" si="1"/>
        <v>0</v>
      </c>
      <c r="T5" s="300">
        <f t="shared" si="1"/>
        <v>0</v>
      </c>
      <c r="U5" s="298">
        <f t="shared" si="1"/>
        <v>0</v>
      </c>
      <c r="V5" s="302">
        <f t="shared" si="1"/>
        <v>0</v>
      </c>
      <c r="W5" s="301">
        <f t="shared" si="1"/>
        <v>0</v>
      </c>
      <c r="X5" s="300">
        <f t="shared" si="1"/>
        <v>0</v>
      </c>
      <c r="Y5" s="303">
        <f t="shared" si="1"/>
        <v>0</v>
      </c>
      <c r="Z5" s="214">
        <f>Утв_Весна</f>
        <v>0</v>
      </c>
    </row>
    <row r="6" spans="1:26" ht="17.100000000000001" customHeight="1" x14ac:dyDescent="0.3">
      <c r="A6" s="204"/>
      <c r="B6" s="204"/>
      <c r="C6" s="204"/>
      <c r="D6" s="205"/>
      <c r="E6" s="215"/>
      <c r="F6" s="304" t="s">
        <v>82</v>
      </c>
      <c r="G6" s="305">
        <f>SUM(L6:Y6)</f>
        <v>0</v>
      </c>
      <c r="H6" s="306"/>
      <c r="I6" s="307"/>
      <c r="J6" s="308"/>
      <c r="K6" s="297"/>
      <c r="L6" s="216">
        <f t="shared" ref="L6:Y6" si="2">SUM(L7:L159)-L5</f>
        <v>0</v>
      </c>
      <c r="M6" s="217">
        <f t="shared" si="2"/>
        <v>0</v>
      </c>
      <c r="N6" s="218">
        <f t="shared" si="2"/>
        <v>0</v>
      </c>
      <c r="O6" s="216">
        <f t="shared" si="2"/>
        <v>0</v>
      </c>
      <c r="P6" s="217">
        <f t="shared" si="2"/>
        <v>0</v>
      </c>
      <c r="Q6" s="218">
        <f t="shared" si="2"/>
        <v>0</v>
      </c>
      <c r="R6" s="216">
        <f t="shared" si="2"/>
        <v>0</v>
      </c>
      <c r="S6" s="219">
        <f t="shared" si="2"/>
        <v>0</v>
      </c>
      <c r="T6" s="218">
        <f t="shared" si="2"/>
        <v>0</v>
      </c>
      <c r="U6" s="216">
        <f t="shared" si="2"/>
        <v>0</v>
      </c>
      <c r="V6" s="220">
        <f t="shared" si="2"/>
        <v>0</v>
      </c>
      <c r="W6" s="219">
        <f t="shared" si="2"/>
        <v>0</v>
      </c>
      <c r="X6" s="218">
        <f t="shared" si="2"/>
        <v>0</v>
      </c>
      <c r="Y6" s="216">
        <f t="shared" si="2"/>
        <v>0</v>
      </c>
      <c r="Z6" s="221"/>
    </row>
    <row r="7" spans="1:26" s="239" customFormat="1" ht="28.5" customHeight="1" x14ac:dyDescent="0.3">
      <c r="A7" s="222">
        <f t="shared" ref="A7:A38" si="3">IF(B7,0,MATCH(H7,ВидыНагр,0))</f>
        <v>0</v>
      </c>
      <c r="B7" s="223" t="b">
        <f t="shared" ref="B7:B38" si="4">(COUNTIF(КлючВесна,D7)&lt;&gt;1)</f>
        <v>1</v>
      </c>
      <c r="C7" s="222">
        <f t="shared" ref="C7:C38" si="5">IF(COUNTA(E7:K7,Z7)&gt;0,1,0)+IF(COUNTA(L7:Y7)&gt;0,2,0)</f>
        <v>0</v>
      </c>
      <c r="D7" s="205" t="str">
        <f>CONCATENATE("$",TRIM(F7),"$",TRIM(G7),"$",H7,"$")</f>
        <v>$$$$</v>
      </c>
      <c r="E7" s="224"/>
      <c r="F7" s="225"/>
      <c r="G7" s="226"/>
      <c r="H7" s="227"/>
      <c r="I7" s="228"/>
      <c r="J7" s="228"/>
      <c r="K7" s="229"/>
      <c r="L7" s="230"/>
      <c r="M7" s="231"/>
      <c r="N7" s="232"/>
      <c r="O7" s="230"/>
      <c r="P7" s="231"/>
      <c r="Q7" s="232"/>
      <c r="R7" s="233"/>
      <c r="S7" s="234"/>
      <c r="T7" s="235"/>
      <c r="U7" s="233"/>
      <c r="V7" s="236"/>
      <c r="W7" s="234"/>
      <c r="X7" s="235"/>
      <c r="Y7" s="237"/>
      <c r="Z7" s="238"/>
    </row>
    <row r="8" spans="1:26" s="239" customFormat="1" ht="28.5" customHeight="1" x14ac:dyDescent="0.3">
      <c r="A8" s="222">
        <f t="shared" si="3"/>
        <v>0</v>
      </c>
      <c r="B8" s="223" t="b">
        <f t="shared" si="4"/>
        <v>1</v>
      </c>
      <c r="C8" s="222">
        <f t="shared" si="5"/>
        <v>0</v>
      </c>
      <c r="D8" s="205" t="str">
        <f t="shared" ref="D8:D71" si="6">CONCATENATE("$",TRIM(F8),"$",TRIM(G8),"$",H8,"$")</f>
        <v>$$$$</v>
      </c>
      <c r="E8" s="224"/>
      <c r="F8" s="225"/>
      <c r="G8" s="226"/>
      <c r="H8" s="227"/>
      <c r="I8" s="228"/>
      <c r="J8" s="228"/>
      <c r="K8" s="229"/>
      <c r="L8" s="230"/>
      <c r="M8" s="231"/>
      <c r="N8" s="232"/>
      <c r="O8" s="230"/>
      <c r="P8" s="231"/>
      <c r="Q8" s="232"/>
      <c r="R8" s="233"/>
      <c r="S8" s="234"/>
      <c r="T8" s="235"/>
      <c r="U8" s="233"/>
      <c r="V8" s="236"/>
      <c r="W8" s="234"/>
      <c r="X8" s="235"/>
      <c r="Y8" s="237"/>
      <c r="Z8" s="238"/>
    </row>
    <row r="9" spans="1:26" s="239" customFormat="1" ht="28.5" customHeight="1" x14ac:dyDescent="0.3">
      <c r="A9" s="222">
        <f t="shared" si="3"/>
        <v>0</v>
      </c>
      <c r="B9" s="223" t="b">
        <f t="shared" si="4"/>
        <v>1</v>
      </c>
      <c r="C9" s="222">
        <f t="shared" si="5"/>
        <v>0</v>
      </c>
      <c r="D9" s="205" t="str">
        <f t="shared" si="6"/>
        <v>$$$$</v>
      </c>
      <c r="E9" s="224"/>
      <c r="F9" s="225"/>
      <c r="G9" s="226"/>
      <c r="H9" s="227"/>
      <c r="I9" s="228"/>
      <c r="J9" s="228"/>
      <c r="K9" s="229"/>
      <c r="L9" s="230"/>
      <c r="M9" s="231"/>
      <c r="N9" s="232"/>
      <c r="O9" s="230"/>
      <c r="P9" s="231"/>
      <c r="Q9" s="232"/>
      <c r="R9" s="233"/>
      <c r="S9" s="234"/>
      <c r="T9" s="235"/>
      <c r="U9" s="233"/>
      <c r="V9" s="236"/>
      <c r="W9" s="234"/>
      <c r="X9" s="235"/>
      <c r="Y9" s="237"/>
      <c r="Z9" s="238"/>
    </row>
    <row r="10" spans="1:26" s="239" customFormat="1" ht="28.5" customHeight="1" x14ac:dyDescent="0.3">
      <c r="A10" s="222">
        <f t="shared" si="3"/>
        <v>0</v>
      </c>
      <c r="B10" s="223" t="b">
        <f t="shared" si="4"/>
        <v>1</v>
      </c>
      <c r="C10" s="222">
        <f t="shared" si="5"/>
        <v>0</v>
      </c>
      <c r="D10" s="205" t="str">
        <f t="shared" si="6"/>
        <v>$$$$</v>
      </c>
      <c r="E10" s="224"/>
      <c r="F10" s="225"/>
      <c r="G10" s="226"/>
      <c r="H10" s="227"/>
      <c r="I10" s="228"/>
      <c r="J10" s="228"/>
      <c r="K10" s="229"/>
      <c r="L10" s="230"/>
      <c r="M10" s="231"/>
      <c r="N10" s="232"/>
      <c r="O10" s="230"/>
      <c r="P10" s="231"/>
      <c r="Q10" s="232"/>
      <c r="R10" s="233"/>
      <c r="S10" s="234"/>
      <c r="T10" s="235"/>
      <c r="U10" s="233"/>
      <c r="V10" s="236"/>
      <c r="W10" s="234"/>
      <c r="X10" s="235"/>
      <c r="Y10" s="237"/>
      <c r="Z10" s="238"/>
    </row>
    <row r="11" spans="1:26" s="239" customFormat="1" ht="28.5" customHeight="1" x14ac:dyDescent="0.3">
      <c r="A11" s="222">
        <f t="shared" si="3"/>
        <v>0</v>
      </c>
      <c r="B11" s="223" t="b">
        <f t="shared" si="4"/>
        <v>1</v>
      </c>
      <c r="C11" s="222">
        <f t="shared" si="5"/>
        <v>0</v>
      </c>
      <c r="D11" s="205" t="str">
        <f t="shared" si="6"/>
        <v>$$$$</v>
      </c>
      <c r="E11" s="224"/>
      <c r="F11" s="225"/>
      <c r="G11" s="226"/>
      <c r="H11" s="227"/>
      <c r="I11" s="228"/>
      <c r="J11" s="228"/>
      <c r="K11" s="229"/>
      <c r="L11" s="230"/>
      <c r="M11" s="231"/>
      <c r="N11" s="232"/>
      <c r="O11" s="230"/>
      <c r="P11" s="231"/>
      <c r="Q11" s="232"/>
      <c r="R11" s="233"/>
      <c r="S11" s="234"/>
      <c r="T11" s="235"/>
      <c r="U11" s="233"/>
      <c r="V11" s="236"/>
      <c r="W11" s="234"/>
      <c r="X11" s="235"/>
      <c r="Y11" s="237"/>
      <c r="Z11" s="238"/>
    </row>
    <row r="12" spans="1:26" s="239" customFormat="1" ht="28.5" customHeight="1" x14ac:dyDescent="0.3">
      <c r="A12" s="222">
        <f t="shared" si="3"/>
        <v>0</v>
      </c>
      <c r="B12" s="223" t="b">
        <f t="shared" si="4"/>
        <v>1</v>
      </c>
      <c r="C12" s="222">
        <f t="shared" si="5"/>
        <v>0</v>
      </c>
      <c r="D12" s="205" t="str">
        <f t="shared" si="6"/>
        <v>$$$$</v>
      </c>
      <c r="E12" s="224"/>
      <c r="F12" s="225"/>
      <c r="G12" s="226"/>
      <c r="H12" s="227"/>
      <c r="I12" s="228"/>
      <c r="J12" s="228"/>
      <c r="K12" s="229"/>
      <c r="L12" s="230"/>
      <c r="M12" s="231"/>
      <c r="N12" s="232"/>
      <c r="O12" s="230"/>
      <c r="P12" s="231"/>
      <c r="Q12" s="232"/>
      <c r="R12" s="233"/>
      <c r="S12" s="234"/>
      <c r="T12" s="235"/>
      <c r="U12" s="233"/>
      <c r="V12" s="236"/>
      <c r="W12" s="234"/>
      <c r="X12" s="235"/>
      <c r="Y12" s="237"/>
      <c r="Z12" s="238"/>
    </row>
    <row r="13" spans="1:26" s="239" customFormat="1" ht="28.5" customHeight="1" x14ac:dyDescent="0.3">
      <c r="A13" s="222">
        <f t="shared" si="3"/>
        <v>0</v>
      </c>
      <c r="B13" s="223" t="b">
        <f t="shared" si="4"/>
        <v>1</v>
      </c>
      <c r="C13" s="222">
        <f t="shared" si="5"/>
        <v>0</v>
      </c>
      <c r="D13" s="205" t="str">
        <f t="shared" si="6"/>
        <v>$$$$</v>
      </c>
      <c r="E13" s="224"/>
      <c r="F13" s="225"/>
      <c r="G13" s="226"/>
      <c r="H13" s="227"/>
      <c r="I13" s="228"/>
      <c r="J13" s="228"/>
      <c r="K13" s="229"/>
      <c r="L13" s="230"/>
      <c r="M13" s="231"/>
      <c r="N13" s="232"/>
      <c r="O13" s="230"/>
      <c r="P13" s="231"/>
      <c r="Q13" s="232"/>
      <c r="R13" s="233"/>
      <c r="S13" s="234"/>
      <c r="T13" s="235"/>
      <c r="U13" s="233"/>
      <c r="V13" s="236"/>
      <c r="W13" s="234"/>
      <c r="X13" s="235"/>
      <c r="Y13" s="237"/>
      <c r="Z13" s="238"/>
    </row>
    <row r="14" spans="1:26" s="239" customFormat="1" ht="28.5" customHeight="1" x14ac:dyDescent="0.3">
      <c r="A14" s="222">
        <f t="shared" si="3"/>
        <v>0</v>
      </c>
      <c r="B14" s="223" t="b">
        <f t="shared" si="4"/>
        <v>1</v>
      </c>
      <c r="C14" s="222">
        <f t="shared" si="5"/>
        <v>0</v>
      </c>
      <c r="D14" s="205" t="str">
        <f t="shared" si="6"/>
        <v>$$$$</v>
      </c>
      <c r="E14" s="224"/>
      <c r="F14" s="225"/>
      <c r="G14" s="226"/>
      <c r="H14" s="227"/>
      <c r="I14" s="228"/>
      <c r="J14" s="228"/>
      <c r="K14" s="229"/>
      <c r="L14" s="230"/>
      <c r="M14" s="231"/>
      <c r="N14" s="232"/>
      <c r="O14" s="230"/>
      <c r="P14" s="231"/>
      <c r="Q14" s="232"/>
      <c r="R14" s="233"/>
      <c r="S14" s="234"/>
      <c r="T14" s="235"/>
      <c r="U14" s="233"/>
      <c r="V14" s="236"/>
      <c r="W14" s="234"/>
      <c r="X14" s="235"/>
      <c r="Y14" s="237"/>
      <c r="Z14" s="238"/>
    </row>
    <row r="15" spans="1:26" s="239" customFormat="1" ht="28.5" customHeight="1" x14ac:dyDescent="0.3">
      <c r="A15" s="222">
        <f t="shared" si="3"/>
        <v>0</v>
      </c>
      <c r="B15" s="223" t="b">
        <f t="shared" si="4"/>
        <v>1</v>
      </c>
      <c r="C15" s="222">
        <f t="shared" si="5"/>
        <v>0</v>
      </c>
      <c r="D15" s="205" t="str">
        <f t="shared" si="6"/>
        <v>$$$$</v>
      </c>
      <c r="E15" s="224"/>
      <c r="F15" s="225"/>
      <c r="G15" s="226"/>
      <c r="H15" s="227"/>
      <c r="I15" s="228"/>
      <c r="J15" s="228"/>
      <c r="K15" s="229"/>
      <c r="L15" s="230"/>
      <c r="M15" s="231"/>
      <c r="N15" s="232"/>
      <c r="O15" s="230"/>
      <c r="P15" s="231"/>
      <c r="Q15" s="232"/>
      <c r="R15" s="233"/>
      <c r="S15" s="234"/>
      <c r="T15" s="235"/>
      <c r="U15" s="233"/>
      <c r="V15" s="236"/>
      <c r="W15" s="234"/>
      <c r="X15" s="235"/>
      <c r="Y15" s="237"/>
      <c r="Z15" s="238"/>
    </row>
    <row r="16" spans="1:26" s="239" customFormat="1" ht="28.5" customHeight="1" x14ac:dyDescent="0.3">
      <c r="A16" s="222">
        <f t="shared" si="3"/>
        <v>0</v>
      </c>
      <c r="B16" s="223" t="b">
        <f t="shared" si="4"/>
        <v>1</v>
      </c>
      <c r="C16" s="222">
        <f t="shared" si="5"/>
        <v>0</v>
      </c>
      <c r="D16" s="205" t="str">
        <f t="shared" si="6"/>
        <v>$$$$</v>
      </c>
      <c r="E16" s="224"/>
      <c r="F16" s="225"/>
      <c r="G16" s="226"/>
      <c r="H16" s="227"/>
      <c r="I16" s="228"/>
      <c r="J16" s="228"/>
      <c r="K16" s="229"/>
      <c r="L16" s="230"/>
      <c r="M16" s="231"/>
      <c r="N16" s="232"/>
      <c r="O16" s="230"/>
      <c r="P16" s="231"/>
      <c r="Q16" s="232"/>
      <c r="R16" s="233"/>
      <c r="S16" s="234"/>
      <c r="T16" s="235"/>
      <c r="U16" s="233"/>
      <c r="V16" s="236"/>
      <c r="W16" s="234"/>
      <c r="X16" s="235"/>
      <c r="Y16" s="237"/>
      <c r="Z16" s="238"/>
    </row>
    <row r="17" spans="1:26" s="239" customFormat="1" ht="28.5" customHeight="1" x14ac:dyDescent="0.3">
      <c r="A17" s="222">
        <f t="shared" si="3"/>
        <v>0</v>
      </c>
      <c r="B17" s="223" t="b">
        <f t="shared" si="4"/>
        <v>1</v>
      </c>
      <c r="C17" s="222">
        <f t="shared" si="5"/>
        <v>0</v>
      </c>
      <c r="D17" s="205" t="str">
        <f t="shared" si="6"/>
        <v>$$$$</v>
      </c>
      <c r="E17" s="224"/>
      <c r="F17" s="225"/>
      <c r="G17" s="226"/>
      <c r="H17" s="227"/>
      <c r="I17" s="228"/>
      <c r="J17" s="228"/>
      <c r="K17" s="229"/>
      <c r="L17" s="230"/>
      <c r="M17" s="231"/>
      <c r="N17" s="232"/>
      <c r="O17" s="230"/>
      <c r="P17" s="231"/>
      <c r="Q17" s="232"/>
      <c r="R17" s="233"/>
      <c r="S17" s="234"/>
      <c r="T17" s="235"/>
      <c r="U17" s="233"/>
      <c r="V17" s="236"/>
      <c r="W17" s="234"/>
      <c r="X17" s="235"/>
      <c r="Y17" s="237"/>
      <c r="Z17" s="238"/>
    </row>
    <row r="18" spans="1:26" s="239" customFormat="1" ht="28.5" customHeight="1" x14ac:dyDescent="0.3">
      <c r="A18" s="222">
        <f t="shared" si="3"/>
        <v>0</v>
      </c>
      <c r="B18" s="223" t="b">
        <f t="shared" si="4"/>
        <v>1</v>
      </c>
      <c r="C18" s="222">
        <f t="shared" si="5"/>
        <v>0</v>
      </c>
      <c r="D18" s="205" t="str">
        <f t="shared" si="6"/>
        <v>$$$$</v>
      </c>
      <c r="E18" s="224"/>
      <c r="F18" s="225"/>
      <c r="G18" s="226"/>
      <c r="H18" s="227"/>
      <c r="I18" s="228"/>
      <c r="J18" s="228"/>
      <c r="K18" s="229"/>
      <c r="L18" s="230"/>
      <c r="M18" s="231"/>
      <c r="N18" s="232"/>
      <c r="O18" s="230"/>
      <c r="P18" s="231"/>
      <c r="Q18" s="232"/>
      <c r="R18" s="233"/>
      <c r="S18" s="234"/>
      <c r="T18" s="235"/>
      <c r="U18" s="233"/>
      <c r="V18" s="236"/>
      <c r="W18" s="234"/>
      <c r="X18" s="235"/>
      <c r="Y18" s="237"/>
      <c r="Z18" s="238"/>
    </row>
    <row r="19" spans="1:26" s="239" customFormat="1" ht="28.5" customHeight="1" x14ac:dyDescent="0.3">
      <c r="A19" s="222">
        <f t="shared" si="3"/>
        <v>0</v>
      </c>
      <c r="B19" s="223" t="b">
        <f t="shared" si="4"/>
        <v>1</v>
      </c>
      <c r="C19" s="222">
        <f t="shared" si="5"/>
        <v>0</v>
      </c>
      <c r="D19" s="205" t="str">
        <f t="shared" si="6"/>
        <v>$$$$</v>
      </c>
      <c r="E19" s="224"/>
      <c r="F19" s="225"/>
      <c r="G19" s="226"/>
      <c r="H19" s="227"/>
      <c r="I19" s="228"/>
      <c r="J19" s="228"/>
      <c r="K19" s="229"/>
      <c r="L19" s="230"/>
      <c r="M19" s="231"/>
      <c r="N19" s="232"/>
      <c r="O19" s="230"/>
      <c r="P19" s="231"/>
      <c r="Q19" s="232"/>
      <c r="R19" s="233"/>
      <c r="S19" s="234"/>
      <c r="T19" s="235"/>
      <c r="U19" s="233"/>
      <c r="V19" s="236"/>
      <c r="W19" s="234"/>
      <c r="X19" s="235"/>
      <c r="Y19" s="237"/>
      <c r="Z19" s="238"/>
    </row>
    <row r="20" spans="1:26" s="239" customFormat="1" ht="28.5" customHeight="1" x14ac:dyDescent="0.3">
      <c r="A20" s="222">
        <f t="shared" si="3"/>
        <v>0</v>
      </c>
      <c r="B20" s="223" t="b">
        <f t="shared" si="4"/>
        <v>1</v>
      </c>
      <c r="C20" s="222">
        <f t="shared" si="5"/>
        <v>0</v>
      </c>
      <c r="D20" s="205" t="str">
        <f t="shared" si="6"/>
        <v>$$$$</v>
      </c>
      <c r="E20" s="224"/>
      <c r="F20" s="225"/>
      <c r="G20" s="226"/>
      <c r="H20" s="227"/>
      <c r="I20" s="228"/>
      <c r="J20" s="228"/>
      <c r="K20" s="229"/>
      <c r="L20" s="230"/>
      <c r="M20" s="231"/>
      <c r="N20" s="232"/>
      <c r="O20" s="230"/>
      <c r="P20" s="231"/>
      <c r="Q20" s="232"/>
      <c r="R20" s="233"/>
      <c r="S20" s="234"/>
      <c r="T20" s="235"/>
      <c r="U20" s="233"/>
      <c r="V20" s="236"/>
      <c r="W20" s="234"/>
      <c r="X20" s="235"/>
      <c r="Y20" s="237"/>
      <c r="Z20" s="238"/>
    </row>
    <row r="21" spans="1:26" s="239" customFormat="1" ht="28.5" customHeight="1" x14ac:dyDescent="0.3">
      <c r="A21" s="222">
        <f t="shared" si="3"/>
        <v>0</v>
      </c>
      <c r="B21" s="223" t="b">
        <f t="shared" si="4"/>
        <v>1</v>
      </c>
      <c r="C21" s="222">
        <f t="shared" si="5"/>
        <v>0</v>
      </c>
      <c r="D21" s="205" t="str">
        <f t="shared" si="6"/>
        <v>$$$$</v>
      </c>
      <c r="E21" s="224"/>
      <c r="F21" s="225"/>
      <c r="G21" s="226"/>
      <c r="H21" s="227"/>
      <c r="I21" s="228"/>
      <c r="J21" s="228"/>
      <c r="K21" s="229"/>
      <c r="L21" s="230"/>
      <c r="M21" s="231"/>
      <c r="N21" s="232"/>
      <c r="O21" s="230"/>
      <c r="P21" s="231"/>
      <c r="Q21" s="232"/>
      <c r="R21" s="233"/>
      <c r="S21" s="234"/>
      <c r="T21" s="235"/>
      <c r="U21" s="233"/>
      <c r="V21" s="236"/>
      <c r="W21" s="234"/>
      <c r="X21" s="235"/>
      <c r="Y21" s="237"/>
      <c r="Z21" s="238"/>
    </row>
    <row r="22" spans="1:26" s="239" customFormat="1" ht="28.5" customHeight="1" x14ac:dyDescent="0.3">
      <c r="A22" s="222">
        <f t="shared" si="3"/>
        <v>0</v>
      </c>
      <c r="B22" s="223" t="b">
        <f t="shared" si="4"/>
        <v>1</v>
      </c>
      <c r="C22" s="222">
        <f t="shared" si="5"/>
        <v>0</v>
      </c>
      <c r="D22" s="205" t="str">
        <f t="shared" si="6"/>
        <v>$$$$</v>
      </c>
      <c r="E22" s="224"/>
      <c r="F22" s="225"/>
      <c r="G22" s="226"/>
      <c r="H22" s="227"/>
      <c r="I22" s="228"/>
      <c r="J22" s="228"/>
      <c r="K22" s="229"/>
      <c r="L22" s="230"/>
      <c r="M22" s="231"/>
      <c r="N22" s="232"/>
      <c r="O22" s="230"/>
      <c r="P22" s="231"/>
      <c r="Q22" s="232"/>
      <c r="R22" s="233"/>
      <c r="S22" s="234"/>
      <c r="T22" s="235"/>
      <c r="U22" s="233"/>
      <c r="V22" s="236"/>
      <c r="W22" s="234"/>
      <c r="X22" s="235"/>
      <c r="Y22" s="237"/>
      <c r="Z22" s="238"/>
    </row>
    <row r="23" spans="1:26" s="239" customFormat="1" ht="28.5" customHeight="1" x14ac:dyDescent="0.3">
      <c r="A23" s="222">
        <f t="shared" si="3"/>
        <v>0</v>
      </c>
      <c r="B23" s="223" t="b">
        <f t="shared" si="4"/>
        <v>1</v>
      </c>
      <c r="C23" s="222">
        <f t="shared" si="5"/>
        <v>0</v>
      </c>
      <c r="D23" s="205" t="str">
        <f t="shared" si="6"/>
        <v>$$$$</v>
      </c>
      <c r="E23" s="224"/>
      <c r="F23" s="225"/>
      <c r="G23" s="226"/>
      <c r="H23" s="227"/>
      <c r="I23" s="228"/>
      <c r="J23" s="228"/>
      <c r="K23" s="229"/>
      <c r="L23" s="230"/>
      <c r="M23" s="231"/>
      <c r="N23" s="232"/>
      <c r="O23" s="230"/>
      <c r="P23" s="231"/>
      <c r="Q23" s="232"/>
      <c r="R23" s="233"/>
      <c r="S23" s="234"/>
      <c r="T23" s="235"/>
      <c r="U23" s="233"/>
      <c r="V23" s="236"/>
      <c r="W23" s="234"/>
      <c r="X23" s="235"/>
      <c r="Y23" s="237"/>
      <c r="Z23" s="238"/>
    </row>
    <row r="24" spans="1:26" s="239" customFormat="1" ht="28.5" customHeight="1" x14ac:dyDescent="0.3">
      <c r="A24" s="222">
        <f t="shared" si="3"/>
        <v>0</v>
      </c>
      <c r="B24" s="223" t="b">
        <f t="shared" si="4"/>
        <v>1</v>
      </c>
      <c r="C24" s="222">
        <f t="shared" si="5"/>
        <v>0</v>
      </c>
      <c r="D24" s="205" t="str">
        <f t="shared" si="6"/>
        <v>$$$$</v>
      </c>
      <c r="E24" s="224"/>
      <c r="F24" s="225"/>
      <c r="G24" s="226"/>
      <c r="H24" s="227"/>
      <c r="I24" s="228"/>
      <c r="J24" s="228"/>
      <c r="K24" s="229"/>
      <c r="L24" s="230"/>
      <c r="M24" s="231"/>
      <c r="N24" s="232"/>
      <c r="O24" s="230"/>
      <c r="P24" s="231"/>
      <c r="Q24" s="232"/>
      <c r="R24" s="233"/>
      <c r="S24" s="234"/>
      <c r="T24" s="235"/>
      <c r="U24" s="233"/>
      <c r="V24" s="236"/>
      <c r="W24" s="234"/>
      <c r="X24" s="235"/>
      <c r="Y24" s="237"/>
      <c r="Z24" s="238"/>
    </row>
    <row r="25" spans="1:26" s="239" customFormat="1" ht="28.5" customHeight="1" x14ac:dyDescent="0.3">
      <c r="A25" s="222">
        <f t="shared" si="3"/>
        <v>0</v>
      </c>
      <c r="B25" s="223" t="b">
        <f t="shared" si="4"/>
        <v>1</v>
      </c>
      <c r="C25" s="222">
        <f t="shared" si="5"/>
        <v>0</v>
      </c>
      <c r="D25" s="205" t="str">
        <f t="shared" si="6"/>
        <v>$$$$</v>
      </c>
      <c r="E25" s="224"/>
      <c r="F25" s="225"/>
      <c r="G25" s="226"/>
      <c r="H25" s="227"/>
      <c r="I25" s="228"/>
      <c r="J25" s="228"/>
      <c r="K25" s="229"/>
      <c r="L25" s="230"/>
      <c r="M25" s="231"/>
      <c r="N25" s="232"/>
      <c r="O25" s="230"/>
      <c r="P25" s="231"/>
      <c r="Q25" s="232"/>
      <c r="R25" s="233"/>
      <c r="S25" s="234"/>
      <c r="T25" s="235"/>
      <c r="U25" s="233"/>
      <c r="V25" s="236"/>
      <c r="W25" s="234"/>
      <c r="X25" s="235"/>
      <c r="Y25" s="237"/>
      <c r="Z25" s="238"/>
    </row>
    <row r="26" spans="1:26" s="239" customFormat="1" ht="28.5" customHeight="1" x14ac:dyDescent="0.3">
      <c r="A26" s="222">
        <f t="shared" si="3"/>
        <v>0</v>
      </c>
      <c r="B26" s="223" t="b">
        <f t="shared" si="4"/>
        <v>1</v>
      </c>
      <c r="C26" s="222">
        <f t="shared" si="5"/>
        <v>0</v>
      </c>
      <c r="D26" s="205" t="str">
        <f t="shared" si="6"/>
        <v>$$$$</v>
      </c>
      <c r="E26" s="224"/>
      <c r="F26" s="225"/>
      <c r="G26" s="226"/>
      <c r="H26" s="227"/>
      <c r="I26" s="228"/>
      <c r="J26" s="228"/>
      <c r="K26" s="229"/>
      <c r="L26" s="230"/>
      <c r="M26" s="231"/>
      <c r="N26" s="232"/>
      <c r="O26" s="230"/>
      <c r="P26" s="231"/>
      <c r="Q26" s="232"/>
      <c r="R26" s="233"/>
      <c r="S26" s="234"/>
      <c r="T26" s="235"/>
      <c r="U26" s="233"/>
      <c r="V26" s="236"/>
      <c r="W26" s="234"/>
      <c r="X26" s="235"/>
      <c r="Y26" s="237"/>
      <c r="Z26" s="238"/>
    </row>
    <row r="27" spans="1:26" s="239" customFormat="1" ht="28.5" customHeight="1" x14ac:dyDescent="0.3">
      <c r="A27" s="222">
        <f t="shared" si="3"/>
        <v>0</v>
      </c>
      <c r="B27" s="223" t="b">
        <f t="shared" si="4"/>
        <v>1</v>
      </c>
      <c r="C27" s="222">
        <f t="shared" si="5"/>
        <v>0</v>
      </c>
      <c r="D27" s="205" t="str">
        <f t="shared" si="6"/>
        <v>$$$$</v>
      </c>
      <c r="E27" s="224"/>
      <c r="F27" s="225"/>
      <c r="G27" s="226"/>
      <c r="H27" s="227"/>
      <c r="I27" s="228"/>
      <c r="J27" s="228"/>
      <c r="K27" s="229"/>
      <c r="L27" s="230"/>
      <c r="M27" s="231"/>
      <c r="N27" s="232"/>
      <c r="O27" s="230"/>
      <c r="P27" s="231"/>
      <c r="Q27" s="232"/>
      <c r="R27" s="233"/>
      <c r="S27" s="234"/>
      <c r="T27" s="235"/>
      <c r="U27" s="233"/>
      <c r="V27" s="236"/>
      <c r="W27" s="234"/>
      <c r="X27" s="235"/>
      <c r="Y27" s="237"/>
      <c r="Z27" s="238"/>
    </row>
    <row r="28" spans="1:26" s="239" customFormat="1" ht="28.5" customHeight="1" x14ac:dyDescent="0.3">
      <c r="A28" s="222">
        <f t="shared" si="3"/>
        <v>0</v>
      </c>
      <c r="B28" s="223" t="b">
        <f t="shared" si="4"/>
        <v>1</v>
      </c>
      <c r="C28" s="222">
        <f t="shared" si="5"/>
        <v>0</v>
      </c>
      <c r="D28" s="205" t="str">
        <f t="shared" si="6"/>
        <v>$$$$</v>
      </c>
      <c r="E28" s="224"/>
      <c r="F28" s="225"/>
      <c r="G28" s="226"/>
      <c r="H28" s="227"/>
      <c r="I28" s="228"/>
      <c r="J28" s="228"/>
      <c r="K28" s="229"/>
      <c r="L28" s="230"/>
      <c r="M28" s="231"/>
      <c r="N28" s="232"/>
      <c r="O28" s="230"/>
      <c r="P28" s="231"/>
      <c r="Q28" s="232"/>
      <c r="R28" s="233"/>
      <c r="S28" s="234"/>
      <c r="T28" s="235"/>
      <c r="U28" s="233"/>
      <c r="V28" s="236"/>
      <c r="W28" s="234"/>
      <c r="X28" s="235"/>
      <c r="Y28" s="237"/>
      <c r="Z28" s="238"/>
    </row>
    <row r="29" spans="1:26" s="239" customFormat="1" ht="28.5" customHeight="1" x14ac:dyDescent="0.3">
      <c r="A29" s="222">
        <f t="shared" si="3"/>
        <v>0</v>
      </c>
      <c r="B29" s="223" t="b">
        <f t="shared" si="4"/>
        <v>1</v>
      </c>
      <c r="C29" s="222">
        <f t="shared" si="5"/>
        <v>0</v>
      </c>
      <c r="D29" s="205" t="str">
        <f t="shared" si="6"/>
        <v>$$$$</v>
      </c>
      <c r="E29" s="224"/>
      <c r="F29" s="225"/>
      <c r="G29" s="226"/>
      <c r="H29" s="227"/>
      <c r="I29" s="228"/>
      <c r="J29" s="228"/>
      <c r="K29" s="229"/>
      <c r="L29" s="230"/>
      <c r="M29" s="231"/>
      <c r="N29" s="232"/>
      <c r="O29" s="230"/>
      <c r="P29" s="231"/>
      <c r="Q29" s="232"/>
      <c r="R29" s="233"/>
      <c r="S29" s="234"/>
      <c r="T29" s="235"/>
      <c r="U29" s="233"/>
      <c r="V29" s="236"/>
      <c r="W29" s="234"/>
      <c r="X29" s="235"/>
      <c r="Y29" s="237"/>
      <c r="Z29" s="238"/>
    </row>
    <row r="30" spans="1:26" s="239" customFormat="1" ht="28.5" customHeight="1" x14ac:dyDescent="0.3">
      <c r="A30" s="222">
        <f t="shared" si="3"/>
        <v>0</v>
      </c>
      <c r="B30" s="223" t="b">
        <f t="shared" si="4"/>
        <v>1</v>
      </c>
      <c r="C30" s="222">
        <f t="shared" si="5"/>
        <v>0</v>
      </c>
      <c r="D30" s="205" t="str">
        <f t="shared" si="6"/>
        <v>$$$$</v>
      </c>
      <c r="E30" s="224"/>
      <c r="F30" s="225"/>
      <c r="G30" s="226"/>
      <c r="H30" s="227"/>
      <c r="I30" s="228"/>
      <c r="J30" s="228"/>
      <c r="K30" s="229"/>
      <c r="L30" s="230"/>
      <c r="M30" s="231"/>
      <c r="N30" s="232"/>
      <c r="O30" s="230"/>
      <c r="P30" s="231"/>
      <c r="Q30" s="232"/>
      <c r="R30" s="233"/>
      <c r="S30" s="234"/>
      <c r="T30" s="235"/>
      <c r="U30" s="233"/>
      <c r="V30" s="236"/>
      <c r="W30" s="234"/>
      <c r="X30" s="235"/>
      <c r="Y30" s="237"/>
      <c r="Z30" s="238"/>
    </row>
    <row r="31" spans="1:26" s="239" customFormat="1" ht="28.5" customHeight="1" x14ac:dyDescent="0.3">
      <c r="A31" s="222">
        <f t="shared" si="3"/>
        <v>0</v>
      </c>
      <c r="B31" s="223" t="b">
        <f t="shared" si="4"/>
        <v>1</v>
      </c>
      <c r="C31" s="222">
        <f t="shared" si="5"/>
        <v>0</v>
      </c>
      <c r="D31" s="205" t="str">
        <f t="shared" si="6"/>
        <v>$$$$</v>
      </c>
      <c r="E31" s="224"/>
      <c r="F31" s="225"/>
      <c r="G31" s="226"/>
      <c r="H31" s="227"/>
      <c r="I31" s="228"/>
      <c r="J31" s="228"/>
      <c r="K31" s="229"/>
      <c r="L31" s="230"/>
      <c r="M31" s="231"/>
      <c r="N31" s="232"/>
      <c r="O31" s="230"/>
      <c r="P31" s="231"/>
      <c r="Q31" s="232"/>
      <c r="R31" s="233"/>
      <c r="S31" s="234"/>
      <c r="T31" s="235"/>
      <c r="U31" s="233"/>
      <c r="V31" s="236"/>
      <c r="W31" s="234"/>
      <c r="X31" s="235"/>
      <c r="Y31" s="237"/>
      <c r="Z31" s="238"/>
    </row>
    <row r="32" spans="1:26" s="239" customFormat="1" ht="28.5" customHeight="1" x14ac:dyDescent="0.3">
      <c r="A32" s="222">
        <f t="shared" si="3"/>
        <v>0</v>
      </c>
      <c r="B32" s="223" t="b">
        <f t="shared" si="4"/>
        <v>1</v>
      </c>
      <c r="C32" s="222">
        <f t="shared" si="5"/>
        <v>0</v>
      </c>
      <c r="D32" s="205" t="str">
        <f t="shared" si="6"/>
        <v>$$$$</v>
      </c>
      <c r="E32" s="224"/>
      <c r="F32" s="225"/>
      <c r="G32" s="226"/>
      <c r="H32" s="227"/>
      <c r="I32" s="228"/>
      <c r="J32" s="228"/>
      <c r="K32" s="229"/>
      <c r="L32" s="230"/>
      <c r="M32" s="231"/>
      <c r="N32" s="232"/>
      <c r="O32" s="230"/>
      <c r="P32" s="231"/>
      <c r="Q32" s="232"/>
      <c r="R32" s="233"/>
      <c r="S32" s="234"/>
      <c r="T32" s="235"/>
      <c r="U32" s="233"/>
      <c r="V32" s="236"/>
      <c r="W32" s="234"/>
      <c r="X32" s="235"/>
      <c r="Y32" s="237"/>
      <c r="Z32" s="238"/>
    </row>
    <row r="33" spans="1:26" s="239" customFormat="1" ht="28.5" customHeight="1" x14ac:dyDescent="0.3">
      <c r="A33" s="222">
        <f t="shared" si="3"/>
        <v>0</v>
      </c>
      <c r="B33" s="223" t="b">
        <f t="shared" si="4"/>
        <v>1</v>
      </c>
      <c r="C33" s="222">
        <f t="shared" si="5"/>
        <v>0</v>
      </c>
      <c r="D33" s="205" t="str">
        <f t="shared" si="6"/>
        <v>$$$$</v>
      </c>
      <c r="E33" s="224"/>
      <c r="F33" s="225"/>
      <c r="G33" s="226"/>
      <c r="H33" s="227"/>
      <c r="I33" s="228"/>
      <c r="J33" s="228"/>
      <c r="K33" s="229"/>
      <c r="L33" s="230"/>
      <c r="M33" s="231"/>
      <c r="N33" s="232"/>
      <c r="O33" s="230"/>
      <c r="P33" s="231"/>
      <c r="Q33" s="232"/>
      <c r="R33" s="233"/>
      <c r="S33" s="234"/>
      <c r="T33" s="235"/>
      <c r="U33" s="233"/>
      <c r="V33" s="236"/>
      <c r="W33" s="234"/>
      <c r="X33" s="235"/>
      <c r="Y33" s="237"/>
      <c r="Z33" s="238"/>
    </row>
    <row r="34" spans="1:26" s="239" customFormat="1" ht="28.5" customHeight="1" x14ac:dyDescent="0.3">
      <c r="A34" s="222">
        <f t="shared" si="3"/>
        <v>0</v>
      </c>
      <c r="B34" s="223" t="b">
        <f t="shared" si="4"/>
        <v>1</v>
      </c>
      <c r="C34" s="222">
        <f t="shared" si="5"/>
        <v>0</v>
      </c>
      <c r="D34" s="205" t="str">
        <f t="shared" si="6"/>
        <v>$$$$</v>
      </c>
      <c r="E34" s="224"/>
      <c r="F34" s="225"/>
      <c r="G34" s="226"/>
      <c r="H34" s="227"/>
      <c r="I34" s="228"/>
      <c r="J34" s="228"/>
      <c r="K34" s="229"/>
      <c r="L34" s="230"/>
      <c r="M34" s="231"/>
      <c r="N34" s="232"/>
      <c r="O34" s="230"/>
      <c r="P34" s="231"/>
      <c r="Q34" s="232"/>
      <c r="R34" s="233"/>
      <c r="S34" s="234"/>
      <c r="T34" s="235"/>
      <c r="U34" s="233"/>
      <c r="V34" s="236"/>
      <c r="W34" s="234"/>
      <c r="X34" s="235"/>
      <c r="Y34" s="237"/>
      <c r="Z34" s="238"/>
    </row>
    <row r="35" spans="1:26" s="239" customFormat="1" ht="28.5" customHeight="1" x14ac:dyDescent="0.3">
      <c r="A35" s="222">
        <f t="shared" si="3"/>
        <v>0</v>
      </c>
      <c r="B35" s="223" t="b">
        <f t="shared" si="4"/>
        <v>1</v>
      </c>
      <c r="C35" s="222">
        <f t="shared" si="5"/>
        <v>0</v>
      </c>
      <c r="D35" s="205" t="str">
        <f t="shared" si="6"/>
        <v>$$$$</v>
      </c>
      <c r="E35" s="224"/>
      <c r="F35" s="225"/>
      <c r="G35" s="226"/>
      <c r="H35" s="227"/>
      <c r="I35" s="228"/>
      <c r="J35" s="228"/>
      <c r="K35" s="229"/>
      <c r="L35" s="230"/>
      <c r="M35" s="231"/>
      <c r="N35" s="232"/>
      <c r="O35" s="230"/>
      <c r="P35" s="231"/>
      <c r="Q35" s="232"/>
      <c r="R35" s="233"/>
      <c r="S35" s="234"/>
      <c r="T35" s="235"/>
      <c r="U35" s="233"/>
      <c r="V35" s="236"/>
      <c r="W35" s="234"/>
      <c r="X35" s="235"/>
      <c r="Y35" s="237"/>
      <c r="Z35" s="238"/>
    </row>
    <row r="36" spans="1:26" s="239" customFormat="1" ht="28.5" customHeight="1" x14ac:dyDescent="0.3">
      <c r="A36" s="222">
        <f t="shared" si="3"/>
        <v>0</v>
      </c>
      <c r="B36" s="223" t="b">
        <f t="shared" si="4"/>
        <v>1</v>
      </c>
      <c r="C36" s="222">
        <f t="shared" si="5"/>
        <v>0</v>
      </c>
      <c r="D36" s="205" t="str">
        <f t="shared" si="6"/>
        <v>$$$$</v>
      </c>
      <c r="E36" s="224"/>
      <c r="F36" s="225"/>
      <c r="G36" s="226"/>
      <c r="H36" s="227"/>
      <c r="I36" s="228"/>
      <c r="J36" s="228"/>
      <c r="K36" s="229"/>
      <c r="L36" s="230"/>
      <c r="M36" s="231"/>
      <c r="N36" s="232"/>
      <c r="O36" s="230"/>
      <c r="P36" s="231"/>
      <c r="Q36" s="232"/>
      <c r="R36" s="233"/>
      <c r="S36" s="234"/>
      <c r="T36" s="235"/>
      <c r="U36" s="233"/>
      <c r="V36" s="236"/>
      <c r="W36" s="234"/>
      <c r="X36" s="235"/>
      <c r="Y36" s="237"/>
      <c r="Z36" s="238"/>
    </row>
    <row r="37" spans="1:26" s="239" customFormat="1" ht="28.5" customHeight="1" x14ac:dyDescent="0.3">
      <c r="A37" s="222">
        <f t="shared" si="3"/>
        <v>0</v>
      </c>
      <c r="B37" s="223" t="b">
        <f t="shared" si="4"/>
        <v>1</v>
      </c>
      <c r="C37" s="222">
        <f t="shared" si="5"/>
        <v>0</v>
      </c>
      <c r="D37" s="205" t="str">
        <f t="shared" si="6"/>
        <v>$$$$</v>
      </c>
      <c r="E37" s="224"/>
      <c r="F37" s="225"/>
      <c r="G37" s="226"/>
      <c r="H37" s="227"/>
      <c r="I37" s="228"/>
      <c r="J37" s="228"/>
      <c r="K37" s="229"/>
      <c r="L37" s="230"/>
      <c r="M37" s="231"/>
      <c r="N37" s="232"/>
      <c r="O37" s="230"/>
      <c r="P37" s="231"/>
      <c r="Q37" s="232"/>
      <c r="R37" s="233"/>
      <c r="S37" s="234"/>
      <c r="T37" s="235"/>
      <c r="U37" s="233"/>
      <c r="V37" s="236"/>
      <c r="W37" s="234"/>
      <c r="X37" s="235"/>
      <c r="Y37" s="237"/>
      <c r="Z37" s="238"/>
    </row>
    <row r="38" spans="1:26" s="239" customFormat="1" ht="28.5" customHeight="1" x14ac:dyDescent="0.3">
      <c r="A38" s="222">
        <f t="shared" si="3"/>
        <v>0</v>
      </c>
      <c r="B38" s="223" t="b">
        <f t="shared" si="4"/>
        <v>1</v>
      </c>
      <c r="C38" s="222">
        <f t="shared" si="5"/>
        <v>0</v>
      </c>
      <c r="D38" s="205" t="str">
        <f t="shared" si="6"/>
        <v>$$$$</v>
      </c>
      <c r="E38" s="224"/>
      <c r="F38" s="225"/>
      <c r="G38" s="226"/>
      <c r="H38" s="227"/>
      <c r="I38" s="228"/>
      <c r="J38" s="228"/>
      <c r="K38" s="229"/>
      <c r="L38" s="230"/>
      <c r="M38" s="231"/>
      <c r="N38" s="232"/>
      <c r="O38" s="230"/>
      <c r="P38" s="231"/>
      <c r="Q38" s="232"/>
      <c r="R38" s="233"/>
      <c r="S38" s="234"/>
      <c r="T38" s="235"/>
      <c r="U38" s="233"/>
      <c r="V38" s="236"/>
      <c r="W38" s="234"/>
      <c r="X38" s="235"/>
      <c r="Y38" s="237"/>
      <c r="Z38" s="238"/>
    </row>
    <row r="39" spans="1:26" s="239" customFormat="1" ht="28.5" customHeight="1" x14ac:dyDescent="0.3">
      <c r="A39" s="222">
        <f t="shared" ref="A39:A70" si="7">IF(B39,0,MATCH(H39,ВидыНагр,0))</f>
        <v>0</v>
      </c>
      <c r="B39" s="223" t="b">
        <f t="shared" ref="B39:B70" si="8">(COUNTIF(КлючВесна,D39)&lt;&gt;1)</f>
        <v>1</v>
      </c>
      <c r="C39" s="222">
        <f t="shared" ref="C39:C70" si="9">IF(COUNTA(E39:K39,Z39)&gt;0,1,0)+IF(COUNTA(L39:Y39)&gt;0,2,0)</f>
        <v>0</v>
      </c>
      <c r="D39" s="205" t="str">
        <f t="shared" si="6"/>
        <v>$$$$</v>
      </c>
      <c r="E39" s="224"/>
      <c r="F39" s="225"/>
      <c r="G39" s="226"/>
      <c r="H39" s="227"/>
      <c r="I39" s="228"/>
      <c r="J39" s="228"/>
      <c r="K39" s="229"/>
      <c r="L39" s="230"/>
      <c r="M39" s="231"/>
      <c r="N39" s="232"/>
      <c r="O39" s="230"/>
      <c r="P39" s="231"/>
      <c r="Q39" s="232"/>
      <c r="R39" s="233"/>
      <c r="S39" s="234"/>
      <c r="T39" s="235"/>
      <c r="U39" s="233"/>
      <c r="V39" s="236"/>
      <c r="W39" s="234"/>
      <c r="X39" s="235"/>
      <c r="Y39" s="237"/>
      <c r="Z39" s="238"/>
    </row>
    <row r="40" spans="1:26" s="239" customFormat="1" ht="28.5" customHeight="1" x14ac:dyDescent="0.3">
      <c r="A40" s="222">
        <f t="shared" si="7"/>
        <v>0</v>
      </c>
      <c r="B40" s="223" t="b">
        <f t="shared" si="8"/>
        <v>1</v>
      </c>
      <c r="C40" s="222">
        <f t="shared" si="9"/>
        <v>0</v>
      </c>
      <c r="D40" s="205" t="str">
        <f t="shared" si="6"/>
        <v>$$$$</v>
      </c>
      <c r="E40" s="224"/>
      <c r="F40" s="225"/>
      <c r="G40" s="226"/>
      <c r="H40" s="227"/>
      <c r="I40" s="228"/>
      <c r="J40" s="228"/>
      <c r="K40" s="229"/>
      <c r="L40" s="230"/>
      <c r="M40" s="231"/>
      <c r="N40" s="232"/>
      <c r="O40" s="230"/>
      <c r="P40" s="231"/>
      <c r="Q40" s="232"/>
      <c r="R40" s="233"/>
      <c r="S40" s="234"/>
      <c r="T40" s="235"/>
      <c r="U40" s="233"/>
      <c r="V40" s="236"/>
      <c r="W40" s="234"/>
      <c r="X40" s="235"/>
      <c r="Y40" s="237"/>
      <c r="Z40" s="238"/>
    </row>
    <row r="41" spans="1:26" s="239" customFormat="1" ht="28.5" customHeight="1" x14ac:dyDescent="0.3">
      <c r="A41" s="222">
        <f t="shared" si="7"/>
        <v>0</v>
      </c>
      <c r="B41" s="223" t="b">
        <f t="shared" si="8"/>
        <v>1</v>
      </c>
      <c r="C41" s="222">
        <f t="shared" si="9"/>
        <v>0</v>
      </c>
      <c r="D41" s="205" t="str">
        <f t="shared" si="6"/>
        <v>$$$$</v>
      </c>
      <c r="E41" s="224"/>
      <c r="F41" s="225"/>
      <c r="G41" s="226"/>
      <c r="H41" s="227"/>
      <c r="I41" s="228"/>
      <c r="J41" s="228"/>
      <c r="K41" s="229"/>
      <c r="L41" s="230"/>
      <c r="M41" s="231"/>
      <c r="N41" s="232"/>
      <c r="O41" s="230"/>
      <c r="P41" s="231"/>
      <c r="Q41" s="232"/>
      <c r="R41" s="233"/>
      <c r="S41" s="234"/>
      <c r="T41" s="235"/>
      <c r="U41" s="233"/>
      <c r="V41" s="236"/>
      <c r="W41" s="234"/>
      <c r="X41" s="235"/>
      <c r="Y41" s="237"/>
      <c r="Z41" s="238"/>
    </row>
    <row r="42" spans="1:26" s="239" customFormat="1" ht="28.5" customHeight="1" x14ac:dyDescent="0.3">
      <c r="A42" s="222">
        <f t="shared" si="7"/>
        <v>0</v>
      </c>
      <c r="B42" s="223" t="b">
        <f t="shared" si="8"/>
        <v>1</v>
      </c>
      <c r="C42" s="222">
        <f t="shared" si="9"/>
        <v>0</v>
      </c>
      <c r="D42" s="205" t="str">
        <f t="shared" si="6"/>
        <v>$$$$</v>
      </c>
      <c r="E42" s="224"/>
      <c r="F42" s="225"/>
      <c r="G42" s="226"/>
      <c r="H42" s="227"/>
      <c r="I42" s="228"/>
      <c r="J42" s="228"/>
      <c r="K42" s="229"/>
      <c r="L42" s="230"/>
      <c r="M42" s="231"/>
      <c r="N42" s="232"/>
      <c r="O42" s="230"/>
      <c r="P42" s="231"/>
      <c r="Q42" s="232"/>
      <c r="R42" s="233"/>
      <c r="S42" s="234"/>
      <c r="T42" s="235"/>
      <c r="U42" s="233"/>
      <c r="V42" s="236"/>
      <c r="W42" s="234"/>
      <c r="X42" s="235"/>
      <c r="Y42" s="237"/>
      <c r="Z42" s="238"/>
    </row>
    <row r="43" spans="1:26" s="239" customFormat="1" ht="28.5" customHeight="1" x14ac:dyDescent="0.3">
      <c r="A43" s="222">
        <f t="shared" si="7"/>
        <v>0</v>
      </c>
      <c r="B43" s="223" t="b">
        <f t="shared" si="8"/>
        <v>1</v>
      </c>
      <c r="C43" s="222">
        <f t="shared" si="9"/>
        <v>0</v>
      </c>
      <c r="D43" s="205" t="str">
        <f t="shared" si="6"/>
        <v>$$$$</v>
      </c>
      <c r="E43" s="224"/>
      <c r="F43" s="225"/>
      <c r="G43" s="226"/>
      <c r="H43" s="227"/>
      <c r="I43" s="228"/>
      <c r="J43" s="228"/>
      <c r="K43" s="229"/>
      <c r="L43" s="230"/>
      <c r="M43" s="231"/>
      <c r="N43" s="232"/>
      <c r="O43" s="230"/>
      <c r="P43" s="231"/>
      <c r="Q43" s="232"/>
      <c r="R43" s="233"/>
      <c r="S43" s="234"/>
      <c r="T43" s="235"/>
      <c r="U43" s="233"/>
      <c r="V43" s="236"/>
      <c r="W43" s="234"/>
      <c r="X43" s="235"/>
      <c r="Y43" s="237"/>
      <c r="Z43" s="238"/>
    </row>
    <row r="44" spans="1:26" s="239" customFormat="1" ht="28.5" customHeight="1" x14ac:dyDescent="0.3">
      <c r="A44" s="222">
        <f t="shared" si="7"/>
        <v>0</v>
      </c>
      <c r="B44" s="223" t="b">
        <f t="shared" si="8"/>
        <v>1</v>
      </c>
      <c r="C44" s="222">
        <f t="shared" si="9"/>
        <v>0</v>
      </c>
      <c r="D44" s="205" t="str">
        <f t="shared" si="6"/>
        <v>$$$$</v>
      </c>
      <c r="E44" s="224"/>
      <c r="F44" s="225"/>
      <c r="G44" s="226"/>
      <c r="H44" s="227"/>
      <c r="I44" s="228"/>
      <c r="J44" s="228"/>
      <c r="K44" s="229"/>
      <c r="L44" s="230"/>
      <c r="M44" s="231"/>
      <c r="N44" s="232"/>
      <c r="O44" s="230"/>
      <c r="P44" s="231"/>
      <c r="Q44" s="232"/>
      <c r="R44" s="233"/>
      <c r="S44" s="234"/>
      <c r="T44" s="235"/>
      <c r="U44" s="233"/>
      <c r="V44" s="236"/>
      <c r="W44" s="234"/>
      <c r="X44" s="235"/>
      <c r="Y44" s="237"/>
      <c r="Z44" s="238"/>
    </row>
    <row r="45" spans="1:26" s="239" customFormat="1" ht="28.5" customHeight="1" x14ac:dyDescent="0.3">
      <c r="A45" s="222">
        <f t="shared" si="7"/>
        <v>0</v>
      </c>
      <c r="B45" s="223" t="b">
        <f t="shared" si="8"/>
        <v>1</v>
      </c>
      <c r="C45" s="222">
        <f t="shared" si="9"/>
        <v>0</v>
      </c>
      <c r="D45" s="205" t="str">
        <f t="shared" si="6"/>
        <v>$$$$</v>
      </c>
      <c r="E45" s="224"/>
      <c r="F45" s="225"/>
      <c r="G45" s="226"/>
      <c r="H45" s="227"/>
      <c r="I45" s="228"/>
      <c r="J45" s="228"/>
      <c r="K45" s="229"/>
      <c r="L45" s="230"/>
      <c r="M45" s="231"/>
      <c r="N45" s="232"/>
      <c r="O45" s="230"/>
      <c r="P45" s="231"/>
      <c r="Q45" s="232"/>
      <c r="R45" s="233"/>
      <c r="S45" s="234"/>
      <c r="T45" s="235"/>
      <c r="U45" s="233"/>
      <c r="V45" s="236"/>
      <c r="W45" s="234"/>
      <c r="X45" s="235"/>
      <c r="Y45" s="237"/>
      <c r="Z45" s="238"/>
    </row>
    <row r="46" spans="1:26" s="239" customFormat="1" ht="28.5" customHeight="1" x14ac:dyDescent="0.3">
      <c r="A46" s="222">
        <f t="shared" si="7"/>
        <v>0</v>
      </c>
      <c r="B46" s="223" t="b">
        <f t="shared" si="8"/>
        <v>1</v>
      </c>
      <c r="C46" s="222">
        <f t="shared" si="9"/>
        <v>0</v>
      </c>
      <c r="D46" s="205" t="str">
        <f t="shared" si="6"/>
        <v>$$$$</v>
      </c>
      <c r="E46" s="224"/>
      <c r="F46" s="225"/>
      <c r="G46" s="226"/>
      <c r="H46" s="227"/>
      <c r="I46" s="228"/>
      <c r="J46" s="228"/>
      <c r="K46" s="229"/>
      <c r="L46" s="230"/>
      <c r="M46" s="231"/>
      <c r="N46" s="232"/>
      <c r="O46" s="230"/>
      <c r="P46" s="231"/>
      <c r="Q46" s="232"/>
      <c r="R46" s="233"/>
      <c r="S46" s="234"/>
      <c r="T46" s="235"/>
      <c r="U46" s="233"/>
      <c r="V46" s="236"/>
      <c r="W46" s="234"/>
      <c r="X46" s="235"/>
      <c r="Y46" s="237"/>
      <c r="Z46" s="238"/>
    </row>
    <row r="47" spans="1:26" s="239" customFormat="1" ht="28.5" customHeight="1" x14ac:dyDescent="0.3">
      <c r="A47" s="222">
        <f t="shared" si="7"/>
        <v>0</v>
      </c>
      <c r="B47" s="223" t="b">
        <f t="shared" si="8"/>
        <v>1</v>
      </c>
      <c r="C47" s="222">
        <f t="shared" si="9"/>
        <v>0</v>
      </c>
      <c r="D47" s="205" t="str">
        <f t="shared" si="6"/>
        <v>$$$$</v>
      </c>
      <c r="E47" s="224"/>
      <c r="F47" s="225"/>
      <c r="G47" s="226"/>
      <c r="H47" s="227"/>
      <c r="I47" s="228"/>
      <c r="J47" s="228"/>
      <c r="K47" s="229"/>
      <c r="L47" s="230"/>
      <c r="M47" s="231"/>
      <c r="N47" s="232"/>
      <c r="O47" s="230"/>
      <c r="P47" s="231"/>
      <c r="Q47" s="232"/>
      <c r="R47" s="233"/>
      <c r="S47" s="234"/>
      <c r="T47" s="235"/>
      <c r="U47" s="233"/>
      <c r="V47" s="236"/>
      <c r="W47" s="234"/>
      <c r="X47" s="235"/>
      <c r="Y47" s="237"/>
      <c r="Z47" s="238"/>
    </row>
    <row r="48" spans="1:26" s="239" customFormat="1" ht="28.5" customHeight="1" x14ac:dyDescent="0.3">
      <c r="A48" s="222">
        <f t="shared" si="7"/>
        <v>0</v>
      </c>
      <c r="B48" s="223" t="b">
        <f t="shared" si="8"/>
        <v>1</v>
      </c>
      <c r="C48" s="222">
        <f t="shared" si="9"/>
        <v>0</v>
      </c>
      <c r="D48" s="205" t="str">
        <f t="shared" si="6"/>
        <v>$$$$</v>
      </c>
      <c r="E48" s="224"/>
      <c r="F48" s="225"/>
      <c r="G48" s="226"/>
      <c r="H48" s="227"/>
      <c r="I48" s="228"/>
      <c r="J48" s="228"/>
      <c r="K48" s="229"/>
      <c r="L48" s="230"/>
      <c r="M48" s="231"/>
      <c r="N48" s="232"/>
      <c r="O48" s="230"/>
      <c r="P48" s="231"/>
      <c r="Q48" s="232"/>
      <c r="R48" s="233"/>
      <c r="S48" s="234"/>
      <c r="T48" s="235"/>
      <c r="U48" s="233"/>
      <c r="V48" s="236"/>
      <c r="W48" s="234"/>
      <c r="X48" s="235"/>
      <c r="Y48" s="237"/>
      <c r="Z48" s="238"/>
    </row>
    <row r="49" spans="1:26" s="239" customFormat="1" ht="28.5" customHeight="1" x14ac:dyDescent="0.3">
      <c r="A49" s="222">
        <f t="shared" si="7"/>
        <v>0</v>
      </c>
      <c r="B49" s="223" t="b">
        <f t="shared" si="8"/>
        <v>1</v>
      </c>
      <c r="C49" s="222">
        <f t="shared" si="9"/>
        <v>0</v>
      </c>
      <c r="D49" s="205" t="str">
        <f t="shared" si="6"/>
        <v>$$$$</v>
      </c>
      <c r="E49" s="224"/>
      <c r="F49" s="225"/>
      <c r="G49" s="226"/>
      <c r="H49" s="227"/>
      <c r="I49" s="228"/>
      <c r="J49" s="228"/>
      <c r="K49" s="229"/>
      <c r="L49" s="230"/>
      <c r="M49" s="231"/>
      <c r="N49" s="232"/>
      <c r="O49" s="230"/>
      <c r="P49" s="231"/>
      <c r="Q49" s="232"/>
      <c r="R49" s="233"/>
      <c r="S49" s="234"/>
      <c r="T49" s="235"/>
      <c r="U49" s="233"/>
      <c r="V49" s="236"/>
      <c r="W49" s="234"/>
      <c r="X49" s="235"/>
      <c r="Y49" s="237"/>
      <c r="Z49" s="238"/>
    </row>
    <row r="50" spans="1:26" s="239" customFormat="1" ht="28.5" customHeight="1" x14ac:dyDescent="0.3">
      <c r="A50" s="222">
        <f t="shared" si="7"/>
        <v>0</v>
      </c>
      <c r="B50" s="223" t="b">
        <f t="shared" si="8"/>
        <v>1</v>
      </c>
      <c r="C50" s="222">
        <f t="shared" si="9"/>
        <v>0</v>
      </c>
      <c r="D50" s="205" t="str">
        <f t="shared" si="6"/>
        <v>$$$$</v>
      </c>
      <c r="E50" s="224"/>
      <c r="F50" s="225"/>
      <c r="G50" s="226"/>
      <c r="H50" s="227"/>
      <c r="I50" s="228"/>
      <c r="J50" s="228"/>
      <c r="K50" s="229"/>
      <c r="L50" s="230"/>
      <c r="M50" s="231"/>
      <c r="N50" s="232"/>
      <c r="O50" s="230"/>
      <c r="P50" s="231"/>
      <c r="Q50" s="232"/>
      <c r="R50" s="233"/>
      <c r="S50" s="234"/>
      <c r="T50" s="235"/>
      <c r="U50" s="233"/>
      <c r="V50" s="236"/>
      <c r="W50" s="234"/>
      <c r="X50" s="235"/>
      <c r="Y50" s="237"/>
      <c r="Z50" s="238"/>
    </row>
    <row r="51" spans="1:26" s="239" customFormat="1" ht="28.5" customHeight="1" x14ac:dyDescent="0.3">
      <c r="A51" s="222">
        <f t="shared" si="7"/>
        <v>0</v>
      </c>
      <c r="B51" s="223" t="b">
        <f t="shared" si="8"/>
        <v>1</v>
      </c>
      <c r="C51" s="222">
        <f t="shared" si="9"/>
        <v>0</v>
      </c>
      <c r="D51" s="205" t="str">
        <f t="shared" si="6"/>
        <v>$$$$</v>
      </c>
      <c r="E51" s="224"/>
      <c r="F51" s="225"/>
      <c r="G51" s="226"/>
      <c r="H51" s="227"/>
      <c r="I51" s="228"/>
      <c r="J51" s="228"/>
      <c r="K51" s="229"/>
      <c r="L51" s="230"/>
      <c r="M51" s="231"/>
      <c r="N51" s="232"/>
      <c r="O51" s="230"/>
      <c r="P51" s="231"/>
      <c r="Q51" s="232"/>
      <c r="R51" s="233"/>
      <c r="S51" s="234"/>
      <c r="T51" s="235"/>
      <c r="U51" s="233"/>
      <c r="V51" s="236"/>
      <c r="W51" s="234"/>
      <c r="X51" s="235"/>
      <c r="Y51" s="237"/>
      <c r="Z51" s="238"/>
    </row>
    <row r="52" spans="1:26" s="239" customFormat="1" ht="28.5" customHeight="1" x14ac:dyDescent="0.3">
      <c r="A52" s="222">
        <f t="shared" si="7"/>
        <v>0</v>
      </c>
      <c r="B52" s="223" t="b">
        <f t="shared" si="8"/>
        <v>1</v>
      </c>
      <c r="C52" s="222">
        <f t="shared" si="9"/>
        <v>0</v>
      </c>
      <c r="D52" s="205" t="str">
        <f t="shared" si="6"/>
        <v>$$$$</v>
      </c>
      <c r="E52" s="224"/>
      <c r="F52" s="225"/>
      <c r="G52" s="226"/>
      <c r="H52" s="227"/>
      <c r="I52" s="228"/>
      <c r="J52" s="228"/>
      <c r="K52" s="229"/>
      <c r="L52" s="230"/>
      <c r="M52" s="231"/>
      <c r="N52" s="232"/>
      <c r="O52" s="230"/>
      <c r="P52" s="231"/>
      <c r="Q52" s="232"/>
      <c r="R52" s="233"/>
      <c r="S52" s="234"/>
      <c r="T52" s="235"/>
      <c r="U52" s="233"/>
      <c r="V52" s="236"/>
      <c r="W52" s="234"/>
      <c r="X52" s="235"/>
      <c r="Y52" s="237"/>
      <c r="Z52" s="238"/>
    </row>
    <row r="53" spans="1:26" s="239" customFormat="1" ht="28.5" customHeight="1" x14ac:dyDescent="0.3">
      <c r="A53" s="222">
        <f t="shared" si="7"/>
        <v>0</v>
      </c>
      <c r="B53" s="223" t="b">
        <f t="shared" si="8"/>
        <v>1</v>
      </c>
      <c r="C53" s="222">
        <f t="shared" si="9"/>
        <v>0</v>
      </c>
      <c r="D53" s="205" t="str">
        <f t="shared" si="6"/>
        <v>$$$$</v>
      </c>
      <c r="E53" s="224"/>
      <c r="F53" s="225"/>
      <c r="G53" s="226"/>
      <c r="H53" s="227"/>
      <c r="I53" s="228"/>
      <c r="J53" s="228"/>
      <c r="K53" s="229"/>
      <c r="L53" s="230"/>
      <c r="M53" s="231"/>
      <c r="N53" s="232"/>
      <c r="O53" s="230"/>
      <c r="P53" s="231"/>
      <c r="Q53" s="232"/>
      <c r="R53" s="233"/>
      <c r="S53" s="234"/>
      <c r="T53" s="235"/>
      <c r="U53" s="233"/>
      <c r="V53" s="236"/>
      <c r="W53" s="234"/>
      <c r="X53" s="235"/>
      <c r="Y53" s="237"/>
      <c r="Z53" s="238"/>
    </row>
    <row r="54" spans="1:26" s="239" customFormat="1" ht="28.5" customHeight="1" x14ac:dyDescent="0.3">
      <c r="A54" s="222">
        <f t="shared" si="7"/>
        <v>0</v>
      </c>
      <c r="B54" s="223" t="b">
        <f t="shared" si="8"/>
        <v>1</v>
      </c>
      <c r="C54" s="222">
        <f t="shared" si="9"/>
        <v>0</v>
      </c>
      <c r="D54" s="205" t="str">
        <f t="shared" si="6"/>
        <v>$$$$</v>
      </c>
      <c r="E54" s="224"/>
      <c r="F54" s="225"/>
      <c r="G54" s="226"/>
      <c r="H54" s="227"/>
      <c r="I54" s="228"/>
      <c r="J54" s="228"/>
      <c r="K54" s="229"/>
      <c r="L54" s="230"/>
      <c r="M54" s="231"/>
      <c r="N54" s="232"/>
      <c r="O54" s="230"/>
      <c r="P54" s="231"/>
      <c r="Q54" s="232"/>
      <c r="R54" s="233"/>
      <c r="S54" s="234"/>
      <c r="T54" s="235"/>
      <c r="U54" s="233"/>
      <c r="V54" s="236"/>
      <c r="W54" s="234"/>
      <c r="X54" s="235"/>
      <c r="Y54" s="237"/>
      <c r="Z54" s="238"/>
    </row>
    <row r="55" spans="1:26" s="239" customFormat="1" ht="28.5" customHeight="1" x14ac:dyDescent="0.3">
      <c r="A55" s="222">
        <f t="shared" si="7"/>
        <v>0</v>
      </c>
      <c r="B55" s="223" t="b">
        <f t="shared" si="8"/>
        <v>1</v>
      </c>
      <c r="C55" s="222">
        <f t="shared" si="9"/>
        <v>0</v>
      </c>
      <c r="D55" s="205" t="str">
        <f t="shared" si="6"/>
        <v>$$$$</v>
      </c>
      <c r="E55" s="224"/>
      <c r="F55" s="225"/>
      <c r="G55" s="226"/>
      <c r="H55" s="227"/>
      <c r="I55" s="228"/>
      <c r="J55" s="228"/>
      <c r="K55" s="229"/>
      <c r="L55" s="230"/>
      <c r="M55" s="231"/>
      <c r="N55" s="232"/>
      <c r="O55" s="230"/>
      <c r="P55" s="231"/>
      <c r="Q55" s="232"/>
      <c r="R55" s="233"/>
      <c r="S55" s="234"/>
      <c r="T55" s="235"/>
      <c r="U55" s="233"/>
      <c r="V55" s="236"/>
      <c r="W55" s="234"/>
      <c r="X55" s="235"/>
      <c r="Y55" s="237"/>
      <c r="Z55" s="238"/>
    </row>
    <row r="56" spans="1:26" s="239" customFormat="1" ht="28.5" customHeight="1" x14ac:dyDescent="0.3">
      <c r="A56" s="222">
        <f t="shared" si="7"/>
        <v>0</v>
      </c>
      <c r="B56" s="223" t="b">
        <f t="shared" si="8"/>
        <v>1</v>
      </c>
      <c r="C56" s="222">
        <f t="shared" si="9"/>
        <v>0</v>
      </c>
      <c r="D56" s="205" t="str">
        <f t="shared" si="6"/>
        <v>$$$$</v>
      </c>
      <c r="E56" s="224"/>
      <c r="F56" s="225"/>
      <c r="G56" s="226"/>
      <c r="H56" s="227"/>
      <c r="I56" s="228"/>
      <c r="J56" s="228"/>
      <c r="K56" s="229"/>
      <c r="L56" s="230"/>
      <c r="M56" s="231"/>
      <c r="N56" s="232"/>
      <c r="O56" s="230"/>
      <c r="P56" s="231"/>
      <c r="Q56" s="232"/>
      <c r="R56" s="233"/>
      <c r="S56" s="234"/>
      <c r="T56" s="235"/>
      <c r="U56" s="233"/>
      <c r="V56" s="236"/>
      <c r="W56" s="234"/>
      <c r="X56" s="235"/>
      <c r="Y56" s="237"/>
      <c r="Z56" s="238"/>
    </row>
    <row r="57" spans="1:26" s="239" customFormat="1" ht="28.5" customHeight="1" x14ac:dyDescent="0.3">
      <c r="A57" s="222">
        <f t="shared" si="7"/>
        <v>0</v>
      </c>
      <c r="B57" s="223" t="b">
        <f t="shared" si="8"/>
        <v>1</v>
      </c>
      <c r="C57" s="222">
        <f t="shared" si="9"/>
        <v>0</v>
      </c>
      <c r="D57" s="205" t="str">
        <f t="shared" si="6"/>
        <v>$$$$</v>
      </c>
      <c r="E57" s="224"/>
      <c r="F57" s="225"/>
      <c r="G57" s="226"/>
      <c r="H57" s="227"/>
      <c r="I57" s="228"/>
      <c r="J57" s="228"/>
      <c r="K57" s="229"/>
      <c r="L57" s="230"/>
      <c r="M57" s="231"/>
      <c r="N57" s="232"/>
      <c r="O57" s="230"/>
      <c r="P57" s="231"/>
      <c r="Q57" s="232"/>
      <c r="R57" s="233"/>
      <c r="S57" s="234"/>
      <c r="T57" s="235"/>
      <c r="U57" s="233"/>
      <c r="V57" s="236"/>
      <c r="W57" s="234"/>
      <c r="X57" s="235"/>
      <c r="Y57" s="237"/>
      <c r="Z57" s="238"/>
    </row>
    <row r="58" spans="1:26" s="239" customFormat="1" ht="28.5" customHeight="1" x14ac:dyDescent="0.3">
      <c r="A58" s="222">
        <f t="shared" si="7"/>
        <v>0</v>
      </c>
      <c r="B58" s="223" t="b">
        <f t="shared" si="8"/>
        <v>1</v>
      </c>
      <c r="C58" s="222">
        <f t="shared" si="9"/>
        <v>0</v>
      </c>
      <c r="D58" s="205" t="str">
        <f t="shared" si="6"/>
        <v>$$$$</v>
      </c>
      <c r="E58" s="224"/>
      <c r="F58" s="225"/>
      <c r="G58" s="226"/>
      <c r="H58" s="227"/>
      <c r="I58" s="228"/>
      <c r="J58" s="228"/>
      <c r="K58" s="229"/>
      <c r="L58" s="230"/>
      <c r="M58" s="231"/>
      <c r="N58" s="232"/>
      <c r="O58" s="230"/>
      <c r="P58" s="231"/>
      <c r="Q58" s="232"/>
      <c r="R58" s="233"/>
      <c r="S58" s="234"/>
      <c r="T58" s="235"/>
      <c r="U58" s="233"/>
      <c r="V58" s="236"/>
      <c r="W58" s="234"/>
      <c r="X58" s="235"/>
      <c r="Y58" s="237"/>
      <c r="Z58" s="238"/>
    </row>
    <row r="59" spans="1:26" s="239" customFormat="1" ht="28.5" customHeight="1" x14ac:dyDescent="0.3">
      <c r="A59" s="222">
        <f t="shared" si="7"/>
        <v>0</v>
      </c>
      <c r="B59" s="223" t="b">
        <f t="shared" si="8"/>
        <v>1</v>
      </c>
      <c r="C59" s="222">
        <f t="shared" si="9"/>
        <v>0</v>
      </c>
      <c r="D59" s="205" t="str">
        <f t="shared" si="6"/>
        <v>$$$$</v>
      </c>
      <c r="E59" s="224"/>
      <c r="F59" s="225"/>
      <c r="G59" s="226"/>
      <c r="H59" s="227"/>
      <c r="I59" s="228"/>
      <c r="J59" s="228"/>
      <c r="K59" s="229"/>
      <c r="L59" s="230"/>
      <c r="M59" s="231"/>
      <c r="N59" s="232"/>
      <c r="O59" s="230"/>
      <c r="P59" s="231"/>
      <c r="Q59" s="232"/>
      <c r="R59" s="233"/>
      <c r="S59" s="234"/>
      <c r="T59" s="235"/>
      <c r="U59" s="233"/>
      <c r="V59" s="236"/>
      <c r="W59" s="234"/>
      <c r="X59" s="235"/>
      <c r="Y59" s="237"/>
      <c r="Z59" s="238"/>
    </row>
    <row r="60" spans="1:26" s="239" customFormat="1" ht="28.5" customHeight="1" x14ac:dyDescent="0.3">
      <c r="A60" s="222">
        <f t="shared" si="7"/>
        <v>0</v>
      </c>
      <c r="B60" s="223" t="b">
        <f t="shared" si="8"/>
        <v>1</v>
      </c>
      <c r="C60" s="222">
        <f t="shared" si="9"/>
        <v>0</v>
      </c>
      <c r="D60" s="205" t="str">
        <f t="shared" si="6"/>
        <v>$$$$</v>
      </c>
      <c r="E60" s="224"/>
      <c r="F60" s="225"/>
      <c r="G60" s="226"/>
      <c r="H60" s="227"/>
      <c r="I60" s="228"/>
      <c r="J60" s="228"/>
      <c r="K60" s="229"/>
      <c r="L60" s="230"/>
      <c r="M60" s="231"/>
      <c r="N60" s="232"/>
      <c r="O60" s="230"/>
      <c r="P60" s="231"/>
      <c r="Q60" s="232"/>
      <c r="R60" s="233"/>
      <c r="S60" s="234"/>
      <c r="T60" s="235"/>
      <c r="U60" s="233"/>
      <c r="V60" s="236"/>
      <c r="W60" s="234"/>
      <c r="X60" s="235"/>
      <c r="Y60" s="237"/>
      <c r="Z60" s="238"/>
    </row>
    <row r="61" spans="1:26" s="239" customFormat="1" ht="28.5" customHeight="1" x14ac:dyDescent="0.3">
      <c r="A61" s="222">
        <f t="shared" si="7"/>
        <v>0</v>
      </c>
      <c r="B61" s="223" t="b">
        <f t="shared" si="8"/>
        <v>1</v>
      </c>
      <c r="C61" s="222">
        <f t="shared" si="9"/>
        <v>0</v>
      </c>
      <c r="D61" s="205" t="str">
        <f t="shared" si="6"/>
        <v>$$$$</v>
      </c>
      <c r="E61" s="224"/>
      <c r="F61" s="225"/>
      <c r="G61" s="226"/>
      <c r="H61" s="227"/>
      <c r="I61" s="228"/>
      <c r="J61" s="228"/>
      <c r="K61" s="229"/>
      <c r="L61" s="230"/>
      <c r="M61" s="231"/>
      <c r="N61" s="232"/>
      <c r="O61" s="230"/>
      <c r="P61" s="231"/>
      <c r="Q61" s="232"/>
      <c r="R61" s="233"/>
      <c r="S61" s="234"/>
      <c r="T61" s="235"/>
      <c r="U61" s="233"/>
      <c r="V61" s="236"/>
      <c r="W61" s="234"/>
      <c r="X61" s="235"/>
      <c r="Y61" s="237"/>
      <c r="Z61" s="238"/>
    </row>
    <row r="62" spans="1:26" s="239" customFormat="1" ht="28.5" customHeight="1" x14ac:dyDescent="0.3">
      <c r="A62" s="222">
        <f t="shared" si="7"/>
        <v>0</v>
      </c>
      <c r="B62" s="223" t="b">
        <f t="shared" si="8"/>
        <v>1</v>
      </c>
      <c r="C62" s="222">
        <f t="shared" si="9"/>
        <v>0</v>
      </c>
      <c r="D62" s="205" t="str">
        <f t="shared" si="6"/>
        <v>$$$$</v>
      </c>
      <c r="E62" s="224"/>
      <c r="F62" s="225"/>
      <c r="G62" s="226"/>
      <c r="H62" s="227"/>
      <c r="I62" s="228"/>
      <c r="J62" s="228"/>
      <c r="K62" s="229"/>
      <c r="L62" s="230"/>
      <c r="M62" s="231"/>
      <c r="N62" s="232"/>
      <c r="O62" s="230"/>
      <c r="P62" s="231"/>
      <c r="Q62" s="232"/>
      <c r="R62" s="233"/>
      <c r="S62" s="234"/>
      <c r="T62" s="235"/>
      <c r="U62" s="233"/>
      <c r="V62" s="236"/>
      <c r="W62" s="234"/>
      <c r="X62" s="235"/>
      <c r="Y62" s="237"/>
      <c r="Z62" s="238"/>
    </row>
    <row r="63" spans="1:26" s="239" customFormat="1" ht="28.5" customHeight="1" x14ac:dyDescent="0.3">
      <c r="A63" s="222">
        <f t="shared" si="7"/>
        <v>0</v>
      </c>
      <c r="B63" s="223" t="b">
        <f t="shared" si="8"/>
        <v>1</v>
      </c>
      <c r="C63" s="222">
        <f t="shared" si="9"/>
        <v>0</v>
      </c>
      <c r="D63" s="205" t="str">
        <f t="shared" si="6"/>
        <v>$$$$</v>
      </c>
      <c r="E63" s="224"/>
      <c r="F63" s="225"/>
      <c r="G63" s="226"/>
      <c r="H63" s="227"/>
      <c r="I63" s="228"/>
      <c r="J63" s="228"/>
      <c r="K63" s="229"/>
      <c r="L63" s="230"/>
      <c r="M63" s="231"/>
      <c r="N63" s="232"/>
      <c r="O63" s="230"/>
      <c r="P63" s="231"/>
      <c r="Q63" s="232"/>
      <c r="R63" s="233"/>
      <c r="S63" s="234"/>
      <c r="T63" s="235"/>
      <c r="U63" s="233"/>
      <c r="V63" s="236"/>
      <c r="W63" s="234"/>
      <c r="X63" s="235"/>
      <c r="Y63" s="237"/>
      <c r="Z63" s="238"/>
    </row>
    <row r="64" spans="1:26" s="239" customFormat="1" ht="28.5" customHeight="1" x14ac:dyDescent="0.3">
      <c r="A64" s="222">
        <f t="shared" si="7"/>
        <v>0</v>
      </c>
      <c r="B64" s="223" t="b">
        <f t="shared" si="8"/>
        <v>1</v>
      </c>
      <c r="C64" s="222">
        <f t="shared" si="9"/>
        <v>0</v>
      </c>
      <c r="D64" s="205" t="str">
        <f t="shared" si="6"/>
        <v>$$$$</v>
      </c>
      <c r="E64" s="224"/>
      <c r="F64" s="225"/>
      <c r="G64" s="226"/>
      <c r="H64" s="227"/>
      <c r="I64" s="228"/>
      <c r="J64" s="228"/>
      <c r="K64" s="229"/>
      <c r="L64" s="230"/>
      <c r="M64" s="231"/>
      <c r="N64" s="232"/>
      <c r="O64" s="230"/>
      <c r="P64" s="231"/>
      <c r="Q64" s="232"/>
      <c r="R64" s="233"/>
      <c r="S64" s="234"/>
      <c r="T64" s="235"/>
      <c r="U64" s="233"/>
      <c r="V64" s="236"/>
      <c r="W64" s="234"/>
      <c r="X64" s="235"/>
      <c r="Y64" s="237"/>
      <c r="Z64" s="238"/>
    </row>
    <row r="65" spans="1:26" s="239" customFormat="1" ht="28.5" customHeight="1" x14ac:dyDescent="0.3">
      <c r="A65" s="222">
        <f t="shared" si="7"/>
        <v>0</v>
      </c>
      <c r="B65" s="223" t="b">
        <f t="shared" si="8"/>
        <v>1</v>
      </c>
      <c r="C65" s="222">
        <f t="shared" si="9"/>
        <v>0</v>
      </c>
      <c r="D65" s="205" t="str">
        <f t="shared" si="6"/>
        <v>$$$$</v>
      </c>
      <c r="E65" s="224"/>
      <c r="F65" s="225"/>
      <c r="G65" s="226"/>
      <c r="H65" s="227"/>
      <c r="I65" s="228"/>
      <c r="J65" s="228"/>
      <c r="K65" s="229"/>
      <c r="L65" s="230"/>
      <c r="M65" s="231"/>
      <c r="N65" s="232"/>
      <c r="O65" s="230"/>
      <c r="P65" s="231"/>
      <c r="Q65" s="232"/>
      <c r="R65" s="233"/>
      <c r="S65" s="234"/>
      <c r="T65" s="235"/>
      <c r="U65" s="233"/>
      <c r="V65" s="236"/>
      <c r="W65" s="234"/>
      <c r="X65" s="235"/>
      <c r="Y65" s="237"/>
      <c r="Z65" s="238"/>
    </row>
    <row r="66" spans="1:26" s="239" customFormat="1" ht="28.5" customHeight="1" x14ac:dyDescent="0.3">
      <c r="A66" s="222">
        <f t="shared" si="7"/>
        <v>0</v>
      </c>
      <c r="B66" s="223" t="b">
        <f t="shared" si="8"/>
        <v>1</v>
      </c>
      <c r="C66" s="222">
        <f t="shared" si="9"/>
        <v>0</v>
      </c>
      <c r="D66" s="205" t="str">
        <f t="shared" si="6"/>
        <v>$$$$</v>
      </c>
      <c r="E66" s="224"/>
      <c r="F66" s="225"/>
      <c r="G66" s="226"/>
      <c r="H66" s="227"/>
      <c r="I66" s="228"/>
      <c r="J66" s="228"/>
      <c r="K66" s="229"/>
      <c r="L66" s="230"/>
      <c r="M66" s="231"/>
      <c r="N66" s="232"/>
      <c r="O66" s="230"/>
      <c r="P66" s="231"/>
      <c r="Q66" s="232"/>
      <c r="R66" s="233"/>
      <c r="S66" s="234"/>
      <c r="T66" s="235"/>
      <c r="U66" s="233"/>
      <c r="V66" s="236"/>
      <c r="W66" s="234"/>
      <c r="X66" s="235"/>
      <c r="Y66" s="237"/>
      <c r="Z66" s="238"/>
    </row>
    <row r="67" spans="1:26" s="239" customFormat="1" ht="28.5" customHeight="1" x14ac:dyDescent="0.3">
      <c r="A67" s="222">
        <f t="shared" si="7"/>
        <v>0</v>
      </c>
      <c r="B67" s="223" t="b">
        <f t="shared" si="8"/>
        <v>1</v>
      </c>
      <c r="C67" s="222">
        <f t="shared" si="9"/>
        <v>0</v>
      </c>
      <c r="D67" s="205" t="str">
        <f t="shared" si="6"/>
        <v>$$$$</v>
      </c>
      <c r="E67" s="224"/>
      <c r="F67" s="225"/>
      <c r="G67" s="226"/>
      <c r="H67" s="227"/>
      <c r="I67" s="228"/>
      <c r="J67" s="228"/>
      <c r="K67" s="229"/>
      <c r="L67" s="230"/>
      <c r="M67" s="231"/>
      <c r="N67" s="232"/>
      <c r="O67" s="230"/>
      <c r="P67" s="231"/>
      <c r="Q67" s="232"/>
      <c r="R67" s="233"/>
      <c r="S67" s="234"/>
      <c r="T67" s="235"/>
      <c r="U67" s="233"/>
      <c r="V67" s="236"/>
      <c r="W67" s="234"/>
      <c r="X67" s="235"/>
      <c r="Y67" s="237"/>
      <c r="Z67" s="238"/>
    </row>
    <row r="68" spans="1:26" s="239" customFormat="1" ht="28.5" customHeight="1" x14ac:dyDescent="0.3">
      <c r="A68" s="222">
        <f t="shared" si="7"/>
        <v>0</v>
      </c>
      <c r="B68" s="223" t="b">
        <f t="shared" si="8"/>
        <v>1</v>
      </c>
      <c r="C68" s="222">
        <f t="shared" si="9"/>
        <v>0</v>
      </c>
      <c r="D68" s="205" t="str">
        <f t="shared" si="6"/>
        <v>$$$$</v>
      </c>
      <c r="E68" s="224"/>
      <c r="F68" s="225"/>
      <c r="G68" s="226"/>
      <c r="H68" s="227"/>
      <c r="I68" s="228"/>
      <c r="J68" s="228"/>
      <c r="K68" s="229"/>
      <c r="L68" s="230"/>
      <c r="M68" s="231"/>
      <c r="N68" s="232"/>
      <c r="O68" s="230"/>
      <c r="P68" s="231"/>
      <c r="Q68" s="232"/>
      <c r="R68" s="233"/>
      <c r="S68" s="234"/>
      <c r="T68" s="235"/>
      <c r="U68" s="233"/>
      <c r="V68" s="236"/>
      <c r="W68" s="234"/>
      <c r="X68" s="235"/>
      <c r="Y68" s="237"/>
      <c r="Z68" s="238"/>
    </row>
    <row r="69" spans="1:26" s="239" customFormat="1" ht="28.5" customHeight="1" x14ac:dyDescent="0.3">
      <c r="A69" s="222">
        <f t="shared" si="7"/>
        <v>0</v>
      </c>
      <c r="B69" s="223" t="b">
        <f t="shared" si="8"/>
        <v>1</v>
      </c>
      <c r="C69" s="222">
        <f t="shared" si="9"/>
        <v>0</v>
      </c>
      <c r="D69" s="205" t="str">
        <f t="shared" si="6"/>
        <v>$$$$</v>
      </c>
      <c r="E69" s="224"/>
      <c r="F69" s="225"/>
      <c r="G69" s="226"/>
      <c r="H69" s="227"/>
      <c r="I69" s="228"/>
      <c r="J69" s="228"/>
      <c r="K69" s="229"/>
      <c r="L69" s="230"/>
      <c r="M69" s="231"/>
      <c r="N69" s="232"/>
      <c r="O69" s="230"/>
      <c r="P69" s="231"/>
      <c r="Q69" s="232"/>
      <c r="R69" s="233"/>
      <c r="S69" s="234"/>
      <c r="T69" s="235"/>
      <c r="U69" s="233"/>
      <c r="V69" s="236"/>
      <c r="W69" s="234"/>
      <c r="X69" s="235"/>
      <c r="Y69" s="237"/>
      <c r="Z69" s="238"/>
    </row>
    <row r="70" spans="1:26" s="239" customFormat="1" ht="28.5" customHeight="1" x14ac:dyDescent="0.3">
      <c r="A70" s="222">
        <f t="shared" si="7"/>
        <v>0</v>
      </c>
      <c r="B70" s="223" t="b">
        <f t="shared" si="8"/>
        <v>1</v>
      </c>
      <c r="C70" s="222">
        <f t="shared" si="9"/>
        <v>0</v>
      </c>
      <c r="D70" s="205" t="str">
        <f t="shared" si="6"/>
        <v>$$$$</v>
      </c>
      <c r="E70" s="224"/>
      <c r="F70" s="225"/>
      <c r="G70" s="226"/>
      <c r="H70" s="227"/>
      <c r="I70" s="228"/>
      <c r="J70" s="228"/>
      <c r="K70" s="229"/>
      <c r="L70" s="230"/>
      <c r="M70" s="231"/>
      <c r="N70" s="232"/>
      <c r="O70" s="230"/>
      <c r="P70" s="231"/>
      <c r="Q70" s="232"/>
      <c r="R70" s="233"/>
      <c r="S70" s="234"/>
      <c r="T70" s="235"/>
      <c r="U70" s="233"/>
      <c r="V70" s="236"/>
      <c r="W70" s="234"/>
      <c r="X70" s="235"/>
      <c r="Y70" s="237"/>
      <c r="Z70" s="238"/>
    </row>
    <row r="71" spans="1:26" s="239" customFormat="1" ht="28.5" customHeight="1" x14ac:dyDescent="0.3">
      <c r="A71" s="222">
        <f t="shared" ref="A71:A102" si="10">IF(B71,0,MATCH(H71,ВидыНагр,0))</f>
        <v>0</v>
      </c>
      <c r="B71" s="223" t="b">
        <f t="shared" ref="B71:B102" si="11">(COUNTIF(КлючВесна,D71)&lt;&gt;1)</f>
        <v>1</v>
      </c>
      <c r="C71" s="222">
        <f t="shared" ref="C71:C102" si="12">IF(COUNTA(E71:K71,Z71)&gt;0,1,0)+IF(COUNTA(L71:Y71)&gt;0,2,0)</f>
        <v>0</v>
      </c>
      <c r="D71" s="205" t="str">
        <f t="shared" si="6"/>
        <v>$$$$</v>
      </c>
      <c r="E71" s="224"/>
      <c r="F71" s="225"/>
      <c r="G71" s="226"/>
      <c r="H71" s="227"/>
      <c r="I71" s="228"/>
      <c r="J71" s="228"/>
      <c r="K71" s="229"/>
      <c r="L71" s="230"/>
      <c r="M71" s="231"/>
      <c r="N71" s="232"/>
      <c r="O71" s="230"/>
      <c r="P71" s="231"/>
      <c r="Q71" s="232"/>
      <c r="R71" s="233"/>
      <c r="S71" s="234"/>
      <c r="T71" s="235"/>
      <c r="U71" s="233"/>
      <c r="V71" s="236"/>
      <c r="W71" s="234"/>
      <c r="X71" s="235"/>
      <c r="Y71" s="237"/>
      <c r="Z71" s="238"/>
    </row>
    <row r="72" spans="1:26" s="239" customFormat="1" ht="28.5" customHeight="1" x14ac:dyDescent="0.3">
      <c r="A72" s="222">
        <f t="shared" si="10"/>
        <v>0</v>
      </c>
      <c r="B72" s="223" t="b">
        <f t="shared" si="11"/>
        <v>1</v>
      </c>
      <c r="C72" s="222">
        <f t="shared" si="12"/>
        <v>0</v>
      </c>
      <c r="D72" s="205" t="str">
        <f t="shared" ref="D72:D159" si="13">CONCATENATE("$",TRIM(F72),"$",TRIM(G72),"$",H72,"$")</f>
        <v>$$$$</v>
      </c>
      <c r="E72" s="224"/>
      <c r="F72" s="225"/>
      <c r="G72" s="226"/>
      <c r="H72" s="227"/>
      <c r="I72" s="228"/>
      <c r="J72" s="228"/>
      <c r="K72" s="229"/>
      <c r="L72" s="230"/>
      <c r="M72" s="231"/>
      <c r="N72" s="232"/>
      <c r="O72" s="230"/>
      <c r="P72" s="231"/>
      <c r="Q72" s="232"/>
      <c r="R72" s="233"/>
      <c r="S72" s="234"/>
      <c r="T72" s="235"/>
      <c r="U72" s="233"/>
      <c r="V72" s="236"/>
      <c r="W72" s="234"/>
      <c r="X72" s="235"/>
      <c r="Y72" s="237"/>
      <c r="Z72" s="238"/>
    </row>
    <row r="73" spans="1:26" s="239" customFormat="1" ht="28.5" customHeight="1" x14ac:dyDescent="0.3">
      <c r="A73" s="222">
        <f t="shared" si="10"/>
        <v>0</v>
      </c>
      <c r="B73" s="223" t="b">
        <f t="shared" si="11"/>
        <v>1</v>
      </c>
      <c r="C73" s="222">
        <f t="shared" si="12"/>
        <v>0</v>
      </c>
      <c r="D73" s="205" t="str">
        <f t="shared" si="13"/>
        <v>$$$$</v>
      </c>
      <c r="E73" s="224"/>
      <c r="F73" s="225"/>
      <c r="G73" s="226"/>
      <c r="H73" s="227"/>
      <c r="I73" s="228"/>
      <c r="J73" s="228"/>
      <c r="K73" s="229"/>
      <c r="L73" s="230"/>
      <c r="M73" s="231"/>
      <c r="N73" s="232"/>
      <c r="O73" s="230"/>
      <c r="P73" s="231"/>
      <c r="Q73" s="232"/>
      <c r="R73" s="233"/>
      <c r="S73" s="234"/>
      <c r="T73" s="235"/>
      <c r="U73" s="233"/>
      <c r="V73" s="236"/>
      <c r="W73" s="234"/>
      <c r="X73" s="235"/>
      <c r="Y73" s="237"/>
      <c r="Z73" s="238"/>
    </row>
    <row r="74" spans="1:26" s="239" customFormat="1" ht="28.5" customHeight="1" x14ac:dyDescent="0.3">
      <c r="A74" s="222">
        <f t="shared" si="10"/>
        <v>0</v>
      </c>
      <c r="B74" s="223" t="b">
        <f t="shared" si="11"/>
        <v>1</v>
      </c>
      <c r="C74" s="222">
        <f t="shared" si="12"/>
        <v>0</v>
      </c>
      <c r="D74" s="205" t="str">
        <f t="shared" si="13"/>
        <v>$$$$</v>
      </c>
      <c r="E74" s="224"/>
      <c r="F74" s="225"/>
      <c r="G74" s="226"/>
      <c r="H74" s="227"/>
      <c r="I74" s="228"/>
      <c r="J74" s="228"/>
      <c r="K74" s="229"/>
      <c r="L74" s="230"/>
      <c r="M74" s="231"/>
      <c r="N74" s="232"/>
      <c r="O74" s="230"/>
      <c r="P74" s="231"/>
      <c r="Q74" s="232"/>
      <c r="R74" s="233"/>
      <c r="S74" s="234"/>
      <c r="T74" s="235"/>
      <c r="U74" s="233"/>
      <c r="V74" s="236"/>
      <c r="W74" s="234"/>
      <c r="X74" s="235"/>
      <c r="Y74" s="237"/>
      <c r="Z74" s="238"/>
    </row>
    <row r="75" spans="1:26" s="239" customFormat="1" ht="28.5" customHeight="1" x14ac:dyDescent="0.3">
      <c r="A75" s="222">
        <f t="shared" si="10"/>
        <v>0</v>
      </c>
      <c r="B75" s="223" t="b">
        <f t="shared" si="11"/>
        <v>1</v>
      </c>
      <c r="C75" s="222">
        <f t="shared" si="12"/>
        <v>0</v>
      </c>
      <c r="D75" s="205" t="str">
        <f t="shared" si="13"/>
        <v>$$$$</v>
      </c>
      <c r="E75" s="224"/>
      <c r="F75" s="225"/>
      <c r="G75" s="226"/>
      <c r="H75" s="227"/>
      <c r="I75" s="228"/>
      <c r="J75" s="228"/>
      <c r="K75" s="229"/>
      <c r="L75" s="230"/>
      <c r="M75" s="231"/>
      <c r="N75" s="232"/>
      <c r="O75" s="230"/>
      <c r="P75" s="231"/>
      <c r="Q75" s="232"/>
      <c r="R75" s="233"/>
      <c r="S75" s="234"/>
      <c r="T75" s="235"/>
      <c r="U75" s="233"/>
      <c r="V75" s="236"/>
      <c r="W75" s="234"/>
      <c r="X75" s="235"/>
      <c r="Y75" s="237"/>
      <c r="Z75" s="238"/>
    </row>
    <row r="76" spans="1:26" s="239" customFormat="1" ht="28.5" customHeight="1" x14ac:dyDescent="0.3">
      <c r="A76" s="222">
        <f t="shared" si="10"/>
        <v>0</v>
      </c>
      <c r="B76" s="223" t="b">
        <f t="shared" si="11"/>
        <v>1</v>
      </c>
      <c r="C76" s="222">
        <f t="shared" si="12"/>
        <v>0</v>
      </c>
      <c r="D76" s="205" t="str">
        <f t="shared" si="13"/>
        <v>$$$$</v>
      </c>
      <c r="E76" s="224"/>
      <c r="F76" s="225"/>
      <c r="G76" s="226"/>
      <c r="H76" s="227"/>
      <c r="I76" s="228"/>
      <c r="J76" s="228"/>
      <c r="K76" s="229"/>
      <c r="L76" s="230"/>
      <c r="M76" s="231"/>
      <c r="N76" s="232"/>
      <c r="O76" s="230"/>
      <c r="P76" s="231"/>
      <c r="Q76" s="232"/>
      <c r="R76" s="233"/>
      <c r="S76" s="234"/>
      <c r="T76" s="235"/>
      <c r="U76" s="233"/>
      <c r="V76" s="236"/>
      <c r="W76" s="234"/>
      <c r="X76" s="235"/>
      <c r="Y76" s="237"/>
      <c r="Z76" s="238"/>
    </row>
    <row r="77" spans="1:26" s="239" customFormat="1" ht="28.5" customHeight="1" x14ac:dyDescent="0.3">
      <c r="A77" s="222">
        <f t="shared" si="10"/>
        <v>0</v>
      </c>
      <c r="B77" s="223" t="b">
        <f t="shared" si="11"/>
        <v>1</v>
      </c>
      <c r="C77" s="222">
        <f t="shared" si="12"/>
        <v>0</v>
      </c>
      <c r="D77" s="205" t="str">
        <f t="shared" si="13"/>
        <v>$$$$</v>
      </c>
      <c r="E77" s="224"/>
      <c r="F77" s="225"/>
      <c r="G77" s="226"/>
      <c r="H77" s="227"/>
      <c r="I77" s="228"/>
      <c r="J77" s="228"/>
      <c r="K77" s="229"/>
      <c r="L77" s="230"/>
      <c r="M77" s="231"/>
      <c r="N77" s="232"/>
      <c r="O77" s="230"/>
      <c r="P77" s="231"/>
      <c r="Q77" s="232"/>
      <c r="R77" s="233"/>
      <c r="S77" s="234"/>
      <c r="T77" s="235"/>
      <c r="U77" s="233"/>
      <c r="V77" s="236"/>
      <c r="W77" s="234"/>
      <c r="X77" s="235"/>
      <c r="Y77" s="237"/>
      <c r="Z77" s="238"/>
    </row>
    <row r="78" spans="1:26" s="239" customFormat="1" ht="28.5" customHeight="1" x14ac:dyDescent="0.3">
      <c r="A78" s="222">
        <f t="shared" si="10"/>
        <v>0</v>
      </c>
      <c r="B78" s="223" t="b">
        <f t="shared" si="11"/>
        <v>1</v>
      </c>
      <c r="C78" s="222">
        <f t="shared" si="12"/>
        <v>0</v>
      </c>
      <c r="D78" s="205" t="str">
        <f t="shared" si="13"/>
        <v>$$$$</v>
      </c>
      <c r="E78" s="224"/>
      <c r="F78" s="225"/>
      <c r="G78" s="226"/>
      <c r="H78" s="227"/>
      <c r="I78" s="228"/>
      <c r="J78" s="228"/>
      <c r="K78" s="229"/>
      <c r="L78" s="230"/>
      <c r="M78" s="231"/>
      <c r="N78" s="232"/>
      <c r="O78" s="230"/>
      <c r="P78" s="231"/>
      <c r="Q78" s="232"/>
      <c r="R78" s="233"/>
      <c r="S78" s="234"/>
      <c r="T78" s="235"/>
      <c r="U78" s="233"/>
      <c r="V78" s="236"/>
      <c r="W78" s="234"/>
      <c r="X78" s="235"/>
      <c r="Y78" s="237"/>
      <c r="Z78" s="238"/>
    </row>
    <row r="79" spans="1:26" s="239" customFormat="1" ht="28.5" customHeight="1" x14ac:dyDescent="0.3">
      <c r="A79" s="222">
        <f t="shared" si="10"/>
        <v>0</v>
      </c>
      <c r="B79" s="223" t="b">
        <f t="shared" si="11"/>
        <v>1</v>
      </c>
      <c r="C79" s="222">
        <f t="shared" si="12"/>
        <v>0</v>
      </c>
      <c r="D79" s="205" t="str">
        <f t="shared" si="13"/>
        <v>$$$$</v>
      </c>
      <c r="E79" s="224"/>
      <c r="F79" s="225"/>
      <c r="G79" s="226"/>
      <c r="H79" s="227"/>
      <c r="I79" s="228"/>
      <c r="J79" s="228"/>
      <c r="K79" s="229"/>
      <c r="L79" s="230"/>
      <c r="M79" s="231"/>
      <c r="N79" s="232"/>
      <c r="O79" s="230"/>
      <c r="P79" s="231"/>
      <c r="Q79" s="232"/>
      <c r="R79" s="233"/>
      <c r="S79" s="234"/>
      <c r="T79" s="235"/>
      <c r="U79" s="233"/>
      <c r="V79" s="236"/>
      <c r="W79" s="234"/>
      <c r="X79" s="235"/>
      <c r="Y79" s="237"/>
      <c r="Z79" s="238"/>
    </row>
    <row r="80" spans="1:26" s="239" customFormat="1" ht="28.5" customHeight="1" x14ac:dyDescent="0.3">
      <c r="A80" s="222">
        <f t="shared" si="10"/>
        <v>0</v>
      </c>
      <c r="B80" s="223" t="b">
        <f t="shared" si="11"/>
        <v>1</v>
      </c>
      <c r="C80" s="222">
        <f t="shared" si="12"/>
        <v>0</v>
      </c>
      <c r="D80" s="205" t="str">
        <f t="shared" si="13"/>
        <v>$$$$</v>
      </c>
      <c r="E80" s="224"/>
      <c r="F80" s="225"/>
      <c r="G80" s="226"/>
      <c r="H80" s="227"/>
      <c r="I80" s="228"/>
      <c r="J80" s="228"/>
      <c r="K80" s="229"/>
      <c r="L80" s="230"/>
      <c r="M80" s="231"/>
      <c r="N80" s="232"/>
      <c r="O80" s="230"/>
      <c r="P80" s="231"/>
      <c r="Q80" s="232"/>
      <c r="R80" s="233"/>
      <c r="S80" s="234"/>
      <c r="T80" s="235"/>
      <c r="U80" s="233"/>
      <c r="V80" s="236"/>
      <c r="W80" s="234"/>
      <c r="X80" s="235"/>
      <c r="Y80" s="237"/>
      <c r="Z80" s="238"/>
    </row>
    <row r="81" spans="1:26" s="239" customFormat="1" ht="28.5" customHeight="1" x14ac:dyDescent="0.3">
      <c r="A81" s="222">
        <f t="shared" si="10"/>
        <v>0</v>
      </c>
      <c r="B81" s="223" t="b">
        <f t="shared" si="11"/>
        <v>1</v>
      </c>
      <c r="C81" s="222">
        <f t="shared" si="12"/>
        <v>0</v>
      </c>
      <c r="D81" s="205" t="str">
        <f t="shared" si="13"/>
        <v>$$$$</v>
      </c>
      <c r="E81" s="224"/>
      <c r="F81" s="225"/>
      <c r="G81" s="226"/>
      <c r="H81" s="227"/>
      <c r="I81" s="228"/>
      <c r="J81" s="228"/>
      <c r="K81" s="229"/>
      <c r="L81" s="230"/>
      <c r="M81" s="231"/>
      <c r="N81" s="232"/>
      <c r="O81" s="230"/>
      <c r="P81" s="231"/>
      <c r="Q81" s="232"/>
      <c r="R81" s="233"/>
      <c r="S81" s="234"/>
      <c r="T81" s="235"/>
      <c r="U81" s="233"/>
      <c r="V81" s="236"/>
      <c r="W81" s="234"/>
      <c r="X81" s="235"/>
      <c r="Y81" s="237"/>
      <c r="Z81" s="238"/>
    </row>
    <row r="82" spans="1:26" s="239" customFormat="1" ht="28.5" customHeight="1" x14ac:dyDescent="0.3">
      <c r="A82" s="222">
        <f t="shared" si="10"/>
        <v>0</v>
      </c>
      <c r="B82" s="223" t="b">
        <f t="shared" si="11"/>
        <v>1</v>
      </c>
      <c r="C82" s="222">
        <f t="shared" si="12"/>
        <v>0</v>
      </c>
      <c r="D82" s="205" t="str">
        <f t="shared" si="13"/>
        <v>$$$$</v>
      </c>
      <c r="E82" s="224"/>
      <c r="F82" s="225"/>
      <c r="G82" s="226"/>
      <c r="H82" s="227"/>
      <c r="I82" s="228"/>
      <c r="J82" s="228"/>
      <c r="K82" s="229"/>
      <c r="L82" s="230"/>
      <c r="M82" s="231"/>
      <c r="N82" s="232"/>
      <c r="O82" s="230"/>
      <c r="P82" s="231"/>
      <c r="Q82" s="232"/>
      <c r="R82" s="233"/>
      <c r="S82" s="234"/>
      <c r="T82" s="235"/>
      <c r="U82" s="233"/>
      <c r="V82" s="236"/>
      <c r="W82" s="234"/>
      <c r="X82" s="235"/>
      <c r="Y82" s="237"/>
      <c r="Z82" s="238"/>
    </row>
    <row r="83" spans="1:26" s="239" customFormat="1" ht="28.5" customHeight="1" x14ac:dyDescent="0.3">
      <c r="A83" s="222">
        <f t="shared" si="10"/>
        <v>0</v>
      </c>
      <c r="B83" s="223" t="b">
        <f t="shared" si="11"/>
        <v>1</v>
      </c>
      <c r="C83" s="222">
        <f t="shared" si="12"/>
        <v>0</v>
      </c>
      <c r="D83" s="205" t="str">
        <f t="shared" si="13"/>
        <v>$$$$</v>
      </c>
      <c r="E83" s="224"/>
      <c r="F83" s="225"/>
      <c r="G83" s="226"/>
      <c r="H83" s="227"/>
      <c r="I83" s="228"/>
      <c r="J83" s="228"/>
      <c r="K83" s="229"/>
      <c r="L83" s="230"/>
      <c r="M83" s="231"/>
      <c r="N83" s="232"/>
      <c r="O83" s="230"/>
      <c r="P83" s="231"/>
      <c r="Q83" s="232"/>
      <c r="R83" s="233"/>
      <c r="S83" s="234"/>
      <c r="T83" s="235"/>
      <c r="U83" s="233"/>
      <c r="V83" s="236"/>
      <c r="W83" s="234"/>
      <c r="X83" s="235"/>
      <c r="Y83" s="237"/>
      <c r="Z83" s="238"/>
    </row>
    <row r="84" spans="1:26" s="239" customFormat="1" ht="28.5" customHeight="1" x14ac:dyDescent="0.3">
      <c r="A84" s="222">
        <f t="shared" si="10"/>
        <v>0</v>
      </c>
      <c r="B84" s="223" t="b">
        <f t="shared" si="11"/>
        <v>1</v>
      </c>
      <c r="C84" s="222">
        <f t="shared" si="12"/>
        <v>0</v>
      </c>
      <c r="D84" s="205" t="str">
        <f t="shared" si="13"/>
        <v>$$$$</v>
      </c>
      <c r="E84" s="224"/>
      <c r="F84" s="225"/>
      <c r="G84" s="226"/>
      <c r="H84" s="227"/>
      <c r="I84" s="228"/>
      <c r="J84" s="228"/>
      <c r="K84" s="229"/>
      <c r="L84" s="230"/>
      <c r="M84" s="231"/>
      <c r="N84" s="232"/>
      <c r="O84" s="230"/>
      <c r="P84" s="231"/>
      <c r="Q84" s="232"/>
      <c r="R84" s="233"/>
      <c r="S84" s="234"/>
      <c r="T84" s="235"/>
      <c r="U84" s="233"/>
      <c r="V84" s="236"/>
      <c r="W84" s="234"/>
      <c r="X84" s="235"/>
      <c r="Y84" s="237"/>
      <c r="Z84" s="238"/>
    </row>
    <row r="85" spans="1:26" s="239" customFormat="1" ht="28.5" customHeight="1" x14ac:dyDescent="0.3">
      <c r="A85" s="222">
        <f t="shared" si="10"/>
        <v>0</v>
      </c>
      <c r="B85" s="223" t="b">
        <f t="shared" si="11"/>
        <v>1</v>
      </c>
      <c r="C85" s="222">
        <f t="shared" si="12"/>
        <v>0</v>
      </c>
      <c r="D85" s="205" t="str">
        <f t="shared" si="13"/>
        <v>$$$$</v>
      </c>
      <c r="E85" s="224"/>
      <c r="F85" s="225"/>
      <c r="G85" s="226"/>
      <c r="H85" s="227"/>
      <c r="I85" s="228"/>
      <c r="J85" s="228"/>
      <c r="K85" s="229"/>
      <c r="L85" s="230"/>
      <c r="M85" s="231"/>
      <c r="N85" s="232"/>
      <c r="O85" s="230"/>
      <c r="P85" s="231"/>
      <c r="Q85" s="232"/>
      <c r="R85" s="233"/>
      <c r="S85" s="234"/>
      <c r="T85" s="235"/>
      <c r="U85" s="233"/>
      <c r="V85" s="236"/>
      <c r="W85" s="234"/>
      <c r="X85" s="235"/>
      <c r="Y85" s="237"/>
      <c r="Z85" s="238"/>
    </row>
    <row r="86" spans="1:26" s="239" customFormat="1" ht="28.5" customHeight="1" x14ac:dyDescent="0.3">
      <c r="A86" s="222">
        <f t="shared" si="10"/>
        <v>0</v>
      </c>
      <c r="B86" s="223" t="b">
        <f t="shared" si="11"/>
        <v>1</v>
      </c>
      <c r="C86" s="222">
        <f t="shared" si="12"/>
        <v>0</v>
      </c>
      <c r="D86" s="205" t="str">
        <f t="shared" si="13"/>
        <v>$$$$</v>
      </c>
      <c r="E86" s="224"/>
      <c r="F86" s="225"/>
      <c r="G86" s="226"/>
      <c r="H86" s="227"/>
      <c r="I86" s="228"/>
      <c r="J86" s="228"/>
      <c r="K86" s="229"/>
      <c r="L86" s="230"/>
      <c r="M86" s="231"/>
      <c r="N86" s="232"/>
      <c r="O86" s="230"/>
      <c r="P86" s="231"/>
      <c r="Q86" s="232"/>
      <c r="R86" s="233"/>
      <c r="S86" s="234"/>
      <c r="T86" s="235"/>
      <c r="U86" s="233"/>
      <c r="V86" s="236"/>
      <c r="W86" s="234"/>
      <c r="X86" s="235"/>
      <c r="Y86" s="237"/>
      <c r="Z86" s="238"/>
    </row>
    <row r="87" spans="1:26" s="239" customFormat="1" ht="28.5" customHeight="1" x14ac:dyDescent="0.3">
      <c r="A87" s="222">
        <f t="shared" si="10"/>
        <v>0</v>
      </c>
      <c r="B87" s="223" t="b">
        <f t="shared" si="11"/>
        <v>1</v>
      </c>
      <c r="C87" s="222">
        <f t="shared" si="12"/>
        <v>0</v>
      </c>
      <c r="D87" s="205" t="str">
        <f t="shared" si="13"/>
        <v>$$$$</v>
      </c>
      <c r="E87" s="224"/>
      <c r="F87" s="225"/>
      <c r="G87" s="226"/>
      <c r="H87" s="227"/>
      <c r="I87" s="228"/>
      <c r="J87" s="228"/>
      <c r="K87" s="229"/>
      <c r="L87" s="230"/>
      <c r="M87" s="231"/>
      <c r="N87" s="232"/>
      <c r="O87" s="230"/>
      <c r="P87" s="231"/>
      <c r="Q87" s="232"/>
      <c r="R87" s="233"/>
      <c r="S87" s="234"/>
      <c r="T87" s="235"/>
      <c r="U87" s="233"/>
      <c r="V87" s="236"/>
      <c r="W87" s="234"/>
      <c r="X87" s="235"/>
      <c r="Y87" s="237"/>
      <c r="Z87" s="238"/>
    </row>
    <row r="88" spans="1:26" s="239" customFormat="1" ht="28.5" customHeight="1" x14ac:dyDescent="0.3">
      <c r="A88" s="222">
        <f t="shared" si="10"/>
        <v>0</v>
      </c>
      <c r="B88" s="223" t="b">
        <f t="shared" si="11"/>
        <v>1</v>
      </c>
      <c r="C88" s="222">
        <f t="shared" si="12"/>
        <v>0</v>
      </c>
      <c r="D88" s="205" t="str">
        <f t="shared" si="13"/>
        <v>$$$$</v>
      </c>
      <c r="E88" s="224"/>
      <c r="F88" s="225"/>
      <c r="G88" s="226"/>
      <c r="H88" s="227"/>
      <c r="I88" s="228"/>
      <c r="J88" s="228"/>
      <c r="K88" s="229"/>
      <c r="L88" s="230"/>
      <c r="M88" s="231"/>
      <c r="N88" s="232"/>
      <c r="O88" s="230"/>
      <c r="P88" s="231"/>
      <c r="Q88" s="232"/>
      <c r="R88" s="233"/>
      <c r="S88" s="234"/>
      <c r="T88" s="235"/>
      <c r="U88" s="233"/>
      <c r="V88" s="236"/>
      <c r="W88" s="234"/>
      <c r="X88" s="235"/>
      <c r="Y88" s="237"/>
      <c r="Z88" s="238"/>
    </row>
    <row r="89" spans="1:26" s="239" customFormat="1" ht="28.5" customHeight="1" x14ac:dyDescent="0.3">
      <c r="A89" s="222">
        <f t="shared" si="10"/>
        <v>0</v>
      </c>
      <c r="B89" s="223" t="b">
        <f t="shared" si="11"/>
        <v>1</v>
      </c>
      <c r="C89" s="222">
        <f t="shared" si="12"/>
        <v>0</v>
      </c>
      <c r="D89" s="205" t="str">
        <f t="shared" si="13"/>
        <v>$$$$</v>
      </c>
      <c r="E89" s="224"/>
      <c r="F89" s="225"/>
      <c r="G89" s="226"/>
      <c r="H89" s="227"/>
      <c r="I89" s="228"/>
      <c r="J89" s="228"/>
      <c r="K89" s="229"/>
      <c r="L89" s="230"/>
      <c r="M89" s="231"/>
      <c r="N89" s="232"/>
      <c r="O89" s="230"/>
      <c r="P89" s="231"/>
      <c r="Q89" s="232"/>
      <c r="R89" s="233"/>
      <c r="S89" s="234"/>
      <c r="T89" s="235"/>
      <c r="U89" s="233"/>
      <c r="V89" s="236"/>
      <c r="W89" s="234"/>
      <c r="X89" s="235"/>
      <c r="Y89" s="237"/>
      <c r="Z89" s="238"/>
    </row>
    <row r="90" spans="1:26" s="239" customFormat="1" ht="28.5" customHeight="1" x14ac:dyDescent="0.3">
      <c r="A90" s="222">
        <f t="shared" si="10"/>
        <v>0</v>
      </c>
      <c r="B90" s="223" t="b">
        <f t="shared" si="11"/>
        <v>1</v>
      </c>
      <c r="C90" s="222">
        <f t="shared" si="12"/>
        <v>0</v>
      </c>
      <c r="D90" s="205" t="str">
        <f t="shared" si="13"/>
        <v>$$$$</v>
      </c>
      <c r="E90" s="224"/>
      <c r="F90" s="225"/>
      <c r="G90" s="226"/>
      <c r="H90" s="227"/>
      <c r="I90" s="228"/>
      <c r="J90" s="228"/>
      <c r="K90" s="229"/>
      <c r="L90" s="230"/>
      <c r="M90" s="231"/>
      <c r="N90" s="232"/>
      <c r="O90" s="230"/>
      <c r="P90" s="231"/>
      <c r="Q90" s="232"/>
      <c r="R90" s="233"/>
      <c r="S90" s="234"/>
      <c r="T90" s="235"/>
      <c r="U90" s="233"/>
      <c r="V90" s="236"/>
      <c r="W90" s="234"/>
      <c r="X90" s="235"/>
      <c r="Y90" s="237"/>
      <c r="Z90" s="238"/>
    </row>
    <row r="91" spans="1:26" s="239" customFormat="1" ht="28.5" customHeight="1" x14ac:dyDescent="0.3">
      <c r="A91" s="222">
        <f t="shared" si="10"/>
        <v>0</v>
      </c>
      <c r="B91" s="223" t="b">
        <f t="shared" si="11"/>
        <v>1</v>
      </c>
      <c r="C91" s="222">
        <f t="shared" si="12"/>
        <v>0</v>
      </c>
      <c r="D91" s="205" t="str">
        <f t="shared" si="13"/>
        <v>$$$$</v>
      </c>
      <c r="E91" s="224"/>
      <c r="F91" s="225"/>
      <c r="G91" s="226"/>
      <c r="H91" s="227"/>
      <c r="I91" s="228"/>
      <c r="J91" s="228"/>
      <c r="K91" s="229"/>
      <c r="L91" s="230"/>
      <c r="M91" s="231"/>
      <c r="N91" s="232"/>
      <c r="O91" s="230"/>
      <c r="P91" s="231"/>
      <c r="Q91" s="232"/>
      <c r="R91" s="233"/>
      <c r="S91" s="234"/>
      <c r="T91" s="235"/>
      <c r="U91" s="233"/>
      <c r="V91" s="236"/>
      <c r="W91" s="234"/>
      <c r="X91" s="235"/>
      <c r="Y91" s="237"/>
      <c r="Z91" s="238"/>
    </row>
    <row r="92" spans="1:26" s="239" customFormat="1" ht="28.5" customHeight="1" x14ac:dyDescent="0.3">
      <c r="A92" s="222">
        <f t="shared" si="10"/>
        <v>0</v>
      </c>
      <c r="B92" s="223" t="b">
        <f t="shared" si="11"/>
        <v>1</v>
      </c>
      <c r="C92" s="222">
        <f t="shared" si="12"/>
        <v>0</v>
      </c>
      <c r="D92" s="205" t="str">
        <f t="shared" si="13"/>
        <v>$$$$</v>
      </c>
      <c r="E92" s="224"/>
      <c r="F92" s="225"/>
      <c r="G92" s="226"/>
      <c r="H92" s="227"/>
      <c r="I92" s="228"/>
      <c r="J92" s="228"/>
      <c r="K92" s="229"/>
      <c r="L92" s="230"/>
      <c r="M92" s="231"/>
      <c r="N92" s="232"/>
      <c r="O92" s="230"/>
      <c r="P92" s="231"/>
      <c r="Q92" s="232"/>
      <c r="R92" s="233"/>
      <c r="S92" s="234"/>
      <c r="T92" s="235"/>
      <c r="U92" s="233"/>
      <c r="V92" s="236"/>
      <c r="W92" s="234"/>
      <c r="X92" s="235"/>
      <c r="Y92" s="237"/>
      <c r="Z92" s="238"/>
    </row>
    <row r="93" spans="1:26" s="239" customFormat="1" ht="28.5" customHeight="1" x14ac:dyDescent="0.3">
      <c r="A93" s="222">
        <f t="shared" si="10"/>
        <v>0</v>
      </c>
      <c r="B93" s="223" t="b">
        <f t="shared" si="11"/>
        <v>1</v>
      </c>
      <c r="C93" s="222">
        <f t="shared" si="12"/>
        <v>0</v>
      </c>
      <c r="D93" s="205" t="str">
        <f t="shared" si="13"/>
        <v>$$$$</v>
      </c>
      <c r="E93" s="224"/>
      <c r="F93" s="225"/>
      <c r="G93" s="226"/>
      <c r="H93" s="227"/>
      <c r="I93" s="228"/>
      <c r="J93" s="228"/>
      <c r="K93" s="229"/>
      <c r="L93" s="230"/>
      <c r="M93" s="231"/>
      <c r="N93" s="232"/>
      <c r="O93" s="230"/>
      <c r="P93" s="231"/>
      <c r="Q93" s="232"/>
      <c r="R93" s="233"/>
      <c r="S93" s="234"/>
      <c r="T93" s="235"/>
      <c r="U93" s="233"/>
      <c r="V93" s="236"/>
      <c r="W93" s="234"/>
      <c r="X93" s="235"/>
      <c r="Y93" s="237"/>
      <c r="Z93" s="238"/>
    </row>
    <row r="94" spans="1:26" s="239" customFormat="1" ht="28.5" customHeight="1" x14ac:dyDescent="0.3">
      <c r="A94" s="222">
        <f t="shared" si="10"/>
        <v>0</v>
      </c>
      <c r="B94" s="223" t="b">
        <f t="shared" si="11"/>
        <v>1</v>
      </c>
      <c r="C94" s="222">
        <f t="shared" si="12"/>
        <v>0</v>
      </c>
      <c r="D94" s="205" t="str">
        <f t="shared" si="13"/>
        <v>$$$$</v>
      </c>
      <c r="E94" s="224"/>
      <c r="F94" s="225"/>
      <c r="G94" s="226"/>
      <c r="H94" s="227"/>
      <c r="I94" s="228"/>
      <c r="J94" s="228"/>
      <c r="K94" s="229"/>
      <c r="L94" s="230"/>
      <c r="M94" s="231"/>
      <c r="N94" s="232"/>
      <c r="O94" s="230"/>
      <c r="P94" s="231"/>
      <c r="Q94" s="232"/>
      <c r="R94" s="233"/>
      <c r="S94" s="234"/>
      <c r="T94" s="235"/>
      <c r="U94" s="233"/>
      <c r="V94" s="236"/>
      <c r="W94" s="234"/>
      <c r="X94" s="235"/>
      <c r="Y94" s="237"/>
      <c r="Z94" s="238"/>
    </row>
    <row r="95" spans="1:26" s="239" customFormat="1" ht="28.5" customHeight="1" x14ac:dyDescent="0.3">
      <c r="A95" s="222">
        <f t="shared" si="10"/>
        <v>0</v>
      </c>
      <c r="B95" s="223" t="b">
        <f t="shared" si="11"/>
        <v>1</v>
      </c>
      <c r="C95" s="222">
        <f t="shared" si="12"/>
        <v>0</v>
      </c>
      <c r="D95" s="205" t="str">
        <f t="shared" si="13"/>
        <v>$$$$</v>
      </c>
      <c r="E95" s="224"/>
      <c r="F95" s="225"/>
      <c r="G95" s="226"/>
      <c r="H95" s="227"/>
      <c r="I95" s="228"/>
      <c r="J95" s="228"/>
      <c r="K95" s="229"/>
      <c r="L95" s="230"/>
      <c r="M95" s="231"/>
      <c r="N95" s="232"/>
      <c r="O95" s="230"/>
      <c r="P95" s="231"/>
      <c r="Q95" s="232"/>
      <c r="R95" s="233"/>
      <c r="S95" s="234"/>
      <c r="T95" s="235"/>
      <c r="U95" s="233"/>
      <c r="V95" s="236"/>
      <c r="W95" s="234"/>
      <c r="X95" s="235"/>
      <c r="Y95" s="237"/>
      <c r="Z95" s="238"/>
    </row>
    <row r="96" spans="1:26" s="239" customFormat="1" ht="28.5" customHeight="1" x14ac:dyDescent="0.3">
      <c r="A96" s="222">
        <f t="shared" si="10"/>
        <v>0</v>
      </c>
      <c r="B96" s="223" t="b">
        <f t="shared" si="11"/>
        <v>1</v>
      </c>
      <c r="C96" s="222">
        <f t="shared" si="12"/>
        <v>0</v>
      </c>
      <c r="D96" s="205" t="str">
        <f t="shared" si="13"/>
        <v>$$$$</v>
      </c>
      <c r="E96" s="224"/>
      <c r="F96" s="225"/>
      <c r="G96" s="226"/>
      <c r="H96" s="227"/>
      <c r="I96" s="228"/>
      <c r="J96" s="228"/>
      <c r="K96" s="229"/>
      <c r="L96" s="230"/>
      <c r="M96" s="231"/>
      <c r="N96" s="232"/>
      <c r="O96" s="230"/>
      <c r="P96" s="231"/>
      <c r="Q96" s="232"/>
      <c r="R96" s="233"/>
      <c r="S96" s="234"/>
      <c r="T96" s="235"/>
      <c r="U96" s="233"/>
      <c r="V96" s="236"/>
      <c r="W96" s="234"/>
      <c r="X96" s="235"/>
      <c r="Y96" s="237"/>
      <c r="Z96" s="238"/>
    </row>
    <row r="97" spans="1:26" s="239" customFormat="1" ht="28.5" customHeight="1" x14ac:dyDescent="0.3">
      <c r="A97" s="222">
        <f t="shared" si="10"/>
        <v>0</v>
      </c>
      <c r="B97" s="223" t="b">
        <f t="shared" si="11"/>
        <v>1</v>
      </c>
      <c r="C97" s="222">
        <f t="shared" si="12"/>
        <v>0</v>
      </c>
      <c r="D97" s="205" t="str">
        <f t="shared" si="13"/>
        <v>$$$$</v>
      </c>
      <c r="E97" s="224"/>
      <c r="F97" s="225"/>
      <c r="G97" s="226"/>
      <c r="H97" s="227"/>
      <c r="I97" s="228"/>
      <c r="J97" s="228"/>
      <c r="K97" s="229"/>
      <c r="L97" s="230"/>
      <c r="M97" s="231"/>
      <c r="N97" s="232"/>
      <c r="O97" s="230"/>
      <c r="P97" s="231"/>
      <c r="Q97" s="232"/>
      <c r="R97" s="233"/>
      <c r="S97" s="234"/>
      <c r="T97" s="235"/>
      <c r="U97" s="233"/>
      <c r="V97" s="236"/>
      <c r="W97" s="234"/>
      <c r="X97" s="235"/>
      <c r="Y97" s="237"/>
      <c r="Z97" s="238"/>
    </row>
    <row r="98" spans="1:26" s="239" customFormat="1" ht="28.5" customHeight="1" x14ac:dyDescent="0.3">
      <c r="A98" s="222">
        <f t="shared" si="10"/>
        <v>0</v>
      </c>
      <c r="B98" s="223" t="b">
        <f t="shared" si="11"/>
        <v>1</v>
      </c>
      <c r="C98" s="222">
        <f t="shared" si="12"/>
        <v>0</v>
      </c>
      <c r="D98" s="205" t="str">
        <f t="shared" si="13"/>
        <v>$$$$</v>
      </c>
      <c r="E98" s="224"/>
      <c r="F98" s="225"/>
      <c r="G98" s="226"/>
      <c r="H98" s="227"/>
      <c r="I98" s="228"/>
      <c r="J98" s="228"/>
      <c r="K98" s="229"/>
      <c r="L98" s="230"/>
      <c r="M98" s="231"/>
      <c r="N98" s="232"/>
      <c r="O98" s="230"/>
      <c r="P98" s="231"/>
      <c r="Q98" s="232"/>
      <c r="R98" s="233"/>
      <c r="S98" s="234"/>
      <c r="T98" s="235"/>
      <c r="U98" s="233"/>
      <c r="V98" s="236"/>
      <c r="W98" s="234"/>
      <c r="X98" s="235"/>
      <c r="Y98" s="237"/>
      <c r="Z98" s="238"/>
    </row>
    <row r="99" spans="1:26" s="239" customFormat="1" ht="28.5" customHeight="1" x14ac:dyDescent="0.3">
      <c r="A99" s="222">
        <f t="shared" si="10"/>
        <v>0</v>
      </c>
      <c r="B99" s="223" t="b">
        <f t="shared" si="11"/>
        <v>1</v>
      </c>
      <c r="C99" s="222">
        <f t="shared" si="12"/>
        <v>0</v>
      </c>
      <c r="D99" s="205" t="str">
        <f t="shared" si="13"/>
        <v>$$$$</v>
      </c>
      <c r="E99" s="224"/>
      <c r="F99" s="225"/>
      <c r="G99" s="226"/>
      <c r="H99" s="227"/>
      <c r="I99" s="228"/>
      <c r="J99" s="228"/>
      <c r="K99" s="229"/>
      <c r="L99" s="230"/>
      <c r="M99" s="231"/>
      <c r="N99" s="232"/>
      <c r="O99" s="230"/>
      <c r="P99" s="231"/>
      <c r="Q99" s="232"/>
      <c r="R99" s="233"/>
      <c r="S99" s="234"/>
      <c r="T99" s="235"/>
      <c r="U99" s="233"/>
      <c r="V99" s="236"/>
      <c r="W99" s="234"/>
      <c r="X99" s="235"/>
      <c r="Y99" s="237"/>
      <c r="Z99" s="238"/>
    </row>
    <row r="100" spans="1:26" s="239" customFormat="1" ht="28.5" customHeight="1" x14ac:dyDescent="0.3">
      <c r="A100" s="222">
        <f t="shared" si="10"/>
        <v>0</v>
      </c>
      <c r="B100" s="223" t="b">
        <f t="shared" si="11"/>
        <v>1</v>
      </c>
      <c r="C100" s="222">
        <f t="shared" si="12"/>
        <v>0</v>
      </c>
      <c r="D100" s="205" t="str">
        <f t="shared" si="13"/>
        <v>$$$$</v>
      </c>
      <c r="E100" s="224"/>
      <c r="F100" s="225"/>
      <c r="G100" s="226"/>
      <c r="H100" s="227"/>
      <c r="I100" s="228"/>
      <c r="J100" s="228"/>
      <c r="K100" s="229"/>
      <c r="L100" s="230"/>
      <c r="M100" s="231"/>
      <c r="N100" s="232"/>
      <c r="O100" s="230"/>
      <c r="P100" s="231"/>
      <c r="Q100" s="232"/>
      <c r="R100" s="233"/>
      <c r="S100" s="234"/>
      <c r="T100" s="235"/>
      <c r="U100" s="233"/>
      <c r="V100" s="236"/>
      <c r="W100" s="234"/>
      <c r="X100" s="235"/>
      <c r="Y100" s="237"/>
      <c r="Z100" s="238"/>
    </row>
    <row r="101" spans="1:26" s="239" customFormat="1" ht="28.5" customHeight="1" x14ac:dyDescent="0.3">
      <c r="A101" s="222">
        <f t="shared" si="10"/>
        <v>0</v>
      </c>
      <c r="B101" s="223" t="b">
        <f t="shared" si="11"/>
        <v>1</v>
      </c>
      <c r="C101" s="222">
        <f t="shared" si="12"/>
        <v>0</v>
      </c>
      <c r="D101" s="205" t="str">
        <f t="shared" si="13"/>
        <v>$$$$</v>
      </c>
      <c r="E101" s="224"/>
      <c r="F101" s="225"/>
      <c r="G101" s="226"/>
      <c r="H101" s="227"/>
      <c r="I101" s="228"/>
      <c r="J101" s="228"/>
      <c r="K101" s="229"/>
      <c r="L101" s="230"/>
      <c r="M101" s="231"/>
      <c r="N101" s="232"/>
      <c r="O101" s="230"/>
      <c r="P101" s="231"/>
      <c r="Q101" s="232"/>
      <c r="R101" s="233"/>
      <c r="S101" s="234"/>
      <c r="T101" s="235"/>
      <c r="U101" s="233"/>
      <c r="V101" s="236"/>
      <c r="W101" s="234"/>
      <c r="X101" s="235"/>
      <c r="Y101" s="237"/>
      <c r="Z101" s="238"/>
    </row>
    <row r="102" spans="1:26" s="239" customFormat="1" ht="28.5" customHeight="1" x14ac:dyDescent="0.3">
      <c r="A102" s="222">
        <f t="shared" si="10"/>
        <v>0</v>
      </c>
      <c r="B102" s="223" t="b">
        <f t="shared" si="11"/>
        <v>1</v>
      </c>
      <c r="C102" s="222">
        <f t="shared" si="12"/>
        <v>0</v>
      </c>
      <c r="D102" s="205" t="str">
        <f t="shared" si="13"/>
        <v>$$$$</v>
      </c>
      <c r="E102" s="224"/>
      <c r="F102" s="225"/>
      <c r="G102" s="226"/>
      <c r="H102" s="227"/>
      <c r="I102" s="228"/>
      <c r="J102" s="228"/>
      <c r="K102" s="229"/>
      <c r="L102" s="230"/>
      <c r="M102" s="231"/>
      <c r="N102" s="232"/>
      <c r="O102" s="230"/>
      <c r="P102" s="231"/>
      <c r="Q102" s="232"/>
      <c r="R102" s="233"/>
      <c r="S102" s="234"/>
      <c r="T102" s="235"/>
      <c r="U102" s="233"/>
      <c r="V102" s="236"/>
      <c r="W102" s="234"/>
      <c r="X102" s="235"/>
      <c r="Y102" s="237"/>
      <c r="Z102" s="238"/>
    </row>
    <row r="103" spans="1:26" s="239" customFormat="1" ht="28.5" customHeight="1" x14ac:dyDescent="0.3">
      <c r="A103" s="222">
        <f t="shared" ref="A103:A159" si="14">IF(B103,0,MATCH(H103,ВидыНагр,0))</f>
        <v>0</v>
      </c>
      <c r="B103" s="223" t="b">
        <f t="shared" ref="B103:B159" si="15">(COUNTIF(КлючВесна,D103)&lt;&gt;1)</f>
        <v>1</v>
      </c>
      <c r="C103" s="222">
        <f t="shared" ref="C103:C159" si="16">IF(COUNTA(E103:K103,Z103)&gt;0,1,0)+IF(COUNTA(L103:Y103)&gt;0,2,0)</f>
        <v>0</v>
      </c>
      <c r="D103" s="205" t="str">
        <f t="shared" si="13"/>
        <v>$$$$</v>
      </c>
      <c r="E103" s="224"/>
      <c r="F103" s="225"/>
      <c r="G103" s="226"/>
      <c r="H103" s="227"/>
      <c r="I103" s="228"/>
      <c r="J103" s="228"/>
      <c r="K103" s="229"/>
      <c r="L103" s="230"/>
      <c r="M103" s="231"/>
      <c r="N103" s="232"/>
      <c r="O103" s="230"/>
      <c r="P103" s="231"/>
      <c r="Q103" s="232"/>
      <c r="R103" s="233"/>
      <c r="S103" s="234"/>
      <c r="T103" s="235"/>
      <c r="U103" s="233"/>
      <c r="V103" s="236"/>
      <c r="W103" s="234"/>
      <c r="X103" s="235"/>
      <c r="Y103" s="237"/>
      <c r="Z103" s="238"/>
    </row>
    <row r="104" spans="1:26" s="239" customFormat="1" ht="28.5" customHeight="1" x14ac:dyDescent="0.3">
      <c r="A104" s="222">
        <f t="shared" si="14"/>
        <v>0</v>
      </c>
      <c r="B104" s="223" t="b">
        <f t="shared" si="15"/>
        <v>1</v>
      </c>
      <c r="C104" s="222">
        <f t="shared" si="16"/>
        <v>0</v>
      </c>
      <c r="D104" s="205" t="str">
        <f t="shared" si="13"/>
        <v>$$$$</v>
      </c>
      <c r="E104" s="224"/>
      <c r="F104" s="225"/>
      <c r="G104" s="226"/>
      <c r="H104" s="227"/>
      <c r="I104" s="228"/>
      <c r="J104" s="228"/>
      <c r="K104" s="229"/>
      <c r="L104" s="230"/>
      <c r="M104" s="231"/>
      <c r="N104" s="232"/>
      <c r="O104" s="230"/>
      <c r="P104" s="231"/>
      <c r="Q104" s="232"/>
      <c r="R104" s="233"/>
      <c r="S104" s="234"/>
      <c r="T104" s="235"/>
      <c r="U104" s="233"/>
      <c r="V104" s="236"/>
      <c r="W104" s="234"/>
      <c r="X104" s="235"/>
      <c r="Y104" s="237"/>
      <c r="Z104" s="238"/>
    </row>
    <row r="105" spans="1:26" s="239" customFormat="1" ht="28.5" customHeight="1" x14ac:dyDescent="0.3">
      <c r="A105" s="222">
        <f t="shared" si="14"/>
        <v>0</v>
      </c>
      <c r="B105" s="223" t="b">
        <f t="shared" si="15"/>
        <v>1</v>
      </c>
      <c r="C105" s="222">
        <f t="shared" si="16"/>
        <v>0</v>
      </c>
      <c r="D105" s="205" t="str">
        <f t="shared" si="13"/>
        <v>$$$$</v>
      </c>
      <c r="E105" s="224"/>
      <c r="F105" s="225"/>
      <c r="G105" s="226"/>
      <c r="H105" s="227"/>
      <c r="I105" s="228"/>
      <c r="J105" s="228"/>
      <c r="K105" s="229"/>
      <c r="L105" s="230"/>
      <c r="M105" s="231"/>
      <c r="N105" s="232"/>
      <c r="O105" s="230"/>
      <c r="P105" s="231"/>
      <c r="Q105" s="232"/>
      <c r="R105" s="233"/>
      <c r="S105" s="234"/>
      <c r="T105" s="235"/>
      <c r="U105" s="233"/>
      <c r="V105" s="236"/>
      <c r="W105" s="234"/>
      <c r="X105" s="235"/>
      <c r="Y105" s="237"/>
      <c r="Z105" s="238"/>
    </row>
    <row r="106" spans="1:26" s="239" customFormat="1" ht="28.5" customHeight="1" x14ac:dyDescent="0.3">
      <c r="A106" s="222">
        <f t="shared" si="14"/>
        <v>0</v>
      </c>
      <c r="B106" s="223" t="b">
        <f t="shared" si="15"/>
        <v>1</v>
      </c>
      <c r="C106" s="222">
        <f t="shared" si="16"/>
        <v>0</v>
      </c>
      <c r="D106" s="205" t="str">
        <f t="shared" si="13"/>
        <v>$$$$</v>
      </c>
      <c r="E106" s="224"/>
      <c r="F106" s="225"/>
      <c r="G106" s="226"/>
      <c r="H106" s="227"/>
      <c r="I106" s="228"/>
      <c r="J106" s="228"/>
      <c r="K106" s="229"/>
      <c r="L106" s="230"/>
      <c r="M106" s="231"/>
      <c r="N106" s="232"/>
      <c r="O106" s="230"/>
      <c r="P106" s="231"/>
      <c r="Q106" s="232"/>
      <c r="R106" s="233"/>
      <c r="S106" s="234"/>
      <c r="T106" s="235"/>
      <c r="U106" s="233"/>
      <c r="V106" s="236"/>
      <c r="W106" s="234"/>
      <c r="X106" s="235"/>
      <c r="Y106" s="237"/>
      <c r="Z106" s="238"/>
    </row>
    <row r="107" spans="1:26" s="239" customFormat="1" ht="28.5" customHeight="1" x14ac:dyDescent="0.3">
      <c r="A107" s="222">
        <f>IF(B107,0,MATCH(H107,ВидыНагр,0))</f>
        <v>0</v>
      </c>
      <c r="B107" s="223" t="b">
        <f>(COUNTIF(КлючВесна,D107)&lt;&gt;1)</f>
        <v>1</v>
      </c>
      <c r="C107" s="222">
        <f t="shared" si="16"/>
        <v>0</v>
      </c>
      <c r="D107" s="205" t="str">
        <f>CONCATENATE("$",TRIM(F107),"$",TRIM(G107),"$",H107,"$")</f>
        <v>$$$$</v>
      </c>
      <c r="E107" s="224"/>
      <c r="F107" s="225"/>
      <c r="G107" s="226"/>
      <c r="H107" s="227"/>
      <c r="I107" s="228"/>
      <c r="J107" s="228"/>
      <c r="K107" s="229"/>
      <c r="L107" s="230"/>
      <c r="M107" s="231"/>
      <c r="N107" s="232"/>
      <c r="O107" s="230"/>
      <c r="P107" s="231"/>
      <c r="Q107" s="232"/>
      <c r="R107" s="233"/>
      <c r="S107" s="234"/>
      <c r="T107" s="235"/>
      <c r="U107" s="233"/>
      <c r="V107" s="236"/>
      <c r="W107" s="234"/>
      <c r="X107" s="235"/>
      <c r="Y107" s="237"/>
      <c r="Z107" s="238"/>
    </row>
    <row r="108" spans="1:26" s="239" customFormat="1" ht="28.5" customHeight="1" x14ac:dyDescent="0.3">
      <c r="A108" s="222">
        <f>IF(B108,0,MATCH(H108,ВидыНагр,0))</f>
        <v>0</v>
      </c>
      <c r="B108" s="223" t="b">
        <f>(COUNTIF(КлючВесна,D108)&lt;&gt;1)</f>
        <v>1</v>
      </c>
      <c r="C108" s="222">
        <f t="shared" si="16"/>
        <v>0</v>
      </c>
      <c r="D108" s="205" t="str">
        <f>CONCATENATE("$",TRIM(F108),"$",TRIM(G108),"$",H108,"$")</f>
        <v>$$$$</v>
      </c>
      <c r="E108" s="224"/>
      <c r="F108" s="225"/>
      <c r="G108" s="226"/>
      <c r="H108" s="227"/>
      <c r="I108" s="228"/>
      <c r="J108" s="228"/>
      <c r="K108" s="229"/>
      <c r="L108" s="230"/>
      <c r="M108" s="231"/>
      <c r="N108" s="232"/>
      <c r="O108" s="230"/>
      <c r="P108" s="231"/>
      <c r="Q108" s="232"/>
      <c r="R108" s="233"/>
      <c r="S108" s="234"/>
      <c r="T108" s="235"/>
      <c r="U108" s="233"/>
      <c r="V108" s="236"/>
      <c r="W108" s="234"/>
      <c r="X108" s="235"/>
      <c r="Y108" s="237"/>
      <c r="Z108" s="238"/>
    </row>
    <row r="109" spans="1:26" s="239" customFormat="1" ht="28.5" customHeight="1" x14ac:dyDescent="0.3">
      <c r="A109" s="222">
        <f t="shared" si="14"/>
        <v>0</v>
      </c>
      <c r="B109" s="223" t="b">
        <f t="shared" si="15"/>
        <v>1</v>
      </c>
      <c r="C109" s="222">
        <f t="shared" si="16"/>
        <v>0</v>
      </c>
      <c r="D109" s="205" t="str">
        <f t="shared" si="13"/>
        <v>$$$$</v>
      </c>
      <c r="E109" s="224"/>
      <c r="F109" s="225"/>
      <c r="G109" s="226"/>
      <c r="H109" s="227"/>
      <c r="I109" s="228"/>
      <c r="J109" s="228"/>
      <c r="K109" s="229"/>
      <c r="L109" s="230"/>
      <c r="M109" s="231"/>
      <c r="N109" s="232"/>
      <c r="O109" s="230"/>
      <c r="P109" s="231"/>
      <c r="Q109" s="232"/>
      <c r="R109" s="233"/>
      <c r="S109" s="234"/>
      <c r="T109" s="235"/>
      <c r="U109" s="233"/>
      <c r="V109" s="236"/>
      <c r="W109" s="234"/>
      <c r="X109" s="235"/>
      <c r="Y109" s="237"/>
      <c r="Z109" s="238"/>
    </row>
    <row r="110" spans="1:26" s="239" customFormat="1" ht="28.5" customHeight="1" x14ac:dyDescent="0.3">
      <c r="A110" s="222">
        <f t="shared" si="14"/>
        <v>0</v>
      </c>
      <c r="B110" s="223" t="b">
        <f t="shared" si="15"/>
        <v>1</v>
      </c>
      <c r="C110" s="222">
        <f t="shared" si="16"/>
        <v>0</v>
      </c>
      <c r="D110" s="205" t="str">
        <f t="shared" si="13"/>
        <v>$$$$</v>
      </c>
      <c r="E110" s="224"/>
      <c r="F110" s="225"/>
      <c r="G110" s="226"/>
      <c r="H110" s="227"/>
      <c r="I110" s="228"/>
      <c r="J110" s="228"/>
      <c r="K110" s="229"/>
      <c r="L110" s="230"/>
      <c r="M110" s="231"/>
      <c r="N110" s="232"/>
      <c r="O110" s="230"/>
      <c r="P110" s="231"/>
      <c r="Q110" s="232"/>
      <c r="R110" s="233"/>
      <c r="S110" s="234"/>
      <c r="T110" s="235"/>
      <c r="U110" s="233"/>
      <c r="V110" s="236"/>
      <c r="W110" s="234"/>
      <c r="X110" s="235"/>
      <c r="Y110" s="237"/>
      <c r="Z110" s="238"/>
    </row>
    <row r="111" spans="1:26" s="239" customFormat="1" ht="28.5" customHeight="1" x14ac:dyDescent="0.3">
      <c r="A111" s="222">
        <f t="shared" si="14"/>
        <v>0</v>
      </c>
      <c r="B111" s="223" t="b">
        <f t="shared" si="15"/>
        <v>1</v>
      </c>
      <c r="C111" s="222">
        <f t="shared" si="16"/>
        <v>0</v>
      </c>
      <c r="D111" s="205" t="str">
        <f t="shared" si="13"/>
        <v>$$$$</v>
      </c>
      <c r="E111" s="224"/>
      <c r="F111" s="225"/>
      <c r="G111" s="226"/>
      <c r="H111" s="227"/>
      <c r="I111" s="228"/>
      <c r="J111" s="228"/>
      <c r="K111" s="229"/>
      <c r="L111" s="230"/>
      <c r="M111" s="231"/>
      <c r="N111" s="232"/>
      <c r="O111" s="230"/>
      <c r="P111" s="231"/>
      <c r="Q111" s="232"/>
      <c r="R111" s="233"/>
      <c r="S111" s="234"/>
      <c r="T111" s="235"/>
      <c r="U111" s="233"/>
      <c r="V111" s="236"/>
      <c r="W111" s="234"/>
      <c r="X111" s="235"/>
      <c r="Y111" s="237"/>
      <c r="Z111" s="238"/>
    </row>
    <row r="112" spans="1:26" s="239" customFormat="1" ht="28.5" customHeight="1" x14ac:dyDescent="0.3">
      <c r="A112" s="222">
        <f t="shared" si="14"/>
        <v>0</v>
      </c>
      <c r="B112" s="223" t="b">
        <f t="shared" si="15"/>
        <v>1</v>
      </c>
      <c r="C112" s="222">
        <f t="shared" si="16"/>
        <v>0</v>
      </c>
      <c r="D112" s="205" t="str">
        <f t="shared" si="13"/>
        <v>$$$$</v>
      </c>
      <c r="E112" s="224"/>
      <c r="F112" s="225"/>
      <c r="G112" s="226"/>
      <c r="H112" s="227"/>
      <c r="I112" s="228"/>
      <c r="J112" s="228"/>
      <c r="K112" s="229"/>
      <c r="L112" s="230"/>
      <c r="M112" s="231"/>
      <c r="N112" s="232"/>
      <c r="O112" s="230"/>
      <c r="P112" s="231"/>
      <c r="Q112" s="232"/>
      <c r="R112" s="233"/>
      <c r="S112" s="234"/>
      <c r="T112" s="235"/>
      <c r="U112" s="233"/>
      <c r="V112" s="236"/>
      <c r="W112" s="234"/>
      <c r="X112" s="235"/>
      <c r="Y112" s="237"/>
      <c r="Z112" s="238"/>
    </row>
    <row r="113" spans="1:26" s="239" customFormat="1" ht="28.5" customHeight="1" x14ac:dyDescent="0.3">
      <c r="A113" s="222">
        <f t="shared" si="14"/>
        <v>0</v>
      </c>
      <c r="B113" s="223" t="b">
        <f t="shared" si="15"/>
        <v>1</v>
      </c>
      <c r="C113" s="222">
        <f t="shared" si="16"/>
        <v>0</v>
      </c>
      <c r="D113" s="205" t="str">
        <f t="shared" si="13"/>
        <v>$$$$</v>
      </c>
      <c r="E113" s="224"/>
      <c r="F113" s="225"/>
      <c r="G113" s="226"/>
      <c r="H113" s="227"/>
      <c r="I113" s="228"/>
      <c r="J113" s="228"/>
      <c r="K113" s="229"/>
      <c r="L113" s="230"/>
      <c r="M113" s="231"/>
      <c r="N113" s="232"/>
      <c r="O113" s="230"/>
      <c r="P113" s="231"/>
      <c r="Q113" s="232"/>
      <c r="R113" s="233"/>
      <c r="S113" s="234"/>
      <c r="T113" s="235"/>
      <c r="U113" s="233"/>
      <c r="V113" s="236"/>
      <c r="W113" s="234"/>
      <c r="X113" s="235"/>
      <c r="Y113" s="237"/>
      <c r="Z113" s="238"/>
    </row>
    <row r="114" spans="1:26" s="239" customFormat="1" ht="28.5" customHeight="1" x14ac:dyDescent="0.3">
      <c r="A114" s="222">
        <f t="shared" si="14"/>
        <v>0</v>
      </c>
      <c r="B114" s="223" t="b">
        <f t="shared" si="15"/>
        <v>1</v>
      </c>
      <c r="C114" s="222">
        <f t="shared" si="16"/>
        <v>0</v>
      </c>
      <c r="D114" s="205" t="str">
        <f t="shared" si="13"/>
        <v>$$$$</v>
      </c>
      <c r="E114" s="224"/>
      <c r="F114" s="225"/>
      <c r="G114" s="226"/>
      <c r="H114" s="227"/>
      <c r="I114" s="228"/>
      <c r="J114" s="228"/>
      <c r="K114" s="229"/>
      <c r="L114" s="230"/>
      <c r="M114" s="231"/>
      <c r="N114" s="232"/>
      <c r="O114" s="230"/>
      <c r="P114" s="231"/>
      <c r="Q114" s="232"/>
      <c r="R114" s="233"/>
      <c r="S114" s="234"/>
      <c r="T114" s="235"/>
      <c r="U114" s="233"/>
      <c r="V114" s="236"/>
      <c r="W114" s="234"/>
      <c r="X114" s="235"/>
      <c r="Y114" s="237"/>
      <c r="Z114" s="238"/>
    </row>
    <row r="115" spans="1:26" s="239" customFormat="1" ht="28.5" customHeight="1" x14ac:dyDescent="0.3">
      <c r="A115" s="222">
        <f t="shared" si="14"/>
        <v>0</v>
      </c>
      <c r="B115" s="223" t="b">
        <f t="shared" si="15"/>
        <v>1</v>
      </c>
      <c r="C115" s="222">
        <f t="shared" si="16"/>
        <v>0</v>
      </c>
      <c r="D115" s="205" t="str">
        <f t="shared" si="13"/>
        <v>$$$$</v>
      </c>
      <c r="E115" s="224"/>
      <c r="F115" s="225"/>
      <c r="G115" s="226"/>
      <c r="H115" s="227"/>
      <c r="I115" s="228"/>
      <c r="J115" s="228"/>
      <c r="K115" s="229"/>
      <c r="L115" s="230"/>
      <c r="M115" s="231"/>
      <c r="N115" s="232"/>
      <c r="O115" s="230"/>
      <c r="P115" s="231"/>
      <c r="Q115" s="232"/>
      <c r="R115" s="233"/>
      <c r="S115" s="234"/>
      <c r="T115" s="235"/>
      <c r="U115" s="233"/>
      <c r="V115" s="236"/>
      <c r="W115" s="234"/>
      <c r="X115" s="235"/>
      <c r="Y115" s="237"/>
      <c r="Z115" s="238"/>
    </row>
    <row r="116" spans="1:26" s="239" customFormat="1" ht="28.5" customHeight="1" x14ac:dyDescent="0.3">
      <c r="A116" s="222">
        <f t="shared" si="14"/>
        <v>0</v>
      </c>
      <c r="B116" s="223" t="b">
        <f t="shared" si="15"/>
        <v>1</v>
      </c>
      <c r="C116" s="222">
        <f t="shared" si="16"/>
        <v>0</v>
      </c>
      <c r="D116" s="205" t="str">
        <f t="shared" si="13"/>
        <v>$$$$</v>
      </c>
      <c r="E116" s="224"/>
      <c r="F116" s="225"/>
      <c r="G116" s="226"/>
      <c r="H116" s="227"/>
      <c r="I116" s="228"/>
      <c r="J116" s="228"/>
      <c r="K116" s="229"/>
      <c r="L116" s="230"/>
      <c r="M116" s="231"/>
      <c r="N116" s="232"/>
      <c r="O116" s="230"/>
      <c r="P116" s="231"/>
      <c r="Q116" s="232"/>
      <c r="R116" s="233"/>
      <c r="S116" s="234"/>
      <c r="T116" s="235"/>
      <c r="U116" s="233"/>
      <c r="V116" s="236"/>
      <c r="W116" s="234"/>
      <c r="X116" s="235"/>
      <c r="Y116" s="237"/>
      <c r="Z116" s="238"/>
    </row>
    <row r="117" spans="1:26" s="239" customFormat="1" ht="28.5" customHeight="1" x14ac:dyDescent="0.3">
      <c r="A117" s="222">
        <f t="shared" si="14"/>
        <v>0</v>
      </c>
      <c r="B117" s="223" t="b">
        <f t="shared" si="15"/>
        <v>1</v>
      </c>
      <c r="C117" s="222">
        <f t="shared" si="16"/>
        <v>0</v>
      </c>
      <c r="D117" s="205" t="str">
        <f t="shared" si="13"/>
        <v>$$$$</v>
      </c>
      <c r="E117" s="224"/>
      <c r="F117" s="225"/>
      <c r="G117" s="226"/>
      <c r="H117" s="227"/>
      <c r="I117" s="228"/>
      <c r="J117" s="228"/>
      <c r="K117" s="229"/>
      <c r="L117" s="230"/>
      <c r="M117" s="231"/>
      <c r="N117" s="232"/>
      <c r="O117" s="230"/>
      <c r="P117" s="231"/>
      <c r="Q117" s="232"/>
      <c r="R117" s="233"/>
      <c r="S117" s="234"/>
      <c r="T117" s="235"/>
      <c r="U117" s="233"/>
      <c r="V117" s="236"/>
      <c r="W117" s="234"/>
      <c r="X117" s="235"/>
      <c r="Y117" s="237"/>
      <c r="Z117" s="238"/>
    </row>
    <row r="118" spans="1:26" s="239" customFormat="1" ht="28.5" customHeight="1" x14ac:dyDescent="0.3">
      <c r="A118" s="222">
        <f t="shared" si="14"/>
        <v>0</v>
      </c>
      <c r="B118" s="223" t="b">
        <f t="shared" si="15"/>
        <v>1</v>
      </c>
      <c r="C118" s="222">
        <f t="shared" si="16"/>
        <v>0</v>
      </c>
      <c r="D118" s="205" t="str">
        <f t="shared" si="13"/>
        <v>$$$$</v>
      </c>
      <c r="E118" s="224"/>
      <c r="F118" s="225"/>
      <c r="G118" s="226"/>
      <c r="H118" s="227"/>
      <c r="I118" s="228"/>
      <c r="J118" s="228"/>
      <c r="K118" s="229"/>
      <c r="L118" s="230"/>
      <c r="M118" s="231"/>
      <c r="N118" s="232"/>
      <c r="O118" s="230"/>
      <c r="P118" s="231"/>
      <c r="Q118" s="232"/>
      <c r="R118" s="233"/>
      <c r="S118" s="234"/>
      <c r="T118" s="235"/>
      <c r="U118" s="233"/>
      <c r="V118" s="236"/>
      <c r="W118" s="234"/>
      <c r="X118" s="235"/>
      <c r="Y118" s="237"/>
      <c r="Z118" s="238"/>
    </row>
    <row r="119" spans="1:26" s="239" customFormat="1" ht="28.5" customHeight="1" x14ac:dyDescent="0.3">
      <c r="A119" s="222">
        <f t="shared" si="14"/>
        <v>0</v>
      </c>
      <c r="B119" s="223" t="b">
        <f t="shared" si="15"/>
        <v>1</v>
      </c>
      <c r="C119" s="222">
        <f t="shared" si="16"/>
        <v>0</v>
      </c>
      <c r="D119" s="205" t="str">
        <f t="shared" si="13"/>
        <v>$$$$</v>
      </c>
      <c r="E119" s="224"/>
      <c r="F119" s="225"/>
      <c r="G119" s="226"/>
      <c r="H119" s="227"/>
      <c r="I119" s="228"/>
      <c r="J119" s="228"/>
      <c r="K119" s="229"/>
      <c r="L119" s="230"/>
      <c r="M119" s="231"/>
      <c r="N119" s="232"/>
      <c r="O119" s="230"/>
      <c r="P119" s="231"/>
      <c r="Q119" s="232"/>
      <c r="R119" s="233"/>
      <c r="S119" s="234"/>
      <c r="T119" s="235"/>
      <c r="U119" s="233"/>
      <c r="V119" s="236"/>
      <c r="W119" s="234"/>
      <c r="X119" s="235"/>
      <c r="Y119" s="237"/>
      <c r="Z119" s="238"/>
    </row>
    <row r="120" spans="1:26" s="239" customFormat="1" ht="28.5" customHeight="1" x14ac:dyDescent="0.3">
      <c r="A120" s="222">
        <f t="shared" si="14"/>
        <v>0</v>
      </c>
      <c r="B120" s="223" t="b">
        <f t="shared" si="15"/>
        <v>1</v>
      </c>
      <c r="C120" s="222">
        <f t="shared" si="16"/>
        <v>0</v>
      </c>
      <c r="D120" s="205" t="str">
        <f t="shared" ref="D120:D154" si="17">CONCATENATE("$",TRIM(F120),"$",TRIM(G120),"$",H120,"$")</f>
        <v>$$$$</v>
      </c>
      <c r="E120" s="224"/>
      <c r="F120" s="225"/>
      <c r="G120" s="226"/>
      <c r="H120" s="227"/>
      <c r="I120" s="228"/>
      <c r="J120" s="228"/>
      <c r="K120" s="229"/>
      <c r="L120" s="230"/>
      <c r="M120" s="231"/>
      <c r="N120" s="232"/>
      <c r="O120" s="230"/>
      <c r="P120" s="231"/>
      <c r="Q120" s="232"/>
      <c r="R120" s="233"/>
      <c r="S120" s="234"/>
      <c r="T120" s="235"/>
      <c r="U120" s="233"/>
      <c r="V120" s="236"/>
      <c r="W120" s="234"/>
      <c r="X120" s="235"/>
      <c r="Y120" s="237"/>
      <c r="Z120" s="238"/>
    </row>
    <row r="121" spans="1:26" s="239" customFormat="1" ht="28.5" customHeight="1" x14ac:dyDescent="0.3">
      <c r="A121" s="222">
        <f t="shared" si="14"/>
        <v>0</v>
      </c>
      <c r="B121" s="223" t="b">
        <f t="shared" si="15"/>
        <v>1</v>
      </c>
      <c r="C121" s="222">
        <f t="shared" si="16"/>
        <v>0</v>
      </c>
      <c r="D121" s="205" t="str">
        <f t="shared" si="17"/>
        <v>$$$$</v>
      </c>
      <c r="E121" s="224"/>
      <c r="F121" s="225"/>
      <c r="G121" s="226"/>
      <c r="H121" s="227"/>
      <c r="I121" s="228"/>
      <c r="J121" s="228"/>
      <c r="K121" s="229"/>
      <c r="L121" s="230"/>
      <c r="M121" s="231"/>
      <c r="N121" s="232"/>
      <c r="O121" s="230"/>
      <c r="P121" s="231"/>
      <c r="Q121" s="232"/>
      <c r="R121" s="233"/>
      <c r="S121" s="234"/>
      <c r="T121" s="235"/>
      <c r="U121" s="233"/>
      <c r="V121" s="236"/>
      <c r="W121" s="234"/>
      <c r="X121" s="235"/>
      <c r="Y121" s="237"/>
      <c r="Z121" s="238"/>
    </row>
    <row r="122" spans="1:26" s="239" customFormat="1" ht="28.5" customHeight="1" x14ac:dyDescent="0.3">
      <c r="A122" s="222">
        <f t="shared" si="14"/>
        <v>0</v>
      </c>
      <c r="B122" s="223" t="b">
        <f t="shared" si="15"/>
        <v>1</v>
      </c>
      <c r="C122" s="222">
        <f t="shared" si="16"/>
        <v>0</v>
      </c>
      <c r="D122" s="205" t="str">
        <f t="shared" si="17"/>
        <v>$$$$</v>
      </c>
      <c r="E122" s="224"/>
      <c r="F122" s="225"/>
      <c r="G122" s="226"/>
      <c r="H122" s="227"/>
      <c r="I122" s="228"/>
      <c r="J122" s="228"/>
      <c r="K122" s="229"/>
      <c r="L122" s="230"/>
      <c r="M122" s="231"/>
      <c r="N122" s="232"/>
      <c r="O122" s="230"/>
      <c r="P122" s="231"/>
      <c r="Q122" s="232"/>
      <c r="R122" s="233"/>
      <c r="S122" s="234"/>
      <c r="T122" s="235"/>
      <c r="U122" s="233"/>
      <c r="V122" s="236"/>
      <c r="W122" s="234"/>
      <c r="X122" s="235"/>
      <c r="Y122" s="237"/>
      <c r="Z122" s="238"/>
    </row>
    <row r="123" spans="1:26" s="239" customFormat="1" ht="28.5" customHeight="1" x14ac:dyDescent="0.3">
      <c r="A123" s="222">
        <f t="shared" si="14"/>
        <v>0</v>
      </c>
      <c r="B123" s="223" t="b">
        <f t="shared" si="15"/>
        <v>1</v>
      </c>
      <c r="C123" s="222">
        <f t="shared" si="16"/>
        <v>0</v>
      </c>
      <c r="D123" s="205" t="str">
        <f t="shared" si="17"/>
        <v>$$$$</v>
      </c>
      <c r="E123" s="224"/>
      <c r="F123" s="225"/>
      <c r="G123" s="226"/>
      <c r="H123" s="227"/>
      <c r="I123" s="228"/>
      <c r="J123" s="228"/>
      <c r="K123" s="229"/>
      <c r="L123" s="230"/>
      <c r="M123" s="231"/>
      <c r="N123" s="232"/>
      <c r="O123" s="230"/>
      <c r="P123" s="231"/>
      <c r="Q123" s="232"/>
      <c r="R123" s="233"/>
      <c r="S123" s="234"/>
      <c r="T123" s="235"/>
      <c r="U123" s="233"/>
      <c r="V123" s="236"/>
      <c r="W123" s="234"/>
      <c r="X123" s="235"/>
      <c r="Y123" s="237"/>
      <c r="Z123" s="238"/>
    </row>
    <row r="124" spans="1:26" s="239" customFormat="1" ht="28.5" customHeight="1" x14ac:dyDescent="0.3">
      <c r="A124" s="222">
        <f t="shared" si="14"/>
        <v>0</v>
      </c>
      <c r="B124" s="223" t="b">
        <f t="shared" si="15"/>
        <v>1</v>
      </c>
      <c r="C124" s="222">
        <f t="shared" si="16"/>
        <v>0</v>
      </c>
      <c r="D124" s="205" t="str">
        <f t="shared" si="17"/>
        <v>$$$$</v>
      </c>
      <c r="E124" s="224"/>
      <c r="F124" s="225"/>
      <c r="G124" s="226"/>
      <c r="H124" s="227"/>
      <c r="I124" s="228"/>
      <c r="J124" s="228"/>
      <c r="K124" s="229"/>
      <c r="L124" s="230"/>
      <c r="M124" s="231"/>
      <c r="N124" s="232"/>
      <c r="O124" s="230"/>
      <c r="P124" s="231"/>
      <c r="Q124" s="232"/>
      <c r="R124" s="233"/>
      <c r="S124" s="234"/>
      <c r="T124" s="235"/>
      <c r="U124" s="233"/>
      <c r="V124" s="236"/>
      <c r="W124" s="234"/>
      <c r="X124" s="235"/>
      <c r="Y124" s="237"/>
      <c r="Z124" s="238"/>
    </row>
    <row r="125" spans="1:26" s="239" customFormat="1" ht="28.5" customHeight="1" x14ac:dyDescent="0.3">
      <c r="A125" s="222">
        <f t="shared" si="14"/>
        <v>0</v>
      </c>
      <c r="B125" s="223" t="b">
        <f t="shared" si="15"/>
        <v>1</v>
      </c>
      <c r="C125" s="222">
        <f t="shared" si="16"/>
        <v>0</v>
      </c>
      <c r="D125" s="205" t="str">
        <f t="shared" si="17"/>
        <v>$$$$</v>
      </c>
      <c r="E125" s="224"/>
      <c r="F125" s="225"/>
      <c r="G125" s="226"/>
      <c r="H125" s="227"/>
      <c r="I125" s="228"/>
      <c r="J125" s="228"/>
      <c r="K125" s="229"/>
      <c r="L125" s="230"/>
      <c r="M125" s="231"/>
      <c r="N125" s="232"/>
      <c r="O125" s="230"/>
      <c r="P125" s="231"/>
      <c r="Q125" s="232"/>
      <c r="R125" s="233"/>
      <c r="S125" s="234"/>
      <c r="T125" s="235"/>
      <c r="U125" s="233"/>
      <c r="V125" s="236"/>
      <c r="W125" s="234"/>
      <c r="X125" s="235"/>
      <c r="Y125" s="237"/>
      <c r="Z125" s="238"/>
    </row>
    <row r="126" spans="1:26" s="239" customFormat="1" ht="28.5" customHeight="1" x14ac:dyDescent="0.3">
      <c r="A126" s="222">
        <f t="shared" si="14"/>
        <v>0</v>
      </c>
      <c r="B126" s="223" t="b">
        <f t="shared" si="15"/>
        <v>1</v>
      </c>
      <c r="C126" s="222">
        <f t="shared" si="16"/>
        <v>0</v>
      </c>
      <c r="D126" s="205" t="str">
        <f t="shared" si="17"/>
        <v>$$$$</v>
      </c>
      <c r="E126" s="224"/>
      <c r="F126" s="225"/>
      <c r="G126" s="226"/>
      <c r="H126" s="227"/>
      <c r="I126" s="228"/>
      <c r="J126" s="228"/>
      <c r="K126" s="229"/>
      <c r="L126" s="230"/>
      <c r="M126" s="231"/>
      <c r="N126" s="232"/>
      <c r="O126" s="230"/>
      <c r="P126" s="231"/>
      <c r="Q126" s="232"/>
      <c r="R126" s="233"/>
      <c r="S126" s="234"/>
      <c r="T126" s="235"/>
      <c r="U126" s="233"/>
      <c r="V126" s="236"/>
      <c r="W126" s="234"/>
      <c r="X126" s="235"/>
      <c r="Y126" s="237"/>
      <c r="Z126" s="238"/>
    </row>
    <row r="127" spans="1:26" s="239" customFormat="1" ht="28.5" customHeight="1" x14ac:dyDescent="0.3">
      <c r="A127" s="222">
        <f t="shared" si="14"/>
        <v>0</v>
      </c>
      <c r="B127" s="223" t="b">
        <f t="shared" si="15"/>
        <v>1</v>
      </c>
      <c r="C127" s="222">
        <f t="shared" si="16"/>
        <v>0</v>
      </c>
      <c r="D127" s="205" t="str">
        <f t="shared" si="17"/>
        <v>$$$$</v>
      </c>
      <c r="E127" s="224"/>
      <c r="F127" s="225"/>
      <c r="G127" s="226"/>
      <c r="H127" s="227"/>
      <c r="I127" s="228"/>
      <c r="J127" s="228"/>
      <c r="K127" s="229"/>
      <c r="L127" s="230"/>
      <c r="M127" s="231"/>
      <c r="N127" s="232"/>
      <c r="O127" s="230"/>
      <c r="P127" s="231"/>
      <c r="Q127" s="232"/>
      <c r="R127" s="233"/>
      <c r="S127" s="234"/>
      <c r="T127" s="235"/>
      <c r="U127" s="233"/>
      <c r="V127" s="236"/>
      <c r="W127" s="234"/>
      <c r="X127" s="235"/>
      <c r="Y127" s="237"/>
      <c r="Z127" s="238"/>
    </row>
    <row r="128" spans="1:26" s="239" customFormat="1" ht="28.5" customHeight="1" x14ac:dyDescent="0.3">
      <c r="A128" s="222">
        <f t="shared" si="14"/>
        <v>0</v>
      </c>
      <c r="B128" s="223" t="b">
        <f t="shared" si="15"/>
        <v>1</v>
      </c>
      <c r="C128" s="222">
        <f t="shared" si="16"/>
        <v>0</v>
      </c>
      <c r="D128" s="205" t="str">
        <f t="shared" si="17"/>
        <v>$$$$</v>
      </c>
      <c r="E128" s="224"/>
      <c r="F128" s="225"/>
      <c r="G128" s="226"/>
      <c r="H128" s="227"/>
      <c r="I128" s="228"/>
      <c r="J128" s="228"/>
      <c r="K128" s="229"/>
      <c r="L128" s="230"/>
      <c r="M128" s="231"/>
      <c r="N128" s="232"/>
      <c r="O128" s="230"/>
      <c r="P128" s="231"/>
      <c r="Q128" s="232"/>
      <c r="R128" s="233"/>
      <c r="S128" s="234"/>
      <c r="T128" s="235"/>
      <c r="U128" s="233"/>
      <c r="V128" s="236"/>
      <c r="W128" s="234"/>
      <c r="X128" s="235"/>
      <c r="Y128" s="237"/>
      <c r="Z128" s="238"/>
    </row>
    <row r="129" spans="1:26" s="239" customFormat="1" ht="28.5" customHeight="1" x14ac:dyDescent="0.3">
      <c r="A129" s="222">
        <f t="shared" si="14"/>
        <v>0</v>
      </c>
      <c r="B129" s="223" t="b">
        <f t="shared" si="15"/>
        <v>1</v>
      </c>
      <c r="C129" s="222">
        <f t="shared" si="16"/>
        <v>0</v>
      </c>
      <c r="D129" s="205" t="str">
        <f t="shared" si="17"/>
        <v>$$$$</v>
      </c>
      <c r="E129" s="224"/>
      <c r="F129" s="225"/>
      <c r="G129" s="226"/>
      <c r="H129" s="227"/>
      <c r="I129" s="228"/>
      <c r="J129" s="228"/>
      <c r="K129" s="229"/>
      <c r="L129" s="230"/>
      <c r="M129" s="231"/>
      <c r="N129" s="232"/>
      <c r="O129" s="230"/>
      <c r="P129" s="231"/>
      <c r="Q129" s="232"/>
      <c r="R129" s="233"/>
      <c r="S129" s="234"/>
      <c r="T129" s="235"/>
      <c r="U129" s="233"/>
      <c r="V129" s="236"/>
      <c r="W129" s="234"/>
      <c r="X129" s="235"/>
      <c r="Y129" s="237"/>
      <c r="Z129" s="238"/>
    </row>
    <row r="130" spans="1:26" s="239" customFormat="1" ht="28.5" customHeight="1" x14ac:dyDescent="0.3">
      <c r="A130" s="222">
        <f t="shared" si="14"/>
        <v>0</v>
      </c>
      <c r="B130" s="223" t="b">
        <f t="shared" si="15"/>
        <v>1</v>
      </c>
      <c r="C130" s="222">
        <f t="shared" si="16"/>
        <v>0</v>
      </c>
      <c r="D130" s="205" t="str">
        <f t="shared" si="17"/>
        <v>$$$$</v>
      </c>
      <c r="E130" s="224"/>
      <c r="F130" s="225"/>
      <c r="G130" s="226"/>
      <c r="H130" s="227"/>
      <c r="I130" s="228"/>
      <c r="J130" s="228"/>
      <c r="K130" s="229"/>
      <c r="L130" s="230"/>
      <c r="M130" s="231"/>
      <c r="N130" s="232"/>
      <c r="O130" s="230"/>
      <c r="P130" s="231"/>
      <c r="Q130" s="232"/>
      <c r="R130" s="233"/>
      <c r="S130" s="234"/>
      <c r="T130" s="235"/>
      <c r="U130" s="233"/>
      <c r="V130" s="236"/>
      <c r="W130" s="234"/>
      <c r="X130" s="235"/>
      <c r="Y130" s="237"/>
      <c r="Z130" s="238"/>
    </row>
    <row r="131" spans="1:26" s="239" customFormat="1" ht="28.5" customHeight="1" x14ac:dyDescent="0.3">
      <c r="A131" s="222">
        <f t="shared" si="14"/>
        <v>0</v>
      </c>
      <c r="B131" s="223" t="b">
        <f t="shared" si="15"/>
        <v>1</v>
      </c>
      <c r="C131" s="222">
        <f t="shared" si="16"/>
        <v>0</v>
      </c>
      <c r="D131" s="205" t="str">
        <f t="shared" si="17"/>
        <v>$$$$</v>
      </c>
      <c r="E131" s="224"/>
      <c r="F131" s="225"/>
      <c r="G131" s="226"/>
      <c r="H131" s="227"/>
      <c r="I131" s="228"/>
      <c r="J131" s="228"/>
      <c r="K131" s="229"/>
      <c r="L131" s="230"/>
      <c r="M131" s="231"/>
      <c r="N131" s="232"/>
      <c r="O131" s="230"/>
      <c r="P131" s="231"/>
      <c r="Q131" s="232"/>
      <c r="R131" s="233"/>
      <c r="S131" s="234"/>
      <c r="T131" s="235"/>
      <c r="U131" s="233"/>
      <c r="V131" s="236"/>
      <c r="W131" s="234"/>
      <c r="X131" s="235"/>
      <c r="Y131" s="237"/>
      <c r="Z131" s="238"/>
    </row>
    <row r="132" spans="1:26" s="239" customFormat="1" ht="28.5" customHeight="1" x14ac:dyDescent="0.3">
      <c r="A132" s="222">
        <f t="shared" si="14"/>
        <v>0</v>
      </c>
      <c r="B132" s="223" t="b">
        <f t="shared" si="15"/>
        <v>1</v>
      </c>
      <c r="C132" s="222">
        <f t="shared" si="16"/>
        <v>0</v>
      </c>
      <c r="D132" s="205" t="str">
        <f t="shared" si="17"/>
        <v>$$$$</v>
      </c>
      <c r="E132" s="224"/>
      <c r="F132" s="225"/>
      <c r="G132" s="226"/>
      <c r="H132" s="227"/>
      <c r="I132" s="228"/>
      <c r="J132" s="228"/>
      <c r="K132" s="229"/>
      <c r="L132" s="230"/>
      <c r="M132" s="231"/>
      <c r="N132" s="232"/>
      <c r="O132" s="230"/>
      <c r="P132" s="231"/>
      <c r="Q132" s="232"/>
      <c r="R132" s="233"/>
      <c r="S132" s="234"/>
      <c r="T132" s="235"/>
      <c r="U132" s="233"/>
      <c r="V132" s="236"/>
      <c r="W132" s="234"/>
      <c r="X132" s="235"/>
      <c r="Y132" s="237"/>
      <c r="Z132" s="238"/>
    </row>
    <row r="133" spans="1:26" s="239" customFormat="1" ht="28.5" customHeight="1" x14ac:dyDescent="0.3">
      <c r="A133" s="222">
        <f t="shared" si="14"/>
        <v>0</v>
      </c>
      <c r="B133" s="223" t="b">
        <f t="shared" si="15"/>
        <v>1</v>
      </c>
      <c r="C133" s="222">
        <f t="shared" si="16"/>
        <v>0</v>
      </c>
      <c r="D133" s="205" t="str">
        <f t="shared" si="17"/>
        <v>$$$$</v>
      </c>
      <c r="E133" s="224"/>
      <c r="F133" s="225"/>
      <c r="G133" s="226"/>
      <c r="H133" s="227"/>
      <c r="I133" s="228"/>
      <c r="J133" s="228"/>
      <c r="K133" s="229"/>
      <c r="L133" s="230"/>
      <c r="M133" s="231"/>
      <c r="N133" s="232"/>
      <c r="O133" s="230"/>
      <c r="P133" s="231"/>
      <c r="Q133" s="232"/>
      <c r="R133" s="233"/>
      <c r="S133" s="234"/>
      <c r="T133" s="235"/>
      <c r="U133" s="233"/>
      <c r="V133" s="236"/>
      <c r="W133" s="234"/>
      <c r="X133" s="235"/>
      <c r="Y133" s="237"/>
      <c r="Z133" s="238"/>
    </row>
    <row r="134" spans="1:26" s="239" customFormat="1" ht="28.5" customHeight="1" x14ac:dyDescent="0.3">
      <c r="A134" s="222">
        <f t="shared" si="14"/>
        <v>0</v>
      </c>
      <c r="B134" s="223" t="b">
        <f t="shared" si="15"/>
        <v>1</v>
      </c>
      <c r="C134" s="222">
        <f t="shared" si="16"/>
        <v>0</v>
      </c>
      <c r="D134" s="205" t="str">
        <f t="shared" si="17"/>
        <v>$$$$</v>
      </c>
      <c r="E134" s="224"/>
      <c r="F134" s="225"/>
      <c r="G134" s="226"/>
      <c r="H134" s="227"/>
      <c r="I134" s="228"/>
      <c r="J134" s="228"/>
      <c r="K134" s="229"/>
      <c r="L134" s="230"/>
      <c r="M134" s="231"/>
      <c r="N134" s="232"/>
      <c r="O134" s="230"/>
      <c r="P134" s="231"/>
      <c r="Q134" s="232"/>
      <c r="R134" s="233"/>
      <c r="S134" s="234"/>
      <c r="T134" s="235"/>
      <c r="U134" s="233"/>
      <c r="V134" s="236"/>
      <c r="W134" s="234"/>
      <c r="X134" s="235"/>
      <c r="Y134" s="237"/>
      <c r="Z134" s="238"/>
    </row>
    <row r="135" spans="1:26" s="239" customFormat="1" ht="28.5" customHeight="1" x14ac:dyDescent="0.3">
      <c r="A135" s="222">
        <f t="shared" si="14"/>
        <v>0</v>
      </c>
      <c r="B135" s="223" t="b">
        <f t="shared" si="15"/>
        <v>1</v>
      </c>
      <c r="C135" s="222">
        <f t="shared" si="16"/>
        <v>0</v>
      </c>
      <c r="D135" s="205" t="str">
        <f t="shared" si="17"/>
        <v>$$$$</v>
      </c>
      <c r="E135" s="224"/>
      <c r="F135" s="225"/>
      <c r="G135" s="226"/>
      <c r="H135" s="227"/>
      <c r="I135" s="228"/>
      <c r="J135" s="228"/>
      <c r="K135" s="229"/>
      <c r="L135" s="230"/>
      <c r="M135" s="231"/>
      <c r="N135" s="232"/>
      <c r="O135" s="230"/>
      <c r="P135" s="231"/>
      <c r="Q135" s="232"/>
      <c r="R135" s="233"/>
      <c r="S135" s="234"/>
      <c r="T135" s="235"/>
      <c r="U135" s="233"/>
      <c r="V135" s="236"/>
      <c r="W135" s="234"/>
      <c r="X135" s="235"/>
      <c r="Y135" s="237"/>
      <c r="Z135" s="238"/>
    </row>
    <row r="136" spans="1:26" s="239" customFormat="1" ht="28.5" customHeight="1" x14ac:dyDescent="0.3">
      <c r="A136" s="222">
        <f t="shared" si="14"/>
        <v>0</v>
      </c>
      <c r="B136" s="223" t="b">
        <f t="shared" si="15"/>
        <v>1</v>
      </c>
      <c r="C136" s="222">
        <f t="shared" si="16"/>
        <v>0</v>
      </c>
      <c r="D136" s="205" t="str">
        <f t="shared" si="17"/>
        <v>$$$$</v>
      </c>
      <c r="E136" s="224"/>
      <c r="F136" s="225"/>
      <c r="G136" s="226"/>
      <c r="H136" s="227"/>
      <c r="I136" s="228"/>
      <c r="J136" s="228"/>
      <c r="K136" s="229"/>
      <c r="L136" s="230"/>
      <c r="M136" s="231"/>
      <c r="N136" s="232"/>
      <c r="O136" s="230"/>
      <c r="P136" s="231"/>
      <c r="Q136" s="232"/>
      <c r="R136" s="233"/>
      <c r="S136" s="234"/>
      <c r="T136" s="235"/>
      <c r="U136" s="233"/>
      <c r="V136" s="236"/>
      <c r="W136" s="234"/>
      <c r="X136" s="235"/>
      <c r="Y136" s="237"/>
      <c r="Z136" s="238"/>
    </row>
    <row r="137" spans="1:26" s="239" customFormat="1" ht="28.5" customHeight="1" x14ac:dyDescent="0.3">
      <c r="A137" s="222">
        <f t="shared" si="14"/>
        <v>0</v>
      </c>
      <c r="B137" s="223" t="b">
        <f t="shared" si="15"/>
        <v>1</v>
      </c>
      <c r="C137" s="222">
        <f t="shared" si="16"/>
        <v>0</v>
      </c>
      <c r="D137" s="205" t="str">
        <f t="shared" si="17"/>
        <v>$$$$</v>
      </c>
      <c r="E137" s="224"/>
      <c r="F137" s="225"/>
      <c r="G137" s="226"/>
      <c r="H137" s="227"/>
      <c r="I137" s="228"/>
      <c r="J137" s="228"/>
      <c r="K137" s="229"/>
      <c r="L137" s="230"/>
      <c r="M137" s="231"/>
      <c r="N137" s="232"/>
      <c r="O137" s="230"/>
      <c r="P137" s="231"/>
      <c r="Q137" s="232"/>
      <c r="R137" s="233"/>
      <c r="S137" s="234"/>
      <c r="T137" s="235"/>
      <c r="U137" s="233"/>
      <c r="V137" s="236"/>
      <c r="W137" s="234"/>
      <c r="X137" s="235"/>
      <c r="Y137" s="237"/>
      <c r="Z137" s="238"/>
    </row>
    <row r="138" spans="1:26" s="239" customFormat="1" ht="28.5" customHeight="1" x14ac:dyDescent="0.3">
      <c r="A138" s="222">
        <f t="shared" si="14"/>
        <v>0</v>
      </c>
      <c r="B138" s="223" t="b">
        <f t="shared" si="15"/>
        <v>1</v>
      </c>
      <c r="C138" s="222">
        <f t="shared" si="16"/>
        <v>0</v>
      </c>
      <c r="D138" s="205" t="str">
        <f t="shared" si="17"/>
        <v>$$$$</v>
      </c>
      <c r="E138" s="224"/>
      <c r="F138" s="225"/>
      <c r="G138" s="226"/>
      <c r="H138" s="227"/>
      <c r="I138" s="228"/>
      <c r="J138" s="228"/>
      <c r="K138" s="229"/>
      <c r="L138" s="230"/>
      <c r="M138" s="231"/>
      <c r="N138" s="232"/>
      <c r="O138" s="230"/>
      <c r="P138" s="231"/>
      <c r="Q138" s="232"/>
      <c r="R138" s="233"/>
      <c r="S138" s="234"/>
      <c r="T138" s="235"/>
      <c r="U138" s="233"/>
      <c r="V138" s="236"/>
      <c r="W138" s="234"/>
      <c r="X138" s="235"/>
      <c r="Y138" s="237"/>
      <c r="Z138" s="238"/>
    </row>
    <row r="139" spans="1:26" s="239" customFormat="1" ht="28.5" customHeight="1" x14ac:dyDescent="0.3">
      <c r="A139" s="222">
        <f t="shared" si="14"/>
        <v>0</v>
      </c>
      <c r="B139" s="223" t="b">
        <f t="shared" si="15"/>
        <v>1</v>
      </c>
      <c r="C139" s="222">
        <f t="shared" si="16"/>
        <v>0</v>
      </c>
      <c r="D139" s="205" t="str">
        <f t="shared" si="17"/>
        <v>$$$$</v>
      </c>
      <c r="E139" s="224"/>
      <c r="F139" s="225"/>
      <c r="G139" s="226"/>
      <c r="H139" s="227"/>
      <c r="I139" s="228"/>
      <c r="J139" s="228"/>
      <c r="K139" s="229"/>
      <c r="L139" s="230"/>
      <c r="M139" s="231"/>
      <c r="N139" s="232"/>
      <c r="O139" s="230"/>
      <c r="P139" s="231"/>
      <c r="Q139" s="232"/>
      <c r="R139" s="233"/>
      <c r="S139" s="234"/>
      <c r="T139" s="235"/>
      <c r="U139" s="233"/>
      <c r="V139" s="236"/>
      <c r="W139" s="234"/>
      <c r="X139" s="235"/>
      <c r="Y139" s="237"/>
      <c r="Z139" s="238"/>
    </row>
    <row r="140" spans="1:26" s="239" customFormat="1" ht="28.5" customHeight="1" x14ac:dyDescent="0.3">
      <c r="A140" s="222">
        <f t="shared" si="14"/>
        <v>0</v>
      </c>
      <c r="B140" s="223" t="b">
        <f t="shared" si="15"/>
        <v>1</v>
      </c>
      <c r="C140" s="222">
        <f t="shared" si="16"/>
        <v>0</v>
      </c>
      <c r="D140" s="205" t="str">
        <f t="shared" si="17"/>
        <v>$$$$</v>
      </c>
      <c r="E140" s="224"/>
      <c r="F140" s="225"/>
      <c r="G140" s="226"/>
      <c r="H140" s="227"/>
      <c r="I140" s="228"/>
      <c r="J140" s="228"/>
      <c r="K140" s="229"/>
      <c r="L140" s="230"/>
      <c r="M140" s="231"/>
      <c r="N140" s="232"/>
      <c r="O140" s="230"/>
      <c r="P140" s="231"/>
      <c r="Q140" s="232"/>
      <c r="R140" s="233"/>
      <c r="S140" s="234"/>
      <c r="T140" s="235"/>
      <c r="U140" s="233"/>
      <c r="V140" s="236"/>
      <c r="W140" s="234"/>
      <c r="X140" s="235"/>
      <c r="Y140" s="237"/>
      <c r="Z140" s="238"/>
    </row>
    <row r="141" spans="1:26" s="239" customFormat="1" ht="28.5" customHeight="1" x14ac:dyDescent="0.3">
      <c r="A141" s="222">
        <f t="shared" si="14"/>
        <v>0</v>
      </c>
      <c r="B141" s="223" t="b">
        <f t="shared" si="15"/>
        <v>1</v>
      </c>
      <c r="C141" s="222">
        <f t="shared" si="16"/>
        <v>0</v>
      </c>
      <c r="D141" s="205" t="str">
        <f t="shared" si="17"/>
        <v>$$$$</v>
      </c>
      <c r="E141" s="224"/>
      <c r="F141" s="225"/>
      <c r="G141" s="226"/>
      <c r="H141" s="227"/>
      <c r="I141" s="228"/>
      <c r="J141" s="228"/>
      <c r="K141" s="229"/>
      <c r="L141" s="230"/>
      <c r="M141" s="231"/>
      <c r="N141" s="232"/>
      <c r="O141" s="230"/>
      <c r="P141" s="231"/>
      <c r="Q141" s="232"/>
      <c r="R141" s="233"/>
      <c r="S141" s="234"/>
      <c r="T141" s="235"/>
      <c r="U141" s="233"/>
      <c r="V141" s="236"/>
      <c r="W141" s="234"/>
      <c r="X141" s="235"/>
      <c r="Y141" s="237"/>
      <c r="Z141" s="238"/>
    </row>
    <row r="142" spans="1:26" s="239" customFormat="1" ht="28.5" customHeight="1" x14ac:dyDescent="0.3">
      <c r="A142" s="222">
        <f t="shared" si="14"/>
        <v>0</v>
      </c>
      <c r="B142" s="223" t="b">
        <f t="shared" si="15"/>
        <v>1</v>
      </c>
      <c r="C142" s="222">
        <f t="shared" si="16"/>
        <v>0</v>
      </c>
      <c r="D142" s="205" t="str">
        <f t="shared" si="17"/>
        <v>$$$$</v>
      </c>
      <c r="E142" s="224"/>
      <c r="F142" s="225"/>
      <c r="G142" s="226"/>
      <c r="H142" s="227"/>
      <c r="I142" s="228"/>
      <c r="J142" s="228"/>
      <c r="K142" s="229"/>
      <c r="L142" s="230"/>
      <c r="M142" s="231"/>
      <c r="N142" s="232"/>
      <c r="O142" s="230"/>
      <c r="P142" s="231"/>
      <c r="Q142" s="232"/>
      <c r="R142" s="233"/>
      <c r="S142" s="234"/>
      <c r="T142" s="235"/>
      <c r="U142" s="233"/>
      <c r="V142" s="236"/>
      <c r="W142" s="234"/>
      <c r="X142" s="235"/>
      <c r="Y142" s="237"/>
      <c r="Z142" s="238"/>
    </row>
    <row r="143" spans="1:26" s="239" customFormat="1" ht="28.5" customHeight="1" x14ac:dyDescent="0.3">
      <c r="A143" s="222">
        <f t="shared" si="14"/>
        <v>0</v>
      </c>
      <c r="B143" s="223" t="b">
        <f t="shared" si="15"/>
        <v>1</v>
      </c>
      <c r="C143" s="222">
        <f t="shared" si="16"/>
        <v>0</v>
      </c>
      <c r="D143" s="205" t="str">
        <f t="shared" si="17"/>
        <v>$$$$</v>
      </c>
      <c r="E143" s="224"/>
      <c r="F143" s="225"/>
      <c r="G143" s="226"/>
      <c r="H143" s="227"/>
      <c r="I143" s="228"/>
      <c r="J143" s="228"/>
      <c r="K143" s="229"/>
      <c r="L143" s="230"/>
      <c r="M143" s="231"/>
      <c r="N143" s="232"/>
      <c r="O143" s="230"/>
      <c r="P143" s="231"/>
      <c r="Q143" s="232"/>
      <c r="R143" s="233"/>
      <c r="S143" s="234"/>
      <c r="T143" s="235"/>
      <c r="U143" s="233"/>
      <c r="V143" s="236"/>
      <c r="W143" s="234"/>
      <c r="X143" s="235"/>
      <c r="Y143" s="237"/>
      <c r="Z143" s="238"/>
    </row>
    <row r="144" spans="1:26" s="239" customFormat="1" ht="28.5" customHeight="1" x14ac:dyDescent="0.3">
      <c r="A144" s="222">
        <f t="shared" si="14"/>
        <v>0</v>
      </c>
      <c r="B144" s="223" t="b">
        <f t="shared" si="15"/>
        <v>1</v>
      </c>
      <c r="C144" s="222">
        <f t="shared" si="16"/>
        <v>0</v>
      </c>
      <c r="D144" s="205" t="str">
        <f t="shared" si="17"/>
        <v>$$$$</v>
      </c>
      <c r="E144" s="224"/>
      <c r="F144" s="225"/>
      <c r="G144" s="226"/>
      <c r="H144" s="227"/>
      <c r="I144" s="228"/>
      <c r="J144" s="228"/>
      <c r="K144" s="229"/>
      <c r="L144" s="230"/>
      <c r="M144" s="231"/>
      <c r="N144" s="232"/>
      <c r="O144" s="230"/>
      <c r="P144" s="231"/>
      <c r="Q144" s="232"/>
      <c r="R144" s="233"/>
      <c r="S144" s="234"/>
      <c r="T144" s="235"/>
      <c r="U144" s="233"/>
      <c r="V144" s="236"/>
      <c r="W144" s="234"/>
      <c r="X144" s="235"/>
      <c r="Y144" s="237"/>
      <c r="Z144" s="238"/>
    </row>
    <row r="145" spans="1:26" s="239" customFormat="1" ht="28.5" customHeight="1" x14ac:dyDescent="0.3">
      <c r="A145" s="222">
        <f t="shared" si="14"/>
        <v>0</v>
      </c>
      <c r="B145" s="223" t="b">
        <f t="shared" si="15"/>
        <v>1</v>
      </c>
      <c r="C145" s="222">
        <f t="shared" si="16"/>
        <v>0</v>
      </c>
      <c r="D145" s="205" t="str">
        <f t="shared" si="17"/>
        <v>$$$$</v>
      </c>
      <c r="E145" s="224"/>
      <c r="F145" s="225"/>
      <c r="G145" s="226"/>
      <c r="H145" s="227"/>
      <c r="I145" s="228"/>
      <c r="J145" s="228"/>
      <c r="K145" s="229"/>
      <c r="L145" s="230"/>
      <c r="M145" s="231"/>
      <c r="N145" s="232"/>
      <c r="O145" s="230"/>
      <c r="P145" s="231"/>
      <c r="Q145" s="232"/>
      <c r="R145" s="233"/>
      <c r="S145" s="234"/>
      <c r="T145" s="235"/>
      <c r="U145" s="233"/>
      <c r="V145" s="236"/>
      <c r="W145" s="234"/>
      <c r="X145" s="235"/>
      <c r="Y145" s="237"/>
      <c r="Z145" s="238"/>
    </row>
    <row r="146" spans="1:26" s="239" customFormat="1" ht="28.5" customHeight="1" x14ac:dyDescent="0.3">
      <c r="A146" s="222">
        <f t="shared" si="14"/>
        <v>0</v>
      </c>
      <c r="B146" s="223" t="b">
        <f t="shared" si="15"/>
        <v>1</v>
      </c>
      <c r="C146" s="222">
        <f t="shared" si="16"/>
        <v>0</v>
      </c>
      <c r="D146" s="205" t="str">
        <f t="shared" si="17"/>
        <v>$$$$</v>
      </c>
      <c r="E146" s="224"/>
      <c r="F146" s="225"/>
      <c r="G146" s="226"/>
      <c r="H146" s="227"/>
      <c r="I146" s="228"/>
      <c r="J146" s="228"/>
      <c r="K146" s="229"/>
      <c r="L146" s="230"/>
      <c r="M146" s="231"/>
      <c r="N146" s="232"/>
      <c r="O146" s="230"/>
      <c r="P146" s="231"/>
      <c r="Q146" s="232"/>
      <c r="R146" s="233"/>
      <c r="S146" s="234"/>
      <c r="T146" s="235"/>
      <c r="U146" s="233"/>
      <c r="V146" s="236"/>
      <c r="W146" s="234"/>
      <c r="X146" s="235"/>
      <c r="Y146" s="237"/>
      <c r="Z146" s="238"/>
    </row>
    <row r="147" spans="1:26" s="239" customFormat="1" ht="28.5" customHeight="1" x14ac:dyDescent="0.3">
      <c r="A147" s="222">
        <f t="shared" si="14"/>
        <v>0</v>
      </c>
      <c r="B147" s="223" t="b">
        <f t="shared" si="15"/>
        <v>1</v>
      </c>
      <c r="C147" s="222">
        <f t="shared" si="16"/>
        <v>0</v>
      </c>
      <c r="D147" s="205" t="str">
        <f t="shared" si="17"/>
        <v>$$$$</v>
      </c>
      <c r="E147" s="224"/>
      <c r="F147" s="225"/>
      <c r="G147" s="226"/>
      <c r="H147" s="227"/>
      <c r="I147" s="228"/>
      <c r="J147" s="228"/>
      <c r="K147" s="229"/>
      <c r="L147" s="230"/>
      <c r="M147" s="231"/>
      <c r="N147" s="232"/>
      <c r="O147" s="230"/>
      <c r="P147" s="231"/>
      <c r="Q147" s="232"/>
      <c r="R147" s="233"/>
      <c r="S147" s="234"/>
      <c r="T147" s="235"/>
      <c r="U147" s="233"/>
      <c r="V147" s="236"/>
      <c r="W147" s="234"/>
      <c r="X147" s="235"/>
      <c r="Y147" s="237"/>
      <c r="Z147" s="238"/>
    </row>
    <row r="148" spans="1:26" s="239" customFormat="1" ht="28.5" customHeight="1" x14ac:dyDescent="0.3">
      <c r="A148" s="222">
        <f t="shared" si="14"/>
        <v>0</v>
      </c>
      <c r="B148" s="223" t="b">
        <f t="shared" si="15"/>
        <v>1</v>
      </c>
      <c r="C148" s="222">
        <f t="shared" si="16"/>
        <v>0</v>
      </c>
      <c r="D148" s="205" t="str">
        <f t="shared" si="17"/>
        <v>$$$$</v>
      </c>
      <c r="E148" s="224"/>
      <c r="F148" s="225"/>
      <c r="G148" s="226"/>
      <c r="H148" s="227"/>
      <c r="I148" s="228"/>
      <c r="J148" s="228"/>
      <c r="K148" s="229"/>
      <c r="L148" s="230"/>
      <c r="M148" s="231"/>
      <c r="N148" s="232"/>
      <c r="O148" s="230"/>
      <c r="P148" s="231"/>
      <c r="Q148" s="232"/>
      <c r="R148" s="233"/>
      <c r="S148" s="234"/>
      <c r="T148" s="235"/>
      <c r="U148" s="233"/>
      <c r="V148" s="236"/>
      <c r="W148" s="234"/>
      <c r="X148" s="235"/>
      <c r="Y148" s="237"/>
      <c r="Z148" s="238"/>
    </row>
    <row r="149" spans="1:26" s="239" customFormat="1" ht="28.5" customHeight="1" x14ac:dyDescent="0.3">
      <c r="A149" s="222">
        <f t="shared" si="14"/>
        <v>0</v>
      </c>
      <c r="B149" s="223" t="b">
        <f t="shared" si="15"/>
        <v>1</v>
      </c>
      <c r="C149" s="222">
        <f t="shared" si="16"/>
        <v>0</v>
      </c>
      <c r="D149" s="205" t="str">
        <f t="shared" si="17"/>
        <v>$$$$</v>
      </c>
      <c r="E149" s="224"/>
      <c r="F149" s="225"/>
      <c r="G149" s="226"/>
      <c r="H149" s="227"/>
      <c r="I149" s="228"/>
      <c r="J149" s="228"/>
      <c r="K149" s="229"/>
      <c r="L149" s="230"/>
      <c r="M149" s="231"/>
      <c r="N149" s="232"/>
      <c r="O149" s="230"/>
      <c r="P149" s="231"/>
      <c r="Q149" s="232"/>
      <c r="R149" s="233"/>
      <c r="S149" s="234"/>
      <c r="T149" s="235"/>
      <c r="U149" s="233"/>
      <c r="V149" s="236"/>
      <c r="W149" s="234"/>
      <c r="X149" s="235"/>
      <c r="Y149" s="237"/>
      <c r="Z149" s="238"/>
    </row>
    <row r="150" spans="1:26" s="239" customFormat="1" ht="28.5" customHeight="1" x14ac:dyDescent="0.3">
      <c r="A150" s="222">
        <f t="shared" si="14"/>
        <v>0</v>
      </c>
      <c r="B150" s="223" t="b">
        <f t="shared" si="15"/>
        <v>1</v>
      </c>
      <c r="C150" s="222">
        <f t="shared" si="16"/>
        <v>0</v>
      </c>
      <c r="D150" s="205" t="str">
        <f t="shared" si="17"/>
        <v>$$$$</v>
      </c>
      <c r="E150" s="224"/>
      <c r="F150" s="225"/>
      <c r="G150" s="226"/>
      <c r="H150" s="227"/>
      <c r="I150" s="228"/>
      <c r="J150" s="228"/>
      <c r="K150" s="229"/>
      <c r="L150" s="230"/>
      <c r="M150" s="231"/>
      <c r="N150" s="232"/>
      <c r="O150" s="230"/>
      <c r="P150" s="231"/>
      <c r="Q150" s="232"/>
      <c r="R150" s="233"/>
      <c r="S150" s="234"/>
      <c r="T150" s="235"/>
      <c r="U150" s="233"/>
      <c r="V150" s="236"/>
      <c r="W150" s="234"/>
      <c r="X150" s="235"/>
      <c r="Y150" s="237"/>
      <c r="Z150" s="238"/>
    </row>
    <row r="151" spans="1:26" s="239" customFormat="1" ht="28.5" customHeight="1" x14ac:dyDescent="0.3">
      <c r="A151" s="222">
        <f t="shared" ref="A151:A154" si="18">IF(B151,0,MATCH(H151,ВидыНагр,0))</f>
        <v>0</v>
      </c>
      <c r="B151" s="223" t="b">
        <f t="shared" ref="B151:B154" si="19">(COUNTIF(КлючВесна,D151)&lt;&gt;1)</f>
        <v>1</v>
      </c>
      <c r="C151" s="222">
        <f t="shared" ref="C151:C158" si="20">IF(COUNTA(E151:K151,Z151)&gt;0,1,0)+IF(COUNTA(L151:Y151)&gt;0,2,0)</f>
        <v>0</v>
      </c>
      <c r="D151" s="205" t="str">
        <f t="shared" si="17"/>
        <v>$$$$</v>
      </c>
      <c r="E151" s="224"/>
      <c r="F151" s="225"/>
      <c r="G151" s="226"/>
      <c r="H151" s="227"/>
      <c r="I151" s="228"/>
      <c r="J151" s="228"/>
      <c r="K151" s="229"/>
      <c r="L151" s="230"/>
      <c r="M151" s="231"/>
      <c r="N151" s="232"/>
      <c r="O151" s="230"/>
      <c r="P151" s="231"/>
      <c r="Q151" s="232"/>
      <c r="R151" s="233"/>
      <c r="S151" s="234"/>
      <c r="T151" s="235"/>
      <c r="U151" s="233"/>
      <c r="V151" s="236"/>
      <c r="W151" s="234"/>
      <c r="X151" s="235"/>
      <c r="Y151" s="237"/>
      <c r="Z151" s="238"/>
    </row>
    <row r="152" spans="1:26" s="239" customFormat="1" ht="28.5" customHeight="1" x14ac:dyDescent="0.3">
      <c r="A152" s="222">
        <f t="shared" si="18"/>
        <v>0</v>
      </c>
      <c r="B152" s="223" t="b">
        <f t="shared" si="19"/>
        <v>1</v>
      </c>
      <c r="C152" s="222">
        <f t="shared" si="20"/>
        <v>0</v>
      </c>
      <c r="D152" s="205" t="str">
        <f t="shared" si="17"/>
        <v>$$$$</v>
      </c>
      <c r="E152" s="224"/>
      <c r="F152" s="225"/>
      <c r="G152" s="226"/>
      <c r="H152" s="227"/>
      <c r="I152" s="228"/>
      <c r="J152" s="228"/>
      <c r="K152" s="229"/>
      <c r="L152" s="230"/>
      <c r="M152" s="231"/>
      <c r="N152" s="232"/>
      <c r="O152" s="230"/>
      <c r="P152" s="231"/>
      <c r="Q152" s="232"/>
      <c r="R152" s="233"/>
      <c r="S152" s="234"/>
      <c r="T152" s="235"/>
      <c r="U152" s="233"/>
      <c r="V152" s="236"/>
      <c r="W152" s="234"/>
      <c r="X152" s="235"/>
      <c r="Y152" s="237"/>
      <c r="Z152" s="238"/>
    </row>
    <row r="153" spans="1:26" s="239" customFormat="1" ht="28.5" customHeight="1" x14ac:dyDescent="0.3">
      <c r="A153" s="222">
        <f t="shared" si="18"/>
        <v>0</v>
      </c>
      <c r="B153" s="223" t="b">
        <f t="shared" si="19"/>
        <v>1</v>
      </c>
      <c r="C153" s="222">
        <f t="shared" si="20"/>
        <v>0</v>
      </c>
      <c r="D153" s="205" t="str">
        <f t="shared" si="17"/>
        <v>$$$$</v>
      </c>
      <c r="E153" s="224"/>
      <c r="F153" s="225"/>
      <c r="G153" s="226"/>
      <c r="H153" s="227"/>
      <c r="I153" s="228"/>
      <c r="J153" s="228"/>
      <c r="K153" s="229"/>
      <c r="L153" s="230"/>
      <c r="M153" s="231"/>
      <c r="N153" s="232"/>
      <c r="O153" s="230"/>
      <c r="P153" s="231"/>
      <c r="Q153" s="232"/>
      <c r="R153" s="233"/>
      <c r="S153" s="234"/>
      <c r="T153" s="235"/>
      <c r="U153" s="233"/>
      <c r="V153" s="236"/>
      <c r="W153" s="234"/>
      <c r="X153" s="235"/>
      <c r="Y153" s="237"/>
      <c r="Z153" s="238"/>
    </row>
    <row r="154" spans="1:26" s="239" customFormat="1" ht="28.5" customHeight="1" x14ac:dyDescent="0.3">
      <c r="A154" s="222">
        <f t="shared" si="18"/>
        <v>0</v>
      </c>
      <c r="B154" s="223" t="b">
        <f t="shared" si="19"/>
        <v>1</v>
      </c>
      <c r="C154" s="222">
        <f t="shared" si="20"/>
        <v>0</v>
      </c>
      <c r="D154" s="205" t="str">
        <f t="shared" si="17"/>
        <v>$$$$</v>
      </c>
      <c r="E154" s="224"/>
      <c r="F154" s="225"/>
      <c r="G154" s="226"/>
      <c r="H154" s="227"/>
      <c r="I154" s="228"/>
      <c r="J154" s="228"/>
      <c r="K154" s="229"/>
      <c r="L154" s="230"/>
      <c r="M154" s="231"/>
      <c r="N154" s="232"/>
      <c r="O154" s="230"/>
      <c r="P154" s="231"/>
      <c r="Q154" s="232"/>
      <c r="R154" s="233"/>
      <c r="S154" s="234"/>
      <c r="T154" s="235"/>
      <c r="U154" s="233"/>
      <c r="V154" s="236"/>
      <c r="W154" s="234"/>
      <c r="X154" s="235"/>
      <c r="Y154" s="237"/>
      <c r="Z154" s="238"/>
    </row>
    <row r="155" spans="1:26" s="239" customFormat="1" ht="28.5" customHeight="1" x14ac:dyDescent="0.3">
      <c r="A155" s="222">
        <f>IF(B155,0,MATCH(H155,ВидыНагр,0))</f>
        <v>0</v>
      </c>
      <c r="B155" s="223" t="b">
        <f>(COUNTIF(КлючВесна,D155)&lt;&gt;1)</f>
        <v>1</v>
      </c>
      <c r="C155" s="222">
        <f t="shared" si="20"/>
        <v>0</v>
      </c>
      <c r="D155" s="205" t="str">
        <f>CONCATENATE("$",TRIM(F155),"$",TRIM(G155),"$",H155,"$")</f>
        <v>$$$$</v>
      </c>
      <c r="E155" s="224"/>
      <c r="F155" s="225"/>
      <c r="G155" s="226"/>
      <c r="H155" s="227"/>
      <c r="I155" s="228"/>
      <c r="J155" s="228"/>
      <c r="K155" s="229"/>
      <c r="L155" s="230"/>
      <c r="M155" s="231"/>
      <c r="N155" s="232"/>
      <c r="O155" s="230"/>
      <c r="P155" s="231"/>
      <c r="Q155" s="232"/>
      <c r="R155" s="233"/>
      <c r="S155" s="234"/>
      <c r="T155" s="235"/>
      <c r="U155" s="233"/>
      <c r="V155" s="236"/>
      <c r="W155" s="234"/>
      <c r="X155" s="235"/>
      <c r="Y155" s="237"/>
      <c r="Z155" s="238"/>
    </row>
    <row r="156" spans="1:26" s="239" customFormat="1" ht="28.5" customHeight="1" x14ac:dyDescent="0.3">
      <c r="A156" s="222">
        <f>IF(B156,0,MATCH(H156,ВидыНагр,0))</f>
        <v>0</v>
      </c>
      <c r="B156" s="223" t="b">
        <f>(COUNTIF(КлючВесна,D156)&lt;&gt;1)</f>
        <v>1</v>
      </c>
      <c r="C156" s="222">
        <f t="shared" si="20"/>
        <v>0</v>
      </c>
      <c r="D156" s="205" t="str">
        <f>CONCATENATE("$",TRIM(F156),"$",TRIM(G156),"$",H156,"$")</f>
        <v>$$$$</v>
      </c>
      <c r="E156" s="224"/>
      <c r="F156" s="225"/>
      <c r="G156" s="226"/>
      <c r="H156" s="227"/>
      <c r="I156" s="228"/>
      <c r="J156" s="228"/>
      <c r="K156" s="229"/>
      <c r="L156" s="230"/>
      <c r="M156" s="231"/>
      <c r="N156" s="232"/>
      <c r="O156" s="230"/>
      <c r="P156" s="231"/>
      <c r="Q156" s="232"/>
      <c r="R156" s="233"/>
      <c r="S156" s="234"/>
      <c r="T156" s="235"/>
      <c r="U156" s="233"/>
      <c r="V156" s="236"/>
      <c r="W156" s="234"/>
      <c r="X156" s="235"/>
      <c r="Y156" s="237"/>
      <c r="Z156" s="238"/>
    </row>
    <row r="157" spans="1:26" s="239" customFormat="1" ht="28.5" customHeight="1" x14ac:dyDescent="0.3">
      <c r="A157" s="222">
        <f t="shared" ref="A157:A158" si="21">IF(B157,0,MATCH(H157,ВидыНагр,0))</f>
        <v>0</v>
      </c>
      <c r="B157" s="223" t="b">
        <f t="shared" ref="B157:B158" si="22">(COUNTIF(КлючВесна,D157)&lt;&gt;1)</f>
        <v>1</v>
      </c>
      <c r="C157" s="222">
        <f t="shared" si="20"/>
        <v>0</v>
      </c>
      <c r="D157" s="205" t="str">
        <f t="shared" ref="D157:D158" si="23">CONCATENATE("$",TRIM(F157),"$",TRIM(G157),"$",H157,"$")</f>
        <v>$$$$</v>
      </c>
      <c r="E157" s="224"/>
      <c r="F157" s="225"/>
      <c r="G157" s="226"/>
      <c r="H157" s="227"/>
      <c r="I157" s="228"/>
      <c r="J157" s="228"/>
      <c r="K157" s="229"/>
      <c r="L157" s="230"/>
      <c r="M157" s="231"/>
      <c r="N157" s="232"/>
      <c r="O157" s="230"/>
      <c r="P157" s="231"/>
      <c r="Q157" s="232"/>
      <c r="R157" s="233"/>
      <c r="S157" s="234"/>
      <c r="T157" s="235"/>
      <c r="U157" s="233"/>
      <c r="V157" s="236"/>
      <c r="W157" s="234"/>
      <c r="X157" s="235"/>
      <c r="Y157" s="237"/>
      <c r="Z157" s="238"/>
    </row>
    <row r="158" spans="1:26" s="239" customFormat="1" ht="28.5" customHeight="1" x14ac:dyDescent="0.3">
      <c r="A158" s="222">
        <f t="shared" si="21"/>
        <v>0</v>
      </c>
      <c r="B158" s="223" t="b">
        <f t="shared" si="22"/>
        <v>1</v>
      </c>
      <c r="C158" s="222">
        <f t="shared" si="20"/>
        <v>0</v>
      </c>
      <c r="D158" s="205" t="str">
        <f t="shared" si="23"/>
        <v>$$$$</v>
      </c>
      <c r="E158" s="224"/>
      <c r="F158" s="225"/>
      <c r="G158" s="226"/>
      <c r="H158" s="227"/>
      <c r="I158" s="228"/>
      <c r="J158" s="228"/>
      <c r="K158" s="229"/>
      <c r="L158" s="230"/>
      <c r="M158" s="231"/>
      <c r="N158" s="232"/>
      <c r="O158" s="230"/>
      <c r="P158" s="231"/>
      <c r="Q158" s="232"/>
      <c r="R158" s="233"/>
      <c r="S158" s="234"/>
      <c r="T158" s="235"/>
      <c r="U158" s="233"/>
      <c r="V158" s="236"/>
      <c r="W158" s="234"/>
      <c r="X158" s="235"/>
      <c r="Y158" s="237"/>
      <c r="Z158" s="238"/>
    </row>
    <row r="159" spans="1:26" s="239" customFormat="1" ht="28.5" customHeight="1" x14ac:dyDescent="0.3">
      <c r="A159" s="222">
        <f t="shared" si="14"/>
        <v>0</v>
      </c>
      <c r="B159" s="223" t="b">
        <f t="shared" si="15"/>
        <v>1</v>
      </c>
      <c r="C159" s="222">
        <f t="shared" si="16"/>
        <v>0</v>
      </c>
      <c r="D159" s="205" t="str">
        <f t="shared" si="13"/>
        <v>$$$$</v>
      </c>
      <c r="E159" s="224"/>
      <c r="F159" s="225"/>
      <c r="G159" s="226"/>
      <c r="H159" s="227"/>
      <c r="I159" s="228"/>
      <c r="J159" s="228"/>
      <c r="K159" s="229"/>
      <c r="L159" s="230"/>
      <c r="M159" s="231"/>
      <c r="N159" s="232"/>
      <c r="O159" s="230"/>
      <c r="P159" s="231"/>
      <c r="Q159" s="232"/>
      <c r="R159" s="233"/>
      <c r="S159" s="234"/>
      <c r="T159" s="235"/>
      <c r="U159" s="233"/>
      <c r="V159" s="236"/>
      <c r="W159" s="234"/>
      <c r="X159" s="235"/>
      <c r="Y159" s="237"/>
      <c r="Z159" s="238"/>
    </row>
    <row r="160" spans="1:26" x14ac:dyDescent="0.3">
      <c r="D160" s="1"/>
      <c r="E160" s="2"/>
      <c r="F160" s="2"/>
      <c r="G160" s="2"/>
      <c r="H160" s="2"/>
      <c r="I160" s="2"/>
      <c r="J160" s="2"/>
      <c r="K160" s="2"/>
      <c r="L160" s="2"/>
      <c r="M160" s="2"/>
      <c r="N160" s="2"/>
      <c r="O160" s="2"/>
      <c r="P160" s="2"/>
      <c r="Q160" s="2"/>
      <c r="R160" s="2"/>
      <c r="S160" s="2"/>
      <c r="T160" s="2"/>
      <c r="U160" s="2"/>
      <c r="V160" s="2"/>
      <c r="W160" s="2"/>
      <c r="X160" s="2"/>
      <c r="Y160" s="2"/>
    </row>
  </sheetData>
  <sheetProtection algorithmName="SHA-512" hashValue="GyciD8F/a2+zpkIKjksdBYClMpPsF5PE3IiVmqHPxOK3D/FQEGfJomwu49kcunweTTBY9RR3dFwxCS1+Pfr4nA==" saltValue="CfK60NNY+ZXTgk35wpdf1w==" spinCount="100000" sheet="1" objects="1" scenarios="1"/>
  <mergeCells count="5">
    <mergeCell ref="F2:F5"/>
    <mergeCell ref="G2:G5"/>
    <mergeCell ref="I2:J2"/>
    <mergeCell ref="I3:J3"/>
    <mergeCell ref="I4:J4"/>
  </mergeCells>
  <phoneticPr fontId="0" type="noConversion"/>
  <conditionalFormatting sqref="E7:Z159">
    <cfRule type="expression" dxfId="5" priority="3" stopIfTrue="1">
      <formula>($C7=0)</formula>
    </cfRule>
  </conditionalFormatting>
  <conditionalFormatting sqref="F7:H159">
    <cfRule type="expression" dxfId="4" priority="4" stopIfTrue="1">
      <formula>$B7</formula>
    </cfRule>
  </conditionalFormatting>
  <conditionalFormatting sqref="L6:Y6">
    <cfRule type="cellIs" dxfId="3" priority="1" stopIfTrue="1" operator="notEqual">
      <formula>0</formula>
    </cfRule>
  </conditionalFormatting>
  <conditionalFormatting sqref="F6:H6">
    <cfRule type="expression" dxfId="2" priority="2" stopIfTrue="1">
      <formula>$G$6&lt;&gt;0</formula>
    </cfRule>
  </conditionalFormatting>
  <conditionalFormatting sqref="L7:Y159">
    <cfRule type="expression" dxfId="1" priority="5" stopIfTrue="1">
      <formula>AND(NOT($B7),$C7&lt;2)</formula>
    </cfRule>
    <cfRule type="expression" dxfId="0" priority="6" stopIfTrue="1">
      <formula>AND($B7,L7&lt;&gt;0)</formula>
    </cfRule>
  </conditionalFormatting>
  <dataValidations count="4">
    <dataValidation type="list" allowBlank="1" showInputMessage="1" sqref="F7:F159">
      <formula1>OFFSET(ДисциплиныВесна,0,0,ДисциплиныВеснаКол,1)</formula1>
    </dataValidation>
    <dataValidation type="list" allowBlank="1" showInputMessage="1" sqref="G7:G159">
      <formula1>OFFSET(ГруппыВесна,0,0,ГруппыВеснаКол,1)</formula1>
    </dataValidation>
    <dataValidation type="list" allowBlank="1" showInputMessage="1" sqref="H7:H159">
      <formula1>ВидыНагр</formula1>
    </dataValidation>
    <dataValidation type="whole" allowBlank="1" showInputMessage="1" showErrorMessage="1" sqref="E7:E159">
      <formula1>1</formula1>
      <formula2>31</formula2>
    </dataValidation>
  </dataValidations>
  <printOptions horizontalCentered="1"/>
  <pageMargins left="0.39370078740157483" right="0.39370078740157483" top="1.1811023622047245" bottom="0.59055118110236227" header="0.98425196850393704" footer="0.39370078740157483"/>
  <pageSetup paperSize="9" scale="63" fitToHeight="10" orientation="landscape" r:id="rId1"/>
  <headerFooter>
    <oddHeader>&amp;L&amp;F&amp;C&amp;"Open Sans,полужирный"Месяц &amp;A &amp;"Open Sans,обычный"(с. &amp;P из &amp;N)&amp;R&amp;D  &amp;T</oddHeader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17</vt:i4>
      </vt:variant>
      <vt:variant>
        <vt:lpstr>Именованные диапазоны</vt:lpstr>
      </vt:variant>
      <vt:variant>
        <vt:i4>72</vt:i4>
      </vt:variant>
    </vt:vector>
  </HeadingPairs>
  <TitlesOfParts>
    <vt:vector size="89" baseType="lpstr">
      <vt:lpstr>Инфо</vt:lpstr>
      <vt:lpstr>титул</vt:lpstr>
      <vt:lpstr>осень</vt:lpstr>
      <vt:lpstr>весна</vt:lpstr>
      <vt:lpstr>карточка</vt:lpstr>
      <vt:lpstr>09</vt:lpstr>
      <vt:lpstr>10</vt:lpstr>
      <vt:lpstr>11</vt:lpstr>
      <vt:lpstr>12</vt:lpstr>
      <vt:lpstr>01</vt:lpstr>
      <vt:lpstr>02</vt:lpstr>
      <vt:lpstr>03</vt:lpstr>
      <vt:lpstr>04</vt:lpstr>
      <vt:lpstr>05</vt:lpstr>
      <vt:lpstr>06</vt:lpstr>
      <vt:lpstr>07</vt:lpstr>
      <vt:lpstr>08</vt:lpstr>
      <vt:lpstr>Form_PPS_build</vt:lpstr>
      <vt:lpstr>Form_PPS_v_major</vt:lpstr>
      <vt:lpstr>Form_PPS_v_minor</vt:lpstr>
      <vt:lpstr>ВидыНагр</vt:lpstr>
      <vt:lpstr>ВидыНагрузки</vt:lpstr>
      <vt:lpstr>ГруппыВесна</vt:lpstr>
      <vt:lpstr>ГруппыВеснаКол</vt:lpstr>
      <vt:lpstr>ГруппыОсень</vt:lpstr>
      <vt:lpstr>ГруппыОсеньКол</vt:lpstr>
      <vt:lpstr>ДисциплиныВесна</vt:lpstr>
      <vt:lpstr>ДисциплиныВеснаКол</vt:lpstr>
      <vt:lpstr>ДисциплиныОсень</vt:lpstr>
      <vt:lpstr>ДисциплиныОсеньКол</vt:lpstr>
      <vt:lpstr>ДолжностиППС</vt:lpstr>
      <vt:lpstr>ДолжностиППС_С</vt:lpstr>
      <vt:lpstr>ДопОбязанности</vt:lpstr>
      <vt:lpstr>'01'!Заголовки_для_печати</vt:lpstr>
      <vt:lpstr>'02'!Заголовки_для_печати</vt:lpstr>
      <vt:lpstr>'03'!Заголовки_для_печати</vt:lpstr>
      <vt:lpstr>'04'!Заголовки_для_печати</vt:lpstr>
      <vt:lpstr>'05'!Заголовки_для_печати</vt:lpstr>
      <vt:lpstr>'06'!Заголовки_для_печати</vt:lpstr>
      <vt:lpstr>'07'!Заголовки_для_печати</vt:lpstr>
      <vt:lpstr>'08'!Заголовки_для_печати</vt:lpstr>
      <vt:lpstr>'09'!Заголовки_для_печати</vt:lpstr>
      <vt:lpstr>'10'!Заголовки_для_печати</vt:lpstr>
      <vt:lpstr>'11'!Заголовки_для_печати</vt:lpstr>
      <vt:lpstr>'12'!Заголовки_для_печати</vt:lpstr>
      <vt:lpstr>весна!Заголовки_для_печати</vt:lpstr>
      <vt:lpstr>осень!Заголовки_для_печати</vt:lpstr>
      <vt:lpstr>ЗаданияВесна</vt:lpstr>
      <vt:lpstr>ЗаданияОсень</vt:lpstr>
      <vt:lpstr>ЗванияППС</vt:lpstr>
      <vt:lpstr>Институты</vt:lpstr>
      <vt:lpstr>Кафедры</vt:lpstr>
      <vt:lpstr>КлючВесна</vt:lpstr>
      <vt:lpstr>КлючОсень</vt:lpstr>
      <vt:lpstr>'01'!Область_печати</vt:lpstr>
      <vt:lpstr>'02'!Область_печати</vt:lpstr>
      <vt:lpstr>'03'!Область_печати</vt:lpstr>
      <vt:lpstr>'04'!Область_печати</vt:lpstr>
      <vt:lpstr>'05'!Область_печати</vt:lpstr>
      <vt:lpstr>'06'!Область_печати</vt:lpstr>
      <vt:lpstr>'07'!Область_печати</vt:lpstr>
      <vt:lpstr>'08'!Область_печати</vt:lpstr>
      <vt:lpstr>'09'!Область_печати</vt:lpstr>
      <vt:lpstr>'10'!Область_печати</vt:lpstr>
      <vt:lpstr>'11'!Область_печати</vt:lpstr>
      <vt:lpstr>'12'!Область_печати</vt:lpstr>
      <vt:lpstr>весна!Область_печати</vt:lpstr>
      <vt:lpstr>Инфо!Область_печати</vt:lpstr>
      <vt:lpstr>карточка!Область_печати</vt:lpstr>
      <vt:lpstr>осень!Область_печати</vt:lpstr>
      <vt:lpstr>титул!Область_печати</vt:lpstr>
      <vt:lpstr>ОтраслиНаук</vt:lpstr>
      <vt:lpstr>Ставка</vt:lpstr>
      <vt:lpstr>Ставка_С</vt:lpstr>
      <vt:lpstr>СтепениППС</vt:lpstr>
      <vt:lpstr>Т_Должность</vt:lpstr>
      <vt:lpstr>Т_Должность_С</vt:lpstr>
      <vt:lpstr>Т_Звание</vt:lpstr>
      <vt:lpstr>Т_Институт</vt:lpstr>
      <vt:lpstr>Т_Кафедра</vt:lpstr>
      <vt:lpstr>Т_Преподаватель</vt:lpstr>
      <vt:lpstr>Т_Степень</vt:lpstr>
      <vt:lpstr>Т_УчГод</vt:lpstr>
      <vt:lpstr>Т_Форма</vt:lpstr>
      <vt:lpstr>УровниООП</vt:lpstr>
      <vt:lpstr>Утв_Весна</vt:lpstr>
      <vt:lpstr>Утв_Осень</vt:lpstr>
      <vt:lpstr>Утв_План</vt:lpstr>
      <vt:lpstr>ФормыООП</vt:lpstr>
    </vt:vector>
  </TitlesOfParts>
  <Company>SurGU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Гришмановский Павел Валерьевич</dc:creator>
  <cp:lastModifiedBy>Гришмановский Павел Валерьевич</cp:lastModifiedBy>
  <cp:lastPrinted>2025-09-26T06:45:51Z</cp:lastPrinted>
  <dcterms:created xsi:type="dcterms:W3CDTF">2005-09-09T07:58:38Z</dcterms:created>
  <dcterms:modified xsi:type="dcterms:W3CDTF">2025-09-26T06:47:21Z</dcterms:modified>
</cp:coreProperties>
</file>